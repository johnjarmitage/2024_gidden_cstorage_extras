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halliburton.sharepoint.com/sites/OGCICO2StorageCatalogue/Shared Documents/General/Cycle 5 &amp; 6/0. FINAL DELIVERABLES/"/>
    </mc:Choice>
  </mc:AlternateContent>
  <xr:revisionPtr revIDLastSave="0" documentId="8_{FAEA0A0F-3793-42B8-BEAA-47A2C288FBA2}" xr6:coauthVersionLast="47" xr6:coauthVersionMax="47" xr10:uidLastSave="{00000000-0000-0000-0000-000000000000}"/>
  <bookViews>
    <workbookView xWindow="-28920" yWindow="-1500" windowWidth="29040" windowHeight="15720" xr2:uid="{1A0F613A-311E-4A40-9724-74C8C861C29D}"/>
  </bookViews>
  <sheets>
    <sheet name="Sheet1" sheetId="1" r:id="rId1"/>
  </sheets>
  <externalReferences>
    <externalReference r:id="rId2"/>
    <externalReference r:id="rId3"/>
    <externalReference r:id="rId4"/>
  </externalReferences>
  <definedNames>
    <definedName name="CurrentRow">[1]Engine!$C$4</definedName>
    <definedName name="MaxRow">[1]Engine!$C$2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L1478" i="1" l="1"/>
  <c r="CQ1478" i="1"/>
  <c r="CN1478" i="1"/>
  <c r="CO1478" i="1"/>
  <c r="CP1478" i="1"/>
  <c r="CE1478" i="1"/>
  <c r="CF1478" i="1"/>
  <c r="CG1478" i="1"/>
  <c r="CS1478" i="1"/>
  <c r="CQ1553" i="1" l="1"/>
  <c r="CP1553" i="1"/>
  <c r="CO1553" i="1"/>
  <c r="CN1553" i="1"/>
  <c r="CL1553" i="1"/>
  <c r="CG1553" i="1"/>
  <c r="CF1553" i="1"/>
  <c r="CE1553" i="1"/>
  <c r="CQ1552" i="1"/>
  <c r="CP1552" i="1"/>
  <c r="CO1552" i="1"/>
  <c r="CN1552" i="1"/>
  <c r="CL1552" i="1"/>
  <c r="CG1552" i="1"/>
  <c r="CF1552" i="1"/>
  <c r="CE1552" i="1"/>
  <c r="CQ1551" i="1"/>
  <c r="CP1551" i="1"/>
  <c r="CO1551" i="1"/>
  <c r="CN1551" i="1"/>
  <c r="CL1551" i="1"/>
  <c r="CG1551" i="1"/>
  <c r="CF1551" i="1"/>
  <c r="CE1551" i="1"/>
  <c r="CQ1550" i="1"/>
  <c r="CP1550" i="1"/>
  <c r="CO1550" i="1"/>
  <c r="CN1550" i="1"/>
  <c r="CL1550" i="1"/>
  <c r="CG1550" i="1"/>
  <c r="CF1550" i="1"/>
  <c r="CE1550" i="1"/>
  <c r="CQ1549" i="1"/>
  <c r="CP1549" i="1"/>
  <c r="CO1549" i="1"/>
  <c r="CN1549" i="1"/>
  <c r="CL1549" i="1"/>
  <c r="CG1549" i="1"/>
  <c r="CF1549" i="1"/>
  <c r="CE1549" i="1"/>
  <c r="CQ1548" i="1"/>
  <c r="CP1548" i="1"/>
  <c r="CO1548" i="1"/>
  <c r="CN1548" i="1"/>
  <c r="CL1548" i="1"/>
  <c r="CG1548" i="1"/>
  <c r="CF1548" i="1"/>
  <c r="CE1548" i="1"/>
  <c r="CQ1547" i="1"/>
  <c r="CP1547" i="1"/>
  <c r="CO1547" i="1"/>
  <c r="CN1547" i="1"/>
  <c r="CL1547" i="1"/>
  <c r="CG1547" i="1"/>
  <c r="CF1547" i="1"/>
  <c r="CE1547" i="1"/>
  <c r="CQ1546" i="1"/>
  <c r="CP1546" i="1"/>
  <c r="CO1546" i="1"/>
  <c r="CN1546" i="1"/>
  <c r="CL1546" i="1"/>
  <c r="CG1546" i="1"/>
  <c r="CF1546" i="1"/>
  <c r="CE1546" i="1"/>
  <c r="CQ1545" i="1"/>
  <c r="CP1545" i="1"/>
  <c r="CO1545" i="1"/>
  <c r="CN1545" i="1"/>
  <c r="CL1545" i="1"/>
  <c r="CG1545" i="1"/>
  <c r="CF1545" i="1"/>
  <c r="CE1545" i="1"/>
  <c r="CQ1544" i="1"/>
  <c r="CP1544" i="1"/>
  <c r="CO1544" i="1"/>
  <c r="CN1544" i="1"/>
  <c r="CL1544" i="1"/>
  <c r="CG1544" i="1"/>
  <c r="CF1544" i="1"/>
  <c r="CE1544" i="1"/>
  <c r="CQ1543" i="1"/>
  <c r="CP1543" i="1"/>
  <c r="CO1543" i="1"/>
  <c r="CN1543" i="1"/>
  <c r="CL1543" i="1"/>
  <c r="CG1543" i="1"/>
  <c r="CF1543" i="1"/>
  <c r="CE1543" i="1"/>
  <c r="CQ1542" i="1"/>
  <c r="CP1542" i="1"/>
  <c r="CO1542" i="1"/>
  <c r="CN1542" i="1"/>
  <c r="CL1542" i="1"/>
  <c r="CG1542" i="1"/>
  <c r="CF1542" i="1"/>
  <c r="CE1542" i="1"/>
  <c r="CQ1541" i="1"/>
  <c r="CP1541" i="1"/>
  <c r="CO1541" i="1"/>
  <c r="CN1541" i="1"/>
  <c r="CL1541" i="1"/>
  <c r="CG1541" i="1"/>
  <c r="CF1541" i="1"/>
  <c r="CE1541" i="1"/>
  <c r="CQ1540" i="1"/>
  <c r="CP1540" i="1"/>
  <c r="CO1540" i="1"/>
  <c r="CN1540" i="1"/>
  <c r="CL1540" i="1"/>
  <c r="CG1540" i="1"/>
  <c r="CF1540" i="1"/>
  <c r="CE1540" i="1"/>
  <c r="CQ1539" i="1"/>
  <c r="CP1539" i="1"/>
  <c r="CO1539" i="1"/>
  <c r="CN1539" i="1"/>
  <c r="CL1539" i="1"/>
  <c r="CG1539" i="1"/>
  <c r="CF1539" i="1"/>
  <c r="CE1539" i="1"/>
  <c r="CQ1538" i="1"/>
  <c r="CP1538" i="1"/>
  <c r="CO1538" i="1"/>
  <c r="CN1538" i="1"/>
  <c r="CL1538" i="1"/>
  <c r="CG1538" i="1"/>
  <c r="CF1538" i="1"/>
  <c r="CE1538" i="1"/>
  <c r="CQ1537" i="1"/>
  <c r="CP1537" i="1"/>
  <c r="CO1537" i="1"/>
  <c r="CN1537" i="1"/>
  <c r="CL1537" i="1"/>
  <c r="CG1537" i="1"/>
  <c r="CF1537" i="1"/>
  <c r="CE1537" i="1"/>
  <c r="CQ1536" i="1"/>
  <c r="CP1536" i="1"/>
  <c r="CO1536" i="1"/>
  <c r="CN1536" i="1"/>
  <c r="CL1536" i="1"/>
  <c r="CG1536" i="1"/>
  <c r="CF1536" i="1"/>
  <c r="CE1536" i="1"/>
  <c r="CQ1535" i="1"/>
  <c r="CP1535" i="1"/>
  <c r="CO1535" i="1"/>
  <c r="CN1535" i="1"/>
  <c r="CL1535" i="1"/>
  <c r="CG1535" i="1"/>
  <c r="CF1535" i="1"/>
  <c r="CE1535" i="1"/>
  <c r="CQ1534" i="1"/>
  <c r="CP1534" i="1"/>
  <c r="CO1534" i="1"/>
  <c r="CN1534" i="1"/>
  <c r="CL1534" i="1"/>
  <c r="CG1534" i="1"/>
  <c r="CF1534" i="1"/>
  <c r="CE1534" i="1"/>
  <c r="CQ1533" i="1"/>
  <c r="CP1533" i="1"/>
  <c r="CO1533" i="1"/>
  <c r="CN1533" i="1"/>
  <c r="CL1533" i="1"/>
  <c r="CG1533" i="1"/>
  <c r="CF1533" i="1"/>
  <c r="CE1533" i="1"/>
  <c r="CQ1532" i="1"/>
  <c r="CP1532" i="1"/>
  <c r="CO1532" i="1"/>
  <c r="CN1532" i="1"/>
  <c r="CL1532" i="1"/>
  <c r="CG1532" i="1"/>
  <c r="CF1532" i="1"/>
  <c r="CE1532" i="1"/>
  <c r="CQ1531" i="1"/>
  <c r="CP1531" i="1"/>
  <c r="CO1531" i="1"/>
  <c r="CN1531" i="1"/>
  <c r="CL1531" i="1"/>
  <c r="CG1531" i="1"/>
  <c r="CF1531" i="1"/>
  <c r="CE1531" i="1"/>
  <c r="CQ1530" i="1"/>
  <c r="CP1530" i="1"/>
  <c r="CO1530" i="1"/>
  <c r="CN1530" i="1"/>
  <c r="CL1530" i="1"/>
  <c r="CG1530" i="1"/>
  <c r="CF1530" i="1"/>
  <c r="CE1530" i="1"/>
  <c r="CQ1529" i="1"/>
  <c r="CP1529" i="1"/>
  <c r="CO1529" i="1"/>
  <c r="CN1529" i="1"/>
  <c r="CL1529" i="1"/>
  <c r="CG1529" i="1"/>
  <c r="CF1529" i="1"/>
  <c r="CE1529" i="1"/>
  <c r="CQ1528" i="1"/>
  <c r="CP1528" i="1"/>
  <c r="CO1528" i="1"/>
  <c r="CN1528" i="1"/>
  <c r="CL1528" i="1"/>
  <c r="CG1528" i="1"/>
  <c r="CF1528" i="1"/>
  <c r="CE1528" i="1"/>
  <c r="CQ1527" i="1"/>
  <c r="CP1527" i="1"/>
  <c r="CO1527" i="1"/>
  <c r="CN1527" i="1"/>
  <c r="CL1527" i="1"/>
  <c r="CG1527" i="1"/>
  <c r="CF1527" i="1"/>
  <c r="CE1527" i="1"/>
  <c r="CQ1526" i="1"/>
  <c r="CP1526" i="1"/>
  <c r="CO1526" i="1"/>
  <c r="CN1526" i="1"/>
  <c r="CL1526" i="1"/>
  <c r="CG1526" i="1"/>
  <c r="CF1526" i="1"/>
  <c r="CE1526" i="1"/>
  <c r="CQ1525" i="1"/>
  <c r="CP1525" i="1"/>
  <c r="CO1525" i="1"/>
  <c r="CN1525" i="1"/>
  <c r="CL1525" i="1"/>
  <c r="CG1525" i="1"/>
  <c r="CF1525" i="1"/>
  <c r="CE1525" i="1"/>
  <c r="CQ1524" i="1"/>
  <c r="CP1524" i="1"/>
  <c r="CO1524" i="1"/>
  <c r="CN1524" i="1"/>
  <c r="CL1524" i="1"/>
  <c r="CG1524" i="1"/>
  <c r="CF1524" i="1"/>
  <c r="CE1524" i="1"/>
  <c r="CQ1523" i="1"/>
  <c r="CP1523" i="1"/>
  <c r="CO1523" i="1"/>
  <c r="CN1523" i="1"/>
  <c r="CL1523" i="1"/>
  <c r="CG1523" i="1"/>
  <c r="CF1523" i="1"/>
  <c r="CE1523" i="1"/>
  <c r="CQ1522" i="1"/>
  <c r="CP1522" i="1"/>
  <c r="CO1522" i="1"/>
  <c r="CN1522" i="1"/>
  <c r="CL1522" i="1"/>
  <c r="CG1522" i="1"/>
  <c r="CF1522" i="1"/>
  <c r="CE1522" i="1"/>
  <c r="CQ1521" i="1"/>
  <c r="CP1521" i="1"/>
  <c r="CO1521" i="1"/>
  <c r="CN1521" i="1"/>
  <c r="CL1521" i="1"/>
  <c r="CG1521" i="1"/>
  <c r="CF1521" i="1"/>
  <c r="CE1521" i="1"/>
  <c r="CQ1520" i="1"/>
  <c r="CP1520" i="1"/>
  <c r="CO1520" i="1"/>
  <c r="CN1520" i="1"/>
  <c r="CL1520" i="1"/>
  <c r="CG1520" i="1"/>
  <c r="CF1520" i="1"/>
  <c r="CE1520" i="1"/>
  <c r="CQ1519" i="1"/>
  <c r="CP1519" i="1"/>
  <c r="CO1519" i="1"/>
  <c r="CN1519" i="1"/>
  <c r="CL1519" i="1"/>
  <c r="CG1519" i="1"/>
  <c r="CF1519" i="1"/>
  <c r="CE1519" i="1"/>
  <c r="CQ1518" i="1"/>
  <c r="CP1518" i="1"/>
  <c r="CO1518" i="1"/>
  <c r="CN1518" i="1"/>
  <c r="CL1518" i="1"/>
  <c r="CG1518" i="1"/>
  <c r="CF1518" i="1"/>
  <c r="CE1518" i="1"/>
  <c r="CQ1517" i="1"/>
  <c r="CP1517" i="1"/>
  <c r="CO1517" i="1"/>
  <c r="CN1517" i="1"/>
  <c r="CL1517" i="1"/>
  <c r="CG1517" i="1"/>
  <c r="CF1517" i="1"/>
  <c r="CE1517" i="1"/>
  <c r="CQ1516" i="1"/>
  <c r="CP1516" i="1"/>
  <c r="CO1516" i="1"/>
  <c r="CN1516" i="1"/>
  <c r="CL1516" i="1"/>
  <c r="CG1516" i="1"/>
  <c r="CF1516" i="1"/>
  <c r="CE1516" i="1"/>
  <c r="CQ1515" i="1"/>
  <c r="CP1515" i="1"/>
  <c r="CO1515" i="1"/>
  <c r="CN1515" i="1"/>
  <c r="CL1515" i="1"/>
  <c r="CG1515" i="1"/>
  <c r="CF1515" i="1"/>
  <c r="CE1515" i="1"/>
  <c r="CQ1514" i="1"/>
  <c r="CP1514" i="1"/>
  <c r="CO1514" i="1"/>
  <c r="CN1514" i="1"/>
  <c r="CL1514" i="1"/>
  <c r="CG1514" i="1"/>
  <c r="CF1514" i="1"/>
  <c r="CE1514" i="1"/>
  <c r="CQ1513" i="1"/>
  <c r="CP1513" i="1"/>
  <c r="CO1513" i="1"/>
  <c r="CN1513" i="1"/>
  <c r="CL1513" i="1"/>
  <c r="CG1513" i="1"/>
  <c r="CF1513" i="1"/>
  <c r="CE1513" i="1"/>
  <c r="CQ1512" i="1"/>
  <c r="CP1512" i="1"/>
  <c r="CO1512" i="1"/>
  <c r="CN1512" i="1"/>
  <c r="CL1512" i="1"/>
  <c r="CG1512" i="1"/>
  <c r="CF1512" i="1"/>
  <c r="CE1512" i="1"/>
  <c r="CQ1511" i="1"/>
  <c r="CP1511" i="1"/>
  <c r="CO1511" i="1"/>
  <c r="CN1511" i="1"/>
  <c r="CL1511" i="1"/>
  <c r="CG1511" i="1"/>
  <c r="CF1511" i="1"/>
  <c r="CE1511" i="1"/>
  <c r="CQ1510" i="1"/>
  <c r="CP1510" i="1"/>
  <c r="CO1510" i="1"/>
  <c r="CN1510" i="1"/>
  <c r="CL1510" i="1"/>
  <c r="CG1510" i="1"/>
  <c r="CF1510" i="1"/>
  <c r="CE1510" i="1"/>
  <c r="CQ1509" i="1"/>
  <c r="CP1509" i="1"/>
  <c r="CO1509" i="1"/>
  <c r="CN1509" i="1"/>
  <c r="CL1509" i="1"/>
  <c r="CG1509" i="1"/>
  <c r="CF1509" i="1"/>
  <c r="CE1509" i="1"/>
  <c r="CQ1508" i="1"/>
  <c r="CP1508" i="1"/>
  <c r="CO1508" i="1"/>
  <c r="CN1508" i="1"/>
  <c r="CL1508" i="1"/>
  <c r="CG1508" i="1"/>
  <c r="CF1508" i="1"/>
  <c r="CE1508" i="1"/>
  <c r="CQ1507" i="1"/>
  <c r="CP1507" i="1"/>
  <c r="CO1507" i="1"/>
  <c r="CN1507" i="1"/>
  <c r="CL1507" i="1"/>
  <c r="CG1507" i="1"/>
  <c r="CF1507" i="1"/>
  <c r="CE1507" i="1"/>
  <c r="CQ1506" i="1"/>
  <c r="CP1506" i="1"/>
  <c r="CO1506" i="1"/>
  <c r="CN1506" i="1"/>
  <c r="CL1506" i="1"/>
  <c r="CG1506" i="1"/>
  <c r="CF1506" i="1"/>
  <c r="CE1506" i="1"/>
  <c r="CQ1505" i="1"/>
  <c r="CP1505" i="1"/>
  <c r="CO1505" i="1"/>
  <c r="CN1505" i="1"/>
  <c r="CL1505" i="1"/>
  <c r="CG1505" i="1"/>
  <c r="CF1505" i="1"/>
  <c r="CE1505" i="1"/>
  <c r="CQ1504" i="1"/>
  <c r="CP1504" i="1"/>
  <c r="CO1504" i="1"/>
  <c r="CN1504" i="1"/>
  <c r="CL1504" i="1"/>
  <c r="CG1504" i="1"/>
  <c r="CF1504" i="1"/>
  <c r="CE1504" i="1"/>
  <c r="CQ1503" i="1"/>
  <c r="CP1503" i="1"/>
  <c r="CO1503" i="1"/>
  <c r="CN1503" i="1"/>
  <c r="CL1503" i="1"/>
  <c r="CG1503" i="1"/>
  <c r="CF1503" i="1"/>
  <c r="CE1503" i="1"/>
  <c r="CQ1502" i="1"/>
  <c r="CP1502" i="1"/>
  <c r="CO1502" i="1"/>
  <c r="CN1502" i="1"/>
  <c r="CL1502" i="1"/>
  <c r="CG1502" i="1"/>
  <c r="CF1502" i="1"/>
  <c r="CE1502" i="1"/>
  <c r="CQ1501" i="1"/>
  <c r="CP1501" i="1"/>
  <c r="CO1501" i="1"/>
  <c r="CN1501" i="1"/>
  <c r="CL1501" i="1"/>
  <c r="CG1501" i="1"/>
  <c r="CF1501" i="1"/>
  <c r="CE1501" i="1"/>
  <c r="CQ1500" i="1"/>
  <c r="CP1500" i="1"/>
  <c r="CO1500" i="1"/>
  <c r="CN1500" i="1"/>
  <c r="CL1500" i="1"/>
  <c r="CG1500" i="1"/>
  <c r="CF1500" i="1"/>
  <c r="CE1500" i="1"/>
  <c r="CQ1499" i="1"/>
  <c r="CP1499" i="1"/>
  <c r="CO1499" i="1"/>
  <c r="CN1499" i="1"/>
  <c r="CL1499" i="1"/>
  <c r="CG1499" i="1"/>
  <c r="CF1499" i="1"/>
  <c r="CE1499" i="1"/>
  <c r="CQ1498" i="1"/>
  <c r="CP1498" i="1"/>
  <c r="CO1498" i="1"/>
  <c r="CN1498" i="1"/>
  <c r="CL1498" i="1"/>
  <c r="CG1498" i="1"/>
  <c r="CF1498" i="1"/>
  <c r="CE1498" i="1"/>
  <c r="CQ1497" i="1"/>
  <c r="CP1497" i="1"/>
  <c r="CO1497" i="1"/>
  <c r="CN1497" i="1"/>
  <c r="CL1497" i="1"/>
  <c r="CG1497" i="1"/>
  <c r="CF1497" i="1"/>
  <c r="CE1497" i="1"/>
  <c r="CQ1496" i="1"/>
  <c r="CP1496" i="1"/>
  <c r="CO1496" i="1"/>
  <c r="CN1496" i="1"/>
  <c r="CL1496" i="1"/>
  <c r="CG1496" i="1"/>
  <c r="CF1496" i="1"/>
  <c r="CE1496" i="1"/>
  <c r="CQ1495" i="1"/>
  <c r="CP1495" i="1"/>
  <c r="CO1495" i="1"/>
  <c r="CN1495" i="1"/>
  <c r="CL1495" i="1"/>
  <c r="CG1495" i="1"/>
  <c r="CF1495" i="1"/>
  <c r="CE1495" i="1"/>
  <c r="CQ1494" i="1"/>
  <c r="CP1494" i="1"/>
  <c r="CO1494" i="1"/>
  <c r="CN1494" i="1"/>
  <c r="CL1494" i="1"/>
  <c r="CG1494" i="1"/>
  <c r="CF1494" i="1"/>
  <c r="CE1494" i="1"/>
  <c r="CQ1493" i="1"/>
  <c r="CP1493" i="1"/>
  <c r="CO1493" i="1"/>
  <c r="CN1493" i="1"/>
  <c r="CL1493" i="1"/>
  <c r="CG1493" i="1"/>
  <c r="CF1493" i="1"/>
  <c r="CE1493" i="1"/>
  <c r="CQ1492" i="1"/>
  <c r="CP1492" i="1"/>
  <c r="CO1492" i="1"/>
  <c r="CN1492" i="1"/>
  <c r="CL1492" i="1"/>
  <c r="CG1492" i="1"/>
  <c r="CF1492" i="1"/>
  <c r="CE1492" i="1"/>
  <c r="CQ1491" i="1"/>
  <c r="CP1491" i="1"/>
  <c r="CO1491" i="1"/>
  <c r="CN1491" i="1"/>
  <c r="CL1491" i="1"/>
  <c r="CG1491" i="1"/>
  <c r="CF1491" i="1"/>
  <c r="CE1491" i="1"/>
  <c r="CQ1490" i="1"/>
  <c r="CP1490" i="1"/>
  <c r="CO1490" i="1"/>
  <c r="CN1490" i="1"/>
  <c r="CL1490" i="1"/>
  <c r="CG1490" i="1"/>
  <c r="CF1490" i="1"/>
  <c r="CE1490" i="1"/>
  <c r="CQ1489" i="1"/>
  <c r="CP1489" i="1"/>
  <c r="CO1489" i="1"/>
  <c r="CN1489" i="1"/>
  <c r="CL1489" i="1"/>
  <c r="CG1489" i="1"/>
  <c r="CF1489" i="1"/>
  <c r="CE1489" i="1"/>
  <c r="CQ1488" i="1"/>
  <c r="CP1488" i="1"/>
  <c r="CO1488" i="1"/>
  <c r="CN1488" i="1"/>
  <c r="CL1488" i="1"/>
  <c r="CG1488" i="1"/>
  <c r="CF1488" i="1"/>
  <c r="CE1488" i="1"/>
  <c r="CQ1487" i="1"/>
  <c r="CP1487" i="1"/>
  <c r="CO1487" i="1"/>
  <c r="CN1487" i="1"/>
  <c r="CL1487" i="1"/>
  <c r="CG1487" i="1"/>
  <c r="CF1487" i="1"/>
  <c r="CE1487" i="1"/>
  <c r="CQ1486" i="1"/>
  <c r="CP1486" i="1"/>
  <c r="CO1486" i="1"/>
  <c r="CN1486" i="1"/>
  <c r="CL1486" i="1"/>
  <c r="CG1486" i="1"/>
  <c r="CF1486" i="1"/>
  <c r="CE1486" i="1"/>
  <c r="CQ1485" i="1"/>
  <c r="CP1485" i="1"/>
  <c r="CO1485" i="1"/>
  <c r="CN1485" i="1"/>
  <c r="CL1485" i="1"/>
  <c r="CG1485" i="1"/>
  <c r="CF1485" i="1"/>
  <c r="CE1485" i="1"/>
  <c r="CQ1484" i="1"/>
  <c r="CP1484" i="1"/>
  <c r="CO1484" i="1"/>
  <c r="CN1484" i="1"/>
  <c r="CL1484" i="1"/>
  <c r="CG1484" i="1"/>
  <c r="CF1484" i="1"/>
  <c r="CE1484" i="1"/>
  <c r="CQ1483" i="1"/>
  <c r="CP1483" i="1"/>
  <c r="CO1483" i="1"/>
  <c r="CN1483" i="1"/>
  <c r="CL1483" i="1"/>
  <c r="CG1483" i="1"/>
  <c r="CF1483" i="1"/>
  <c r="CE1483" i="1"/>
  <c r="CQ1482" i="1"/>
  <c r="CP1482" i="1"/>
  <c r="CO1482" i="1"/>
  <c r="CN1482" i="1"/>
  <c r="CL1482" i="1"/>
  <c r="CG1482" i="1"/>
  <c r="CF1482" i="1"/>
  <c r="CE1482" i="1"/>
  <c r="CQ1481" i="1"/>
  <c r="CP1481" i="1"/>
  <c r="CO1481" i="1"/>
  <c r="CN1481" i="1"/>
  <c r="CL1481" i="1"/>
  <c r="CG1481" i="1"/>
  <c r="CF1481" i="1"/>
  <c r="CE1481" i="1"/>
  <c r="CQ1480" i="1"/>
  <c r="CP1480" i="1"/>
  <c r="CO1480" i="1"/>
  <c r="CN1480" i="1"/>
  <c r="CL1480" i="1"/>
  <c r="CG1480" i="1"/>
  <c r="CF1480" i="1"/>
  <c r="CE1480" i="1"/>
  <c r="CQ1479" i="1"/>
  <c r="CP1479" i="1"/>
  <c r="CO1479" i="1"/>
  <c r="CN1479" i="1"/>
  <c r="CL1479" i="1"/>
  <c r="CG1479" i="1"/>
  <c r="CF1479" i="1"/>
  <c r="CE1479" i="1"/>
  <c r="CQ1477" i="1"/>
  <c r="CP1477" i="1"/>
  <c r="CO1477" i="1"/>
  <c r="CN1477" i="1"/>
  <c r="CL1477" i="1"/>
  <c r="CG1477" i="1"/>
  <c r="CF1477" i="1"/>
  <c r="CE1477" i="1"/>
  <c r="CQ1476" i="1"/>
  <c r="CP1476" i="1"/>
  <c r="CO1476" i="1"/>
  <c r="CN1476" i="1"/>
  <c r="CL1476" i="1"/>
  <c r="CG1476" i="1"/>
  <c r="CF1476" i="1"/>
  <c r="CE1476" i="1"/>
  <c r="CQ1475" i="1"/>
  <c r="CP1475" i="1"/>
  <c r="CO1475" i="1"/>
  <c r="CN1475" i="1"/>
  <c r="CL1475" i="1"/>
  <c r="CG1475" i="1"/>
  <c r="CF1475" i="1"/>
  <c r="CE1475" i="1"/>
  <c r="CQ1474" i="1"/>
  <c r="CP1474" i="1"/>
  <c r="CO1474" i="1"/>
  <c r="CN1474" i="1"/>
  <c r="CL1474" i="1"/>
  <c r="CG1474" i="1"/>
  <c r="CF1474" i="1"/>
  <c r="CE1474" i="1"/>
  <c r="CQ1473" i="1"/>
  <c r="CP1473" i="1"/>
  <c r="CO1473" i="1"/>
  <c r="CN1473" i="1"/>
  <c r="CL1473" i="1"/>
  <c r="CG1473" i="1"/>
  <c r="CF1473" i="1"/>
  <c r="CE1473" i="1"/>
  <c r="CQ1472" i="1"/>
  <c r="CP1472" i="1"/>
  <c r="CO1472" i="1"/>
  <c r="CN1472" i="1"/>
  <c r="CL1472" i="1"/>
  <c r="CG1472" i="1"/>
  <c r="CF1472" i="1"/>
  <c r="CE1472" i="1"/>
  <c r="CQ1471" i="1"/>
  <c r="CP1471" i="1"/>
  <c r="CO1471" i="1"/>
  <c r="CN1471" i="1"/>
  <c r="CL1471" i="1"/>
  <c r="CG1471" i="1"/>
  <c r="CF1471" i="1"/>
  <c r="CE1471" i="1"/>
  <c r="CQ1470" i="1"/>
  <c r="CP1470" i="1"/>
  <c r="CO1470" i="1"/>
  <c r="CN1470" i="1"/>
  <c r="CL1470" i="1"/>
  <c r="CG1470" i="1"/>
  <c r="CF1470" i="1"/>
  <c r="CE1470" i="1"/>
  <c r="CQ1469" i="1"/>
  <c r="CP1469" i="1"/>
  <c r="CO1469" i="1"/>
  <c r="CN1469" i="1"/>
  <c r="CL1469" i="1"/>
  <c r="CG1469" i="1"/>
  <c r="CF1469" i="1"/>
  <c r="CE1469" i="1"/>
  <c r="CQ1468" i="1"/>
  <c r="CP1468" i="1"/>
  <c r="CO1468" i="1"/>
  <c r="CN1468" i="1"/>
  <c r="CL1468" i="1"/>
  <c r="CG1468" i="1"/>
  <c r="CF1468" i="1"/>
  <c r="CE1468" i="1"/>
  <c r="CQ1467" i="1"/>
  <c r="CP1467" i="1"/>
  <c r="CO1467" i="1"/>
  <c r="CN1467" i="1"/>
  <c r="CL1467" i="1"/>
  <c r="CG1467" i="1"/>
  <c r="CF1467" i="1"/>
  <c r="CE1467" i="1"/>
  <c r="CQ1466" i="1"/>
  <c r="CP1466" i="1"/>
  <c r="CO1466" i="1"/>
  <c r="CN1466" i="1"/>
  <c r="CL1466" i="1"/>
  <c r="CG1466" i="1"/>
  <c r="CF1466" i="1"/>
  <c r="CE1466" i="1"/>
  <c r="CQ1465" i="1"/>
  <c r="CP1465" i="1"/>
  <c r="CO1465" i="1"/>
  <c r="CN1465" i="1"/>
  <c r="CL1465" i="1"/>
  <c r="CG1465" i="1"/>
  <c r="CF1465" i="1"/>
  <c r="CE1465" i="1"/>
  <c r="CQ1464" i="1"/>
  <c r="CP1464" i="1"/>
  <c r="CO1464" i="1"/>
  <c r="CN1464" i="1"/>
  <c r="CL1464" i="1"/>
  <c r="CG1464" i="1"/>
  <c r="CF1464" i="1"/>
  <c r="CE1464" i="1"/>
  <c r="CQ1463" i="1"/>
  <c r="CP1463" i="1"/>
  <c r="CO1463" i="1"/>
  <c r="CN1463" i="1"/>
  <c r="CL1463" i="1"/>
  <c r="CG1463" i="1"/>
  <c r="CF1463" i="1"/>
  <c r="CE1463" i="1"/>
  <c r="CQ1462" i="1"/>
  <c r="CP1462" i="1"/>
  <c r="CO1462" i="1"/>
  <c r="CN1462" i="1"/>
  <c r="CL1462" i="1"/>
  <c r="CG1462" i="1"/>
  <c r="CF1462" i="1"/>
  <c r="CE1462" i="1"/>
  <c r="CQ1461" i="1"/>
  <c r="CP1461" i="1"/>
  <c r="CO1461" i="1"/>
  <c r="CN1461" i="1"/>
  <c r="CL1461" i="1"/>
  <c r="CG1461" i="1"/>
  <c r="CF1461" i="1"/>
  <c r="CE1461" i="1"/>
  <c r="CQ1460" i="1"/>
  <c r="CP1460" i="1"/>
  <c r="CO1460" i="1"/>
  <c r="CN1460" i="1"/>
  <c r="CL1460" i="1"/>
  <c r="CG1460" i="1"/>
  <c r="CF1460" i="1"/>
  <c r="CE1460" i="1"/>
  <c r="CQ1459" i="1"/>
  <c r="CP1459" i="1"/>
  <c r="CO1459" i="1"/>
  <c r="CN1459" i="1"/>
  <c r="CL1459" i="1"/>
  <c r="CG1459" i="1"/>
  <c r="CF1459" i="1"/>
  <c r="CE1459" i="1"/>
  <c r="CQ1458" i="1"/>
  <c r="CP1458" i="1"/>
  <c r="CO1458" i="1"/>
  <c r="CN1458" i="1"/>
  <c r="CL1458" i="1"/>
  <c r="CG1458" i="1"/>
  <c r="CF1458" i="1"/>
  <c r="CE1458" i="1"/>
  <c r="CQ1457" i="1"/>
  <c r="CP1457" i="1"/>
  <c r="CO1457" i="1"/>
  <c r="CN1457" i="1"/>
  <c r="CL1457" i="1"/>
  <c r="CG1457" i="1"/>
  <c r="CF1457" i="1"/>
  <c r="CE1457" i="1"/>
  <c r="CQ1456" i="1"/>
  <c r="CP1456" i="1"/>
  <c r="CO1456" i="1"/>
  <c r="CN1456" i="1"/>
  <c r="CL1456" i="1"/>
  <c r="CG1456" i="1"/>
  <c r="CF1456" i="1"/>
  <c r="CE1456" i="1"/>
  <c r="CQ1455" i="1"/>
  <c r="CP1455" i="1"/>
  <c r="CO1455" i="1"/>
  <c r="CN1455" i="1"/>
  <c r="CL1455" i="1"/>
  <c r="CG1455" i="1"/>
  <c r="CF1455" i="1"/>
  <c r="CE1455" i="1"/>
  <c r="CQ1454" i="1"/>
  <c r="CP1454" i="1"/>
  <c r="CO1454" i="1"/>
  <c r="CN1454" i="1"/>
  <c r="CL1454" i="1"/>
  <c r="CG1454" i="1"/>
  <c r="CF1454" i="1"/>
  <c r="CE1454" i="1"/>
  <c r="CQ1453" i="1"/>
  <c r="CP1453" i="1"/>
  <c r="CO1453" i="1"/>
  <c r="CN1453" i="1"/>
  <c r="CL1453" i="1"/>
  <c r="CG1453" i="1"/>
  <c r="CF1453" i="1"/>
  <c r="CE1453" i="1"/>
  <c r="CQ1452" i="1"/>
  <c r="CP1452" i="1"/>
  <c r="CO1452" i="1"/>
  <c r="CN1452" i="1"/>
  <c r="CL1452" i="1"/>
  <c r="CG1452" i="1"/>
  <c r="CF1452" i="1"/>
  <c r="CE1452" i="1"/>
  <c r="CQ1451" i="1"/>
  <c r="CP1451" i="1"/>
  <c r="CO1451" i="1"/>
  <c r="CN1451" i="1"/>
  <c r="CL1451" i="1"/>
  <c r="CG1451" i="1"/>
  <c r="CF1451" i="1"/>
  <c r="CE1451" i="1"/>
  <c r="CQ1450" i="1"/>
  <c r="CP1450" i="1"/>
  <c r="CO1450" i="1"/>
  <c r="CN1450" i="1"/>
  <c r="CL1450" i="1"/>
  <c r="CG1450" i="1"/>
  <c r="CF1450" i="1"/>
  <c r="CE1450" i="1"/>
  <c r="CQ1449" i="1"/>
  <c r="CP1449" i="1"/>
  <c r="CO1449" i="1"/>
  <c r="CN1449" i="1"/>
  <c r="CL1449" i="1"/>
  <c r="CG1449" i="1"/>
  <c r="CF1449" i="1"/>
  <c r="CE1449" i="1"/>
  <c r="CQ1448" i="1"/>
  <c r="CP1448" i="1"/>
  <c r="CO1448" i="1"/>
  <c r="CN1448" i="1"/>
  <c r="CL1448" i="1"/>
  <c r="CG1448" i="1"/>
  <c r="CF1448" i="1"/>
  <c r="CE1448" i="1"/>
  <c r="CQ1447" i="1"/>
  <c r="CP1447" i="1"/>
  <c r="CO1447" i="1"/>
  <c r="CN1447" i="1"/>
  <c r="CL1447" i="1"/>
  <c r="CG1447" i="1"/>
  <c r="CF1447" i="1"/>
  <c r="CE1447" i="1"/>
  <c r="CQ1446" i="1"/>
  <c r="CP1446" i="1"/>
  <c r="CO1446" i="1"/>
  <c r="CN1446" i="1"/>
  <c r="CL1446" i="1"/>
  <c r="CG1446" i="1"/>
  <c r="CF1446" i="1"/>
  <c r="CE1446" i="1"/>
  <c r="CQ1445" i="1"/>
  <c r="CP1445" i="1"/>
  <c r="CO1445" i="1"/>
  <c r="CN1445" i="1"/>
  <c r="CL1445" i="1"/>
  <c r="CG1445" i="1"/>
  <c r="CF1445" i="1"/>
  <c r="CE1445" i="1"/>
  <c r="CQ1444" i="1"/>
  <c r="CP1444" i="1"/>
  <c r="CO1444" i="1"/>
  <c r="CN1444" i="1"/>
  <c r="CL1444" i="1"/>
  <c r="CG1444" i="1"/>
  <c r="CF1444" i="1"/>
  <c r="CE1444" i="1"/>
  <c r="CQ1443" i="1"/>
  <c r="CP1443" i="1"/>
  <c r="CO1443" i="1"/>
  <c r="CN1443" i="1"/>
  <c r="CL1443" i="1"/>
  <c r="CG1443" i="1"/>
  <c r="CF1443" i="1"/>
  <c r="CE1443" i="1"/>
  <c r="CQ1442" i="1"/>
  <c r="CP1442" i="1"/>
  <c r="CO1442" i="1"/>
  <c r="CN1442" i="1"/>
  <c r="CL1442" i="1"/>
  <c r="CG1442" i="1"/>
  <c r="CF1442" i="1"/>
  <c r="CE1442" i="1"/>
  <c r="CQ1441" i="1"/>
  <c r="CP1441" i="1"/>
  <c r="CO1441" i="1"/>
  <c r="CN1441" i="1"/>
  <c r="CL1441" i="1"/>
  <c r="CG1441" i="1"/>
  <c r="CF1441" i="1"/>
  <c r="CE1441" i="1"/>
  <c r="CQ1440" i="1"/>
  <c r="CP1440" i="1"/>
  <c r="CO1440" i="1"/>
  <c r="CN1440" i="1"/>
  <c r="CL1440" i="1"/>
  <c r="CG1440" i="1"/>
  <c r="CF1440" i="1"/>
  <c r="CE1440" i="1"/>
  <c r="CQ1439" i="1"/>
  <c r="CP1439" i="1"/>
  <c r="CO1439" i="1"/>
  <c r="CN1439" i="1"/>
  <c r="CL1439" i="1"/>
  <c r="CG1439" i="1"/>
  <c r="CF1439" i="1"/>
  <c r="CE1439" i="1"/>
  <c r="CQ1438" i="1"/>
  <c r="CP1438" i="1"/>
  <c r="CO1438" i="1"/>
  <c r="CN1438" i="1"/>
  <c r="CL1438" i="1"/>
  <c r="CG1438" i="1"/>
  <c r="CF1438" i="1"/>
  <c r="CE1438" i="1"/>
  <c r="CQ1437" i="1"/>
  <c r="CP1437" i="1"/>
  <c r="CO1437" i="1"/>
  <c r="CN1437" i="1"/>
  <c r="CL1437" i="1"/>
  <c r="CG1437" i="1"/>
  <c r="CF1437" i="1"/>
  <c r="CE1437" i="1"/>
  <c r="CQ1436" i="1"/>
  <c r="CP1436" i="1"/>
  <c r="CO1436" i="1"/>
  <c r="CN1436" i="1"/>
  <c r="CL1436" i="1"/>
  <c r="CG1436" i="1"/>
  <c r="CF1436" i="1"/>
  <c r="CE1436" i="1"/>
  <c r="CQ1435" i="1"/>
  <c r="CP1435" i="1"/>
  <c r="CO1435" i="1"/>
  <c r="CN1435" i="1"/>
  <c r="CL1435" i="1"/>
  <c r="CG1435" i="1"/>
  <c r="CF1435" i="1"/>
  <c r="CE1435" i="1"/>
  <c r="CQ1434" i="1"/>
  <c r="CP1434" i="1"/>
  <c r="CO1434" i="1"/>
  <c r="CN1434" i="1"/>
  <c r="CL1434" i="1"/>
  <c r="CG1434" i="1"/>
  <c r="CF1434" i="1"/>
  <c r="CE1434" i="1"/>
  <c r="CQ1433" i="1"/>
  <c r="CP1433" i="1"/>
  <c r="CO1433" i="1"/>
  <c r="CN1433" i="1"/>
  <c r="CL1433" i="1"/>
  <c r="CG1433" i="1"/>
  <c r="CF1433" i="1"/>
  <c r="CE1433" i="1"/>
  <c r="CQ1432" i="1"/>
  <c r="CP1432" i="1"/>
  <c r="CO1432" i="1"/>
  <c r="CN1432" i="1"/>
  <c r="CL1432" i="1"/>
  <c r="CG1432" i="1"/>
  <c r="CF1432" i="1"/>
  <c r="CE1432" i="1"/>
  <c r="CG1431" i="1"/>
  <c r="CF1431" i="1"/>
  <c r="CE1431" i="1"/>
  <c r="CS1431" i="1" s="1"/>
  <c r="CQ1430" i="1"/>
  <c r="CP1430" i="1"/>
  <c r="CO1430" i="1"/>
  <c r="CN1430" i="1"/>
  <c r="CG1430" i="1"/>
  <c r="CF1430" i="1"/>
  <c r="CE1430" i="1"/>
  <c r="CQ1429" i="1"/>
  <c r="CP1429" i="1"/>
  <c r="CO1429" i="1"/>
  <c r="CN1429" i="1"/>
  <c r="CG1429" i="1"/>
  <c r="CF1429" i="1"/>
  <c r="CE1429" i="1"/>
  <c r="CQ1428" i="1"/>
  <c r="CP1428" i="1"/>
  <c r="CO1428" i="1"/>
  <c r="CN1428" i="1"/>
  <c r="CG1428" i="1"/>
  <c r="CF1428" i="1"/>
  <c r="CE1428" i="1"/>
  <c r="CQ1427" i="1"/>
  <c r="CP1427" i="1"/>
  <c r="CO1427" i="1"/>
  <c r="CN1427" i="1"/>
  <c r="CG1427" i="1"/>
  <c r="CF1427" i="1"/>
  <c r="CE1427" i="1"/>
  <c r="CQ1426" i="1"/>
  <c r="CP1426" i="1"/>
  <c r="CO1426" i="1"/>
  <c r="CN1426" i="1"/>
  <c r="CG1426" i="1"/>
  <c r="CF1426" i="1"/>
  <c r="CE1426" i="1"/>
  <c r="CQ1425" i="1"/>
  <c r="CP1425" i="1"/>
  <c r="CO1425" i="1"/>
  <c r="CN1425" i="1"/>
  <c r="CG1425" i="1"/>
  <c r="CF1425" i="1"/>
  <c r="CE1425" i="1"/>
  <c r="CQ1424" i="1"/>
  <c r="CP1424" i="1"/>
  <c r="CO1424" i="1"/>
  <c r="CN1424" i="1"/>
  <c r="CG1424" i="1"/>
  <c r="CF1424" i="1"/>
  <c r="CE1424" i="1"/>
  <c r="CQ1423" i="1"/>
  <c r="CP1423" i="1"/>
  <c r="CO1423" i="1"/>
  <c r="CN1423" i="1"/>
  <c r="CG1423" i="1"/>
  <c r="CF1423" i="1"/>
  <c r="CE1423" i="1"/>
  <c r="CQ1422" i="1"/>
  <c r="CP1422" i="1"/>
  <c r="CO1422" i="1"/>
  <c r="CN1422" i="1"/>
  <c r="CG1422" i="1"/>
  <c r="CF1422" i="1"/>
  <c r="CE1422" i="1"/>
  <c r="CQ1421" i="1"/>
  <c r="CP1421" i="1"/>
  <c r="CO1421" i="1"/>
  <c r="CN1421" i="1"/>
  <c r="CG1421" i="1"/>
  <c r="CF1421" i="1"/>
  <c r="CE1421" i="1"/>
  <c r="CQ1420" i="1"/>
  <c r="CP1420" i="1"/>
  <c r="CO1420" i="1"/>
  <c r="CN1420" i="1"/>
  <c r="CG1420" i="1"/>
  <c r="CF1420" i="1"/>
  <c r="CE1420" i="1"/>
  <c r="CQ1419" i="1"/>
  <c r="CP1419" i="1"/>
  <c r="CO1419" i="1"/>
  <c r="CN1419" i="1"/>
  <c r="CG1419" i="1"/>
  <c r="CF1419" i="1"/>
  <c r="CE1419" i="1"/>
  <c r="CQ1418" i="1"/>
  <c r="CP1418" i="1"/>
  <c r="CO1418" i="1"/>
  <c r="CN1418" i="1"/>
  <c r="CG1418" i="1"/>
  <c r="CF1418" i="1"/>
  <c r="CE1418" i="1"/>
  <c r="CQ1417" i="1"/>
  <c r="CP1417" i="1"/>
  <c r="CO1417" i="1"/>
  <c r="CN1417" i="1"/>
  <c r="CG1417" i="1"/>
  <c r="CF1417" i="1"/>
  <c r="CE1417" i="1"/>
  <c r="CQ1416" i="1"/>
  <c r="CP1416" i="1"/>
  <c r="CO1416" i="1"/>
  <c r="CN1416" i="1"/>
  <c r="CG1416" i="1"/>
  <c r="CF1416" i="1"/>
  <c r="CE1416" i="1"/>
  <c r="CQ1415" i="1"/>
  <c r="CP1415" i="1"/>
  <c r="CO1415" i="1"/>
  <c r="CN1415" i="1"/>
  <c r="CG1415" i="1"/>
  <c r="CF1415" i="1"/>
  <c r="CE1415" i="1"/>
  <c r="CQ1414" i="1"/>
  <c r="CP1414" i="1"/>
  <c r="CO1414" i="1"/>
  <c r="CN1414" i="1"/>
  <c r="CG1414" i="1"/>
  <c r="CF1414" i="1"/>
  <c r="CE1414" i="1"/>
  <c r="CQ1413" i="1"/>
  <c r="CP1413" i="1"/>
  <c r="CO1413" i="1"/>
  <c r="CN1413" i="1"/>
  <c r="CG1413" i="1"/>
  <c r="CF1413" i="1"/>
  <c r="CE1413" i="1"/>
  <c r="CQ1412" i="1"/>
  <c r="CP1412" i="1"/>
  <c r="CO1412" i="1"/>
  <c r="CN1412" i="1"/>
  <c r="CG1412" i="1"/>
  <c r="CF1412" i="1"/>
  <c r="CE1412" i="1"/>
  <c r="CQ1411" i="1"/>
  <c r="CP1411" i="1"/>
  <c r="CO1411" i="1"/>
  <c r="CN1411" i="1"/>
  <c r="CG1411" i="1"/>
  <c r="CF1411" i="1"/>
  <c r="CE1411" i="1"/>
  <c r="CQ1410" i="1"/>
  <c r="CP1410" i="1"/>
  <c r="CO1410" i="1"/>
  <c r="CN1410" i="1"/>
  <c r="CG1410" i="1"/>
  <c r="CF1410" i="1"/>
  <c r="CE1410" i="1"/>
  <c r="CQ1409" i="1"/>
  <c r="CP1409" i="1"/>
  <c r="CO1409" i="1"/>
  <c r="CN1409" i="1"/>
  <c r="CG1409" i="1"/>
  <c r="CF1409" i="1"/>
  <c r="CE1409" i="1"/>
  <c r="CQ1408" i="1"/>
  <c r="CP1408" i="1"/>
  <c r="CO1408" i="1"/>
  <c r="CN1408" i="1"/>
  <c r="CG1408" i="1"/>
  <c r="CF1408" i="1"/>
  <c r="CE1408" i="1"/>
  <c r="CQ1407" i="1"/>
  <c r="CP1407" i="1"/>
  <c r="CO1407" i="1"/>
  <c r="CN1407" i="1"/>
  <c r="CG1407" i="1"/>
  <c r="CF1407" i="1"/>
  <c r="CE1407" i="1"/>
  <c r="CQ1406" i="1"/>
  <c r="CP1406" i="1"/>
  <c r="CO1406" i="1"/>
  <c r="CN1406" i="1"/>
  <c r="CG1406" i="1"/>
  <c r="CF1406" i="1"/>
  <c r="CE1406" i="1"/>
  <c r="CS1405" i="1"/>
  <c r="CQ1405" i="1"/>
  <c r="CP1405" i="1"/>
  <c r="CO1405" i="1"/>
  <c r="CN1405" i="1"/>
  <c r="CQ1404" i="1"/>
  <c r="CP1404" i="1"/>
  <c r="CO1404" i="1"/>
  <c r="CN1404" i="1"/>
  <c r="CG1404" i="1"/>
  <c r="CF1404" i="1"/>
  <c r="CE1404" i="1"/>
  <c r="CQ1403" i="1"/>
  <c r="CP1403" i="1"/>
  <c r="CO1403" i="1"/>
  <c r="CN1403" i="1"/>
  <c r="CG1403" i="1"/>
  <c r="CF1403" i="1"/>
  <c r="CE1403" i="1"/>
  <c r="CQ1402" i="1"/>
  <c r="CP1402" i="1"/>
  <c r="CO1402" i="1"/>
  <c r="CN1402" i="1"/>
  <c r="CG1402" i="1"/>
  <c r="CF1402" i="1"/>
  <c r="CE1402" i="1"/>
  <c r="CQ1401" i="1"/>
  <c r="CP1401" i="1"/>
  <c r="CO1401" i="1"/>
  <c r="CN1401" i="1"/>
  <c r="CL1401" i="1"/>
  <c r="CG1401" i="1"/>
  <c r="CF1401" i="1"/>
  <c r="CE1401" i="1"/>
  <c r="CQ1400" i="1"/>
  <c r="CP1400" i="1"/>
  <c r="CO1400" i="1"/>
  <c r="CN1400" i="1"/>
  <c r="CL1400" i="1"/>
  <c r="CG1400" i="1"/>
  <c r="CF1400" i="1"/>
  <c r="CE1400" i="1"/>
  <c r="CQ1399" i="1"/>
  <c r="CP1399" i="1"/>
  <c r="CO1399" i="1"/>
  <c r="CN1399" i="1"/>
  <c r="CL1399" i="1"/>
  <c r="CG1399" i="1"/>
  <c r="CF1399" i="1"/>
  <c r="CE1399" i="1"/>
  <c r="CQ1398" i="1"/>
  <c r="CP1398" i="1"/>
  <c r="CO1398" i="1"/>
  <c r="CN1398" i="1"/>
  <c r="CL1398" i="1"/>
  <c r="CG1398" i="1"/>
  <c r="CF1398" i="1"/>
  <c r="CE1398" i="1"/>
  <c r="CQ1397" i="1"/>
  <c r="CP1397" i="1"/>
  <c r="CO1397" i="1"/>
  <c r="CN1397" i="1"/>
  <c r="CL1397" i="1"/>
  <c r="CG1397" i="1"/>
  <c r="CF1397" i="1"/>
  <c r="CE1397" i="1"/>
  <c r="CQ1396" i="1"/>
  <c r="CP1396" i="1"/>
  <c r="CO1396" i="1"/>
  <c r="CN1396" i="1"/>
  <c r="CL1396" i="1"/>
  <c r="CG1396" i="1"/>
  <c r="CF1396" i="1"/>
  <c r="CE1396" i="1"/>
  <c r="CQ1395" i="1"/>
  <c r="CP1395" i="1"/>
  <c r="CO1395" i="1"/>
  <c r="CN1395" i="1"/>
  <c r="CL1395" i="1"/>
  <c r="CG1395" i="1"/>
  <c r="CF1395" i="1"/>
  <c r="CE1395" i="1"/>
  <c r="CQ1394" i="1"/>
  <c r="CP1394" i="1"/>
  <c r="CO1394" i="1"/>
  <c r="CN1394" i="1"/>
  <c r="CL1394" i="1"/>
  <c r="CG1394" i="1"/>
  <c r="CF1394" i="1"/>
  <c r="CE1394" i="1"/>
  <c r="CQ1393" i="1"/>
  <c r="CP1393" i="1"/>
  <c r="CO1393" i="1"/>
  <c r="CN1393" i="1"/>
  <c r="CL1393" i="1"/>
  <c r="CG1393" i="1"/>
  <c r="CF1393" i="1"/>
  <c r="CE1393" i="1"/>
  <c r="CQ1392" i="1"/>
  <c r="CP1392" i="1"/>
  <c r="CO1392" i="1"/>
  <c r="CN1392" i="1"/>
  <c r="CL1392" i="1"/>
  <c r="CG1392" i="1"/>
  <c r="CF1392" i="1"/>
  <c r="CE1392" i="1"/>
  <c r="CQ1391" i="1"/>
  <c r="CP1391" i="1"/>
  <c r="CO1391" i="1"/>
  <c r="CN1391" i="1"/>
  <c r="CL1391" i="1"/>
  <c r="CG1391" i="1"/>
  <c r="CF1391" i="1"/>
  <c r="CE1391" i="1"/>
  <c r="CQ1390" i="1"/>
  <c r="CP1390" i="1"/>
  <c r="CO1390" i="1"/>
  <c r="CN1390" i="1"/>
  <c r="CL1390" i="1"/>
  <c r="CG1390" i="1"/>
  <c r="CF1390" i="1"/>
  <c r="CE1390" i="1"/>
  <c r="CQ1389" i="1"/>
  <c r="CP1389" i="1"/>
  <c r="CO1389" i="1"/>
  <c r="CN1389" i="1"/>
  <c r="CL1389" i="1"/>
  <c r="CG1389" i="1"/>
  <c r="CF1389" i="1"/>
  <c r="CE1389" i="1"/>
  <c r="CQ1388" i="1"/>
  <c r="CP1388" i="1"/>
  <c r="CO1388" i="1"/>
  <c r="CN1388" i="1"/>
  <c r="CL1388" i="1"/>
  <c r="CG1388" i="1"/>
  <c r="CF1388" i="1"/>
  <c r="CE1388" i="1"/>
  <c r="CQ1387" i="1"/>
  <c r="CP1387" i="1"/>
  <c r="CO1387" i="1"/>
  <c r="CN1387" i="1"/>
  <c r="CL1387" i="1"/>
  <c r="CG1387" i="1"/>
  <c r="CF1387" i="1"/>
  <c r="CE1387" i="1"/>
  <c r="CQ1386" i="1"/>
  <c r="CP1386" i="1"/>
  <c r="CO1386" i="1"/>
  <c r="CN1386" i="1"/>
  <c r="CL1386" i="1"/>
  <c r="CG1386" i="1"/>
  <c r="CF1386" i="1"/>
  <c r="CE1386" i="1"/>
  <c r="CQ1385" i="1"/>
  <c r="CP1385" i="1"/>
  <c r="CO1385" i="1"/>
  <c r="CN1385" i="1"/>
  <c r="CL1385" i="1"/>
  <c r="CG1385" i="1"/>
  <c r="CF1385" i="1"/>
  <c r="CE1385" i="1"/>
  <c r="CQ1384" i="1"/>
  <c r="CP1384" i="1"/>
  <c r="CO1384" i="1"/>
  <c r="CN1384" i="1"/>
  <c r="CL1384" i="1"/>
  <c r="CG1384" i="1"/>
  <c r="CF1384" i="1"/>
  <c r="CE1384" i="1"/>
  <c r="CQ1383" i="1"/>
  <c r="CP1383" i="1"/>
  <c r="CO1383" i="1"/>
  <c r="CN1383" i="1"/>
  <c r="CL1383" i="1"/>
  <c r="CG1383" i="1"/>
  <c r="CF1383" i="1"/>
  <c r="CE1383" i="1"/>
  <c r="CQ1382" i="1"/>
  <c r="CP1382" i="1"/>
  <c r="CO1382" i="1"/>
  <c r="CN1382" i="1"/>
  <c r="CL1382" i="1"/>
  <c r="CG1382" i="1"/>
  <c r="CF1382" i="1"/>
  <c r="CE1382" i="1"/>
  <c r="CQ1381" i="1"/>
  <c r="CP1381" i="1"/>
  <c r="CO1381" i="1"/>
  <c r="CN1381" i="1"/>
  <c r="CL1381" i="1"/>
  <c r="CG1381" i="1"/>
  <c r="CF1381" i="1"/>
  <c r="CE1381" i="1"/>
  <c r="CQ1380" i="1"/>
  <c r="CP1380" i="1"/>
  <c r="CO1380" i="1"/>
  <c r="CN1380" i="1"/>
  <c r="CL1380" i="1"/>
  <c r="CG1380" i="1"/>
  <c r="CF1380" i="1"/>
  <c r="CE1380" i="1"/>
  <c r="CQ1379" i="1"/>
  <c r="CP1379" i="1"/>
  <c r="CO1379" i="1"/>
  <c r="CN1379" i="1"/>
  <c r="CL1379" i="1"/>
  <c r="CG1379" i="1"/>
  <c r="CF1379" i="1"/>
  <c r="CE1379" i="1"/>
  <c r="CQ1378" i="1"/>
  <c r="CP1378" i="1"/>
  <c r="CO1378" i="1"/>
  <c r="CN1378" i="1"/>
  <c r="CL1378" i="1"/>
  <c r="CG1378" i="1"/>
  <c r="CF1378" i="1"/>
  <c r="CE1378" i="1"/>
  <c r="CQ1377" i="1"/>
  <c r="CP1377" i="1"/>
  <c r="CO1377" i="1"/>
  <c r="CN1377" i="1"/>
  <c r="CL1377" i="1"/>
  <c r="CG1377" i="1"/>
  <c r="CF1377" i="1"/>
  <c r="CE1377" i="1"/>
  <c r="CQ1376" i="1"/>
  <c r="CP1376" i="1"/>
  <c r="CO1376" i="1"/>
  <c r="CN1376" i="1"/>
  <c r="CL1376" i="1"/>
  <c r="CG1376" i="1"/>
  <c r="CF1376" i="1"/>
  <c r="CE1376" i="1"/>
  <c r="CQ1375" i="1"/>
  <c r="CP1375" i="1"/>
  <c r="CO1375" i="1"/>
  <c r="CN1375" i="1"/>
  <c r="CL1375" i="1"/>
  <c r="CG1375" i="1"/>
  <c r="CF1375" i="1"/>
  <c r="CE1375" i="1"/>
  <c r="CQ1374" i="1"/>
  <c r="CP1374" i="1"/>
  <c r="CO1374" i="1"/>
  <c r="CN1374" i="1"/>
  <c r="CL1374" i="1"/>
  <c r="CG1374" i="1"/>
  <c r="CF1374" i="1"/>
  <c r="CE1374" i="1"/>
  <c r="CQ1373" i="1"/>
  <c r="CP1373" i="1"/>
  <c r="CO1373" i="1"/>
  <c r="CN1373" i="1"/>
  <c r="CL1373" i="1"/>
  <c r="CG1373" i="1"/>
  <c r="CF1373" i="1"/>
  <c r="CE1373" i="1"/>
  <c r="CQ1372" i="1"/>
  <c r="CP1372" i="1"/>
  <c r="CO1372" i="1"/>
  <c r="CN1372" i="1"/>
  <c r="CL1372" i="1"/>
  <c r="CG1372" i="1"/>
  <c r="CF1372" i="1"/>
  <c r="CE1372" i="1"/>
  <c r="CQ1371" i="1"/>
  <c r="CP1371" i="1"/>
  <c r="CO1371" i="1"/>
  <c r="CN1371" i="1"/>
  <c r="CL1371" i="1"/>
  <c r="CG1371" i="1"/>
  <c r="CF1371" i="1"/>
  <c r="CE1371" i="1"/>
  <c r="CQ1370" i="1"/>
  <c r="CP1370" i="1"/>
  <c r="CO1370" i="1"/>
  <c r="CN1370" i="1"/>
  <c r="CL1370" i="1"/>
  <c r="CG1370" i="1"/>
  <c r="CF1370" i="1"/>
  <c r="CE1370" i="1"/>
  <c r="CQ1369" i="1"/>
  <c r="CP1369" i="1"/>
  <c r="CO1369" i="1"/>
  <c r="CN1369" i="1"/>
  <c r="CL1369" i="1"/>
  <c r="CG1369" i="1"/>
  <c r="CF1369" i="1"/>
  <c r="CE1369" i="1"/>
  <c r="CQ1368" i="1"/>
  <c r="CP1368" i="1"/>
  <c r="CO1368" i="1"/>
  <c r="CN1368" i="1"/>
  <c r="CL1368" i="1"/>
  <c r="CG1368" i="1"/>
  <c r="CF1368" i="1"/>
  <c r="CE1368" i="1"/>
  <c r="CQ1367" i="1"/>
  <c r="CP1367" i="1"/>
  <c r="CO1367" i="1"/>
  <c r="CN1367" i="1"/>
  <c r="CL1367" i="1"/>
  <c r="CG1367" i="1"/>
  <c r="CF1367" i="1"/>
  <c r="CE1367" i="1"/>
  <c r="CQ1366" i="1"/>
  <c r="CP1366" i="1"/>
  <c r="CO1366" i="1"/>
  <c r="CN1366" i="1"/>
  <c r="CL1366" i="1"/>
  <c r="CG1366" i="1"/>
  <c r="CF1366" i="1"/>
  <c r="CE1366" i="1"/>
  <c r="CQ1365" i="1"/>
  <c r="CP1365" i="1"/>
  <c r="CO1365" i="1"/>
  <c r="CN1365" i="1"/>
  <c r="CG1365" i="1"/>
  <c r="CF1365" i="1"/>
  <c r="CE1365" i="1"/>
  <c r="AE1365" i="1"/>
  <c r="CL1365" i="1" s="1"/>
  <c r="CQ1364" i="1"/>
  <c r="CP1364" i="1"/>
  <c r="CO1364" i="1"/>
  <c r="CN1364" i="1"/>
  <c r="CG1364" i="1"/>
  <c r="CF1364" i="1"/>
  <c r="CE1364" i="1"/>
  <c r="AE1364" i="1"/>
  <c r="CL1364" i="1" s="1"/>
  <c r="CQ1363" i="1"/>
  <c r="CP1363" i="1"/>
  <c r="CO1363" i="1"/>
  <c r="CN1363" i="1"/>
  <c r="CG1363" i="1"/>
  <c r="CF1363" i="1"/>
  <c r="CE1363" i="1"/>
  <c r="AE1363" i="1"/>
  <c r="CL1363" i="1" s="1"/>
  <c r="CQ1362" i="1"/>
  <c r="CP1362" i="1"/>
  <c r="CO1362" i="1"/>
  <c r="CN1362" i="1"/>
  <c r="CG1362" i="1"/>
  <c r="CF1362" i="1"/>
  <c r="CE1362" i="1"/>
  <c r="AE1362" i="1"/>
  <c r="CL1362" i="1" s="1"/>
  <c r="CQ1361" i="1"/>
  <c r="CP1361" i="1"/>
  <c r="CO1361" i="1"/>
  <c r="CN1361" i="1"/>
  <c r="CG1361" i="1"/>
  <c r="CF1361" i="1"/>
  <c r="CE1361" i="1"/>
  <c r="AE1361" i="1"/>
  <c r="CL1361" i="1" s="1"/>
  <c r="CQ1360" i="1"/>
  <c r="CP1360" i="1"/>
  <c r="CO1360" i="1"/>
  <c r="CN1360" i="1"/>
  <c r="CG1360" i="1"/>
  <c r="CF1360" i="1"/>
  <c r="CE1360" i="1"/>
  <c r="AE1360" i="1"/>
  <c r="CL1360" i="1" s="1"/>
  <c r="CQ1359" i="1"/>
  <c r="CP1359" i="1"/>
  <c r="CO1359" i="1"/>
  <c r="CN1359" i="1"/>
  <c r="CL1359" i="1"/>
  <c r="CG1359" i="1"/>
  <c r="CF1359" i="1"/>
  <c r="CE1359" i="1"/>
  <c r="AE1359" i="1"/>
  <c r="CQ1358" i="1"/>
  <c r="CP1358" i="1"/>
  <c r="CO1358" i="1"/>
  <c r="CN1358" i="1"/>
  <c r="CL1358" i="1"/>
  <c r="CG1358" i="1"/>
  <c r="CF1358" i="1"/>
  <c r="CE1358" i="1"/>
  <c r="AE1358" i="1"/>
  <c r="CQ1357" i="1"/>
  <c r="CP1357" i="1"/>
  <c r="CO1357" i="1"/>
  <c r="CN1357" i="1"/>
  <c r="CL1357" i="1"/>
  <c r="CG1357" i="1"/>
  <c r="CF1357" i="1"/>
  <c r="CE1357" i="1"/>
  <c r="AE1357" i="1"/>
  <c r="CQ1356" i="1"/>
  <c r="CP1356" i="1"/>
  <c r="CO1356" i="1"/>
  <c r="CN1356" i="1"/>
  <c r="CL1356" i="1"/>
  <c r="CG1356" i="1"/>
  <c r="CF1356" i="1"/>
  <c r="CE1356" i="1"/>
  <c r="AE1356" i="1"/>
  <c r="CQ1355" i="1"/>
  <c r="CP1355" i="1"/>
  <c r="CO1355" i="1"/>
  <c r="CN1355" i="1"/>
  <c r="CL1355" i="1"/>
  <c r="CG1355" i="1"/>
  <c r="CF1355" i="1"/>
  <c r="CE1355" i="1"/>
  <c r="AE1355" i="1"/>
  <c r="CQ1354" i="1"/>
  <c r="CP1354" i="1"/>
  <c r="CO1354" i="1"/>
  <c r="CN1354" i="1"/>
  <c r="CL1354" i="1"/>
  <c r="CG1354" i="1"/>
  <c r="CF1354" i="1"/>
  <c r="CE1354" i="1"/>
  <c r="AE1354" i="1"/>
  <c r="CQ1353" i="1"/>
  <c r="CP1353" i="1"/>
  <c r="CO1353" i="1"/>
  <c r="CN1353" i="1"/>
  <c r="CL1353" i="1"/>
  <c r="CG1353" i="1"/>
  <c r="CF1353" i="1"/>
  <c r="CE1353" i="1"/>
  <c r="AE1353" i="1"/>
  <c r="CQ1352" i="1"/>
  <c r="CP1352" i="1"/>
  <c r="CO1352" i="1"/>
  <c r="CN1352" i="1"/>
  <c r="CL1352" i="1"/>
  <c r="CG1352" i="1"/>
  <c r="CF1352" i="1"/>
  <c r="CE1352" i="1"/>
  <c r="AE1352" i="1"/>
  <c r="CQ1351" i="1"/>
  <c r="CP1351" i="1"/>
  <c r="CO1351" i="1"/>
  <c r="CN1351" i="1"/>
  <c r="CL1351" i="1"/>
  <c r="CG1351" i="1"/>
  <c r="CF1351" i="1"/>
  <c r="CE1351" i="1"/>
  <c r="AE1351" i="1"/>
  <c r="CQ1350" i="1"/>
  <c r="CP1350" i="1"/>
  <c r="CO1350" i="1"/>
  <c r="CN1350" i="1"/>
  <c r="CL1350" i="1"/>
  <c r="CG1350" i="1"/>
  <c r="CF1350" i="1"/>
  <c r="CE1350" i="1"/>
  <c r="AE1350" i="1"/>
  <c r="CQ1349" i="1"/>
  <c r="CP1349" i="1"/>
  <c r="CO1349" i="1"/>
  <c r="CN1349" i="1"/>
  <c r="CL1349" i="1"/>
  <c r="CG1349" i="1"/>
  <c r="CF1349" i="1"/>
  <c r="CE1349" i="1"/>
  <c r="AE1349" i="1"/>
  <c r="CQ1348" i="1"/>
  <c r="CP1348" i="1"/>
  <c r="CO1348" i="1"/>
  <c r="CN1348" i="1"/>
  <c r="CG1348" i="1"/>
  <c r="CF1348" i="1"/>
  <c r="CE1348" i="1"/>
  <c r="AE1348" i="1"/>
  <c r="CL1348" i="1" s="1"/>
  <c r="CQ1347" i="1"/>
  <c r="CP1347" i="1"/>
  <c r="CO1347" i="1"/>
  <c r="CN1347" i="1"/>
  <c r="CG1347" i="1"/>
  <c r="CF1347" i="1"/>
  <c r="CE1347" i="1"/>
  <c r="AE1347" i="1"/>
  <c r="CL1347" i="1" s="1"/>
  <c r="CQ1346" i="1"/>
  <c r="CP1346" i="1"/>
  <c r="CO1346" i="1"/>
  <c r="CN1346" i="1"/>
  <c r="CG1346" i="1"/>
  <c r="CF1346" i="1"/>
  <c r="CE1346" i="1"/>
  <c r="AE1346" i="1"/>
  <c r="CL1346" i="1" s="1"/>
  <c r="CQ1345" i="1"/>
  <c r="CP1345" i="1"/>
  <c r="CO1345" i="1"/>
  <c r="CN1345" i="1"/>
  <c r="CG1345" i="1"/>
  <c r="CF1345" i="1"/>
  <c r="CE1345" i="1"/>
  <c r="AE1345" i="1"/>
  <c r="CL1345" i="1" s="1"/>
  <c r="CQ1344" i="1"/>
  <c r="CP1344" i="1"/>
  <c r="CO1344" i="1"/>
  <c r="CN1344" i="1"/>
  <c r="CG1344" i="1"/>
  <c r="CF1344" i="1"/>
  <c r="CE1344" i="1"/>
  <c r="AE1344" i="1"/>
  <c r="CL1344" i="1" s="1"/>
  <c r="CQ1343" i="1"/>
  <c r="CP1343" i="1"/>
  <c r="CO1343" i="1"/>
  <c r="CN1343" i="1"/>
  <c r="CG1343" i="1"/>
  <c r="CF1343" i="1"/>
  <c r="CE1343" i="1"/>
  <c r="AE1343" i="1"/>
  <c r="CL1343" i="1" s="1"/>
  <c r="CQ1342" i="1"/>
  <c r="CP1342" i="1"/>
  <c r="CO1342" i="1"/>
  <c r="CN1342" i="1"/>
  <c r="CG1342" i="1"/>
  <c r="CF1342" i="1"/>
  <c r="CE1342" i="1"/>
  <c r="AE1342" i="1"/>
  <c r="CL1342" i="1" s="1"/>
  <c r="CQ1341" i="1"/>
  <c r="CP1341" i="1"/>
  <c r="CO1341" i="1"/>
  <c r="CN1341" i="1"/>
  <c r="CG1341" i="1"/>
  <c r="CF1341" i="1"/>
  <c r="CE1341" i="1"/>
  <c r="AE1341" i="1"/>
  <c r="CL1341" i="1" s="1"/>
  <c r="CQ1340" i="1"/>
  <c r="CP1340" i="1"/>
  <c r="CO1340" i="1"/>
  <c r="CN1340" i="1"/>
  <c r="CG1340" i="1"/>
  <c r="CF1340" i="1"/>
  <c r="CE1340" i="1"/>
  <c r="AE1340" i="1"/>
  <c r="CL1340" i="1" s="1"/>
  <c r="CQ1339" i="1"/>
  <c r="CP1339" i="1"/>
  <c r="CO1339" i="1"/>
  <c r="CN1339" i="1"/>
  <c r="CG1339" i="1"/>
  <c r="CF1339" i="1"/>
  <c r="CE1339" i="1"/>
  <c r="AE1339" i="1"/>
  <c r="CL1339" i="1" s="1"/>
  <c r="CQ1338" i="1"/>
  <c r="CP1338" i="1"/>
  <c r="CO1338" i="1"/>
  <c r="CN1338" i="1"/>
  <c r="CG1338" i="1"/>
  <c r="CF1338" i="1"/>
  <c r="CE1338" i="1"/>
  <c r="AE1338" i="1"/>
  <c r="CL1338" i="1" s="1"/>
  <c r="CQ1337" i="1"/>
  <c r="CP1337" i="1"/>
  <c r="CO1337" i="1"/>
  <c r="CN1337" i="1"/>
  <c r="CG1337" i="1"/>
  <c r="CF1337" i="1"/>
  <c r="CE1337" i="1"/>
  <c r="AE1337" i="1"/>
  <c r="CL1337" i="1" s="1"/>
  <c r="CQ1336" i="1"/>
  <c r="CP1336" i="1"/>
  <c r="CO1336" i="1"/>
  <c r="CN1336" i="1"/>
  <c r="CG1336" i="1"/>
  <c r="CF1336" i="1"/>
  <c r="CE1336" i="1"/>
  <c r="AE1336" i="1"/>
  <c r="CL1336" i="1" s="1"/>
  <c r="CQ1335" i="1"/>
  <c r="CP1335" i="1"/>
  <c r="CO1335" i="1"/>
  <c r="CN1335" i="1"/>
  <c r="CG1335" i="1"/>
  <c r="CF1335" i="1"/>
  <c r="CE1335" i="1"/>
  <c r="AE1335" i="1"/>
  <c r="CL1335" i="1" s="1"/>
  <c r="CQ1334" i="1"/>
  <c r="CP1334" i="1"/>
  <c r="CO1334" i="1"/>
  <c r="CN1334" i="1"/>
  <c r="CG1334" i="1"/>
  <c r="CF1334" i="1"/>
  <c r="CE1334" i="1"/>
  <c r="AE1334" i="1"/>
  <c r="CL1334" i="1" s="1"/>
  <c r="CQ1333" i="1"/>
  <c r="CP1333" i="1"/>
  <c r="CO1333" i="1"/>
  <c r="CN1333" i="1"/>
  <c r="CG1333" i="1"/>
  <c r="CF1333" i="1"/>
  <c r="CE1333" i="1"/>
  <c r="AE1333" i="1"/>
  <c r="CL1333" i="1" s="1"/>
  <c r="CQ1332" i="1"/>
  <c r="CP1332" i="1"/>
  <c r="CO1332" i="1"/>
  <c r="CN1332" i="1"/>
  <c r="CG1332" i="1"/>
  <c r="CF1332" i="1"/>
  <c r="CE1332" i="1"/>
  <c r="AE1332" i="1"/>
  <c r="CL1332" i="1" s="1"/>
  <c r="CQ1331" i="1"/>
  <c r="CP1331" i="1"/>
  <c r="CO1331" i="1"/>
  <c r="CN1331" i="1"/>
  <c r="CG1331" i="1"/>
  <c r="CF1331" i="1"/>
  <c r="CE1331" i="1"/>
  <c r="AE1331" i="1"/>
  <c r="CL1331" i="1" s="1"/>
  <c r="CQ1330" i="1"/>
  <c r="CP1330" i="1"/>
  <c r="CO1330" i="1"/>
  <c r="CN1330" i="1"/>
  <c r="CG1330" i="1"/>
  <c r="CF1330" i="1"/>
  <c r="CE1330" i="1"/>
  <c r="AE1330" i="1"/>
  <c r="CL1330" i="1" s="1"/>
  <c r="CQ1329" i="1"/>
  <c r="CP1329" i="1"/>
  <c r="CO1329" i="1"/>
  <c r="CN1329" i="1"/>
  <c r="CG1329" i="1"/>
  <c r="CF1329" i="1"/>
  <c r="CE1329" i="1"/>
  <c r="AE1329" i="1"/>
  <c r="CL1329" i="1" s="1"/>
  <c r="CQ1328" i="1"/>
  <c r="CP1328" i="1"/>
  <c r="CO1328" i="1"/>
  <c r="CN1328" i="1"/>
  <c r="CG1328" i="1"/>
  <c r="CF1328" i="1"/>
  <c r="CE1328" i="1"/>
  <c r="AE1328" i="1"/>
  <c r="CL1328" i="1" s="1"/>
  <c r="CQ1327" i="1"/>
  <c r="CP1327" i="1"/>
  <c r="CO1327" i="1"/>
  <c r="CN1327" i="1"/>
  <c r="CG1327" i="1"/>
  <c r="CF1327" i="1"/>
  <c r="CE1327" i="1"/>
  <c r="AE1327" i="1"/>
  <c r="CL1327" i="1" s="1"/>
  <c r="CQ1326" i="1"/>
  <c r="CP1326" i="1"/>
  <c r="CO1326" i="1"/>
  <c r="CN1326" i="1"/>
  <c r="CG1326" i="1"/>
  <c r="CF1326" i="1"/>
  <c r="CE1326" i="1"/>
  <c r="AE1326" i="1"/>
  <c r="CL1326" i="1" s="1"/>
  <c r="CQ1325" i="1"/>
  <c r="CP1325" i="1"/>
  <c r="CO1325" i="1"/>
  <c r="CN1325" i="1"/>
  <c r="CG1325" i="1"/>
  <c r="CF1325" i="1"/>
  <c r="CE1325" i="1"/>
  <c r="AE1325" i="1"/>
  <c r="CL1325" i="1" s="1"/>
  <c r="CQ1324" i="1"/>
  <c r="CP1324" i="1"/>
  <c r="CO1324" i="1"/>
  <c r="CN1324" i="1"/>
  <c r="CG1324" i="1"/>
  <c r="CF1324" i="1"/>
  <c r="CE1324" i="1"/>
  <c r="AE1324" i="1"/>
  <c r="CL1324" i="1" s="1"/>
  <c r="CQ1323" i="1"/>
  <c r="CP1323" i="1"/>
  <c r="CO1323" i="1"/>
  <c r="CN1323" i="1"/>
  <c r="CG1323" i="1"/>
  <c r="CF1323" i="1"/>
  <c r="CE1323" i="1"/>
  <c r="AE1323" i="1"/>
  <c r="CL1323" i="1" s="1"/>
  <c r="CQ1322" i="1"/>
  <c r="CP1322" i="1"/>
  <c r="CO1322" i="1"/>
  <c r="CN1322" i="1"/>
  <c r="CG1322" i="1"/>
  <c r="CF1322" i="1"/>
  <c r="CE1322" i="1"/>
  <c r="AE1322" i="1"/>
  <c r="CL1322" i="1" s="1"/>
  <c r="CQ1321" i="1"/>
  <c r="CP1321" i="1"/>
  <c r="CO1321" i="1"/>
  <c r="CN1321" i="1"/>
  <c r="CG1321" i="1"/>
  <c r="CF1321" i="1"/>
  <c r="CE1321" i="1"/>
  <c r="AE1321" i="1"/>
  <c r="CL1321" i="1" s="1"/>
  <c r="CQ1320" i="1"/>
  <c r="CP1320" i="1"/>
  <c r="CO1320" i="1"/>
  <c r="CN1320" i="1"/>
  <c r="CG1320" i="1"/>
  <c r="CF1320" i="1"/>
  <c r="CE1320" i="1"/>
  <c r="AE1320" i="1"/>
  <c r="CL1320" i="1" s="1"/>
  <c r="CQ1319" i="1"/>
  <c r="CP1319" i="1"/>
  <c r="CO1319" i="1"/>
  <c r="CN1319" i="1"/>
  <c r="CG1319" i="1"/>
  <c r="CF1319" i="1"/>
  <c r="CE1319" i="1"/>
  <c r="AE1319" i="1"/>
  <c r="CL1319" i="1" s="1"/>
  <c r="CQ1318" i="1"/>
  <c r="CP1318" i="1"/>
  <c r="CO1318" i="1"/>
  <c r="CN1318" i="1"/>
  <c r="CG1318" i="1"/>
  <c r="CF1318" i="1"/>
  <c r="CE1318" i="1"/>
  <c r="AE1318" i="1"/>
  <c r="CL1318" i="1" s="1"/>
  <c r="CQ1317" i="1"/>
  <c r="CP1317" i="1"/>
  <c r="CO1317" i="1"/>
  <c r="CN1317" i="1"/>
  <c r="CG1317" i="1"/>
  <c r="CF1317" i="1"/>
  <c r="CE1317" i="1"/>
  <c r="AE1317" i="1"/>
  <c r="CL1317" i="1" s="1"/>
  <c r="CQ1316" i="1"/>
  <c r="CP1316" i="1"/>
  <c r="CO1316" i="1"/>
  <c r="CN1316" i="1"/>
  <c r="CG1316" i="1"/>
  <c r="CF1316" i="1"/>
  <c r="CE1316" i="1"/>
  <c r="AE1316" i="1"/>
  <c r="CL1316" i="1" s="1"/>
  <c r="CQ1315" i="1"/>
  <c r="CP1315" i="1"/>
  <c r="CO1315" i="1"/>
  <c r="CN1315" i="1"/>
  <c r="CG1315" i="1"/>
  <c r="CF1315" i="1"/>
  <c r="CE1315" i="1"/>
  <c r="AE1315" i="1"/>
  <c r="CL1315" i="1" s="1"/>
  <c r="CQ1314" i="1"/>
  <c r="CP1314" i="1"/>
  <c r="CO1314" i="1"/>
  <c r="CN1314" i="1"/>
  <c r="CG1314" i="1"/>
  <c r="CF1314" i="1"/>
  <c r="CE1314" i="1"/>
  <c r="AE1314" i="1"/>
  <c r="CL1314" i="1" s="1"/>
  <c r="CQ1313" i="1"/>
  <c r="CP1313" i="1"/>
  <c r="CO1313" i="1"/>
  <c r="CN1313" i="1"/>
  <c r="CL1313" i="1"/>
  <c r="CG1313" i="1"/>
  <c r="CF1313" i="1"/>
  <c r="CE1313" i="1"/>
  <c r="AE1313" i="1"/>
  <c r="CQ1312" i="1"/>
  <c r="CP1312" i="1"/>
  <c r="CO1312" i="1"/>
  <c r="CN1312" i="1"/>
  <c r="CG1312" i="1"/>
  <c r="CF1312" i="1"/>
  <c r="CE1312" i="1"/>
  <c r="AE1312" i="1"/>
  <c r="CL1312" i="1" s="1"/>
  <c r="CQ1311" i="1"/>
  <c r="CP1311" i="1"/>
  <c r="CO1311" i="1"/>
  <c r="CN1311" i="1"/>
  <c r="CG1311" i="1"/>
  <c r="CF1311" i="1"/>
  <c r="CE1311" i="1"/>
  <c r="AE1311" i="1"/>
  <c r="CL1311" i="1" s="1"/>
  <c r="CQ1310" i="1"/>
  <c r="CP1310" i="1"/>
  <c r="CO1310" i="1"/>
  <c r="CN1310" i="1"/>
  <c r="CG1310" i="1"/>
  <c r="CF1310" i="1"/>
  <c r="CE1310" i="1"/>
  <c r="AE1310" i="1"/>
  <c r="CL1310" i="1" s="1"/>
  <c r="CQ1309" i="1"/>
  <c r="CP1309" i="1"/>
  <c r="CO1309" i="1"/>
  <c r="CN1309" i="1"/>
  <c r="CG1309" i="1"/>
  <c r="CF1309" i="1"/>
  <c r="CE1309" i="1"/>
  <c r="AE1309" i="1"/>
  <c r="CL1309" i="1" s="1"/>
  <c r="CQ1308" i="1"/>
  <c r="CP1308" i="1"/>
  <c r="CO1308" i="1"/>
  <c r="CN1308" i="1"/>
  <c r="CG1308" i="1"/>
  <c r="CF1308" i="1"/>
  <c r="CE1308" i="1"/>
  <c r="AE1308" i="1"/>
  <c r="CL1308" i="1" s="1"/>
  <c r="CQ1307" i="1"/>
  <c r="CP1307" i="1"/>
  <c r="CO1307" i="1"/>
  <c r="CN1307" i="1"/>
  <c r="CG1307" i="1"/>
  <c r="CF1307" i="1"/>
  <c r="CE1307" i="1"/>
  <c r="AE1307" i="1"/>
  <c r="CL1307" i="1" s="1"/>
  <c r="CQ1306" i="1"/>
  <c r="CP1306" i="1"/>
  <c r="CO1306" i="1"/>
  <c r="CN1306" i="1"/>
  <c r="CG1306" i="1"/>
  <c r="CF1306" i="1"/>
  <c r="CE1306" i="1"/>
  <c r="AE1306" i="1"/>
  <c r="CL1306" i="1" s="1"/>
  <c r="CQ1305" i="1"/>
  <c r="CP1305" i="1"/>
  <c r="CO1305" i="1"/>
  <c r="CN1305" i="1"/>
  <c r="CG1305" i="1"/>
  <c r="CF1305" i="1"/>
  <c r="CE1305" i="1"/>
  <c r="AE1305" i="1"/>
  <c r="CL1305" i="1" s="1"/>
  <c r="CQ1304" i="1"/>
  <c r="CP1304" i="1"/>
  <c r="CO1304" i="1"/>
  <c r="CN1304" i="1"/>
  <c r="CL1304" i="1"/>
  <c r="CG1304" i="1"/>
  <c r="CF1304" i="1"/>
  <c r="CE1304" i="1"/>
  <c r="AE1304" i="1"/>
  <c r="CQ1303" i="1"/>
  <c r="CP1303" i="1"/>
  <c r="CO1303" i="1"/>
  <c r="CN1303" i="1"/>
  <c r="CL1303" i="1"/>
  <c r="CG1303" i="1"/>
  <c r="CF1303" i="1"/>
  <c r="CE1303" i="1"/>
  <c r="AE1303" i="1"/>
  <c r="CQ1302" i="1"/>
  <c r="CP1302" i="1"/>
  <c r="CO1302" i="1"/>
  <c r="CN1302" i="1"/>
  <c r="CL1302" i="1"/>
  <c r="CG1302" i="1"/>
  <c r="CF1302" i="1"/>
  <c r="CE1302" i="1"/>
  <c r="AE1302" i="1"/>
  <c r="CQ1301" i="1"/>
  <c r="CP1301" i="1"/>
  <c r="CO1301" i="1"/>
  <c r="CN1301" i="1"/>
  <c r="CL1301" i="1"/>
  <c r="CG1301" i="1"/>
  <c r="CF1301" i="1"/>
  <c r="CE1301" i="1"/>
  <c r="AE1301" i="1"/>
  <c r="CQ1300" i="1"/>
  <c r="CP1300" i="1"/>
  <c r="CO1300" i="1"/>
  <c r="CN1300" i="1"/>
  <c r="CG1300" i="1"/>
  <c r="CF1300" i="1"/>
  <c r="CE1300" i="1"/>
  <c r="AE1300" i="1"/>
  <c r="CL1300" i="1" s="1"/>
  <c r="CQ1299" i="1"/>
  <c r="CP1299" i="1"/>
  <c r="CO1299" i="1"/>
  <c r="CN1299" i="1"/>
  <c r="CG1299" i="1"/>
  <c r="CF1299" i="1"/>
  <c r="CE1299" i="1"/>
  <c r="AE1299" i="1"/>
  <c r="CL1299" i="1" s="1"/>
  <c r="CQ1298" i="1"/>
  <c r="CP1298" i="1"/>
  <c r="CO1298" i="1"/>
  <c r="CN1298" i="1"/>
  <c r="CG1298" i="1"/>
  <c r="CF1298" i="1"/>
  <c r="CE1298" i="1"/>
  <c r="AE1298" i="1"/>
  <c r="CL1298" i="1" s="1"/>
  <c r="CQ1297" i="1"/>
  <c r="CP1297" i="1"/>
  <c r="CO1297" i="1"/>
  <c r="CN1297" i="1"/>
  <c r="CG1297" i="1"/>
  <c r="CF1297" i="1"/>
  <c r="CE1297" i="1"/>
  <c r="AE1297" i="1"/>
  <c r="CL1297" i="1" s="1"/>
  <c r="CQ1296" i="1"/>
  <c r="CP1296" i="1"/>
  <c r="CO1296" i="1"/>
  <c r="CN1296" i="1"/>
  <c r="CG1296" i="1"/>
  <c r="CF1296" i="1"/>
  <c r="CE1296" i="1"/>
  <c r="CS1296" i="1" s="1"/>
  <c r="AE1296" i="1"/>
  <c r="CL1296" i="1" s="1"/>
  <c r="CQ1295" i="1"/>
  <c r="CP1295" i="1"/>
  <c r="CO1295" i="1"/>
  <c r="CN1295" i="1"/>
  <c r="CG1295" i="1"/>
  <c r="CF1295" i="1"/>
  <c r="CE1295" i="1"/>
  <c r="AE1295" i="1"/>
  <c r="CL1295" i="1" s="1"/>
  <c r="CQ1294" i="1"/>
  <c r="CP1294" i="1"/>
  <c r="CO1294" i="1"/>
  <c r="CN1294" i="1"/>
  <c r="CG1294" i="1"/>
  <c r="CF1294" i="1"/>
  <c r="CE1294" i="1"/>
  <c r="AE1294" i="1"/>
  <c r="CL1294" i="1" s="1"/>
  <c r="CQ1293" i="1"/>
  <c r="CP1293" i="1"/>
  <c r="CO1293" i="1"/>
  <c r="CN1293" i="1"/>
  <c r="CL1293" i="1"/>
  <c r="CG1293" i="1"/>
  <c r="CF1293" i="1"/>
  <c r="CE1293" i="1"/>
  <c r="AE1293" i="1"/>
  <c r="CQ1292" i="1"/>
  <c r="CP1292" i="1"/>
  <c r="CO1292" i="1"/>
  <c r="CN1292" i="1"/>
  <c r="CG1292" i="1"/>
  <c r="CF1292" i="1"/>
  <c r="CE1292" i="1"/>
  <c r="AE1292" i="1"/>
  <c r="CL1292" i="1" s="1"/>
  <c r="CQ1291" i="1"/>
  <c r="CP1291" i="1"/>
  <c r="CO1291" i="1"/>
  <c r="CN1291" i="1"/>
  <c r="CG1291" i="1"/>
  <c r="CF1291" i="1"/>
  <c r="CE1291" i="1"/>
  <c r="AE1291" i="1"/>
  <c r="CL1291" i="1" s="1"/>
  <c r="CQ1290" i="1"/>
  <c r="CP1290" i="1"/>
  <c r="CO1290" i="1"/>
  <c r="CN1290" i="1"/>
  <c r="CG1290" i="1"/>
  <c r="CF1290" i="1"/>
  <c r="CE1290" i="1"/>
  <c r="AE1290" i="1"/>
  <c r="CL1290" i="1" s="1"/>
  <c r="CQ1289" i="1"/>
  <c r="CP1289" i="1"/>
  <c r="CO1289" i="1"/>
  <c r="CN1289" i="1"/>
  <c r="CG1289" i="1"/>
  <c r="CF1289" i="1"/>
  <c r="CE1289" i="1"/>
  <c r="AE1289" i="1"/>
  <c r="CL1289" i="1" s="1"/>
  <c r="CQ1288" i="1"/>
  <c r="CP1288" i="1"/>
  <c r="CO1288" i="1"/>
  <c r="CN1288" i="1"/>
  <c r="CG1288" i="1"/>
  <c r="CF1288" i="1"/>
  <c r="CE1288" i="1"/>
  <c r="AE1288" i="1"/>
  <c r="CL1288" i="1" s="1"/>
  <c r="CQ1287" i="1"/>
  <c r="CP1287" i="1"/>
  <c r="CO1287" i="1"/>
  <c r="CN1287" i="1"/>
  <c r="CG1287" i="1"/>
  <c r="CF1287" i="1"/>
  <c r="CE1287" i="1"/>
  <c r="AE1287" i="1"/>
  <c r="CL1287" i="1" s="1"/>
  <c r="CQ1286" i="1"/>
  <c r="CP1286" i="1"/>
  <c r="CO1286" i="1"/>
  <c r="CN1286" i="1"/>
  <c r="CG1286" i="1"/>
  <c r="CF1286" i="1"/>
  <c r="CE1286" i="1"/>
  <c r="AE1286" i="1"/>
  <c r="CL1286" i="1" s="1"/>
  <c r="CQ1285" i="1"/>
  <c r="CP1285" i="1"/>
  <c r="CO1285" i="1"/>
  <c r="CN1285" i="1"/>
  <c r="CG1285" i="1"/>
  <c r="CF1285" i="1"/>
  <c r="CE1285" i="1"/>
  <c r="AE1285" i="1"/>
  <c r="CL1285" i="1" s="1"/>
  <c r="CQ1284" i="1"/>
  <c r="CP1284" i="1"/>
  <c r="CO1284" i="1"/>
  <c r="CN1284" i="1"/>
  <c r="CG1284" i="1"/>
  <c r="CF1284" i="1"/>
  <c r="CE1284" i="1"/>
  <c r="AE1284" i="1"/>
  <c r="CL1284" i="1" s="1"/>
  <c r="CQ1283" i="1"/>
  <c r="CP1283" i="1"/>
  <c r="CO1283" i="1"/>
  <c r="CN1283" i="1"/>
  <c r="CG1283" i="1"/>
  <c r="CF1283" i="1"/>
  <c r="CE1283" i="1"/>
  <c r="AE1283" i="1"/>
  <c r="CL1283" i="1" s="1"/>
  <c r="CQ1282" i="1"/>
  <c r="CP1282" i="1"/>
  <c r="CO1282" i="1"/>
  <c r="CN1282" i="1"/>
  <c r="CG1282" i="1"/>
  <c r="CF1282" i="1"/>
  <c r="CE1282" i="1"/>
  <c r="AE1282" i="1"/>
  <c r="CL1282" i="1" s="1"/>
  <c r="CQ1281" i="1"/>
  <c r="CP1281" i="1"/>
  <c r="CO1281" i="1"/>
  <c r="CN1281" i="1"/>
  <c r="CG1281" i="1"/>
  <c r="CF1281" i="1"/>
  <c r="CE1281" i="1"/>
  <c r="AE1281" i="1"/>
  <c r="CL1281" i="1" s="1"/>
  <c r="CQ1280" i="1"/>
  <c r="CP1280" i="1"/>
  <c r="CO1280" i="1"/>
  <c r="CN1280" i="1"/>
  <c r="CG1280" i="1"/>
  <c r="CF1280" i="1"/>
  <c r="CE1280" i="1"/>
  <c r="AE1280" i="1"/>
  <c r="CL1280" i="1" s="1"/>
  <c r="CQ1278" i="1"/>
  <c r="CP1278" i="1"/>
  <c r="CO1278" i="1"/>
  <c r="CN1278" i="1"/>
  <c r="CL1278" i="1"/>
  <c r="CG1278" i="1"/>
  <c r="CF1278" i="1"/>
  <c r="CE1278" i="1"/>
  <c r="CQ1277" i="1"/>
  <c r="CP1277" i="1"/>
  <c r="CO1277" i="1"/>
  <c r="CN1277" i="1"/>
  <c r="CL1277" i="1"/>
  <c r="CG1277" i="1"/>
  <c r="CF1277" i="1"/>
  <c r="CE1277" i="1"/>
  <c r="CQ1276" i="1"/>
  <c r="CP1276" i="1"/>
  <c r="CO1276" i="1"/>
  <c r="CN1276" i="1"/>
  <c r="CL1276" i="1"/>
  <c r="CG1276" i="1"/>
  <c r="CF1276" i="1"/>
  <c r="CE1276" i="1"/>
  <c r="CQ1275" i="1"/>
  <c r="CP1275" i="1"/>
  <c r="CO1275" i="1"/>
  <c r="CN1275" i="1"/>
  <c r="CL1275" i="1"/>
  <c r="CG1275" i="1"/>
  <c r="CF1275" i="1"/>
  <c r="CE1275" i="1"/>
  <c r="CQ1274" i="1"/>
  <c r="CP1274" i="1"/>
  <c r="CO1274" i="1"/>
  <c r="CN1274" i="1"/>
  <c r="CL1274" i="1"/>
  <c r="CG1274" i="1"/>
  <c r="CF1274" i="1"/>
  <c r="CE1274" i="1"/>
  <c r="CQ1273" i="1"/>
  <c r="CP1273" i="1"/>
  <c r="CO1273" i="1"/>
  <c r="CN1273" i="1"/>
  <c r="CL1273" i="1"/>
  <c r="CG1273" i="1"/>
  <c r="CF1273" i="1"/>
  <c r="CE1273" i="1"/>
  <c r="CQ1272" i="1"/>
  <c r="CP1272" i="1"/>
  <c r="CO1272" i="1"/>
  <c r="CN1272" i="1"/>
  <c r="CL1272" i="1"/>
  <c r="CG1272" i="1"/>
  <c r="CF1272" i="1"/>
  <c r="CE1272" i="1"/>
  <c r="CQ1271" i="1"/>
  <c r="CP1271" i="1"/>
  <c r="CO1271" i="1"/>
  <c r="CN1271" i="1"/>
  <c r="CL1271" i="1"/>
  <c r="CG1271" i="1"/>
  <c r="CF1271" i="1"/>
  <c r="CE1271" i="1"/>
  <c r="CQ1270" i="1"/>
  <c r="CP1270" i="1"/>
  <c r="CO1270" i="1"/>
  <c r="CN1270" i="1"/>
  <c r="CL1270" i="1"/>
  <c r="CG1270" i="1"/>
  <c r="CF1270" i="1"/>
  <c r="CE1270" i="1"/>
  <c r="CQ1269" i="1"/>
  <c r="CP1269" i="1"/>
  <c r="CO1269" i="1"/>
  <c r="CN1269" i="1"/>
  <c r="CL1269" i="1"/>
  <c r="CG1269" i="1"/>
  <c r="CF1269" i="1"/>
  <c r="CE1269" i="1"/>
  <c r="CQ1268" i="1"/>
  <c r="CP1268" i="1"/>
  <c r="CO1268" i="1"/>
  <c r="CN1268" i="1"/>
  <c r="CL1268" i="1"/>
  <c r="CG1268" i="1"/>
  <c r="CF1268" i="1"/>
  <c r="CE1268" i="1"/>
  <c r="CQ1267" i="1"/>
  <c r="CP1267" i="1"/>
  <c r="CO1267" i="1"/>
  <c r="CN1267" i="1"/>
  <c r="CL1267" i="1"/>
  <c r="CG1267" i="1"/>
  <c r="CF1267" i="1"/>
  <c r="CE1267" i="1"/>
  <c r="CQ1266" i="1"/>
  <c r="CP1266" i="1"/>
  <c r="CO1266" i="1"/>
  <c r="CN1266" i="1"/>
  <c r="CL1266" i="1"/>
  <c r="CG1266" i="1"/>
  <c r="CF1266" i="1"/>
  <c r="CE1266" i="1"/>
  <c r="CQ1265" i="1"/>
  <c r="CP1265" i="1"/>
  <c r="CO1265" i="1"/>
  <c r="CN1265" i="1"/>
  <c r="CL1265" i="1"/>
  <c r="CG1265" i="1"/>
  <c r="CF1265" i="1"/>
  <c r="CE1265" i="1"/>
  <c r="CQ1264" i="1"/>
  <c r="CP1264" i="1"/>
  <c r="CO1264" i="1"/>
  <c r="CN1264" i="1"/>
  <c r="CL1264" i="1"/>
  <c r="CG1264" i="1"/>
  <c r="CF1264" i="1"/>
  <c r="CE1264" i="1"/>
  <c r="CQ1263" i="1"/>
  <c r="CP1263" i="1"/>
  <c r="CO1263" i="1"/>
  <c r="CN1263" i="1"/>
  <c r="CL1263" i="1"/>
  <c r="CG1263" i="1"/>
  <c r="CF1263" i="1"/>
  <c r="CE1263" i="1"/>
  <c r="CQ1262" i="1"/>
  <c r="CP1262" i="1"/>
  <c r="CO1262" i="1"/>
  <c r="CN1262" i="1"/>
  <c r="CL1262" i="1"/>
  <c r="CG1262" i="1"/>
  <c r="CF1262" i="1"/>
  <c r="CE1262" i="1"/>
  <c r="CQ1261" i="1"/>
  <c r="CP1261" i="1"/>
  <c r="CO1261" i="1"/>
  <c r="CN1261" i="1"/>
  <c r="CL1261" i="1"/>
  <c r="CG1261" i="1"/>
  <c r="CS1261" i="1" s="1"/>
  <c r="CF1261" i="1"/>
  <c r="CE1261" i="1"/>
  <c r="CQ1260" i="1"/>
  <c r="CP1260" i="1"/>
  <c r="CO1260" i="1"/>
  <c r="CN1260" i="1"/>
  <c r="CL1260" i="1"/>
  <c r="CG1260" i="1"/>
  <c r="CF1260" i="1"/>
  <c r="CE1260" i="1"/>
  <c r="CQ1259" i="1"/>
  <c r="CP1259" i="1"/>
  <c r="CO1259" i="1"/>
  <c r="CN1259" i="1"/>
  <c r="CL1259" i="1"/>
  <c r="CG1259" i="1"/>
  <c r="CF1259" i="1"/>
  <c r="CE1259" i="1"/>
  <c r="CQ1258" i="1"/>
  <c r="CP1258" i="1"/>
  <c r="CO1258" i="1"/>
  <c r="CN1258" i="1"/>
  <c r="CL1258" i="1"/>
  <c r="CG1258" i="1"/>
  <c r="CF1258" i="1"/>
  <c r="CE1258" i="1"/>
  <c r="CQ1257" i="1"/>
  <c r="CP1257" i="1"/>
  <c r="CO1257" i="1"/>
  <c r="CN1257" i="1"/>
  <c r="CL1257" i="1"/>
  <c r="CG1257" i="1"/>
  <c r="CF1257" i="1"/>
  <c r="CE1257" i="1"/>
  <c r="CQ1256" i="1"/>
  <c r="CP1256" i="1"/>
  <c r="CO1256" i="1"/>
  <c r="CN1256" i="1"/>
  <c r="CL1256" i="1"/>
  <c r="CG1256" i="1"/>
  <c r="CF1256" i="1"/>
  <c r="CE1256" i="1"/>
  <c r="CQ1255" i="1"/>
  <c r="CP1255" i="1"/>
  <c r="CO1255" i="1"/>
  <c r="CN1255" i="1"/>
  <c r="CL1255" i="1"/>
  <c r="CG1255" i="1"/>
  <c r="CF1255" i="1"/>
  <c r="CE1255" i="1"/>
  <c r="CQ1254" i="1"/>
  <c r="CP1254" i="1"/>
  <c r="CO1254" i="1"/>
  <c r="CN1254" i="1"/>
  <c r="CL1254" i="1"/>
  <c r="CG1254" i="1"/>
  <c r="CF1254" i="1"/>
  <c r="CE1254" i="1"/>
  <c r="CQ1253" i="1"/>
  <c r="CP1253" i="1"/>
  <c r="CO1253" i="1"/>
  <c r="CN1253" i="1"/>
  <c r="CL1253" i="1"/>
  <c r="CG1253" i="1"/>
  <c r="CF1253" i="1"/>
  <c r="CE1253" i="1"/>
  <c r="CQ1252" i="1"/>
  <c r="CP1252" i="1"/>
  <c r="CO1252" i="1"/>
  <c r="CN1252" i="1"/>
  <c r="CL1252" i="1"/>
  <c r="CG1252" i="1"/>
  <c r="CF1252" i="1"/>
  <c r="CE1252" i="1"/>
  <c r="CQ1251" i="1"/>
  <c r="CP1251" i="1"/>
  <c r="CO1251" i="1"/>
  <c r="CN1251" i="1"/>
  <c r="CL1251" i="1"/>
  <c r="CG1251" i="1"/>
  <c r="CF1251" i="1"/>
  <c r="CE1251" i="1"/>
  <c r="CQ1250" i="1"/>
  <c r="CP1250" i="1"/>
  <c r="CO1250" i="1"/>
  <c r="CN1250" i="1"/>
  <c r="CL1250" i="1"/>
  <c r="CG1250" i="1"/>
  <c r="CF1250" i="1"/>
  <c r="CE1250" i="1"/>
  <c r="CQ1249" i="1"/>
  <c r="CP1249" i="1"/>
  <c r="CO1249" i="1"/>
  <c r="CN1249" i="1"/>
  <c r="CL1249" i="1"/>
  <c r="CG1249" i="1"/>
  <c r="CF1249" i="1"/>
  <c r="CE1249" i="1"/>
  <c r="CQ1248" i="1"/>
  <c r="CP1248" i="1"/>
  <c r="CO1248" i="1"/>
  <c r="CN1248" i="1"/>
  <c r="CL1248" i="1"/>
  <c r="CG1248" i="1"/>
  <c r="CF1248" i="1"/>
  <c r="CE1248" i="1"/>
  <c r="CQ1247" i="1"/>
  <c r="CP1247" i="1"/>
  <c r="CO1247" i="1"/>
  <c r="CN1247" i="1"/>
  <c r="CL1247" i="1"/>
  <c r="CG1247" i="1"/>
  <c r="CS1247" i="1" s="1"/>
  <c r="CF1247" i="1"/>
  <c r="CE1247" i="1"/>
  <c r="CQ1246" i="1"/>
  <c r="CP1246" i="1"/>
  <c r="CO1246" i="1"/>
  <c r="CN1246" i="1"/>
  <c r="CL1246" i="1"/>
  <c r="CG1246" i="1"/>
  <c r="CF1246" i="1"/>
  <c r="CE1246" i="1"/>
  <c r="CQ1245" i="1"/>
  <c r="CP1245" i="1"/>
  <c r="CO1245" i="1"/>
  <c r="CN1245" i="1"/>
  <c r="CL1245" i="1"/>
  <c r="CG1245" i="1"/>
  <c r="CF1245" i="1"/>
  <c r="CE1245" i="1"/>
  <c r="CQ1244" i="1"/>
  <c r="CP1244" i="1"/>
  <c r="CO1244" i="1"/>
  <c r="CN1244" i="1"/>
  <c r="CL1244" i="1"/>
  <c r="CG1244" i="1"/>
  <c r="CF1244" i="1"/>
  <c r="CE1244" i="1"/>
  <c r="CQ1243" i="1"/>
  <c r="CP1243" i="1"/>
  <c r="CO1243" i="1"/>
  <c r="CN1243" i="1"/>
  <c r="CL1243" i="1"/>
  <c r="CG1243" i="1"/>
  <c r="CF1243" i="1"/>
  <c r="CE1243" i="1"/>
  <c r="CQ1242" i="1"/>
  <c r="CP1242" i="1"/>
  <c r="CO1242" i="1"/>
  <c r="CN1242" i="1"/>
  <c r="CL1242" i="1"/>
  <c r="CG1242" i="1"/>
  <c r="CF1242" i="1"/>
  <c r="CE1242" i="1"/>
  <c r="CQ1241" i="1"/>
  <c r="CP1241" i="1"/>
  <c r="CO1241" i="1"/>
  <c r="CN1241" i="1"/>
  <c r="CL1241" i="1"/>
  <c r="CG1241" i="1"/>
  <c r="CF1241" i="1"/>
  <c r="CE1241" i="1"/>
  <c r="CQ1240" i="1"/>
  <c r="CP1240" i="1"/>
  <c r="CO1240" i="1"/>
  <c r="CN1240" i="1"/>
  <c r="CL1240" i="1"/>
  <c r="CG1240" i="1"/>
  <c r="CF1240" i="1"/>
  <c r="CE1240" i="1"/>
  <c r="CQ1239" i="1"/>
  <c r="CP1239" i="1"/>
  <c r="CO1239" i="1"/>
  <c r="CN1239" i="1"/>
  <c r="CL1239" i="1"/>
  <c r="CG1239" i="1"/>
  <c r="CF1239" i="1"/>
  <c r="CE1239" i="1"/>
  <c r="CQ1238" i="1"/>
  <c r="CP1238" i="1"/>
  <c r="CO1238" i="1"/>
  <c r="CN1238" i="1"/>
  <c r="CL1238" i="1"/>
  <c r="CG1238" i="1"/>
  <c r="CF1238" i="1"/>
  <c r="CE1238" i="1"/>
  <c r="CQ1237" i="1"/>
  <c r="CP1237" i="1"/>
  <c r="CO1237" i="1"/>
  <c r="CN1237" i="1"/>
  <c r="CL1237" i="1"/>
  <c r="CG1237" i="1"/>
  <c r="CF1237" i="1"/>
  <c r="CE1237" i="1"/>
  <c r="CQ1236" i="1"/>
  <c r="CP1236" i="1"/>
  <c r="CO1236" i="1"/>
  <c r="CN1236" i="1"/>
  <c r="CL1236" i="1"/>
  <c r="CG1236" i="1"/>
  <c r="CF1236" i="1"/>
  <c r="CE1236" i="1"/>
  <c r="CQ1235" i="1"/>
  <c r="CP1235" i="1"/>
  <c r="CO1235" i="1"/>
  <c r="CN1235" i="1"/>
  <c r="CL1235" i="1"/>
  <c r="CG1235" i="1"/>
  <c r="CF1235" i="1"/>
  <c r="CE1235" i="1"/>
  <c r="CQ1234" i="1"/>
  <c r="CP1234" i="1"/>
  <c r="CO1234" i="1"/>
  <c r="CN1234" i="1"/>
  <c r="CL1234" i="1"/>
  <c r="CG1234" i="1"/>
  <c r="CF1234" i="1"/>
  <c r="CE1234" i="1"/>
  <c r="CQ1233" i="1"/>
  <c r="CP1233" i="1"/>
  <c r="CO1233" i="1"/>
  <c r="CN1233" i="1"/>
  <c r="CL1233" i="1"/>
  <c r="CG1233" i="1"/>
  <c r="CF1233" i="1"/>
  <c r="CE1233" i="1"/>
  <c r="CQ1232" i="1"/>
  <c r="CP1232" i="1"/>
  <c r="CO1232" i="1"/>
  <c r="CN1232" i="1"/>
  <c r="CL1232" i="1"/>
  <c r="CG1232" i="1"/>
  <c r="CF1232" i="1"/>
  <c r="CE1232" i="1"/>
  <c r="CQ1231" i="1"/>
  <c r="CP1231" i="1"/>
  <c r="CO1231" i="1"/>
  <c r="CN1231" i="1"/>
  <c r="CL1231" i="1"/>
  <c r="CG1231" i="1"/>
  <c r="CF1231" i="1"/>
  <c r="CE1231" i="1"/>
  <c r="CQ1230" i="1"/>
  <c r="CP1230" i="1"/>
  <c r="CO1230" i="1"/>
  <c r="CN1230" i="1"/>
  <c r="CL1230" i="1"/>
  <c r="CG1230" i="1"/>
  <c r="CF1230" i="1"/>
  <c r="CE1230" i="1"/>
  <c r="CQ1229" i="1"/>
  <c r="CP1229" i="1"/>
  <c r="CO1229" i="1"/>
  <c r="CN1229" i="1"/>
  <c r="CL1229" i="1"/>
  <c r="CG1229" i="1"/>
  <c r="CF1229" i="1"/>
  <c r="CE1229" i="1"/>
  <c r="CQ1228" i="1"/>
  <c r="CP1228" i="1"/>
  <c r="CO1228" i="1"/>
  <c r="CN1228" i="1"/>
  <c r="CL1228" i="1"/>
  <c r="CG1228" i="1"/>
  <c r="CF1228" i="1"/>
  <c r="CE1228" i="1"/>
  <c r="CQ1227" i="1"/>
  <c r="CP1227" i="1"/>
  <c r="CO1227" i="1"/>
  <c r="CN1227" i="1"/>
  <c r="CL1227" i="1"/>
  <c r="CG1227" i="1"/>
  <c r="CF1227" i="1"/>
  <c r="CE1227" i="1"/>
  <c r="CQ1226" i="1"/>
  <c r="CP1226" i="1"/>
  <c r="CO1226" i="1"/>
  <c r="CN1226" i="1"/>
  <c r="CL1226" i="1"/>
  <c r="CG1226" i="1"/>
  <c r="CF1226" i="1"/>
  <c r="CE1226" i="1"/>
  <c r="CQ1225" i="1"/>
  <c r="CP1225" i="1"/>
  <c r="CO1225" i="1"/>
  <c r="CN1225" i="1"/>
  <c r="CL1225" i="1"/>
  <c r="CG1225" i="1"/>
  <c r="CF1225" i="1"/>
  <c r="CE1225" i="1"/>
  <c r="CQ1224" i="1"/>
  <c r="CP1224" i="1"/>
  <c r="CO1224" i="1"/>
  <c r="CN1224" i="1"/>
  <c r="CL1224" i="1"/>
  <c r="CG1224" i="1"/>
  <c r="CF1224" i="1"/>
  <c r="CE1224" i="1"/>
  <c r="CQ1223" i="1"/>
  <c r="CP1223" i="1"/>
  <c r="CO1223" i="1"/>
  <c r="CN1223" i="1"/>
  <c r="CL1223" i="1"/>
  <c r="CG1223" i="1"/>
  <c r="CF1223" i="1"/>
  <c r="CE1223" i="1"/>
  <c r="CQ1222" i="1"/>
  <c r="CP1222" i="1"/>
  <c r="CO1222" i="1"/>
  <c r="CN1222" i="1"/>
  <c r="CL1222" i="1"/>
  <c r="CG1222" i="1"/>
  <c r="CF1222" i="1"/>
  <c r="CE1222" i="1"/>
  <c r="CQ1221" i="1"/>
  <c r="CP1221" i="1"/>
  <c r="CO1221" i="1"/>
  <c r="CN1221" i="1"/>
  <c r="CL1221" i="1"/>
  <c r="CG1221" i="1"/>
  <c r="CF1221" i="1"/>
  <c r="CE1221" i="1"/>
  <c r="CQ1220" i="1"/>
  <c r="CP1220" i="1"/>
  <c r="CO1220" i="1"/>
  <c r="CN1220" i="1"/>
  <c r="CL1220" i="1"/>
  <c r="CG1220" i="1"/>
  <c r="CF1220" i="1"/>
  <c r="CE1220" i="1"/>
  <c r="CQ1219" i="1"/>
  <c r="CP1219" i="1"/>
  <c r="CO1219" i="1"/>
  <c r="CN1219" i="1"/>
  <c r="CL1219" i="1"/>
  <c r="CG1219" i="1"/>
  <c r="CF1219" i="1"/>
  <c r="CE1219" i="1"/>
  <c r="CQ1218" i="1"/>
  <c r="CP1218" i="1"/>
  <c r="CO1218" i="1"/>
  <c r="CN1218" i="1"/>
  <c r="CL1218" i="1"/>
  <c r="CG1218" i="1"/>
  <c r="CF1218" i="1"/>
  <c r="CE1218" i="1"/>
  <c r="CQ1217" i="1"/>
  <c r="CP1217" i="1"/>
  <c r="CO1217" i="1"/>
  <c r="CN1217" i="1"/>
  <c r="CL1217" i="1"/>
  <c r="CG1217" i="1"/>
  <c r="CS1217" i="1" s="1"/>
  <c r="CF1217" i="1"/>
  <c r="CE1217" i="1"/>
  <c r="CQ1216" i="1"/>
  <c r="CP1216" i="1"/>
  <c r="CO1216" i="1"/>
  <c r="CN1216" i="1"/>
  <c r="CL1216" i="1"/>
  <c r="CG1216" i="1"/>
  <c r="CF1216" i="1"/>
  <c r="CE1216" i="1"/>
  <c r="CQ1215" i="1"/>
  <c r="CP1215" i="1"/>
  <c r="CO1215" i="1"/>
  <c r="CN1215" i="1"/>
  <c r="CL1215" i="1"/>
  <c r="CG1215" i="1"/>
  <c r="CF1215" i="1"/>
  <c r="CE1215" i="1"/>
  <c r="CQ1214" i="1"/>
  <c r="CP1214" i="1"/>
  <c r="CO1214" i="1"/>
  <c r="CN1214" i="1"/>
  <c r="CL1214" i="1"/>
  <c r="CG1214" i="1"/>
  <c r="CS1214" i="1" s="1"/>
  <c r="CF1214" i="1"/>
  <c r="CE1214" i="1"/>
  <c r="CQ1213" i="1"/>
  <c r="CP1213" i="1"/>
  <c r="CO1213" i="1"/>
  <c r="CN1213" i="1"/>
  <c r="CL1213" i="1"/>
  <c r="CG1213" i="1"/>
  <c r="CF1213" i="1"/>
  <c r="CE1213" i="1"/>
  <c r="CQ1212" i="1"/>
  <c r="CP1212" i="1"/>
  <c r="CO1212" i="1"/>
  <c r="CN1212" i="1"/>
  <c r="CL1212" i="1"/>
  <c r="CG1212" i="1"/>
  <c r="CF1212" i="1"/>
  <c r="CE1212" i="1"/>
  <c r="CQ1211" i="1"/>
  <c r="CP1211" i="1"/>
  <c r="CO1211" i="1"/>
  <c r="CN1211" i="1"/>
  <c r="CL1211" i="1"/>
  <c r="CG1211" i="1"/>
  <c r="CF1211" i="1"/>
  <c r="CE1211" i="1"/>
  <c r="CQ1210" i="1"/>
  <c r="CP1210" i="1"/>
  <c r="CO1210" i="1"/>
  <c r="CN1210" i="1"/>
  <c r="CL1210" i="1"/>
  <c r="CG1210" i="1"/>
  <c r="CF1210" i="1"/>
  <c r="CE1210" i="1"/>
  <c r="CQ1209" i="1"/>
  <c r="CP1209" i="1"/>
  <c r="CO1209" i="1"/>
  <c r="CN1209" i="1"/>
  <c r="CL1209" i="1"/>
  <c r="CG1209" i="1"/>
  <c r="CF1209" i="1"/>
  <c r="CE1209" i="1"/>
  <c r="CQ1208" i="1"/>
  <c r="CP1208" i="1"/>
  <c r="CO1208" i="1"/>
  <c r="CN1208" i="1"/>
  <c r="CL1208" i="1"/>
  <c r="CG1208" i="1"/>
  <c r="CF1208" i="1"/>
  <c r="CE1208" i="1"/>
  <c r="CQ1207" i="1"/>
  <c r="CP1207" i="1"/>
  <c r="CO1207" i="1"/>
  <c r="CN1207" i="1"/>
  <c r="CL1207" i="1"/>
  <c r="CG1207" i="1"/>
  <c r="CF1207" i="1"/>
  <c r="CE1207" i="1"/>
  <c r="CQ1206" i="1"/>
  <c r="CP1206" i="1"/>
  <c r="CO1206" i="1"/>
  <c r="CN1206" i="1"/>
  <c r="CL1206" i="1"/>
  <c r="CG1206" i="1"/>
  <c r="CF1206" i="1"/>
  <c r="CE1206" i="1"/>
  <c r="CQ1205" i="1"/>
  <c r="CP1205" i="1"/>
  <c r="CO1205" i="1"/>
  <c r="CN1205" i="1"/>
  <c r="CL1205" i="1"/>
  <c r="CG1205" i="1"/>
  <c r="CF1205" i="1"/>
  <c r="CE1205" i="1"/>
  <c r="CQ1204" i="1"/>
  <c r="CP1204" i="1"/>
  <c r="CO1204" i="1"/>
  <c r="CN1204" i="1"/>
  <c r="CL1204" i="1"/>
  <c r="CG1204" i="1"/>
  <c r="CF1204" i="1"/>
  <c r="CE1204" i="1"/>
  <c r="CQ1203" i="1"/>
  <c r="CP1203" i="1"/>
  <c r="CO1203" i="1"/>
  <c r="CN1203" i="1"/>
  <c r="CL1203" i="1"/>
  <c r="CG1203" i="1"/>
  <c r="CF1203" i="1"/>
  <c r="CE1203" i="1"/>
  <c r="CQ1202" i="1"/>
  <c r="CP1202" i="1"/>
  <c r="CO1202" i="1"/>
  <c r="CN1202" i="1"/>
  <c r="CL1202" i="1"/>
  <c r="CG1202" i="1"/>
  <c r="CS1202" i="1" s="1"/>
  <c r="CF1202" i="1"/>
  <c r="CE1202" i="1"/>
  <c r="CQ1201" i="1"/>
  <c r="CP1201" i="1"/>
  <c r="CO1201" i="1"/>
  <c r="CN1201" i="1"/>
  <c r="CL1201" i="1"/>
  <c r="CG1201" i="1"/>
  <c r="CF1201" i="1"/>
  <c r="CE1201" i="1"/>
  <c r="CQ1200" i="1"/>
  <c r="CP1200" i="1"/>
  <c r="CO1200" i="1"/>
  <c r="CN1200" i="1"/>
  <c r="CL1200" i="1"/>
  <c r="CG1200" i="1"/>
  <c r="CF1200" i="1"/>
  <c r="CE1200" i="1"/>
  <c r="CQ1199" i="1"/>
  <c r="CP1199" i="1"/>
  <c r="CO1199" i="1"/>
  <c r="CN1199" i="1"/>
  <c r="CL1199" i="1"/>
  <c r="CG1199" i="1"/>
  <c r="CF1199" i="1"/>
  <c r="CE1199" i="1"/>
  <c r="CQ1198" i="1"/>
  <c r="CP1198" i="1"/>
  <c r="CO1198" i="1"/>
  <c r="CN1198" i="1"/>
  <c r="CL1198" i="1"/>
  <c r="CG1198" i="1"/>
  <c r="CF1198" i="1"/>
  <c r="CE1198" i="1"/>
  <c r="CQ1197" i="1"/>
  <c r="CP1197" i="1"/>
  <c r="CO1197" i="1"/>
  <c r="CN1197" i="1"/>
  <c r="CL1197" i="1"/>
  <c r="CG1197" i="1"/>
  <c r="CF1197" i="1"/>
  <c r="CE1197" i="1"/>
  <c r="CQ1196" i="1"/>
  <c r="CP1196" i="1"/>
  <c r="CO1196" i="1"/>
  <c r="CN1196" i="1"/>
  <c r="CL1196" i="1"/>
  <c r="CG1196" i="1"/>
  <c r="CF1196" i="1"/>
  <c r="CE1196" i="1"/>
  <c r="CQ1195" i="1"/>
  <c r="CP1195" i="1"/>
  <c r="CO1195" i="1"/>
  <c r="CN1195" i="1"/>
  <c r="CL1195" i="1"/>
  <c r="CG1195" i="1"/>
  <c r="CF1195" i="1"/>
  <c r="CE1195" i="1"/>
  <c r="CQ1194" i="1"/>
  <c r="CP1194" i="1"/>
  <c r="CO1194" i="1"/>
  <c r="CN1194" i="1"/>
  <c r="CL1194" i="1"/>
  <c r="CG1194" i="1"/>
  <c r="CF1194" i="1"/>
  <c r="CE1194" i="1"/>
  <c r="CQ1193" i="1"/>
  <c r="CP1193" i="1"/>
  <c r="CO1193" i="1"/>
  <c r="CN1193" i="1"/>
  <c r="CL1193" i="1"/>
  <c r="CG1193" i="1"/>
  <c r="CF1193" i="1"/>
  <c r="CE1193" i="1"/>
  <c r="CQ1192" i="1"/>
  <c r="CP1192" i="1"/>
  <c r="CO1192" i="1"/>
  <c r="CN1192" i="1"/>
  <c r="CL1192" i="1"/>
  <c r="CG1192" i="1"/>
  <c r="CF1192" i="1"/>
  <c r="CE1192" i="1"/>
  <c r="CQ1191" i="1"/>
  <c r="CP1191" i="1"/>
  <c r="CO1191" i="1"/>
  <c r="CN1191" i="1"/>
  <c r="CL1191" i="1"/>
  <c r="CG1191" i="1"/>
  <c r="CF1191" i="1"/>
  <c r="CE1191" i="1"/>
  <c r="CQ1190" i="1"/>
  <c r="CP1190" i="1"/>
  <c r="CO1190" i="1"/>
  <c r="CN1190" i="1"/>
  <c r="CL1190" i="1"/>
  <c r="CG1190" i="1"/>
  <c r="CF1190" i="1"/>
  <c r="CE1190" i="1"/>
  <c r="CQ1189" i="1"/>
  <c r="CP1189" i="1"/>
  <c r="CO1189" i="1"/>
  <c r="CN1189" i="1"/>
  <c r="CL1189" i="1"/>
  <c r="CG1189" i="1"/>
  <c r="CF1189" i="1"/>
  <c r="CE1189" i="1"/>
  <c r="CQ1188" i="1"/>
  <c r="CP1188" i="1"/>
  <c r="CO1188" i="1"/>
  <c r="CN1188" i="1"/>
  <c r="CL1188" i="1"/>
  <c r="CG1188" i="1"/>
  <c r="CF1188" i="1"/>
  <c r="CE1188" i="1"/>
  <c r="CQ1187" i="1"/>
  <c r="CP1187" i="1"/>
  <c r="CO1187" i="1"/>
  <c r="CN1187" i="1"/>
  <c r="CL1187" i="1"/>
  <c r="CG1187" i="1"/>
  <c r="CF1187" i="1"/>
  <c r="CE1187" i="1"/>
  <c r="CQ1186" i="1"/>
  <c r="CP1186" i="1"/>
  <c r="CO1186" i="1"/>
  <c r="CN1186" i="1"/>
  <c r="CL1186" i="1"/>
  <c r="CG1186" i="1"/>
  <c r="CF1186" i="1"/>
  <c r="CE1186" i="1"/>
  <c r="CQ1185" i="1"/>
  <c r="CP1185" i="1"/>
  <c r="CO1185" i="1"/>
  <c r="CN1185" i="1"/>
  <c r="CL1185" i="1"/>
  <c r="CG1185" i="1"/>
  <c r="CF1185" i="1"/>
  <c r="CE1185" i="1"/>
  <c r="CQ1184" i="1"/>
  <c r="CP1184" i="1"/>
  <c r="CO1184" i="1"/>
  <c r="CN1184" i="1"/>
  <c r="CL1184" i="1"/>
  <c r="CG1184" i="1"/>
  <c r="CF1184" i="1"/>
  <c r="CE1184" i="1"/>
  <c r="CQ1183" i="1"/>
  <c r="CP1183" i="1"/>
  <c r="CO1183" i="1"/>
  <c r="CN1183" i="1"/>
  <c r="CL1183" i="1"/>
  <c r="CG1183" i="1"/>
  <c r="CF1183" i="1"/>
  <c r="CE1183" i="1"/>
  <c r="CQ1182" i="1"/>
  <c r="CP1182" i="1"/>
  <c r="CO1182" i="1"/>
  <c r="CN1182" i="1"/>
  <c r="CL1182" i="1"/>
  <c r="CG1182" i="1"/>
  <c r="CF1182" i="1"/>
  <c r="CE1182" i="1"/>
  <c r="CQ1181" i="1"/>
  <c r="CP1181" i="1"/>
  <c r="CO1181" i="1"/>
  <c r="CN1181" i="1"/>
  <c r="CL1181" i="1"/>
  <c r="CG1181" i="1"/>
  <c r="CF1181" i="1"/>
  <c r="CE1181" i="1"/>
  <c r="CQ1180" i="1"/>
  <c r="CP1180" i="1"/>
  <c r="CO1180" i="1"/>
  <c r="CN1180" i="1"/>
  <c r="CL1180" i="1"/>
  <c r="CG1180" i="1"/>
  <c r="CF1180" i="1"/>
  <c r="CE1180" i="1"/>
  <c r="CQ1179" i="1"/>
  <c r="CP1179" i="1"/>
  <c r="CO1179" i="1"/>
  <c r="CN1179" i="1"/>
  <c r="CL1179" i="1"/>
  <c r="CG1179" i="1"/>
  <c r="CF1179" i="1"/>
  <c r="CE1179" i="1"/>
  <c r="CQ1178" i="1"/>
  <c r="CP1178" i="1"/>
  <c r="CO1178" i="1"/>
  <c r="CN1178" i="1"/>
  <c r="CL1178" i="1"/>
  <c r="CG1178" i="1"/>
  <c r="CF1178" i="1"/>
  <c r="CE1178" i="1"/>
  <c r="CQ1177" i="1"/>
  <c r="CP1177" i="1"/>
  <c r="CO1177" i="1"/>
  <c r="CN1177" i="1"/>
  <c r="CL1177" i="1"/>
  <c r="CG1177" i="1"/>
  <c r="CF1177" i="1"/>
  <c r="CE1177" i="1"/>
  <c r="CQ1176" i="1"/>
  <c r="CP1176" i="1"/>
  <c r="CO1176" i="1"/>
  <c r="CN1176" i="1"/>
  <c r="CL1176" i="1"/>
  <c r="CG1176" i="1"/>
  <c r="CF1176" i="1"/>
  <c r="CE1176" i="1"/>
  <c r="CQ1175" i="1"/>
  <c r="CP1175" i="1"/>
  <c r="CO1175" i="1"/>
  <c r="CN1175" i="1"/>
  <c r="CL1175" i="1"/>
  <c r="CG1175" i="1"/>
  <c r="CF1175" i="1"/>
  <c r="CE1175" i="1"/>
  <c r="CQ1174" i="1"/>
  <c r="CP1174" i="1"/>
  <c r="CO1174" i="1"/>
  <c r="CN1174" i="1"/>
  <c r="CL1174" i="1"/>
  <c r="CG1174" i="1"/>
  <c r="CF1174" i="1"/>
  <c r="CE1174" i="1"/>
  <c r="CQ1173" i="1"/>
  <c r="CP1173" i="1"/>
  <c r="CO1173" i="1"/>
  <c r="CN1173" i="1"/>
  <c r="CL1173" i="1"/>
  <c r="CG1173" i="1"/>
  <c r="CF1173" i="1"/>
  <c r="CE1173" i="1"/>
  <c r="CQ1172" i="1"/>
  <c r="CP1172" i="1"/>
  <c r="CO1172" i="1"/>
  <c r="CN1172" i="1"/>
  <c r="CL1172" i="1"/>
  <c r="CG1172" i="1"/>
  <c r="CF1172" i="1"/>
  <c r="CE1172" i="1"/>
  <c r="CQ1171" i="1"/>
  <c r="CP1171" i="1"/>
  <c r="CO1171" i="1"/>
  <c r="CN1171" i="1"/>
  <c r="CL1171" i="1"/>
  <c r="CG1171" i="1"/>
  <c r="CF1171" i="1"/>
  <c r="CE1171" i="1"/>
  <c r="CQ1170" i="1"/>
  <c r="CP1170" i="1"/>
  <c r="CO1170" i="1"/>
  <c r="CN1170" i="1"/>
  <c r="CL1170" i="1"/>
  <c r="CG1170" i="1"/>
  <c r="CF1170" i="1"/>
  <c r="CE1170" i="1"/>
  <c r="CQ1169" i="1"/>
  <c r="CP1169" i="1"/>
  <c r="CO1169" i="1"/>
  <c r="CN1169" i="1"/>
  <c r="CL1169" i="1"/>
  <c r="CG1169" i="1"/>
  <c r="CF1169" i="1"/>
  <c r="CE1169" i="1"/>
  <c r="CQ1168" i="1"/>
  <c r="CP1168" i="1"/>
  <c r="CO1168" i="1"/>
  <c r="CN1168" i="1"/>
  <c r="CL1168" i="1"/>
  <c r="CG1168" i="1"/>
  <c r="CF1168" i="1"/>
  <c r="CE1168" i="1"/>
  <c r="CQ1167" i="1"/>
  <c r="CP1167" i="1"/>
  <c r="CO1167" i="1"/>
  <c r="CN1167" i="1"/>
  <c r="CL1167" i="1"/>
  <c r="CG1167" i="1"/>
  <c r="CF1167" i="1"/>
  <c r="CE1167" i="1"/>
  <c r="CQ1166" i="1"/>
  <c r="CP1166" i="1"/>
  <c r="CO1166" i="1"/>
  <c r="CN1166" i="1"/>
  <c r="CL1166" i="1"/>
  <c r="CG1166" i="1"/>
  <c r="CF1166" i="1"/>
  <c r="CE1166" i="1"/>
  <c r="CQ1165" i="1"/>
  <c r="CP1165" i="1"/>
  <c r="CO1165" i="1"/>
  <c r="CN1165" i="1"/>
  <c r="CL1165" i="1"/>
  <c r="CG1165" i="1"/>
  <c r="CF1165" i="1"/>
  <c r="CE1165" i="1"/>
  <c r="CQ1164" i="1"/>
  <c r="CP1164" i="1"/>
  <c r="CO1164" i="1"/>
  <c r="CN1164" i="1"/>
  <c r="CL1164" i="1"/>
  <c r="CG1164" i="1"/>
  <c r="CF1164" i="1"/>
  <c r="CE1164" i="1"/>
  <c r="CQ1163" i="1"/>
  <c r="CP1163" i="1"/>
  <c r="CO1163" i="1"/>
  <c r="CN1163" i="1"/>
  <c r="CL1163" i="1"/>
  <c r="CG1163" i="1"/>
  <c r="CF1163" i="1"/>
  <c r="CE1163" i="1"/>
  <c r="CQ1162" i="1"/>
  <c r="CP1162" i="1"/>
  <c r="CO1162" i="1"/>
  <c r="CN1162" i="1"/>
  <c r="CL1162" i="1"/>
  <c r="CG1162" i="1"/>
  <c r="CF1162" i="1"/>
  <c r="CE1162" i="1"/>
  <c r="CQ1161" i="1"/>
  <c r="CP1161" i="1"/>
  <c r="CO1161" i="1"/>
  <c r="CN1161" i="1"/>
  <c r="CL1161" i="1"/>
  <c r="CG1161" i="1"/>
  <c r="CF1161" i="1"/>
  <c r="CE1161" i="1"/>
  <c r="CQ1160" i="1"/>
  <c r="CP1160" i="1"/>
  <c r="CO1160" i="1"/>
  <c r="CN1160" i="1"/>
  <c r="CL1160" i="1"/>
  <c r="CG1160" i="1"/>
  <c r="CF1160" i="1"/>
  <c r="CE1160" i="1"/>
  <c r="CQ1159" i="1"/>
  <c r="CP1159" i="1"/>
  <c r="CO1159" i="1"/>
  <c r="CN1159" i="1"/>
  <c r="CL1159" i="1"/>
  <c r="CG1159" i="1"/>
  <c r="CF1159" i="1"/>
  <c r="CE1159" i="1"/>
  <c r="CQ1158" i="1"/>
  <c r="CP1158" i="1"/>
  <c r="CO1158" i="1"/>
  <c r="CN1158" i="1"/>
  <c r="CL1158" i="1"/>
  <c r="CG1158" i="1"/>
  <c r="CF1158" i="1"/>
  <c r="CE1158" i="1"/>
  <c r="CQ1157" i="1"/>
  <c r="CP1157" i="1"/>
  <c r="CO1157" i="1"/>
  <c r="CN1157" i="1"/>
  <c r="CL1157" i="1"/>
  <c r="CG1157" i="1"/>
  <c r="CF1157" i="1"/>
  <c r="CE1157" i="1"/>
  <c r="CQ1156" i="1"/>
  <c r="CP1156" i="1"/>
  <c r="CO1156" i="1"/>
  <c r="CN1156" i="1"/>
  <c r="CL1156" i="1"/>
  <c r="CG1156" i="1"/>
  <c r="CF1156" i="1"/>
  <c r="CE1156" i="1"/>
  <c r="CQ1155" i="1"/>
  <c r="CP1155" i="1"/>
  <c r="CO1155" i="1"/>
  <c r="CN1155" i="1"/>
  <c r="CL1155" i="1"/>
  <c r="CG1155" i="1"/>
  <c r="CF1155" i="1"/>
  <c r="CE1155" i="1"/>
  <c r="CQ1154" i="1"/>
  <c r="CP1154" i="1"/>
  <c r="CO1154" i="1"/>
  <c r="CN1154" i="1"/>
  <c r="CL1154" i="1"/>
  <c r="CG1154" i="1"/>
  <c r="CF1154" i="1"/>
  <c r="CE1154" i="1"/>
  <c r="CQ1153" i="1"/>
  <c r="CP1153" i="1"/>
  <c r="CO1153" i="1"/>
  <c r="CN1153" i="1"/>
  <c r="CL1153" i="1"/>
  <c r="CG1153" i="1"/>
  <c r="CF1153" i="1"/>
  <c r="CE1153" i="1"/>
  <c r="CQ1152" i="1"/>
  <c r="CP1152" i="1"/>
  <c r="CO1152" i="1"/>
  <c r="CN1152" i="1"/>
  <c r="CL1152" i="1"/>
  <c r="CG1152" i="1"/>
  <c r="CF1152" i="1"/>
  <c r="CE1152" i="1"/>
  <c r="CQ1151" i="1"/>
  <c r="CP1151" i="1"/>
  <c r="CO1151" i="1"/>
  <c r="CN1151" i="1"/>
  <c r="CL1151" i="1"/>
  <c r="CG1151" i="1"/>
  <c r="CF1151" i="1"/>
  <c r="CE1151" i="1"/>
  <c r="CQ1150" i="1"/>
  <c r="CP1150" i="1"/>
  <c r="CO1150" i="1"/>
  <c r="CN1150" i="1"/>
  <c r="CL1150" i="1"/>
  <c r="CG1150" i="1"/>
  <c r="CF1150" i="1"/>
  <c r="CE1150" i="1"/>
  <c r="CQ1149" i="1"/>
  <c r="CP1149" i="1"/>
  <c r="CO1149" i="1"/>
  <c r="CN1149" i="1"/>
  <c r="CL1149" i="1"/>
  <c r="CG1149" i="1"/>
  <c r="CF1149" i="1"/>
  <c r="CE1149" i="1"/>
  <c r="CQ1148" i="1"/>
  <c r="CP1148" i="1"/>
  <c r="CO1148" i="1"/>
  <c r="CN1148" i="1"/>
  <c r="CL1148" i="1"/>
  <c r="CG1148" i="1"/>
  <c r="CF1148" i="1"/>
  <c r="CE1148" i="1"/>
  <c r="CQ1147" i="1"/>
  <c r="CP1147" i="1"/>
  <c r="CO1147" i="1"/>
  <c r="CN1147" i="1"/>
  <c r="CL1147" i="1"/>
  <c r="CG1147" i="1"/>
  <c r="CF1147" i="1"/>
  <c r="CE1147" i="1"/>
  <c r="CQ1146" i="1"/>
  <c r="CP1146" i="1"/>
  <c r="CO1146" i="1"/>
  <c r="CN1146" i="1"/>
  <c r="CL1146" i="1"/>
  <c r="CG1146" i="1"/>
  <c r="CF1146" i="1"/>
  <c r="CE1146" i="1"/>
  <c r="CQ1145" i="1"/>
  <c r="CP1145" i="1"/>
  <c r="CO1145" i="1"/>
  <c r="CN1145" i="1"/>
  <c r="CL1145" i="1"/>
  <c r="CG1145" i="1"/>
  <c r="CF1145" i="1"/>
  <c r="CE1145" i="1"/>
  <c r="CQ1144" i="1"/>
  <c r="CP1144" i="1"/>
  <c r="CO1144" i="1"/>
  <c r="CN1144" i="1"/>
  <c r="CL1144" i="1"/>
  <c r="CG1144" i="1"/>
  <c r="CF1144" i="1"/>
  <c r="CE1144" i="1"/>
  <c r="CQ1143" i="1"/>
  <c r="CP1143" i="1"/>
  <c r="CO1143" i="1"/>
  <c r="CN1143" i="1"/>
  <c r="CL1143" i="1"/>
  <c r="CG1143" i="1"/>
  <c r="CF1143" i="1"/>
  <c r="CE1143" i="1"/>
  <c r="CQ1142" i="1"/>
  <c r="CP1142" i="1"/>
  <c r="CO1142" i="1"/>
  <c r="CN1142" i="1"/>
  <c r="CL1142" i="1"/>
  <c r="CG1142" i="1"/>
  <c r="CF1142" i="1"/>
  <c r="CE1142" i="1"/>
  <c r="CQ1141" i="1"/>
  <c r="CP1141" i="1"/>
  <c r="CO1141" i="1"/>
  <c r="CN1141" i="1"/>
  <c r="CL1141" i="1"/>
  <c r="CG1141" i="1"/>
  <c r="CF1141" i="1"/>
  <c r="CE1141" i="1"/>
  <c r="CQ1140" i="1"/>
  <c r="CP1140" i="1"/>
  <c r="CO1140" i="1"/>
  <c r="CN1140" i="1"/>
  <c r="CL1140" i="1"/>
  <c r="CG1140" i="1"/>
  <c r="CF1140" i="1"/>
  <c r="CE1140" i="1"/>
  <c r="CQ1139" i="1"/>
  <c r="CP1139" i="1"/>
  <c r="CO1139" i="1"/>
  <c r="CN1139" i="1"/>
  <c r="CL1139" i="1"/>
  <c r="CG1139" i="1"/>
  <c r="CF1139" i="1"/>
  <c r="CE1139" i="1"/>
  <c r="CQ1138" i="1"/>
  <c r="CP1138" i="1"/>
  <c r="CO1138" i="1"/>
  <c r="CN1138" i="1"/>
  <c r="CL1138" i="1"/>
  <c r="CG1138" i="1"/>
  <c r="CF1138" i="1"/>
  <c r="CE1138" i="1"/>
  <c r="CQ1137" i="1"/>
  <c r="CP1137" i="1"/>
  <c r="CO1137" i="1"/>
  <c r="CN1137" i="1"/>
  <c r="CL1137" i="1"/>
  <c r="CG1137" i="1"/>
  <c r="CF1137" i="1"/>
  <c r="CE1137" i="1"/>
  <c r="CQ1136" i="1"/>
  <c r="CP1136" i="1"/>
  <c r="CO1136" i="1"/>
  <c r="CN1136" i="1"/>
  <c r="CL1136" i="1"/>
  <c r="CG1136" i="1"/>
  <c r="CF1136" i="1"/>
  <c r="CE1136" i="1"/>
  <c r="CQ1135" i="1"/>
  <c r="CP1135" i="1"/>
  <c r="CO1135" i="1"/>
  <c r="CN1135" i="1"/>
  <c r="CL1135" i="1"/>
  <c r="CG1135" i="1"/>
  <c r="CF1135" i="1"/>
  <c r="CE1135" i="1"/>
  <c r="CQ1134" i="1"/>
  <c r="CP1134" i="1"/>
  <c r="CO1134" i="1"/>
  <c r="CN1134" i="1"/>
  <c r="CL1134" i="1"/>
  <c r="CG1134" i="1"/>
  <c r="CF1134" i="1"/>
  <c r="CE1134" i="1"/>
  <c r="CQ1133" i="1"/>
  <c r="CP1133" i="1"/>
  <c r="CO1133" i="1"/>
  <c r="CN1133" i="1"/>
  <c r="CL1133" i="1"/>
  <c r="CG1133" i="1"/>
  <c r="CF1133" i="1"/>
  <c r="CE1133" i="1"/>
  <c r="CQ1132" i="1"/>
  <c r="CP1132" i="1"/>
  <c r="CO1132" i="1"/>
  <c r="CN1132" i="1"/>
  <c r="CL1132" i="1"/>
  <c r="CG1132" i="1"/>
  <c r="CF1132" i="1"/>
  <c r="CE1132" i="1"/>
  <c r="CQ1131" i="1"/>
  <c r="CP1131" i="1"/>
  <c r="CO1131" i="1"/>
  <c r="CN1131" i="1"/>
  <c r="CL1131" i="1"/>
  <c r="CG1131" i="1"/>
  <c r="CF1131" i="1"/>
  <c r="CE1131" i="1"/>
  <c r="CQ1130" i="1"/>
  <c r="CP1130" i="1"/>
  <c r="CO1130" i="1"/>
  <c r="CN1130" i="1"/>
  <c r="CL1130" i="1"/>
  <c r="CG1130" i="1"/>
  <c r="CF1130" i="1"/>
  <c r="CE1130" i="1"/>
  <c r="CQ1129" i="1"/>
  <c r="CP1129" i="1"/>
  <c r="CO1129" i="1"/>
  <c r="CN1129" i="1"/>
  <c r="CL1129" i="1"/>
  <c r="CG1129" i="1"/>
  <c r="CF1129" i="1"/>
  <c r="CE1129" i="1"/>
  <c r="CQ1128" i="1"/>
  <c r="CP1128" i="1"/>
  <c r="CO1128" i="1"/>
  <c r="CN1128" i="1"/>
  <c r="CL1128" i="1"/>
  <c r="CG1128" i="1"/>
  <c r="CF1128" i="1"/>
  <c r="CE1128" i="1"/>
  <c r="CQ1127" i="1"/>
  <c r="CP1127" i="1"/>
  <c r="CO1127" i="1"/>
  <c r="CN1127" i="1"/>
  <c r="CL1127" i="1"/>
  <c r="CG1127" i="1"/>
  <c r="CF1127" i="1"/>
  <c r="CE1127" i="1"/>
  <c r="CQ1126" i="1"/>
  <c r="CP1126" i="1"/>
  <c r="CO1126" i="1"/>
  <c r="CN1126" i="1"/>
  <c r="CL1126" i="1"/>
  <c r="CG1126" i="1"/>
  <c r="CF1126" i="1"/>
  <c r="CE1126" i="1"/>
  <c r="CQ1125" i="1"/>
  <c r="CP1125" i="1"/>
  <c r="CO1125" i="1"/>
  <c r="CN1125" i="1"/>
  <c r="CL1125" i="1"/>
  <c r="CG1125" i="1"/>
  <c r="CF1125" i="1"/>
  <c r="CE1125" i="1"/>
  <c r="CQ1124" i="1"/>
  <c r="CP1124" i="1"/>
  <c r="CO1124" i="1"/>
  <c r="CN1124" i="1"/>
  <c r="CL1124" i="1"/>
  <c r="CG1124" i="1"/>
  <c r="CF1124" i="1"/>
  <c r="CE1124" i="1"/>
  <c r="CQ1123" i="1"/>
  <c r="CP1123" i="1"/>
  <c r="CO1123" i="1"/>
  <c r="CN1123" i="1"/>
  <c r="CL1123" i="1"/>
  <c r="CG1123" i="1"/>
  <c r="CF1123" i="1"/>
  <c r="CE1123" i="1"/>
  <c r="CQ1122" i="1"/>
  <c r="CP1122" i="1"/>
  <c r="CO1122" i="1"/>
  <c r="CN1122" i="1"/>
  <c r="CL1122" i="1"/>
  <c r="CG1122" i="1"/>
  <c r="CF1122" i="1"/>
  <c r="CE1122" i="1"/>
  <c r="CQ1121" i="1"/>
  <c r="CP1121" i="1"/>
  <c r="CO1121" i="1"/>
  <c r="CN1121" i="1"/>
  <c r="CL1121" i="1"/>
  <c r="CG1121" i="1"/>
  <c r="CF1121" i="1"/>
  <c r="CE1121" i="1"/>
  <c r="CQ1120" i="1"/>
  <c r="CP1120" i="1"/>
  <c r="CO1120" i="1"/>
  <c r="CN1120" i="1"/>
  <c r="CL1120" i="1"/>
  <c r="CG1120" i="1"/>
  <c r="CF1120" i="1"/>
  <c r="CE1120" i="1"/>
  <c r="CQ1119" i="1"/>
  <c r="CP1119" i="1"/>
  <c r="CO1119" i="1"/>
  <c r="CN1119" i="1"/>
  <c r="CL1119" i="1"/>
  <c r="CG1119" i="1"/>
  <c r="CF1119" i="1"/>
  <c r="CE1119" i="1"/>
  <c r="CQ1118" i="1"/>
  <c r="CP1118" i="1"/>
  <c r="CO1118" i="1"/>
  <c r="CN1118" i="1"/>
  <c r="CL1118" i="1"/>
  <c r="CG1118" i="1"/>
  <c r="CF1118" i="1"/>
  <c r="CE1118" i="1"/>
  <c r="CQ1117" i="1"/>
  <c r="CP1117" i="1"/>
  <c r="CO1117" i="1"/>
  <c r="CN1117" i="1"/>
  <c r="CL1117" i="1"/>
  <c r="CG1117" i="1"/>
  <c r="CF1117" i="1"/>
  <c r="CE1117" i="1"/>
  <c r="CQ1116" i="1"/>
  <c r="CP1116" i="1"/>
  <c r="CO1116" i="1"/>
  <c r="CN1116" i="1"/>
  <c r="CL1116" i="1"/>
  <c r="CG1116" i="1"/>
  <c r="CF1116" i="1"/>
  <c r="CE1116" i="1"/>
  <c r="CQ1115" i="1"/>
  <c r="CP1115" i="1"/>
  <c r="CO1115" i="1"/>
  <c r="CN1115" i="1"/>
  <c r="CL1115" i="1"/>
  <c r="CG1115" i="1"/>
  <c r="CF1115" i="1"/>
  <c r="CE1115" i="1"/>
  <c r="CQ1114" i="1"/>
  <c r="CP1114" i="1"/>
  <c r="CO1114" i="1"/>
  <c r="CN1114" i="1"/>
  <c r="CL1114" i="1"/>
  <c r="CG1114" i="1"/>
  <c r="CF1114" i="1"/>
  <c r="CE1114" i="1"/>
  <c r="CQ1113" i="1"/>
  <c r="CP1113" i="1"/>
  <c r="CO1113" i="1"/>
  <c r="CN1113" i="1"/>
  <c r="CL1113" i="1"/>
  <c r="CG1113" i="1"/>
  <c r="CF1113" i="1"/>
  <c r="CE1113" i="1"/>
  <c r="CQ1112" i="1"/>
  <c r="CP1112" i="1"/>
  <c r="CO1112" i="1"/>
  <c r="CN1112" i="1"/>
  <c r="CL1112" i="1"/>
  <c r="CG1112" i="1"/>
  <c r="CF1112" i="1"/>
  <c r="CE1112" i="1"/>
  <c r="CQ1111" i="1"/>
  <c r="CP1111" i="1"/>
  <c r="CO1111" i="1"/>
  <c r="CN1111" i="1"/>
  <c r="CL1111" i="1"/>
  <c r="CG1111" i="1"/>
  <c r="CF1111" i="1"/>
  <c r="CE1111" i="1"/>
  <c r="CQ1110" i="1"/>
  <c r="CP1110" i="1"/>
  <c r="CO1110" i="1"/>
  <c r="CN1110" i="1"/>
  <c r="CL1110" i="1"/>
  <c r="CG1110" i="1"/>
  <c r="CF1110" i="1"/>
  <c r="CE1110" i="1"/>
  <c r="CQ1109" i="1"/>
  <c r="CP1109" i="1"/>
  <c r="CO1109" i="1"/>
  <c r="CN1109" i="1"/>
  <c r="CL1109" i="1"/>
  <c r="CG1109" i="1"/>
  <c r="CF1109" i="1"/>
  <c r="CE1109" i="1"/>
  <c r="CQ1108" i="1"/>
  <c r="CP1108" i="1"/>
  <c r="CO1108" i="1"/>
  <c r="CN1108" i="1"/>
  <c r="CL1108" i="1"/>
  <c r="CG1108" i="1"/>
  <c r="CF1108" i="1"/>
  <c r="CE1108" i="1"/>
  <c r="CQ1107" i="1"/>
  <c r="CP1107" i="1"/>
  <c r="CO1107" i="1"/>
  <c r="CN1107" i="1"/>
  <c r="CL1107" i="1"/>
  <c r="CG1107" i="1"/>
  <c r="CF1107" i="1"/>
  <c r="CE1107" i="1"/>
  <c r="CQ1106" i="1"/>
  <c r="CP1106" i="1"/>
  <c r="CO1106" i="1"/>
  <c r="CN1106" i="1"/>
  <c r="CL1106" i="1"/>
  <c r="CG1106" i="1"/>
  <c r="CF1106" i="1"/>
  <c r="CE1106" i="1"/>
  <c r="CQ1105" i="1"/>
  <c r="CP1105" i="1"/>
  <c r="CO1105" i="1"/>
  <c r="CN1105" i="1"/>
  <c r="CL1105" i="1"/>
  <c r="CG1105" i="1"/>
  <c r="CF1105" i="1"/>
  <c r="CE1105" i="1"/>
  <c r="CQ1104" i="1"/>
  <c r="CP1104" i="1"/>
  <c r="CO1104" i="1"/>
  <c r="CN1104" i="1"/>
  <c r="CL1104" i="1"/>
  <c r="CG1104" i="1"/>
  <c r="CF1104" i="1"/>
  <c r="CE1104" i="1"/>
  <c r="CQ1103" i="1"/>
  <c r="CP1103" i="1"/>
  <c r="CO1103" i="1"/>
  <c r="CN1103" i="1"/>
  <c r="CL1103" i="1"/>
  <c r="CG1103" i="1"/>
  <c r="CF1103" i="1"/>
  <c r="CE1103" i="1"/>
  <c r="CQ1102" i="1"/>
  <c r="CP1102" i="1"/>
  <c r="CO1102" i="1"/>
  <c r="CN1102" i="1"/>
  <c r="CL1102" i="1"/>
  <c r="CG1102" i="1"/>
  <c r="CF1102" i="1"/>
  <c r="CE1102" i="1"/>
  <c r="CQ1101" i="1"/>
  <c r="CP1101" i="1"/>
  <c r="CO1101" i="1"/>
  <c r="CN1101" i="1"/>
  <c r="CL1101" i="1"/>
  <c r="CG1101" i="1"/>
  <c r="CF1101" i="1"/>
  <c r="CE1101" i="1"/>
  <c r="CQ1100" i="1"/>
  <c r="CP1100" i="1"/>
  <c r="CO1100" i="1"/>
  <c r="CN1100" i="1"/>
  <c r="CL1100" i="1"/>
  <c r="CG1100" i="1"/>
  <c r="CF1100" i="1"/>
  <c r="CE1100" i="1"/>
  <c r="CQ1099" i="1"/>
  <c r="CP1099" i="1"/>
  <c r="CO1099" i="1"/>
  <c r="CN1099" i="1"/>
  <c r="CL1099" i="1"/>
  <c r="CG1099" i="1"/>
  <c r="CF1099" i="1"/>
  <c r="CE1099" i="1"/>
  <c r="CQ1098" i="1"/>
  <c r="CP1098" i="1"/>
  <c r="CO1098" i="1"/>
  <c r="CN1098" i="1"/>
  <c r="CL1098" i="1"/>
  <c r="CG1098" i="1"/>
  <c r="CF1098" i="1"/>
  <c r="CE1098" i="1"/>
  <c r="CQ1097" i="1"/>
  <c r="CP1097" i="1"/>
  <c r="CO1097" i="1"/>
  <c r="CN1097" i="1"/>
  <c r="CL1097" i="1"/>
  <c r="CG1097" i="1"/>
  <c r="CF1097" i="1"/>
  <c r="CE1097" i="1"/>
  <c r="CQ1096" i="1"/>
  <c r="CP1096" i="1"/>
  <c r="CO1096" i="1"/>
  <c r="CN1096" i="1"/>
  <c r="CL1096" i="1"/>
  <c r="CG1096" i="1"/>
  <c r="CF1096" i="1"/>
  <c r="CE1096" i="1"/>
  <c r="CQ1095" i="1"/>
  <c r="CP1095" i="1"/>
  <c r="CO1095" i="1"/>
  <c r="CN1095" i="1"/>
  <c r="CL1095" i="1"/>
  <c r="CG1095" i="1"/>
  <c r="CF1095" i="1"/>
  <c r="CE1095" i="1"/>
  <c r="CQ1094" i="1"/>
  <c r="CP1094" i="1"/>
  <c r="CO1094" i="1"/>
  <c r="CN1094" i="1"/>
  <c r="CL1094" i="1"/>
  <c r="CG1094" i="1"/>
  <c r="CF1094" i="1"/>
  <c r="CE1094" i="1"/>
  <c r="CQ1093" i="1"/>
  <c r="CP1093" i="1"/>
  <c r="CO1093" i="1"/>
  <c r="CN1093" i="1"/>
  <c r="CL1093" i="1"/>
  <c r="CG1093" i="1"/>
  <c r="CF1093" i="1"/>
  <c r="CE1093" i="1"/>
  <c r="CQ1092" i="1"/>
  <c r="CP1092" i="1"/>
  <c r="CO1092" i="1"/>
  <c r="CN1092" i="1"/>
  <c r="CL1092" i="1"/>
  <c r="CG1092" i="1"/>
  <c r="CF1092" i="1"/>
  <c r="CE1092" i="1"/>
  <c r="CQ1091" i="1"/>
  <c r="CP1091" i="1"/>
  <c r="CO1091" i="1"/>
  <c r="CN1091" i="1"/>
  <c r="CL1091" i="1"/>
  <c r="CG1091" i="1"/>
  <c r="CF1091" i="1"/>
  <c r="CE1091" i="1"/>
  <c r="CQ1090" i="1"/>
  <c r="CP1090" i="1"/>
  <c r="CO1090" i="1"/>
  <c r="CN1090" i="1"/>
  <c r="CL1090" i="1"/>
  <c r="CG1090" i="1"/>
  <c r="CF1090" i="1"/>
  <c r="CE1090" i="1"/>
  <c r="CQ1089" i="1"/>
  <c r="CP1089" i="1"/>
  <c r="CO1089" i="1"/>
  <c r="CN1089" i="1"/>
  <c r="CL1089" i="1"/>
  <c r="CG1089" i="1"/>
  <c r="CF1089" i="1"/>
  <c r="CE1089" i="1"/>
  <c r="CQ1088" i="1"/>
  <c r="CP1088" i="1"/>
  <c r="CO1088" i="1"/>
  <c r="CN1088" i="1"/>
  <c r="CL1088" i="1"/>
  <c r="CG1088" i="1"/>
  <c r="CF1088" i="1"/>
  <c r="CE1088" i="1"/>
  <c r="CQ1087" i="1"/>
  <c r="CP1087" i="1"/>
  <c r="CO1087" i="1"/>
  <c r="CN1087" i="1"/>
  <c r="CL1087" i="1"/>
  <c r="CG1087" i="1"/>
  <c r="CF1087" i="1"/>
  <c r="CE1087" i="1"/>
  <c r="CQ1086" i="1"/>
  <c r="CP1086" i="1"/>
  <c r="CO1086" i="1"/>
  <c r="CN1086" i="1"/>
  <c r="CL1086" i="1"/>
  <c r="CG1086" i="1"/>
  <c r="CF1086" i="1"/>
  <c r="CE1086" i="1"/>
  <c r="CQ1085" i="1"/>
  <c r="CP1085" i="1"/>
  <c r="CO1085" i="1"/>
  <c r="CN1085" i="1"/>
  <c r="CL1085" i="1"/>
  <c r="CG1085" i="1"/>
  <c r="CF1085" i="1"/>
  <c r="CE1085" i="1"/>
  <c r="CQ1084" i="1"/>
  <c r="CP1084" i="1"/>
  <c r="CO1084" i="1"/>
  <c r="CN1084" i="1"/>
  <c r="CL1084" i="1"/>
  <c r="CG1084" i="1"/>
  <c r="CF1084" i="1"/>
  <c r="CE1084" i="1"/>
  <c r="CQ1083" i="1"/>
  <c r="CP1083" i="1"/>
  <c r="CO1083" i="1"/>
  <c r="CN1083" i="1"/>
  <c r="CL1083" i="1"/>
  <c r="CG1083" i="1"/>
  <c r="CF1083" i="1"/>
  <c r="CE1083" i="1"/>
  <c r="CQ1082" i="1"/>
  <c r="CP1082" i="1"/>
  <c r="CO1082" i="1"/>
  <c r="CN1082" i="1"/>
  <c r="CL1082" i="1"/>
  <c r="CG1082" i="1"/>
  <c r="CF1082" i="1"/>
  <c r="CE1082" i="1"/>
  <c r="CQ1081" i="1"/>
  <c r="CP1081" i="1"/>
  <c r="CO1081" i="1"/>
  <c r="CN1081" i="1"/>
  <c r="CL1081" i="1"/>
  <c r="CG1081" i="1"/>
  <c r="CF1081" i="1"/>
  <c r="CE1081" i="1"/>
  <c r="CQ1080" i="1"/>
  <c r="CP1080" i="1"/>
  <c r="CO1080" i="1"/>
  <c r="CN1080" i="1"/>
  <c r="CL1080" i="1"/>
  <c r="CG1080" i="1"/>
  <c r="CF1080" i="1"/>
  <c r="CE1080" i="1"/>
  <c r="CQ1079" i="1"/>
  <c r="CP1079" i="1"/>
  <c r="CO1079" i="1"/>
  <c r="CN1079" i="1"/>
  <c r="CL1079" i="1"/>
  <c r="CG1079" i="1"/>
  <c r="CF1079" i="1"/>
  <c r="CE1079" i="1"/>
  <c r="CQ1078" i="1"/>
  <c r="CP1078" i="1"/>
  <c r="CO1078" i="1"/>
  <c r="CN1078" i="1"/>
  <c r="CL1078" i="1"/>
  <c r="CG1078" i="1"/>
  <c r="CF1078" i="1"/>
  <c r="CE1078" i="1"/>
  <c r="CQ1077" i="1"/>
  <c r="CP1077" i="1"/>
  <c r="CO1077" i="1"/>
  <c r="CN1077" i="1"/>
  <c r="CL1077" i="1"/>
  <c r="CG1077" i="1"/>
  <c r="CF1077" i="1"/>
  <c r="CE1077" i="1"/>
  <c r="CQ1076" i="1"/>
  <c r="CP1076" i="1"/>
  <c r="CO1076" i="1"/>
  <c r="CN1076" i="1"/>
  <c r="CL1076" i="1"/>
  <c r="CG1076" i="1"/>
  <c r="CF1076" i="1"/>
  <c r="CE1076" i="1"/>
  <c r="CQ1075" i="1"/>
  <c r="CP1075" i="1"/>
  <c r="CO1075" i="1"/>
  <c r="CN1075" i="1"/>
  <c r="CL1075" i="1"/>
  <c r="CG1075" i="1"/>
  <c r="CF1075" i="1"/>
  <c r="CE1075" i="1"/>
  <c r="CQ1074" i="1"/>
  <c r="CP1074" i="1"/>
  <c r="CO1074" i="1"/>
  <c r="CN1074" i="1"/>
  <c r="CL1074" i="1"/>
  <c r="CG1074" i="1"/>
  <c r="CF1074" i="1"/>
  <c r="CE1074" i="1"/>
  <c r="CQ1073" i="1"/>
  <c r="CP1073" i="1"/>
  <c r="CO1073" i="1"/>
  <c r="CN1073" i="1"/>
  <c r="CL1073" i="1"/>
  <c r="CG1073" i="1"/>
  <c r="CF1073" i="1"/>
  <c r="CE1073" i="1"/>
  <c r="CQ1072" i="1"/>
  <c r="CP1072" i="1"/>
  <c r="CO1072" i="1"/>
  <c r="CN1072" i="1"/>
  <c r="CL1072" i="1"/>
  <c r="CG1072" i="1"/>
  <c r="CF1072" i="1"/>
  <c r="CE1072" i="1"/>
  <c r="CQ1071" i="1"/>
  <c r="CP1071" i="1"/>
  <c r="CO1071" i="1"/>
  <c r="CN1071" i="1"/>
  <c r="CL1071" i="1"/>
  <c r="CG1071" i="1"/>
  <c r="CF1071" i="1"/>
  <c r="CE1071" i="1"/>
  <c r="CQ1070" i="1"/>
  <c r="CP1070" i="1"/>
  <c r="CO1070" i="1"/>
  <c r="CN1070" i="1"/>
  <c r="CL1070" i="1"/>
  <c r="CG1070" i="1"/>
  <c r="CF1070" i="1"/>
  <c r="CE1070" i="1"/>
  <c r="CQ1069" i="1"/>
  <c r="CP1069" i="1"/>
  <c r="CO1069" i="1"/>
  <c r="CN1069" i="1"/>
  <c r="CL1069" i="1"/>
  <c r="CG1069" i="1"/>
  <c r="CF1069" i="1"/>
  <c r="CE1069" i="1"/>
  <c r="CQ1068" i="1"/>
  <c r="CP1068" i="1"/>
  <c r="CO1068" i="1"/>
  <c r="CN1068" i="1"/>
  <c r="CL1068" i="1"/>
  <c r="CG1068" i="1"/>
  <c r="CF1068" i="1"/>
  <c r="CE1068" i="1"/>
  <c r="CQ1067" i="1"/>
  <c r="CP1067" i="1"/>
  <c r="CO1067" i="1"/>
  <c r="CN1067" i="1"/>
  <c r="CL1067" i="1"/>
  <c r="CG1067" i="1"/>
  <c r="CF1067" i="1"/>
  <c r="CE1067" i="1"/>
  <c r="CQ1066" i="1"/>
  <c r="CP1066" i="1"/>
  <c r="CO1066" i="1"/>
  <c r="CN1066" i="1"/>
  <c r="CL1066" i="1"/>
  <c r="CG1066" i="1"/>
  <c r="CF1066" i="1"/>
  <c r="CE1066" i="1"/>
  <c r="CQ1065" i="1"/>
  <c r="CP1065" i="1"/>
  <c r="CO1065" i="1"/>
  <c r="CN1065" i="1"/>
  <c r="CL1065" i="1"/>
  <c r="CG1065" i="1"/>
  <c r="CF1065" i="1"/>
  <c r="CE1065" i="1"/>
  <c r="CQ1064" i="1"/>
  <c r="CP1064" i="1"/>
  <c r="CO1064" i="1"/>
  <c r="CN1064" i="1"/>
  <c r="CL1064" i="1"/>
  <c r="CG1064" i="1"/>
  <c r="CF1064" i="1"/>
  <c r="CE1064" i="1"/>
  <c r="CQ1063" i="1"/>
  <c r="CP1063" i="1"/>
  <c r="CO1063" i="1"/>
  <c r="CN1063" i="1"/>
  <c r="CL1063" i="1"/>
  <c r="CG1063" i="1"/>
  <c r="CF1063" i="1"/>
  <c r="CE1063" i="1"/>
  <c r="CQ1062" i="1"/>
  <c r="CP1062" i="1"/>
  <c r="CO1062" i="1"/>
  <c r="CN1062" i="1"/>
  <c r="CL1062" i="1"/>
  <c r="CG1062" i="1"/>
  <c r="CF1062" i="1"/>
  <c r="CE1062" i="1"/>
  <c r="CQ1061" i="1"/>
  <c r="CP1061" i="1"/>
  <c r="CO1061" i="1"/>
  <c r="CN1061" i="1"/>
  <c r="CL1061" i="1"/>
  <c r="CG1061" i="1"/>
  <c r="CF1061" i="1"/>
  <c r="CE1061" i="1"/>
  <c r="CQ1060" i="1"/>
  <c r="CP1060" i="1"/>
  <c r="CO1060" i="1"/>
  <c r="CN1060" i="1"/>
  <c r="CL1060" i="1"/>
  <c r="CG1060" i="1"/>
  <c r="CF1060" i="1"/>
  <c r="CE1060" i="1"/>
  <c r="CQ1059" i="1"/>
  <c r="CP1059" i="1"/>
  <c r="CO1059" i="1"/>
  <c r="CN1059" i="1"/>
  <c r="CL1059" i="1"/>
  <c r="CG1059" i="1"/>
  <c r="CF1059" i="1"/>
  <c r="CE1059" i="1"/>
  <c r="CQ1058" i="1"/>
  <c r="CP1058" i="1"/>
  <c r="CO1058" i="1"/>
  <c r="CN1058" i="1"/>
  <c r="CL1058" i="1"/>
  <c r="CG1058" i="1"/>
  <c r="CF1058" i="1"/>
  <c r="CE1058" i="1"/>
  <c r="CQ1057" i="1"/>
  <c r="CP1057" i="1"/>
  <c r="CO1057" i="1"/>
  <c r="CN1057" i="1"/>
  <c r="CL1057" i="1"/>
  <c r="CG1057" i="1"/>
  <c r="CF1057" i="1"/>
  <c r="CE1057" i="1"/>
  <c r="CQ1056" i="1"/>
  <c r="CP1056" i="1"/>
  <c r="CO1056" i="1"/>
  <c r="CN1056" i="1"/>
  <c r="CL1056" i="1"/>
  <c r="CG1056" i="1"/>
  <c r="CF1056" i="1"/>
  <c r="CE1056" i="1"/>
  <c r="CQ1055" i="1"/>
  <c r="CP1055" i="1"/>
  <c r="CO1055" i="1"/>
  <c r="CN1055" i="1"/>
  <c r="CL1055" i="1"/>
  <c r="CG1055" i="1"/>
  <c r="CF1055" i="1"/>
  <c r="CE1055" i="1"/>
  <c r="CQ1054" i="1"/>
  <c r="CP1054" i="1"/>
  <c r="CO1054" i="1"/>
  <c r="CN1054" i="1"/>
  <c r="CL1054" i="1"/>
  <c r="CG1054" i="1"/>
  <c r="CF1054" i="1"/>
  <c r="CE1054" i="1"/>
  <c r="CQ1053" i="1"/>
  <c r="CP1053" i="1"/>
  <c r="CO1053" i="1"/>
  <c r="CN1053" i="1"/>
  <c r="CL1053" i="1"/>
  <c r="CG1053" i="1"/>
  <c r="CF1053" i="1"/>
  <c r="CE1053" i="1"/>
  <c r="CQ1052" i="1"/>
  <c r="CP1052" i="1"/>
  <c r="CO1052" i="1"/>
  <c r="CN1052" i="1"/>
  <c r="CL1052" i="1"/>
  <c r="CG1052" i="1"/>
  <c r="CF1052" i="1"/>
  <c r="CE1052" i="1"/>
  <c r="CQ1051" i="1"/>
  <c r="CP1051" i="1"/>
  <c r="CO1051" i="1"/>
  <c r="CN1051" i="1"/>
  <c r="CL1051" i="1"/>
  <c r="CG1051" i="1"/>
  <c r="CF1051" i="1"/>
  <c r="CE1051" i="1"/>
  <c r="CQ1050" i="1"/>
  <c r="CP1050" i="1"/>
  <c r="CO1050" i="1"/>
  <c r="CN1050" i="1"/>
  <c r="CL1050" i="1"/>
  <c r="CG1050" i="1"/>
  <c r="CF1050" i="1"/>
  <c r="CE1050" i="1"/>
  <c r="CQ1049" i="1"/>
  <c r="CP1049" i="1"/>
  <c r="CO1049" i="1"/>
  <c r="CN1049" i="1"/>
  <c r="CL1049" i="1"/>
  <c r="CG1049" i="1"/>
  <c r="CF1049" i="1"/>
  <c r="CE1049" i="1"/>
  <c r="CQ1048" i="1"/>
  <c r="CP1048" i="1"/>
  <c r="CO1048" i="1"/>
  <c r="CN1048" i="1"/>
  <c r="CL1048" i="1"/>
  <c r="CG1048" i="1"/>
  <c r="CF1048" i="1"/>
  <c r="CE1048" i="1"/>
  <c r="CQ1047" i="1"/>
  <c r="CP1047" i="1"/>
  <c r="CO1047" i="1"/>
  <c r="CN1047" i="1"/>
  <c r="CL1047" i="1"/>
  <c r="CG1047" i="1"/>
  <c r="CF1047" i="1"/>
  <c r="CE1047" i="1"/>
  <c r="CQ1046" i="1"/>
  <c r="CP1046" i="1"/>
  <c r="CO1046" i="1"/>
  <c r="CN1046" i="1"/>
  <c r="CL1046" i="1"/>
  <c r="CG1046" i="1"/>
  <c r="CF1046" i="1"/>
  <c r="CE1046" i="1"/>
  <c r="CQ1045" i="1"/>
  <c r="CP1045" i="1"/>
  <c r="CO1045" i="1"/>
  <c r="CN1045" i="1"/>
  <c r="CL1045" i="1"/>
  <c r="CG1045" i="1"/>
  <c r="CS1045" i="1" s="1"/>
  <c r="CF1045" i="1"/>
  <c r="CE1045" i="1"/>
  <c r="CQ1044" i="1"/>
  <c r="CP1044" i="1"/>
  <c r="CO1044" i="1"/>
  <c r="CN1044" i="1"/>
  <c r="CL1044" i="1"/>
  <c r="CG1044" i="1"/>
  <c r="CF1044" i="1"/>
  <c r="CE1044" i="1"/>
  <c r="CQ1043" i="1"/>
  <c r="CP1043" i="1"/>
  <c r="CO1043" i="1"/>
  <c r="CN1043" i="1"/>
  <c r="CL1043" i="1"/>
  <c r="CG1043" i="1"/>
  <c r="CF1043" i="1"/>
  <c r="CE1043" i="1"/>
  <c r="CQ1042" i="1"/>
  <c r="CP1042" i="1"/>
  <c r="CO1042" i="1"/>
  <c r="CN1042" i="1"/>
  <c r="CL1042" i="1"/>
  <c r="CG1042" i="1"/>
  <c r="CF1042" i="1"/>
  <c r="CE1042" i="1"/>
  <c r="CQ1041" i="1"/>
  <c r="CP1041" i="1"/>
  <c r="CO1041" i="1"/>
  <c r="CN1041" i="1"/>
  <c r="CL1041" i="1"/>
  <c r="CG1041" i="1"/>
  <c r="CF1041" i="1"/>
  <c r="CE1041" i="1"/>
  <c r="CQ1040" i="1"/>
  <c r="CP1040" i="1"/>
  <c r="CO1040" i="1"/>
  <c r="CN1040" i="1"/>
  <c r="CL1040" i="1"/>
  <c r="CG1040" i="1"/>
  <c r="CF1040" i="1"/>
  <c r="CE1040" i="1"/>
  <c r="CQ1039" i="1"/>
  <c r="CP1039" i="1"/>
  <c r="CO1039" i="1"/>
  <c r="CN1039" i="1"/>
  <c r="CL1039" i="1"/>
  <c r="CG1039" i="1"/>
  <c r="CF1039" i="1"/>
  <c r="CE1039" i="1"/>
  <c r="CQ1038" i="1"/>
  <c r="CP1038" i="1"/>
  <c r="CO1038" i="1"/>
  <c r="CN1038" i="1"/>
  <c r="CL1038" i="1"/>
  <c r="CG1038" i="1"/>
  <c r="CF1038" i="1"/>
  <c r="CE1038" i="1"/>
  <c r="CQ1037" i="1"/>
  <c r="CP1037" i="1"/>
  <c r="CO1037" i="1"/>
  <c r="CN1037" i="1"/>
  <c r="CL1037" i="1"/>
  <c r="CG1037" i="1"/>
  <c r="CF1037" i="1"/>
  <c r="CE1037" i="1"/>
  <c r="CQ1036" i="1"/>
  <c r="CP1036" i="1"/>
  <c r="CO1036" i="1"/>
  <c r="CN1036" i="1"/>
  <c r="CL1036" i="1"/>
  <c r="CG1036" i="1"/>
  <c r="CF1036" i="1"/>
  <c r="CE1036" i="1"/>
  <c r="CQ1035" i="1"/>
  <c r="CP1035" i="1"/>
  <c r="CO1035" i="1"/>
  <c r="CN1035" i="1"/>
  <c r="CL1035" i="1"/>
  <c r="CG1035" i="1"/>
  <c r="CF1035" i="1"/>
  <c r="CE1035" i="1"/>
  <c r="CQ1034" i="1"/>
  <c r="CP1034" i="1"/>
  <c r="CO1034" i="1"/>
  <c r="CN1034" i="1"/>
  <c r="CL1034" i="1"/>
  <c r="CG1034" i="1"/>
  <c r="CF1034" i="1"/>
  <c r="CE1034" i="1"/>
  <c r="CQ1033" i="1"/>
  <c r="CP1033" i="1"/>
  <c r="CO1033" i="1"/>
  <c r="CN1033" i="1"/>
  <c r="CL1033" i="1"/>
  <c r="CG1033" i="1"/>
  <c r="CF1033" i="1"/>
  <c r="CE1033" i="1"/>
  <c r="CQ1032" i="1"/>
  <c r="CP1032" i="1"/>
  <c r="CO1032" i="1"/>
  <c r="CN1032" i="1"/>
  <c r="CL1032" i="1"/>
  <c r="CG1032" i="1"/>
  <c r="CF1032" i="1"/>
  <c r="CE1032" i="1"/>
  <c r="CQ1031" i="1"/>
  <c r="CP1031" i="1"/>
  <c r="CO1031" i="1"/>
  <c r="CN1031" i="1"/>
  <c r="CL1031" i="1"/>
  <c r="CG1031" i="1"/>
  <c r="CF1031" i="1"/>
  <c r="CE1031" i="1"/>
  <c r="CQ1030" i="1"/>
  <c r="CP1030" i="1"/>
  <c r="CO1030" i="1"/>
  <c r="CN1030" i="1"/>
  <c r="CL1030" i="1"/>
  <c r="CG1030" i="1"/>
  <c r="CF1030" i="1"/>
  <c r="CE1030" i="1"/>
  <c r="CQ1029" i="1"/>
  <c r="CP1029" i="1"/>
  <c r="CO1029" i="1"/>
  <c r="CN1029" i="1"/>
  <c r="CL1029" i="1"/>
  <c r="CG1029" i="1"/>
  <c r="CF1029" i="1"/>
  <c r="CE1029" i="1"/>
  <c r="CQ1028" i="1"/>
  <c r="CP1028" i="1"/>
  <c r="CO1028" i="1"/>
  <c r="CN1028" i="1"/>
  <c r="CL1028" i="1"/>
  <c r="CG1028" i="1"/>
  <c r="CF1028" i="1"/>
  <c r="CE1028" i="1"/>
  <c r="CQ1027" i="1"/>
  <c r="CP1027" i="1"/>
  <c r="CO1027" i="1"/>
  <c r="CN1027" i="1"/>
  <c r="CL1027" i="1"/>
  <c r="CG1027" i="1"/>
  <c r="CF1027" i="1"/>
  <c r="CE1027" i="1"/>
  <c r="CQ1026" i="1"/>
  <c r="CP1026" i="1"/>
  <c r="CO1026" i="1"/>
  <c r="CN1026" i="1"/>
  <c r="CL1026" i="1"/>
  <c r="CG1026" i="1"/>
  <c r="CF1026" i="1"/>
  <c r="CE1026" i="1"/>
  <c r="CQ1025" i="1"/>
  <c r="CP1025" i="1"/>
  <c r="CO1025" i="1"/>
  <c r="CN1025" i="1"/>
  <c r="CL1025" i="1"/>
  <c r="CG1025" i="1"/>
  <c r="CF1025" i="1"/>
  <c r="CE1025" i="1"/>
  <c r="CQ1024" i="1"/>
  <c r="CP1024" i="1"/>
  <c r="CO1024" i="1"/>
  <c r="CN1024" i="1"/>
  <c r="CL1024" i="1"/>
  <c r="CG1024" i="1"/>
  <c r="CF1024" i="1"/>
  <c r="CE1024" i="1"/>
  <c r="CQ1023" i="1"/>
  <c r="CP1023" i="1"/>
  <c r="CO1023" i="1"/>
  <c r="CN1023" i="1"/>
  <c r="CL1023" i="1"/>
  <c r="CG1023" i="1"/>
  <c r="CF1023" i="1"/>
  <c r="CE1023" i="1"/>
  <c r="CQ1022" i="1"/>
  <c r="CP1022" i="1"/>
  <c r="CO1022" i="1"/>
  <c r="CN1022" i="1"/>
  <c r="CL1022" i="1"/>
  <c r="CG1022" i="1"/>
  <c r="CF1022" i="1"/>
  <c r="CE1022" i="1"/>
  <c r="CQ1021" i="1"/>
  <c r="CP1021" i="1"/>
  <c r="CO1021" i="1"/>
  <c r="CN1021" i="1"/>
  <c r="CL1021" i="1"/>
  <c r="CG1021" i="1"/>
  <c r="CF1021" i="1"/>
  <c r="CE1021" i="1"/>
  <c r="CQ1020" i="1"/>
  <c r="CP1020" i="1"/>
  <c r="CO1020" i="1"/>
  <c r="CN1020" i="1"/>
  <c r="CL1020" i="1"/>
  <c r="CG1020" i="1"/>
  <c r="CF1020" i="1"/>
  <c r="CE1020" i="1"/>
  <c r="CQ1019" i="1"/>
  <c r="CP1019" i="1"/>
  <c r="CO1019" i="1"/>
  <c r="CN1019" i="1"/>
  <c r="CL1019" i="1"/>
  <c r="CG1019" i="1"/>
  <c r="CF1019" i="1"/>
  <c r="CE1019" i="1"/>
  <c r="CQ1018" i="1"/>
  <c r="CP1018" i="1"/>
  <c r="CO1018" i="1"/>
  <c r="CN1018" i="1"/>
  <c r="CL1018" i="1"/>
  <c r="CG1018" i="1"/>
  <c r="CF1018" i="1"/>
  <c r="CE1018" i="1"/>
  <c r="CQ1017" i="1"/>
  <c r="CP1017" i="1"/>
  <c r="CO1017" i="1"/>
  <c r="CN1017" i="1"/>
  <c r="CL1017" i="1"/>
  <c r="CG1017" i="1"/>
  <c r="CF1017" i="1"/>
  <c r="CE1017" i="1"/>
  <c r="CQ1016" i="1"/>
  <c r="CP1016" i="1"/>
  <c r="CO1016" i="1"/>
  <c r="CN1016" i="1"/>
  <c r="CL1016" i="1"/>
  <c r="CG1016" i="1"/>
  <c r="CF1016" i="1"/>
  <c r="CE1016" i="1"/>
  <c r="CQ1015" i="1"/>
  <c r="CP1015" i="1"/>
  <c r="CO1015" i="1"/>
  <c r="CN1015" i="1"/>
  <c r="CL1015" i="1"/>
  <c r="CG1015" i="1"/>
  <c r="CF1015" i="1"/>
  <c r="CE1015" i="1"/>
  <c r="CQ1014" i="1"/>
  <c r="CP1014" i="1"/>
  <c r="CO1014" i="1"/>
  <c r="CN1014" i="1"/>
  <c r="CL1014" i="1"/>
  <c r="CG1014" i="1"/>
  <c r="CF1014" i="1"/>
  <c r="CE1014" i="1"/>
  <c r="CQ1013" i="1"/>
  <c r="CP1013" i="1"/>
  <c r="CO1013" i="1"/>
  <c r="CN1013" i="1"/>
  <c r="CL1013" i="1"/>
  <c r="CG1013" i="1"/>
  <c r="CF1013" i="1"/>
  <c r="CE1013" i="1"/>
  <c r="CQ1012" i="1"/>
  <c r="CP1012" i="1"/>
  <c r="CO1012" i="1"/>
  <c r="CN1012" i="1"/>
  <c r="CL1012" i="1"/>
  <c r="CG1012" i="1"/>
  <c r="CF1012" i="1"/>
  <c r="CE1012" i="1"/>
  <c r="CQ1011" i="1"/>
  <c r="CP1011" i="1"/>
  <c r="CO1011" i="1"/>
  <c r="CN1011" i="1"/>
  <c r="CL1011" i="1"/>
  <c r="CG1011" i="1"/>
  <c r="CF1011" i="1"/>
  <c r="CE1011" i="1"/>
  <c r="CQ1010" i="1"/>
  <c r="CP1010" i="1"/>
  <c r="CO1010" i="1"/>
  <c r="CN1010" i="1"/>
  <c r="CL1010" i="1"/>
  <c r="CG1010" i="1"/>
  <c r="CF1010" i="1"/>
  <c r="CE1010" i="1"/>
  <c r="CQ1009" i="1"/>
  <c r="CP1009" i="1"/>
  <c r="CO1009" i="1"/>
  <c r="CN1009" i="1"/>
  <c r="CL1009" i="1"/>
  <c r="CG1009" i="1"/>
  <c r="CF1009" i="1"/>
  <c r="CE1009" i="1"/>
  <c r="CQ1008" i="1"/>
  <c r="CP1008" i="1"/>
  <c r="CO1008" i="1"/>
  <c r="CN1008" i="1"/>
  <c r="CL1008" i="1"/>
  <c r="CG1008" i="1"/>
  <c r="CF1008" i="1"/>
  <c r="CE1008" i="1"/>
  <c r="CQ1007" i="1"/>
  <c r="CP1007" i="1"/>
  <c r="CO1007" i="1"/>
  <c r="CN1007" i="1"/>
  <c r="CL1007" i="1"/>
  <c r="CG1007" i="1"/>
  <c r="CF1007" i="1"/>
  <c r="CE1007" i="1"/>
  <c r="CQ1006" i="1"/>
  <c r="CP1006" i="1"/>
  <c r="CO1006" i="1"/>
  <c r="CN1006" i="1"/>
  <c r="CL1006" i="1"/>
  <c r="CG1006" i="1"/>
  <c r="CF1006" i="1"/>
  <c r="CE1006" i="1"/>
  <c r="CQ1005" i="1"/>
  <c r="CP1005" i="1"/>
  <c r="CO1005" i="1"/>
  <c r="CN1005" i="1"/>
  <c r="CL1005" i="1"/>
  <c r="CG1005" i="1"/>
  <c r="CF1005" i="1"/>
  <c r="CE1005" i="1"/>
  <c r="CQ1004" i="1"/>
  <c r="CP1004" i="1"/>
  <c r="CO1004" i="1"/>
  <c r="CN1004" i="1"/>
  <c r="CL1004" i="1"/>
  <c r="CG1004" i="1"/>
  <c r="CF1004" i="1"/>
  <c r="CE1004" i="1"/>
  <c r="CQ1003" i="1"/>
  <c r="CP1003" i="1"/>
  <c r="CO1003" i="1"/>
  <c r="CN1003" i="1"/>
  <c r="CL1003" i="1"/>
  <c r="CG1003" i="1"/>
  <c r="CS1003" i="1" s="1"/>
  <c r="CF1003" i="1"/>
  <c r="CE1003" i="1"/>
  <c r="CQ1002" i="1"/>
  <c r="CP1002" i="1"/>
  <c r="CO1002" i="1"/>
  <c r="CN1002" i="1"/>
  <c r="CL1002" i="1"/>
  <c r="CG1002" i="1"/>
  <c r="CF1002" i="1"/>
  <c r="CE1002" i="1"/>
  <c r="CQ1001" i="1"/>
  <c r="CP1001" i="1"/>
  <c r="CO1001" i="1"/>
  <c r="CN1001" i="1"/>
  <c r="CL1001" i="1"/>
  <c r="CG1001" i="1"/>
  <c r="CF1001" i="1"/>
  <c r="CE1001" i="1"/>
  <c r="CQ1000" i="1"/>
  <c r="CP1000" i="1"/>
  <c r="CO1000" i="1"/>
  <c r="CN1000" i="1"/>
  <c r="CL1000" i="1"/>
  <c r="CG1000" i="1"/>
  <c r="CF1000" i="1"/>
  <c r="CE1000" i="1"/>
  <c r="CQ999" i="1"/>
  <c r="CP999" i="1"/>
  <c r="CO999" i="1"/>
  <c r="CN999" i="1"/>
  <c r="CL999" i="1"/>
  <c r="CG999" i="1"/>
  <c r="CF999" i="1"/>
  <c r="CE999" i="1"/>
  <c r="CQ998" i="1"/>
  <c r="CP998" i="1"/>
  <c r="CO998" i="1"/>
  <c r="CN998" i="1"/>
  <c r="CL998" i="1"/>
  <c r="CG998" i="1"/>
  <c r="CF998" i="1"/>
  <c r="CE998" i="1"/>
  <c r="CQ997" i="1"/>
  <c r="CP997" i="1"/>
  <c r="CO997" i="1"/>
  <c r="CN997" i="1"/>
  <c r="CL997" i="1"/>
  <c r="CG997" i="1"/>
  <c r="CF997" i="1"/>
  <c r="CE997" i="1"/>
  <c r="CQ996" i="1"/>
  <c r="CP996" i="1"/>
  <c r="CO996" i="1"/>
  <c r="CN996" i="1"/>
  <c r="CL996" i="1"/>
  <c r="CG996" i="1"/>
  <c r="CF996" i="1"/>
  <c r="CE996" i="1"/>
  <c r="CQ995" i="1"/>
  <c r="CP995" i="1"/>
  <c r="CO995" i="1"/>
  <c r="CN995" i="1"/>
  <c r="CL995" i="1"/>
  <c r="CG995" i="1"/>
  <c r="CF995" i="1"/>
  <c r="CE995" i="1"/>
  <c r="CQ994" i="1"/>
  <c r="CP994" i="1"/>
  <c r="CO994" i="1"/>
  <c r="CN994" i="1"/>
  <c r="CL994" i="1"/>
  <c r="CG994" i="1"/>
  <c r="CF994" i="1"/>
  <c r="CE994" i="1"/>
  <c r="CQ993" i="1"/>
  <c r="CP993" i="1"/>
  <c r="CO993" i="1"/>
  <c r="CN993" i="1"/>
  <c r="CL993" i="1"/>
  <c r="CG993" i="1"/>
  <c r="CF993" i="1"/>
  <c r="CE993" i="1"/>
  <c r="CQ992" i="1"/>
  <c r="CP992" i="1"/>
  <c r="CO992" i="1"/>
  <c r="CN992" i="1"/>
  <c r="CL992" i="1"/>
  <c r="CG992" i="1"/>
  <c r="CF992" i="1"/>
  <c r="CE992" i="1"/>
  <c r="CQ991" i="1"/>
  <c r="CP991" i="1"/>
  <c r="CO991" i="1"/>
  <c r="CN991" i="1"/>
  <c r="CL991" i="1"/>
  <c r="CG991" i="1"/>
  <c r="CF991" i="1"/>
  <c r="CE991" i="1"/>
  <c r="CQ990" i="1"/>
  <c r="CP990" i="1"/>
  <c r="CO990" i="1"/>
  <c r="CN990" i="1"/>
  <c r="CL990" i="1"/>
  <c r="CG990" i="1"/>
  <c r="CF990" i="1"/>
  <c r="CE990" i="1"/>
  <c r="CQ989" i="1"/>
  <c r="CP989" i="1"/>
  <c r="CO989" i="1"/>
  <c r="CN989" i="1"/>
  <c r="CL989" i="1"/>
  <c r="CG989" i="1"/>
  <c r="CF989" i="1"/>
  <c r="CE989" i="1"/>
  <c r="CQ988" i="1"/>
  <c r="CP988" i="1"/>
  <c r="CO988" i="1"/>
  <c r="CN988" i="1"/>
  <c r="CL988" i="1"/>
  <c r="CG988" i="1"/>
  <c r="CF988" i="1"/>
  <c r="CE988" i="1"/>
  <c r="CQ987" i="1"/>
  <c r="CP987" i="1"/>
  <c r="CO987" i="1"/>
  <c r="CN987" i="1"/>
  <c r="CL987" i="1"/>
  <c r="CG987" i="1"/>
  <c r="CF987" i="1"/>
  <c r="CE987" i="1"/>
  <c r="CQ986" i="1"/>
  <c r="CP986" i="1"/>
  <c r="CO986" i="1"/>
  <c r="CN986" i="1"/>
  <c r="CL986" i="1"/>
  <c r="CG986" i="1"/>
  <c r="CF986" i="1"/>
  <c r="CE986" i="1"/>
  <c r="CQ985" i="1"/>
  <c r="CP985" i="1"/>
  <c r="CO985" i="1"/>
  <c r="CN985" i="1"/>
  <c r="CL985" i="1"/>
  <c r="CG985" i="1"/>
  <c r="CF985" i="1"/>
  <c r="CE985" i="1"/>
  <c r="CQ984" i="1"/>
  <c r="CP984" i="1"/>
  <c r="CO984" i="1"/>
  <c r="CN984" i="1"/>
  <c r="CL984" i="1"/>
  <c r="CG984" i="1"/>
  <c r="CF984" i="1"/>
  <c r="CE984" i="1"/>
  <c r="CQ983" i="1"/>
  <c r="CP983" i="1"/>
  <c r="CO983" i="1"/>
  <c r="CN983" i="1"/>
  <c r="CL983" i="1"/>
  <c r="CG983" i="1"/>
  <c r="CF983" i="1"/>
  <c r="CE983" i="1"/>
  <c r="CQ982" i="1"/>
  <c r="CP982" i="1"/>
  <c r="CO982" i="1"/>
  <c r="CN982" i="1"/>
  <c r="CL982" i="1"/>
  <c r="CG982" i="1"/>
  <c r="CF982" i="1"/>
  <c r="CE982" i="1"/>
  <c r="CQ981" i="1"/>
  <c r="CP981" i="1"/>
  <c r="CO981" i="1"/>
  <c r="CN981" i="1"/>
  <c r="CL981" i="1"/>
  <c r="CG981" i="1"/>
  <c r="CF981" i="1"/>
  <c r="CE981" i="1"/>
  <c r="CQ980" i="1"/>
  <c r="CP980" i="1"/>
  <c r="CO980" i="1"/>
  <c r="CN980" i="1"/>
  <c r="CL980" i="1"/>
  <c r="CG980" i="1"/>
  <c r="CF980" i="1"/>
  <c r="CE980" i="1"/>
  <c r="CQ979" i="1"/>
  <c r="CP979" i="1"/>
  <c r="CO979" i="1"/>
  <c r="CN979" i="1"/>
  <c r="CL979" i="1"/>
  <c r="CG979" i="1"/>
  <c r="CF979" i="1"/>
  <c r="CE979" i="1"/>
  <c r="CQ978" i="1"/>
  <c r="CP978" i="1"/>
  <c r="CO978" i="1"/>
  <c r="CN978" i="1"/>
  <c r="CL978" i="1"/>
  <c r="CG978" i="1"/>
  <c r="CF978" i="1"/>
  <c r="CE978" i="1"/>
  <c r="CQ977" i="1"/>
  <c r="CP977" i="1"/>
  <c r="CO977" i="1"/>
  <c r="CN977" i="1"/>
  <c r="CL977" i="1"/>
  <c r="CG977" i="1"/>
  <c r="CF977" i="1"/>
  <c r="CE977" i="1"/>
  <c r="CQ976" i="1"/>
  <c r="CP976" i="1"/>
  <c r="CO976" i="1"/>
  <c r="CN976" i="1"/>
  <c r="CL976" i="1"/>
  <c r="CG976" i="1"/>
  <c r="CF976" i="1"/>
  <c r="CE976" i="1"/>
  <c r="CQ975" i="1"/>
  <c r="CP975" i="1"/>
  <c r="CO975" i="1"/>
  <c r="CN975" i="1"/>
  <c r="CL975" i="1"/>
  <c r="CG975" i="1"/>
  <c r="CF975" i="1"/>
  <c r="CE975" i="1"/>
  <c r="CQ974" i="1"/>
  <c r="CP974" i="1"/>
  <c r="CO974" i="1"/>
  <c r="CN974" i="1"/>
  <c r="CL974" i="1"/>
  <c r="CG974" i="1"/>
  <c r="CF974" i="1"/>
  <c r="CE974" i="1"/>
  <c r="CQ973" i="1"/>
  <c r="CP973" i="1"/>
  <c r="CO973" i="1"/>
  <c r="CN973" i="1"/>
  <c r="CL973" i="1"/>
  <c r="CG973" i="1"/>
  <c r="CF973" i="1"/>
  <c r="CE973" i="1"/>
  <c r="CQ972" i="1"/>
  <c r="CP972" i="1"/>
  <c r="CO972" i="1"/>
  <c r="CN972" i="1"/>
  <c r="CL972" i="1"/>
  <c r="CG972" i="1"/>
  <c r="CF972" i="1"/>
  <c r="CE972" i="1"/>
  <c r="CQ971" i="1"/>
  <c r="CP971" i="1"/>
  <c r="CO971" i="1"/>
  <c r="CN971" i="1"/>
  <c r="CL971" i="1"/>
  <c r="CG971" i="1"/>
  <c r="CF971" i="1"/>
  <c r="CE971" i="1"/>
  <c r="CQ970" i="1"/>
  <c r="CP970" i="1"/>
  <c r="CO970" i="1"/>
  <c r="CN970" i="1"/>
  <c r="CL970" i="1"/>
  <c r="CG970" i="1"/>
  <c r="CF970" i="1"/>
  <c r="CE970" i="1"/>
  <c r="CQ969" i="1"/>
  <c r="CP969" i="1"/>
  <c r="CO969" i="1"/>
  <c r="CN969" i="1"/>
  <c r="CL969" i="1"/>
  <c r="CG969" i="1"/>
  <c r="CF969" i="1"/>
  <c r="CE969" i="1"/>
  <c r="CQ968" i="1"/>
  <c r="CP968" i="1"/>
  <c r="CO968" i="1"/>
  <c r="CN968" i="1"/>
  <c r="CL968" i="1"/>
  <c r="CG968" i="1"/>
  <c r="CF968" i="1"/>
  <c r="CE968" i="1"/>
  <c r="CQ967" i="1"/>
  <c r="CP967" i="1"/>
  <c r="CO967" i="1"/>
  <c r="CN967" i="1"/>
  <c r="CL967" i="1"/>
  <c r="CG967" i="1"/>
  <c r="CF967" i="1"/>
  <c r="CE967" i="1"/>
  <c r="CQ966" i="1"/>
  <c r="CP966" i="1"/>
  <c r="CO966" i="1"/>
  <c r="CN966" i="1"/>
  <c r="CL966" i="1"/>
  <c r="CG966" i="1"/>
  <c r="CF966" i="1"/>
  <c r="CE966" i="1"/>
  <c r="CQ965" i="1"/>
  <c r="CP965" i="1"/>
  <c r="CO965" i="1"/>
  <c r="CN965" i="1"/>
  <c r="CL965" i="1"/>
  <c r="CG965" i="1"/>
  <c r="CF965" i="1"/>
  <c r="CE965" i="1"/>
  <c r="CQ964" i="1"/>
  <c r="CP964" i="1"/>
  <c r="CO964" i="1"/>
  <c r="CN964" i="1"/>
  <c r="CL964" i="1"/>
  <c r="CG964" i="1"/>
  <c r="CF964" i="1"/>
  <c r="CE964" i="1"/>
  <c r="CQ963" i="1"/>
  <c r="CP963" i="1"/>
  <c r="CO963" i="1"/>
  <c r="CN963" i="1"/>
  <c r="CL963" i="1"/>
  <c r="CG963" i="1"/>
  <c r="CF963" i="1"/>
  <c r="CE963" i="1"/>
  <c r="CQ962" i="1"/>
  <c r="CP962" i="1"/>
  <c r="CO962" i="1"/>
  <c r="CN962" i="1"/>
  <c r="CL962" i="1"/>
  <c r="CG962" i="1"/>
  <c r="CF962" i="1"/>
  <c r="CE962" i="1"/>
  <c r="CQ961" i="1"/>
  <c r="CP961" i="1"/>
  <c r="CO961" i="1"/>
  <c r="CN961" i="1"/>
  <c r="CL961" i="1"/>
  <c r="CG961" i="1"/>
  <c r="CF961" i="1"/>
  <c r="CE961" i="1"/>
  <c r="CQ960" i="1"/>
  <c r="CP960" i="1"/>
  <c r="CO960" i="1"/>
  <c r="CN960" i="1"/>
  <c r="CL960" i="1"/>
  <c r="CG960" i="1"/>
  <c r="CF960" i="1"/>
  <c r="CE960" i="1"/>
  <c r="CQ959" i="1"/>
  <c r="CP959" i="1"/>
  <c r="CO959" i="1"/>
  <c r="CN959" i="1"/>
  <c r="CL959" i="1"/>
  <c r="CG959" i="1"/>
  <c r="CF959" i="1"/>
  <c r="CE959" i="1"/>
  <c r="CQ958" i="1"/>
  <c r="CP958" i="1"/>
  <c r="CO958" i="1"/>
  <c r="CN958" i="1"/>
  <c r="CL958" i="1"/>
  <c r="CG958" i="1"/>
  <c r="CF958" i="1"/>
  <c r="CE958" i="1"/>
  <c r="CQ957" i="1"/>
  <c r="CP957" i="1"/>
  <c r="CO957" i="1"/>
  <c r="CN957" i="1"/>
  <c r="CL957" i="1"/>
  <c r="CG957" i="1"/>
  <c r="CF957" i="1"/>
  <c r="CE957" i="1"/>
  <c r="CQ956" i="1"/>
  <c r="CP956" i="1"/>
  <c r="CO956" i="1"/>
  <c r="CN956" i="1"/>
  <c r="CL956" i="1"/>
  <c r="CG956" i="1"/>
  <c r="CF956" i="1"/>
  <c r="CE956" i="1"/>
  <c r="CQ955" i="1"/>
  <c r="CP955" i="1"/>
  <c r="CO955" i="1"/>
  <c r="CN955" i="1"/>
  <c r="CL955" i="1"/>
  <c r="CG955" i="1"/>
  <c r="CF955" i="1"/>
  <c r="CE955" i="1"/>
  <c r="CQ954" i="1"/>
  <c r="CP954" i="1"/>
  <c r="CO954" i="1"/>
  <c r="CN954" i="1"/>
  <c r="CL954" i="1"/>
  <c r="CG954" i="1"/>
  <c r="CF954" i="1"/>
  <c r="CE954" i="1"/>
  <c r="CQ953" i="1"/>
  <c r="CP953" i="1"/>
  <c r="CO953" i="1"/>
  <c r="CN953" i="1"/>
  <c r="CL953" i="1"/>
  <c r="CG953" i="1"/>
  <c r="CF953" i="1"/>
  <c r="CE953" i="1"/>
  <c r="CQ952" i="1"/>
  <c r="CP952" i="1"/>
  <c r="CO952" i="1"/>
  <c r="CN952" i="1"/>
  <c r="CL952" i="1"/>
  <c r="CG952" i="1"/>
  <c r="CF952" i="1"/>
  <c r="CE952" i="1"/>
  <c r="CQ951" i="1"/>
  <c r="CP951" i="1"/>
  <c r="CO951" i="1"/>
  <c r="CN951" i="1"/>
  <c r="CL951" i="1"/>
  <c r="CG951" i="1"/>
  <c r="CF951" i="1"/>
  <c r="CE951" i="1"/>
  <c r="CQ950" i="1"/>
  <c r="CP950" i="1"/>
  <c r="CO950" i="1"/>
  <c r="CN950" i="1"/>
  <c r="CL950" i="1"/>
  <c r="CG950" i="1"/>
  <c r="CF950" i="1"/>
  <c r="CE950" i="1"/>
  <c r="CQ949" i="1"/>
  <c r="CP949" i="1"/>
  <c r="CO949" i="1"/>
  <c r="CN949" i="1"/>
  <c r="CL949" i="1"/>
  <c r="CG949" i="1"/>
  <c r="CS949" i="1" s="1"/>
  <c r="CF949" i="1"/>
  <c r="CE949" i="1"/>
  <c r="CQ948" i="1"/>
  <c r="CP948" i="1"/>
  <c r="CO948" i="1"/>
  <c r="CN948" i="1"/>
  <c r="CL948" i="1"/>
  <c r="CG948" i="1"/>
  <c r="CF948" i="1"/>
  <c r="CE948" i="1"/>
  <c r="CQ947" i="1"/>
  <c r="CP947" i="1"/>
  <c r="CO947" i="1"/>
  <c r="CN947" i="1"/>
  <c r="CL947" i="1"/>
  <c r="CG947" i="1"/>
  <c r="CF947" i="1"/>
  <c r="CE947" i="1"/>
  <c r="CQ946" i="1"/>
  <c r="CP946" i="1"/>
  <c r="CO946" i="1"/>
  <c r="CN946" i="1"/>
  <c r="CL946" i="1"/>
  <c r="CG946" i="1"/>
  <c r="CF946" i="1"/>
  <c r="CE946" i="1"/>
  <c r="CQ945" i="1"/>
  <c r="CP945" i="1"/>
  <c r="CO945" i="1"/>
  <c r="CN945" i="1"/>
  <c r="CL945" i="1"/>
  <c r="CG945" i="1"/>
  <c r="CF945" i="1"/>
  <c r="CE945" i="1"/>
  <c r="CQ944" i="1"/>
  <c r="CP944" i="1"/>
  <c r="CO944" i="1"/>
  <c r="CN944" i="1"/>
  <c r="CL944" i="1"/>
  <c r="CG944" i="1"/>
  <c r="CF944" i="1"/>
  <c r="CE944" i="1"/>
  <c r="CQ943" i="1"/>
  <c r="CP943" i="1"/>
  <c r="CO943" i="1"/>
  <c r="CN943" i="1"/>
  <c r="CL943" i="1"/>
  <c r="CG943" i="1"/>
  <c r="CF943" i="1"/>
  <c r="CE943" i="1"/>
  <c r="CQ942" i="1"/>
  <c r="CP942" i="1"/>
  <c r="CO942" i="1"/>
  <c r="CN942" i="1"/>
  <c r="CL942" i="1"/>
  <c r="CG942" i="1"/>
  <c r="CF942" i="1"/>
  <c r="CE942" i="1"/>
  <c r="CQ941" i="1"/>
  <c r="CP941" i="1"/>
  <c r="CO941" i="1"/>
  <c r="CN941" i="1"/>
  <c r="CL941" i="1"/>
  <c r="CG941" i="1"/>
  <c r="CF941" i="1"/>
  <c r="CE941" i="1"/>
  <c r="CQ940" i="1"/>
  <c r="CP940" i="1"/>
  <c r="CO940" i="1"/>
  <c r="CN940" i="1"/>
  <c r="CL940" i="1"/>
  <c r="CG940" i="1"/>
  <c r="CF940" i="1"/>
  <c r="CE940" i="1"/>
  <c r="CQ939" i="1"/>
  <c r="CP939" i="1"/>
  <c r="CO939" i="1"/>
  <c r="CN939" i="1"/>
  <c r="CL939" i="1"/>
  <c r="CG939" i="1"/>
  <c r="CF939" i="1"/>
  <c r="CE939" i="1"/>
  <c r="CQ938" i="1"/>
  <c r="CP938" i="1"/>
  <c r="CO938" i="1"/>
  <c r="CN938" i="1"/>
  <c r="CL938" i="1"/>
  <c r="CG938" i="1"/>
  <c r="CF938" i="1"/>
  <c r="CE938" i="1"/>
  <c r="CQ937" i="1"/>
  <c r="CP937" i="1"/>
  <c r="CO937" i="1"/>
  <c r="CN937" i="1"/>
  <c r="CL937" i="1"/>
  <c r="CG937" i="1"/>
  <c r="CF937" i="1"/>
  <c r="CE937" i="1"/>
  <c r="CQ936" i="1"/>
  <c r="CP936" i="1"/>
  <c r="CO936" i="1"/>
  <c r="CN936" i="1"/>
  <c r="CL936" i="1"/>
  <c r="CG936" i="1"/>
  <c r="CF936" i="1"/>
  <c r="CE936" i="1"/>
  <c r="CQ935" i="1"/>
  <c r="CP935" i="1"/>
  <c r="CO935" i="1"/>
  <c r="CN935" i="1"/>
  <c r="CL935" i="1"/>
  <c r="CG935" i="1"/>
  <c r="CF935" i="1"/>
  <c r="CE935" i="1"/>
  <c r="CQ934" i="1"/>
  <c r="CP934" i="1"/>
  <c r="CO934" i="1"/>
  <c r="CN934" i="1"/>
  <c r="CL934" i="1"/>
  <c r="CG934" i="1"/>
  <c r="CF934" i="1"/>
  <c r="CE934" i="1"/>
  <c r="CQ933" i="1"/>
  <c r="CP933" i="1"/>
  <c r="CO933" i="1"/>
  <c r="CN933" i="1"/>
  <c r="CL933" i="1"/>
  <c r="CG933" i="1"/>
  <c r="CF933" i="1"/>
  <c r="CE933" i="1"/>
  <c r="CQ932" i="1"/>
  <c r="CP932" i="1"/>
  <c r="CO932" i="1"/>
  <c r="CN932" i="1"/>
  <c r="CL932" i="1"/>
  <c r="CG932" i="1"/>
  <c r="CF932" i="1"/>
  <c r="CE932" i="1"/>
  <c r="CQ931" i="1"/>
  <c r="CP931" i="1"/>
  <c r="CO931" i="1"/>
  <c r="CN931" i="1"/>
  <c r="CL931" i="1"/>
  <c r="CG931" i="1"/>
  <c r="CS931" i="1" s="1"/>
  <c r="CF931" i="1"/>
  <c r="CE931" i="1"/>
  <c r="CQ930" i="1"/>
  <c r="CP930" i="1"/>
  <c r="CO930" i="1"/>
  <c r="CN930" i="1"/>
  <c r="CL930" i="1"/>
  <c r="CG930" i="1"/>
  <c r="CF930" i="1"/>
  <c r="CE930" i="1"/>
  <c r="CQ929" i="1"/>
  <c r="CP929" i="1"/>
  <c r="CO929" i="1"/>
  <c r="CN929" i="1"/>
  <c r="CL929" i="1"/>
  <c r="CG929" i="1"/>
  <c r="CF929" i="1"/>
  <c r="CE929" i="1"/>
  <c r="CQ928" i="1"/>
  <c r="CP928" i="1"/>
  <c r="CO928" i="1"/>
  <c r="CN928" i="1"/>
  <c r="CL928" i="1"/>
  <c r="CG928" i="1"/>
  <c r="CF928" i="1"/>
  <c r="CE928" i="1"/>
  <c r="CQ927" i="1"/>
  <c r="CP927" i="1"/>
  <c r="CO927" i="1"/>
  <c r="CN927" i="1"/>
  <c r="CL927" i="1"/>
  <c r="CG927" i="1"/>
  <c r="CF927" i="1"/>
  <c r="CE927" i="1"/>
  <c r="CQ926" i="1"/>
  <c r="CP926" i="1"/>
  <c r="CO926" i="1"/>
  <c r="CN926" i="1"/>
  <c r="CL926" i="1"/>
  <c r="CG926" i="1"/>
  <c r="CF926" i="1"/>
  <c r="CE926" i="1"/>
  <c r="CQ925" i="1"/>
  <c r="CP925" i="1"/>
  <c r="CO925" i="1"/>
  <c r="CN925" i="1"/>
  <c r="CL925" i="1"/>
  <c r="CG925" i="1"/>
  <c r="CS925" i="1" s="1"/>
  <c r="CF925" i="1"/>
  <c r="CE925" i="1"/>
  <c r="CQ924" i="1"/>
  <c r="CP924" i="1"/>
  <c r="CO924" i="1"/>
  <c r="CN924" i="1"/>
  <c r="CL924" i="1"/>
  <c r="CG924" i="1"/>
  <c r="CF924" i="1"/>
  <c r="CE924" i="1"/>
  <c r="CQ923" i="1"/>
  <c r="CP923" i="1"/>
  <c r="CO923" i="1"/>
  <c r="CN923" i="1"/>
  <c r="CL923" i="1"/>
  <c r="CG923" i="1"/>
  <c r="CF923" i="1"/>
  <c r="CE923" i="1"/>
  <c r="CQ922" i="1"/>
  <c r="CP922" i="1"/>
  <c r="CO922" i="1"/>
  <c r="CN922" i="1"/>
  <c r="CL922" i="1"/>
  <c r="CG922" i="1"/>
  <c r="CF922" i="1"/>
  <c r="CE922" i="1"/>
  <c r="CQ921" i="1"/>
  <c r="CP921" i="1"/>
  <c r="CO921" i="1"/>
  <c r="CN921" i="1"/>
  <c r="CL921" i="1"/>
  <c r="CG921" i="1"/>
  <c r="CF921" i="1"/>
  <c r="CE921" i="1"/>
  <c r="CQ920" i="1"/>
  <c r="CP920" i="1"/>
  <c r="CO920" i="1"/>
  <c r="CN920" i="1"/>
  <c r="CL920" i="1"/>
  <c r="CG920" i="1"/>
  <c r="CF920" i="1"/>
  <c r="CE920" i="1"/>
  <c r="CQ919" i="1"/>
  <c r="CP919" i="1"/>
  <c r="CO919" i="1"/>
  <c r="CN919" i="1"/>
  <c r="CL919" i="1"/>
  <c r="CG919" i="1"/>
  <c r="CF919" i="1"/>
  <c r="CE919" i="1"/>
  <c r="CQ918" i="1"/>
  <c r="CP918" i="1"/>
  <c r="CO918" i="1"/>
  <c r="CN918" i="1"/>
  <c r="CL918" i="1"/>
  <c r="CG918" i="1"/>
  <c r="CF918" i="1"/>
  <c r="CE918" i="1"/>
  <c r="CQ917" i="1"/>
  <c r="CP917" i="1"/>
  <c r="CO917" i="1"/>
  <c r="CN917" i="1"/>
  <c r="CL917" i="1"/>
  <c r="CG917" i="1"/>
  <c r="CF917" i="1"/>
  <c r="CE917" i="1"/>
  <c r="CQ916" i="1"/>
  <c r="CP916" i="1"/>
  <c r="CO916" i="1"/>
  <c r="CN916" i="1"/>
  <c r="CL916" i="1"/>
  <c r="CG916" i="1"/>
  <c r="CF916" i="1"/>
  <c r="CE916" i="1"/>
  <c r="CQ915" i="1"/>
  <c r="CP915" i="1"/>
  <c r="CO915" i="1"/>
  <c r="CN915" i="1"/>
  <c r="CL915" i="1"/>
  <c r="CG915" i="1"/>
  <c r="CF915" i="1"/>
  <c r="CE915" i="1"/>
  <c r="CQ914" i="1"/>
  <c r="CP914" i="1"/>
  <c r="CO914" i="1"/>
  <c r="CN914" i="1"/>
  <c r="CL914" i="1"/>
  <c r="CG914" i="1"/>
  <c r="CF914" i="1"/>
  <c r="CE914" i="1"/>
  <c r="CQ913" i="1"/>
  <c r="CP913" i="1"/>
  <c r="CO913" i="1"/>
  <c r="CN913" i="1"/>
  <c r="CL913" i="1"/>
  <c r="CG913" i="1"/>
  <c r="CF913" i="1"/>
  <c r="CE913" i="1"/>
  <c r="CQ912" i="1"/>
  <c r="CP912" i="1"/>
  <c r="CO912" i="1"/>
  <c r="CN912" i="1"/>
  <c r="CL912" i="1"/>
  <c r="CG912" i="1"/>
  <c r="CF912" i="1"/>
  <c r="CE912" i="1"/>
  <c r="CQ911" i="1"/>
  <c r="CP911" i="1"/>
  <c r="CO911" i="1"/>
  <c r="CN911" i="1"/>
  <c r="CL911" i="1"/>
  <c r="CG911" i="1"/>
  <c r="CF911" i="1"/>
  <c r="CE911" i="1"/>
  <c r="CQ910" i="1"/>
  <c r="CP910" i="1"/>
  <c r="CO910" i="1"/>
  <c r="CN910" i="1"/>
  <c r="CL910" i="1"/>
  <c r="CG910" i="1"/>
  <c r="CF910" i="1"/>
  <c r="CE910" i="1"/>
  <c r="CQ909" i="1"/>
  <c r="CP909" i="1"/>
  <c r="CO909" i="1"/>
  <c r="CN909" i="1"/>
  <c r="CL909" i="1"/>
  <c r="CG909" i="1"/>
  <c r="CF909" i="1"/>
  <c r="CE909" i="1"/>
  <c r="CQ908" i="1"/>
  <c r="CP908" i="1"/>
  <c r="CO908" i="1"/>
  <c r="CN908" i="1"/>
  <c r="CL908" i="1"/>
  <c r="CG908" i="1"/>
  <c r="CF908" i="1"/>
  <c r="CE908" i="1"/>
  <c r="CQ907" i="1"/>
  <c r="CP907" i="1"/>
  <c r="CO907" i="1"/>
  <c r="CN907" i="1"/>
  <c r="CL907" i="1"/>
  <c r="CG907" i="1"/>
  <c r="CS907" i="1" s="1"/>
  <c r="CF907" i="1"/>
  <c r="CE907" i="1"/>
  <c r="CQ906" i="1"/>
  <c r="CP906" i="1"/>
  <c r="CO906" i="1"/>
  <c r="CN906" i="1"/>
  <c r="CL906" i="1"/>
  <c r="CG906" i="1"/>
  <c r="CF906" i="1"/>
  <c r="CE906" i="1"/>
  <c r="CQ905" i="1"/>
  <c r="CP905" i="1"/>
  <c r="CO905" i="1"/>
  <c r="CN905" i="1"/>
  <c r="CL905" i="1"/>
  <c r="CG905" i="1"/>
  <c r="CF905" i="1"/>
  <c r="CE905" i="1"/>
  <c r="CQ904" i="1"/>
  <c r="CP904" i="1"/>
  <c r="CO904" i="1"/>
  <c r="CN904" i="1"/>
  <c r="CL904" i="1"/>
  <c r="CG904" i="1"/>
  <c r="CF904" i="1"/>
  <c r="CE904" i="1"/>
  <c r="CQ903" i="1"/>
  <c r="CP903" i="1"/>
  <c r="CO903" i="1"/>
  <c r="CN903" i="1"/>
  <c r="CL903" i="1"/>
  <c r="CG903" i="1"/>
  <c r="CF903" i="1"/>
  <c r="CE903" i="1"/>
  <c r="CQ902" i="1"/>
  <c r="CP902" i="1"/>
  <c r="CO902" i="1"/>
  <c r="CN902" i="1"/>
  <c r="CL902" i="1"/>
  <c r="CG902" i="1"/>
  <c r="CF902" i="1"/>
  <c r="CE902" i="1"/>
  <c r="CQ901" i="1"/>
  <c r="CP901" i="1"/>
  <c r="CO901" i="1"/>
  <c r="CN901" i="1"/>
  <c r="CL901" i="1"/>
  <c r="CG901" i="1"/>
  <c r="CF901" i="1"/>
  <c r="CE901" i="1"/>
  <c r="CQ900" i="1"/>
  <c r="CP900" i="1"/>
  <c r="CO900" i="1"/>
  <c r="CN900" i="1"/>
  <c r="CL900" i="1"/>
  <c r="CG900" i="1"/>
  <c r="CF900" i="1"/>
  <c r="CE900" i="1"/>
  <c r="CQ899" i="1"/>
  <c r="CP899" i="1"/>
  <c r="CO899" i="1"/>
  <c r="CN899" i="1"/>
  <c r="CL899" i="1"/>
  <c r="CG899" i="1"/>
  <c r="CF899" i="1"/>
  <c r="CE899" i="1"/>
  <c r="CQ898" i="1"/>
  <c r="CP898" i="1"/>
  <c r="CO898" i="1"/>
  <c r="CN898" i="1"/>
  <c r="CL898" i="1"/>
  <c r="CG898" i="1"/>
  <c r="CF898" i="1"/>
  <c r="CE898" i="1"/>
  <c r="CQ897" i="1"/>
  <c r="CP897" i="1"/>
  <c r="CO897" i="1"/>
  <c r="CN897" i="1"/>
  <c r="CL897" i="1"/>
  <c r="CG897" i="1"/>
  <c r="CF897" i="1"/>
  <c r="CE897" i="1"/>
  <c r="CQ896" i="1"/>
  <c r="CP896" i="1"/>
  <c r="CO896" i="1"/>
  <c r="CN896" i="1"/>
  <c r="CL896" i="1"/>
  <c r="CG896" i="1"/>
  <c r="CF896" i="1"/>
  <c r="CE896" i="1"/>
  <c r="CQ895" i="1"/>
  <c r="CP895" i="1"/>
  <c r="CO895" i="1"/>
  <c r="CN895" i="1"/>
  <c r="CL895" i="1"/>
  <c r="CG895" i="1"/>
  <c r="CF895" i="1"/>
  <c r="CE895" i="1"/>
  <c r="CQ894" i="1"/>
  <c r="CP894" i="1"/>
  <c r="CO894" i="1"/>
  <c r="CN894" i="1"/>
  <c r="CL894" i="1"/>
  <c r="CG894" i="1"/>
  <c r="CF894" i="1"/>
  <c r="CE894" i="1"/>
  <c r="CQ893" i="1"/>
  <c r="CP893" i="1"/>
  <c r="CO893" i="1"/>
  <c r="CN893" i="1"/>
  <c r="CL893" i="1"/>
  <c r="CG893" i="1"/>
  <c r="CF893" i="1"/>
  <c r="CE893" i="1"/>
  <c r="CQ892" i="1"/>
  <c r="CP892" i="1"/>
  <c r="CO892" i="1"/>
  <c r="CN892" i="1"/>
  <c r="CL892" i="1"/>
  <c r="CG892" i="1"/>
  <c r="CF892" i="1"/>
  <c r="CE892" i="1"/>
  <c r="CQ891" i="1"/>
  <c r="CP891" i="1"/>
  <c r="CO891" i="1"/>
  <c r="CN891" i="1"/>
  <c r="CL891" i="1"/>
  <c r="CG891" i="1"/>
  <c r="CF891" i="1"/>
  <c r="CE891" i="1"/>
  <c r="CQ890" i="1"/>
  <c r="CP890" i="1"/>
  <c r="CO890" i="1"/>
  <c r="CN890" i="1"/>
  <c r="CL890" i="1"/>
  <c r="CG890" i="1"/>
  <c r="CF890" i="1"/>
  <c r="CE890" i="1"/>
  <c r="CQ889" i="1"/>
  <c r="CP889" i="1"/>
  <c r="CO889" i="1"/>
  <c r="CN889" i="1"/>
  <c r="CL889" i="1"/>
  <c r="CG889" i="1"/>
  <c r="CF889" i="1"/>
  <c r="CE889" i="1"/>
  <c r="CQ888" i="1"/>
  <c r="CP888" i="1"/>
  <c r="CO888" i="1"/>
  <c r="CN888" i="1"/>
  <c r="CL888" i="1"/>
  <c r="CG888" i="1"/>
  <c r="CF888" i="1"/>
  <c r="CE888" i="1"/>
  <c r="CQ887" i="1"/>
  <c r="CP887" i="1"/>
  <c r="CO887" i="1"/>
  <c r="CN887" i="1"/>
  <c r="CL887" i="1"/>
  <c r="CG887" i="1"/>
  <c r="CF887" i="1"/>
  <c r="CE887" i="1"/>
  <c r="CQ886" i="1"/>
  <c r="CP886" i="1"/>
  <c r="CO886" i="1"/>
  <c r="CN886" i="1"/>
  <c r="CL886" i="1"/>
  <c r="CG886" i="1"/>
  <c r="CF886" i="1"/>
  <c r="CE886" i="1"/>
  <c r="CQ885" i="1"/>
  <c r="CP885" i="1"/>
  <c r="CO885" i="1"/>
  <c r="CN885" i="1"/>
  <c r="CL885" i="1"/>
  <c r="CG885" i="1"/>
  <c r="CF885" i="1"/>
  <c r="CE885" i="1"/>
  <c r="CQ884" i="1"/>
  <c r="CP884" i="1"/>
  <c r="CO884" i="1"/>
  <c r="CN884" i="1"/>
  <c r="CL884" i="1"/>
  <c r="CG884" i="1"/>
  <c r="CF884" i="1"/>
  <c r="CE884" i="1"/>
  <c r="CQ883" i="1"/>
  <c r="CP883" i="1"/>
  <c r="CO883" i="1"/>
  <c r="CN883" i="1"/>
  <c r="CL883" i="1"/>
  <c r="CG883" i="1"/>
  <c r="CF883" i="1"/>
  <c r="CE883" i="1"/>
  <c r="CQ882" i="1"/>
  <c r="CP882" i="1"/>
  <c r="CO882" i="1"/>
  <c r="CN882" i="1"/>
  <c r="CL882" i="1"/>
  <c r="CG882" i="1"/>
  <c r="CF882" i="1"/>
  <c r="CE882" i="1"/>
  <c r="CQ881" i="1"/>
  <c r="CP881" i="1"/>
  <c r="CO881" i="1"/>
  <c r="CN881" i="1"/>
  <c r="CL881" i="1"/>
  <c r="CG881" i="1"/>
  <c r="CF881" i="1"/>
  <c r="CE881" i="1"/>
  <c r="CQ880" i="1"/>
  <c r="CP880" i="1"/>
  <c r="CO880" i="1"/>
  <c r="CN880" i="1"/>
  <c r="CL880" i="1"/>
  <c r="CG880" i="1"/>
  <c r="CF880" i="1"/>
  <c r="CE880" i="1"/>
  <c r="CQ879" i="1"/>
  <c r="CP879" i="1"/>
  <c r="CO879" i="1"/>
  <c r="CN879" i="1"/>
  <c r="CL879" i="1"/>
  <c r="CG879" i="1"/>
  <c r="CF879" i="1"/>
  <c r="CE879" i="1"/>
  <c r="CQ878" i="1"/>
  <c r="CP878" i="1"/>
  <c r="CO878" i="1"/>
  <c r="CN878" i="1"/>
  <c r="CL878" i="1"/>
  <c r="CG878" i="1"/>
  <c r="CF878" i="1"/>
  <c r="CE878" i="1"/>
  <c r="CQ877" i="1"/>
  <c r="CP877" i="1"/>
  <c r="CO877" i="1"/>
  <c r="CN877" i="1"/>
  <c r="CL877" i="1"/>
  <c r="CG877" i="1"/>
  <c r="CF877" i="1"/>
  <c r="CE877" i="1"/>
  <c r="CQ876" i="1"/>
  <c r="CP876" i="1"/>
  <c r="CO876" i="1"/>
  <c r="CN876" i="1"/>
  <c r="CL876" i="1"/>
  <c r="CG876" i="1"/>
  <c r="CF876" i="1"/>
  <c r="CE876" i="1"/>
  <c r="CQ875" i="1"/>
  <c r="CP875" i="1"/>
  <c r="CO875" i="1"/>
  <c r="CN875" i="1"/>
  <c r="CL875" i="1"/>
  <c r="CG875" i="1"/>
  <c r="CF875" i="1"/>
  <c r="CE875" i="1"/>
  <c r="CQ874" i="1"/>
  <c r="CP874" i="1"/>
  <c r="CO874" i="1"/>
  <c r="CN874" i="1"/>
  <c r="CL874" i="1"/>
  <c r="CG874" i="1"/>
  <c r="CF874" i="1"/>
  <c r="CE874" i="1"/>
  <c r="CQ873" i="1"/>
  <c r="CP873" i="1"/>
  <c r="CO873" i="1"/>
  <c r="CN873" i="1"/>
  <c r="CL873" i="1"/>
  <c r="CG873" i="1"/>
  <c r="CF873" i="1"/>
  <c r="CE873" i="1"/>
  <c r="CQ872" i="1"/>
  <c r="CP872" i="1"/>
  <c r="CO872" i="1"/>
  <c r="CN872" i="1"/>
  <c r="CL872" i="1"/>
  <c r="CG872" i="1"/>
  <c r="CF872" i="1"/>
  <c r="CE872" i="1"/>
  <c r="CQ871" i="1"/>
  <c r="CP871" i="1"/>
  <c r="CO871" i="1"/>
  <c r="CN871" i="1"/>
  <c r="CL871" i="1"/>
  <c r="CG871" i="1"/>
  <c r="CF871" i="1"/>
  <c r="CE871" i="1"/>
  <c r="CQ870" i="1"/>
  <c r="CP870" i="1"/>
  <c r="CO870" i="1"/>
  <c r="CN870" i="1"/>
  <c r="CL870" i="1"/>
  <c r="CG870" i="1"/>
  <c r="CF870" i="1"/>
  <c r="CE870" i="1"/>
  <c r="CQ869" i="1"/>
  <c r="CP869" i="1"/>
  <c r="CO869" i="1"/>
  <c r="CN869" i="1"/>
  <c r="CL869" i="1"/>
  <c r="CG869" i="1"/>
  <c r="CF869" i="1"/>
  <c r="CE869" i="1"/>
  <c r="CQ868" i="1"/>
  <c r="CP868" i="1"/>
  <c r="CO868" i="1"/>
  <c r="CN868" i="1"/>
  <c r="CL868" i="1"/>
  <c r="CG868" i="1"/>
  <c r="CF868" i="1"/>
  <c r="CE868" i="1"/>
  <c r="CQ867" i="1"/>
  <c r="CP867" i="1"/>
  <c r="CO867" i="1"/>
  <c r="CN867" i="1"/>
  <c r="CL867" i="1"/>
  <c r="CG867" i="1"/>
  <c r="CF867" i="1"/>
  <c r="CE867" i="1"/>
  <c r="CQ866" i="1"/>
  <c r="CP866" i="1"/>
  <c r="CO866" i="1"/>
  <c r="CN866" i="1"/>
  <c r="CL866" i="1"/>
  <c r="CG866" i="1"/>
  <c r="CF866" i="1"/>
  <c r="CE866" i="1"/>
  <c r="CQ865" i="1"/>
  <c r="CP865" i="1"/>
  <c r="CO865" i="1"/>
  <c r="CN865" i="1"/>
  <c r="CL865" i="1"/>
  <c r="CG865" i="1"/>
  <c r="CF865" i="1"/>
  <c r="CE865" i="1"/>
  <c r="CQ864" i="1"/>
  <c r="CP864" i="1"/>
  <c r="CO864" i="1"/>
  <c r="CN864" i="1"/>
  <c r="CL864" i="1"/>
  <c r="CG864" i="1"/>
  <c r="CF864" i="1"/>
  <c r="CE864" i="1"/>
  <c r="CQ863" i="1"/>
  <c r="CP863" i="1"/>
  <c r="CO863" i="1"/>
  <c r="CN863" i="1"/>
  <c r="CL863" i="1"/>
  <c r="CG863" i="1"/>
  <c r="CF863" i="1"/>
  <c r="CE863" i="1"/>
  <c r="CQ862" i="1"/>
  <c r="CP862" i="1"/>
  <c r="CO862" i="1"/>
  <c r="CN862" i="1"/>
  <c r="CL862" i="1"/>
  <c r="CG862" i="1"/>
  <c r="CF862" i="1"/>
  <c r="CE862" i="1"/>
  <c r="CQ861" i="1"/>
  <c r="CP861" i="1"/>
  <c r="CO861" i="1"/>
  <c r="CN861" i="1"/>
  <c r="CL861" i="1"/>
  <c r="CG861" i="1"/>
  <c r="CF861" i="1"/>
  <c r="CE861" i="1"/>
  <c r="CQ860" i="1"/>
  <c r="CP860" i="1"/>
  <c r="CO860" i="1"/>
  <c r="CN860" i="1"/>
  <c r="CL860" i="1"/>
  <c r="CG860" i="1"/>
  <c r="CF860" i="1"/>
  <c r="CE860" i="1"/>
  <c r="CQ859" i="1"/>
  <c r="CP859" i="1"/>
  <c r="CO859" i="1"/>
  <c r="CN859" i="1"/>
  <c r="CL859" i="1"/>
  <c r="CG859" i="1"/>
  <c r="CF859" i="1"/>
  <c r="CE859" i="1"/>
  <c r="CQ858" i="1"/>
  <c r="CP858" i="1"/>
  <c r="CO858" i="1"/>
  <c r="CN858" i="1"/>
  <c r="CL858" i="1"/>
  <c r="CG858" i="1"/>
  <c r="CF858" i="1"/>
  <c r="CE858" i="1"/>
  <c r="CQ857" i="1"/>
  <c r="CP857" i="1"/>
  <c r="CO857" i="1"/>
  <c r="CN857" i="1"/>
  <c r="CL857" i="1"/>
  <c r="CG857" i="1"/>
  <c r="CF857" i="1"/>
  <c r="CE857" i="1"/>
  <c r="CQ856" i="1"/>
  <c r="CP856" i="1"/>
  <c r="CO856" i="1"/>
  <c r="CN856" i="1"/>
  <c r="CL856" i="1"/>
  <c r="CG856" i="1"/>
  <c r="CF856" i="1"/>
  <c r="CE856" i="1"/>
  <c r="CQ855" i="1"/>
  <c r="CP855" i="1"/>
  <c r="CO855" i="1"/>
  <c r="CN855" i="1"/>
  <c r="CL855" i="1"/>
  <c r="CG855" i="1"/>
  <c r="CF855" i="1"/>
  <c r="CE855" i="1"/>
  <c r="CQ854" i="1"/>
  <c r="CP854" i="1"/>
  <c r="CO854" i="1"/>
  <c r="CN854" i="1"/>
  <c r="CL854" i="1"/>
  <c r="CG854" i="1"/>
  <c r="CF854" i="1"/>
  <c r="CE854" i="1"/>
  <c r="CQ853" i="1"/>
  <c r="CP853" i="1"/>
  <c r="CO853" i="1"/>
  <c r="CN853" i="1"/>
  <c r="CL853" i="1"/>
  <c r="CG853" i="1"/>
  <c r="CF853" i="1"/>
  <c r="CE853" i="1"/>
  <c r="CQ852" i="1"/>
  <c r="CP852" i="1"/>
  <c r="CO852" i="1"/>
  <c r="CN852" i="1"/>
  <c r="CL852" i="1"/>
  <c r="CG852" i="1"/>
  <c r="CF852" i="1"/>
  <c r="CE852" i="1"/>
  <c r="CQ851" i="1"/>
  <c r="CP851" i="1"/>
  <c r="CO851" i="1"/>
  <c r="CN851" i="1"/>
  <c r="CL851" i="1"/>
  <c r="CG851" i="1"/>
  <c r="CF851" i="1"/>
  <c r="CE851" i="1"/>
  <c r="CQ850" i="1"/>
  <c r="CP850" i="1"/>
  <c r="CO850" i="1"/>
  <c r="CN850" i="1"/>
  <c r="CL850" i="1"/>
  <c r="CG850" i="1"/>
  <c r="CF850" i="1"/>
  <c r="CE850" i="1"/>
  <c r="CQ849" i="1"/>
  <c r="CP849" i="1"/>
  <c r="CO849" i="1"/>
  <c r="CN849" i="1"/>
  <c r="CL849" i="1"/>
  <c r="CG849" i="1"/>
  <c r="CF849" i="1"/>
  <c r="CE849" i="1"/>
  <c r="CQ848" i="1"/>
  <c r="CP848" i="1"/>
  <c r="CO848" i="1"/>
  <c r="CN848" i="1"/>
  <c r="CL848" i="1"/>
  <c r="CG848" i="1"/>
  <c r="CF848" i="1"/>
  <c r="CE848" i="1"/>
  <c r="CQ847" i="1"/>
  <c r="CP847" i="1"/>
  <c r="CO847" i="1"/>
  <c r="CN847" i="1"/>
  <c r="CL847" i="1"/>
  <c r="CG847" i="1"/>
  <c r="CF847" i="1"/>
  <c r="CE847" i="1"/>
  <c r="CQ846" i="1"/>
  <c r="CP846" i="1"/>
  <c r="CO846" i="1"/>
  <c r="CN846" i="1"/>
  <c r="CL846" i="1"/>
  <c r="CG846" i="1"/>
  <c r="CF846" i="1"/>
  <c r="CE846" i="1"/>
  <c r="CQ845" i="1"/>
  <c r="CP845" i="1"/>
  <c r="CO845" i="1"/>
  <c r="CN845" i="1"/>
  <c r="CL845" i="1"/>
  <c r="CG845" i="1"/>
  <c r="CF845" i="1"/>
  <c r="CE845" i="1"/>
  <c r="CQ844" i="1"/>
  <c r="CP844" i="1"/>
  <c r="CO844" i="1"/>
  <c r="CN844" i="1"/>
  <c r="CL844" i="1"/>
  <c r="CG844" i="1"/>
  <c r="CF844" i="1"/>
  <c r="CE844" i="1"/>
  <c r="CQ843" i="1"/>
  <c r="CP843" i="1"/>
  <c r="CO843" i="1"/>
  <c r="CN843" i="1"/>
  <c r="CL843" i="1"/>
  <c r="CG843" i="1"/>
  <c r="CF843" i="1"/>
  <c r="CE843" i="1"/>
  <c r="CQ842" i="1"/>
  <c r="CP842" i="1"/>
  <c r="CO842" i="1"/>
  <c r="CN842" i="1"/>
  <c r="CL842" i="1"/>
  <c r="CG842" i="1"/>
  <c r="CF842" i="1"/>
  <c r="CE842" i="1"/>
  <c r="CQ841" i="1"/>
  <c r="CP841" i="1"/>
  <c r="CO841" i="1"/>
  <c r="CN841" i="1"/>
  <c r="CL841" i="1"/>
  <c r="CG841" i="1"/>
  <c r="CF841" i="1"/>
  <c r="CE841" i="1"/>
  <c r="CQ840" i="1"/>
  <c r="CP840" i="1"/>
  <c r="CO840" i="1"/>
  <c r="CN840" i="1"/>
  <c r="CL840" i="1"/>
  <c r="CG840" i="1"/>
  <c r="CF840" i="1"/>
  <c r="CE840" i="1"/>
  <c r="CQ839" i="1"/>
  <c r="CP839" i="1"/>
  <c r="CO839" i="1"/>
  <c r="CN839" i="1"/>
  <c r="CL839" i="1"/>
  <c r="CG839" i="1"/>
  <c r="CF839" i="1"/>
  <c r="CE839" i="1"/>
  <c r="CQ838" i="1"/>
  <c r="CP838" i="1"/>
  <c r="CO838" i="1"/>
  <c r="CN838" i="1"/>
  <c r="CL838" i="1"/>
  <c r="CG838" i="1"/>
  <c r="CF838" i="1"/>
  <c r="CE838" i="1"/>
  <c r="CQ837" i="1"/>
  <c r="CP837" i="1"/>
  <c r="CO837" i="1"/>
  <c r="CN837" i="1"/>
  <c r="CL837" i="1"/>
  <c r="CG837" i="1"/>
  <c r="CF837" i="1"/>
  <c r="CE837" i="1"/>
  <c r="CQ836" i="1"/>
  <c r="CP836" i="1"/>
  <c r="CO836" i="1"/>
  <c r="CN836" i="1"/>
  <c r="CL836" i="1"/>
  <c r="CG836" i="1"/>
  <c r="CF836" i="1"/>
  <c r="CE836" i="1"/>
  <c r="CQ835" i="1"/>
  <c r="CP835" i="1"/>
  <c r="CO835" i="1"/>
  <c r="CN835" i="1"/>
  <c r="CL835" i="1"/>
  <c r="CG835" i="1"/>
  <c r="CF835" i="1"/>
  <c r="CE835" i="1"/>
  <c r="CQ834" i="1"/>
  <c r="CP834" i="1"/>
  <c r="CO834" i="1"/>
  <c r="CN834" i="1"/>
  <c r="CL834" i="1"/>
  <c r="CG834" i="1"/>
  <c r="CF834" i="1"/>
  <c r="CE834" i="1"/>
  <c r="CQ833" i="1"/>
  <c r="CP833" i="1"/>
  <c r="CO833" i="1"/>
  <c r="CN833" i="1"/>
  <c r="CL833" i="1"/>
  <c r="CG833" i="1"/>
  <c r="CF833" i="1"/>
  <c r="CE833" i="1"/>
  <c r="CQ832" i="1"/>
  <c r="CP832" i="1"/>
  <c r="CO832" i="1"/>
  <c r="CN832" i="1"/>
  <c r="CL832" i="1"/>
  <c r="CG832" i="1"/>
  <c r="CF832" i="1"/>
  <c r="CE832" i="1"/>
  <c r="CQ831" i="1"/>
  <c r="CP831" i="1"/>
  <c r="CO831" i="1"/>
  <c r="CN831" i="1"/>
  <c r="CL831" i="1"/>
  <c r="CG831" i="1"/>
  <c r="CF831" i="1"/>
  <c r="CE831" i="1"/>
  <c r="CQ830" i="1"/>
  <c r="CP830" i="1"/>
  <c r="CO830" i="1"/>
  <c r="CN830" i="1"/>
  <c r="CL830" i="1"/>
  <c r="CG830" i="1"/>
  <c r="CF830" i="1"/>
  <c r="CE830" i="1"/>
  <c r="CQ829" i="1"/>
  <c r="CP829" i="1"/>
  <c r="CO829" i="1"/>
  <c r="CN829" i="1"/>
  <c r="CL829" i="1"/>
  <c r="CG829" i="1"/>
  <c r="CF829" i="1"/>
  <c r="CE829" i="1"/>
  <c r="CQ828" i="1"/>
  <c r="CP828" i="1"/>
  <c r="CO828" i="1"/>
  <c r="CN828" i="1"/>
  <c r="CL828" i="1"/>
  <c r="CG828" i="1"/>
  <c r="CF828" i="1"/>
  <c r="CE828" i="1"/>
  <c r="CQ827" i="1"/>
  <c r="CP827" i="1"/>
  <c r="CO827" i="1"/>
  <c r="CN827" i="1"/>
  <c r="CL827" i="1"/>
  <c r="CG827" i="1"/>
  <c r="CF827" i="1"/>
  <c r="CE827" i="1"/>
  <c r="CQ826" i="1"/>
  <c r="CP826" i="1"/>
  <c r="CO826" i="1"/>
  <c r="CN826" i="1"/>
  <c r="CL826" i="1"/>
  <c r="CG826" i="1"/>
  <c r="CF826" i="1"/>
  <c r="CE826" i="1"/>
  <c r="CQ825" i="1"/>
  <c r="CP825" i="1"/>
  <c r="CO825" i="1"/>
  <c r="CN825" i="1"/>
  <c r="CL825" i="1"/>
  <c r="CG825" i="1"/>
  <c r="CF825" i="1"/>
  <c r="CE825" i="1"/>
  <c r="CQ824" i="1"/>
  <c r="CP824" i="1"/>
  <c r="CO824" i="1"/>
  <c r="CN824" i="1"/>
  <c r="CL824" i="1"/>
  <c r="CG824" i="1"/>
  <c r="CF824" i="1"/>
  <c r="CE824" i="1"/>
  <c r="CQ823" i="1"/>
  <c r="CP823" i="1"/>
  <c r="CO823" i="1"/>
  <c r="CN823" i="1"/>
  <c r="CL823" i="1"/>
  <c r="CG823" i="1"/>
  <c r="CF823" i="1"/>
  <c r="CE823" i="1"/>
  <c r="CQ822" i="1"/>
  <c r="CP822" i="1"/>
  <c r="CO822" i="1"/>
  <c r="CN822" i="1"/>
  <c r="CL822" i="1"/>
  <c r="CG822" i="1"/>
  <c r="CF822" i="1"/>
  <c r="CE822" i="1"/>
  <c r="CQ821" i="1"/>
  <c r="CP821" i="1"/>
  <c r="CO821" i="1"/>
  <c r="CN821" i="1"/>
  <c r="CL821" i="1"/>
  <c r="CG821" i="1"/>
  <c r="CF821" i="1"/>
  <c r="CE821" i="1"/>
  <c r="CQ820" i="1"/>
  <c r="CP820" i="1"/>
  <c r="CO820" i="1"/>
  <c r="CN820" i="1"/>
  <c r="CL820" i="1"/>
  <c r="CG820" i="1"/>
  <c r="CF820" i="1"/>
  <c r="CE820" i="1"/>
  <c r="CQ819" i="1"/>
  <c r="CP819" i="1"/>
  <c r="CO819" i="1"/>
  <c r="CN819" i="1"/>
  <c r="CL819" i="1"/>
  <c r="CG819" i="1"/>
  <c r="CF819" i="1"/>
  <c r="CE819" i="1"/>
  <c r="CQ818" i="1"/>
  <c r="CP818" i="1"/>
  <c r="CO818" i="1"/>
  <c r="CN818" i="1"/>
  <c r="CL818" i="1"/>
  <c r="CG818" i="1"/>
  <c r="CF818" i="1"/>
  <c r="CE818" i="1"/>
  <c r="CQ817" i="1"/>
  <c r="CP817" i="1"/>
  <c r="CO817" i="1"/>
  <c r="CN817" i="1"/>
  <c r="CL817" i="1"/>
  <c r="CG817" i="1"/>
  <c r="CF817" i="1"/>
  <c r="CE817" i="1"/>
  <c r="CQ816" i="1"/>
  <c r="CP816" i="1"/>
  <c r="CO816" i="1"/>
  <c r="CN816" i="1"/>
  <c r="CL816" i="1"/>
  <c r="CG816" i="1"/>
  <c r="CF816" i="1"/>
  <c r="CE816" i="1"/>
  <c r="CQ815" i="1"/>
  <c r="CP815" i="1"/>
  <c r="CO815" i="1"/>
  <c r="CN815" i="1"/>
  <c r="CL815" i="1"/>
  <c r="CG815" i="1"/>
  <c r="CF815" i="1"/>
  <c r="CE815" i="1"/>
  <c r="CQ814" i="1"/>
  <c r="CP814" i="1"/>
  <c r="CO814" i="1"/>
  <c r="CN814" i="1"/>
  <c r="CL814" i="1"/>
  <c r="CG814" i="1"/>
  <c r="CF814" i="1"/>
  <c r="CE814" i="1"/>
  <c r="CQ813" i="1"/>
  <c r="CP813" i="1"/>
  <c r="CO813" i="1"/>
  <c r="CN813" i="1"/>
  <c r="CL813" i="1"/>
  <c r="CG813" i="1"/>
  <c r="CF813" i="1"/>
  <c r="CE813" i="1"/>
  <c r="CQ812" i="1"/>
  <c r="CP812" i="1"/>
  <c r="CO812" i="1"/>
  <c r="CN812" i="1"/>
  <c r="CL812" i="1"/>
  <c r="CG812" i="1"/>
  <c r="CF812" i="1"/>
  <c r="CE812" i="1"/>
  <c r="CQ811" i="1"/>
  <c r="CP811" i="1"/>
  <c r="CO811" i="1"/>
  <c r="CN811" i="1"/>
  <c r="CL811" i="1"/>
  <c r="CG811" i="1"/>
  <c r="CF811" i="1"/>
  <c r="CE811" i="1"/>
  <c r="CQ810" i="1"/>
  <c r="CP810" i="1"/>
  <c r="CO810" i="1"/>
  <c r="CN810" i="1"/>
  <c r="CL810" i="1"/>
  <c r="CG810" i="1"/>
  <c r="CF810" i="1"/>
  <c r="CE810" i="1"/>
  <c r="CQ809" i="1"/>
  <c r="CP809" i="1"/>
  <c r="CO809" i="1"/>
  <c r="CN809" i="1"/>
  <c r="CL809" i="1"/>
  <c r="CG809" i="1"/>
  <c r="CF809" i="1"/>
  <c r="CE809" i="1"/>
  <c r="CQ808" i="1"/>
  <c r="CP808" i="1"/>
  <c r="CO808" i="1"/>
  <c r="CN808" i="1"/>
  <c r="CL808" i="1"/>
  <c r="CG808" i="1"/>
  <c r="CF808" i="1"/>
  <c r="CE808" i="1"/>
  <c r="CQ807" i="1"/>
  <c r="CP807" i="1"/>
  <c r="CO807" i="1"/>
  <c r="CN807" i="1"/>
  <c r="CL807" i="1"/>
  <c r="CG807" i="1"/>
  <c r="CF807" i="1"/>
  <c r="CE807" i="1"/>
  <c r="CQ806" i="1"/>
  <c r="CP806" i="1"/>
  <c r="CO806" i="1"/>
  <c r="CN806" i="1"/>
  <c r="CL806" i="1"/>
  <c r="CG806" i="1"/>
  <c r="CF806" i="1"/>
  <c r="CE806" i="1"/>
  <c r="CQ805" i="1"/>
  <c r="CP805" i="1"/>
  <c r="CO805" i="1"/>
  <c r="CN805" i="1"/>
  <c r="CL805" i="1"/>
  <c r="CG805" i="1"/>
  <c r="CF805" i="1"/>
  <c r="CE805" i="1"/>
  <c r="CQ804" i="1"/>
  <c r="CP804" i="1"/>
  <c r="CO804" i="1"/>
  <c r="CN804" i="1"/>
  <c r="CL804" i="1"/>
  <c r="CG804" i="1"/>
  <c r="CF804" i="1"/>
  <c r="CE804" i="1"/>
  <c r="CQ803" i="1"/>
  <c r="CP803" i="1"/>
  <c r="CO803" i="1"/>
  <c r="CN803" i="1"/>
  <c r="CL803" i="1"/>
  <c r="CG803" i="1"/>
  <c r="CF803" i="1"/>
  <c r="CE803" i="1"/>
  <c r="CQ802" i="1"/>
  <c r="CP802" i="1"/>
  <c r="CO802" i="1"/>
  <c r="CN802" i="1"/>
  <c r="CL802" i="1"/>
  <c r="CG802" i="1"/>
  <c r="CF802" i="1"/>
  <c r="CE802" i="1"/>
  <c r="CQ801" i="1"/>
  <c r="CP801" i="1"/>
  <c r="CO801" i="1"/>
  <c r="CN801" i="1"/>
  <c r="CL801" i="1"/>
  <c r="CG801" i="1"/>
  <c r="CF801" i="1"/>
  <c r="CE801" i="1"/>
  <c r="CQ800" i="1"/>
  <c r="CP800" i="1"/>
  <c r="CO800" i="1"/>
  <c r="CN800" i="1"/>
  <c r="CL800" i="1"/>
  <c r="CG800" i="1"/>
  <c r="CS800" i="1" s="1"/>
  <c r="CF800" i="1"/>
  <c r="CE800" i="1"/>
  <c r="CQ799" i="1"/>
  <c r="CP799" i="1"/>
  <c r="CO799" i="1"/>
  <c r="CN799" i="1"/>
  <c r="CL799" i="1"/>
  <c r="CG799" i="1"/>
  <c r="CF799" i="1"/>
  <c r="CE799" i="1"/>
  <c r="CQ798" i="1"/>
  <c r="CP798" i="1"/>
  <c r="CO798" i="1"/>
  <c r="CN798" i="1"/>
  <c r="CL798" i="1"/>
  <c r="CG798" i="1"/>
  <c r="CF798" i="1"/>
  <c r="CE798" i="1"/>
  <c r="CQ797" i="1"/>
  <c r="CP797" i="1"/>
  <c r="CO797" i="1"/>
  <c r="CN797" i="1"/>
  <c r="CL797" i="1"/>
  <c r="CG797" i="1"/>
  <c r="CF797" i="1"/>
  <c r="CE797" i="1"/>
  <c r="CQ796" i="1"/>
  <c r="CP796" i="1"/>
  <c r="CO796" i="1"/>
  <c r="CN796" i="1"/>
  <c r="CL796" i="1"/>
  <c r="CG796" i="1"/>
  <c r="CF796" i="1"/>
  <c r="CE796" i="1"/>
  <c r="CQ795" i="1"/>
  <c r="CP795" i="1"/>
  <c r="CO795" i="1"/>
  <c r="CN795" i="1"/>
  <c r="CL795" i="1"/>
  <c r="CG795" i="1"/>
  <c r="CF795" i="1"/>
  <c r="CE795" i="1"/>
  <c r="CQ794" i="1"/>
  <c r="CP794" i="1"/>
  <c r="CO794" i="1"/>
  <c r="CN794" i="1"/>
  <c r="CL794" i="1"/>
  <c r="CG794" i="1"/>
  <c r="CF794" i="1"/>
  <c r="CE794" i="1"/>
  <c r="CQ793" i="1"/>
  <c r="CP793" i="1"/>
  <c r="CO793" i="1"/>
  <c r="CN793" i="1"/>
  <c r="CL793" i="1"/>
  <c r="CG793" i="1"/>
  <c r="CF793" i="1"/>
  <c r="CE793" i="1"/>
  <c r="CQ792" i="1"/>
  <c r="CP792" i="1"/>
  <c r="CO792" i="1"/>
  <c r="CN792" i="1"/>
  <c r="CL792" i="1"/>
  <c r="CG792" i="1"/>
  <c r="CF792" i="1"/>
  <c r="CE792" i="1"/>
  <c r="CQ791" i="1"/>
  <c r="CP791" i="1"/>
  <c r="CO791" i="1"/>
  <c r="CN791" i="1"/>
  <c r="CL791" i="1"/>
  <c r="CG791" i="1"/>
  <c r="CF791" i="1"/>
  <c r="CE791" i="1"/>
  <c r="CQ790" i="1"/>
  <c r="CP790" i="1"/>
  <c r="CO790" i="1"/>
  <c r="CN790" i="1"/>
  <c r="CL790" i="1"/>
  <c r="CG790" i="1"/>
  <c r="CF790" i="1"/>
  <c r="CE790" i="1"/>
  <c r="CQ789" i="1"/>
  <c r="CP789" i="1"/>
  <c r="CO789" i="1"/>
  <c r="CN789" i="1"/>
  <c r="CL789" i="1"/>
  <c r="CG789" i="1"/>
  <c r="CF789" i="1"/>
  <c r="CE789" i="1"/>
  <c r="CQ788" i="1"/>
  <c r="CP788" i="1"/>
  <c r="CO788" i="1"/>
  <c r="CN788" i="1"/>
  <c r="CL788" i="1"/>
  <c r="CG788" i="1"/>
  <c r="CF788" i="1"/>
  <c r="CE788" i="1"/>
  <c r="CQ787" i="1"/>
  <c r="CP787" i="1"/>
  <c r="CO787" i="1"/>
  <c r="CN787" i="1"/>
  <c r="CL787" i="1"/>
  <c r="CG787" i="1"/>
  <c r="CF787" i="1"/>
  <c r="CE787" i="1"/>
  <c r="CQ786" i="1"/>
  <c r="CP786" i="1"/>
  <c r="CO786" i="1"/>
  <c r="CN786" i="1"/>
  <c r="CL786" i="1"/>
  <c r="CG786" i="1"/>
  <c r="CF786" i="1"/>
  <c r="CE786" i="1"/>
  <c r="CQ785" i="1"/>
  <c r="CP785" i="1"/>
  <c r="CO785" i="1"/>
  <c r="CN785" i="1"/>
  <c r="CL785" i="1"/>
  <c r="CG785" i="1"/>
  <c r="CF785" i="1"/>
  <c r="CE785" i="1"/>
  <c r="CQ784" i="1"/>
  <c r="CP784" i="1"/>
  <c r="CO784" i="1"/>
  <c r="CN784" i="1"/>
  <c r="CL784" i="1"/>
  <c r="CG784" i="1"/>
  <c r="CF784" i="1"/>
  <c r="CE784" i="1"/>
  <c r="CQ783" i="1"/>
  <c r="CP783" i="1"/>
  <c r="CO783" i="1"/>
  <c r="CN783" i="1"/>
  <c r="CL783" i="1"/>
  <c r="CG783" i="1"/>
  <c r="CF783" i="1"/>
  <c r="CE783" i="1"/>
  <c r="CQ782" i="1"/>
  <c r="CP782" i="1"/>
  <c r="CO782" i="1"/>
  <c r="CN782" i="1"/>
  <c r="CL782" i="1"/>
  <c r="CG782" i="1"/>
  <c r="CF782" i="1"/>
  <c r="CE782" i="1"/>
  <c r="CQ781" i="1"/>
  <c r="CP781" i="1"/>
  <c r="CO781" i="1"/>
  <c r="CN781" i="1"/>
  <c r="CL781" i="1"/>
  <c r="CG781" i="1"/>
  <c r="CF781" i="1"/>
  <c r="CE781" i="1"/>
  <c r="CQ780" i="1"/>
  <c r="CP780" i="1"/>
  <c r="CO780" i="1"/>
  <c r="CN780" i="1"/>
  <c r="CL780" i="1"/>
  <c r="CG780" i="1"/>
  <c r="CF780" i="1"/>
  <c r="CE780" i="1"/>
  <c r="CQ779" i="1"/>
  <c r="CP779" i="1"/>
  <c r="CO779" i="1"/>
  <c r="CN779" i="1"/>
  <c r="CL779" i="1"/>
  <c r="CG779" i="1"/>
  <c r="CF779" i="1"/>
  <c r="CE779" i="1"/>
  <c r="CQ778" i="1"/>
  <c r="CP778" i="1"/>
  <c r="CO778" i="1"/>
  <c r="CN778" i="1"/>
  <c r="CL778" i="1"/>
  <c r="CG778" i="1"/>
  <c r="CF778" i="1"/>
  <c r="CE778" i="1"/>
  <c r="CQ777" i="1"/>
  <c r="CP777" i="1"/>
  <c r="CO777" i="1"/>
  <c r="CN777" i="1"/>
  <c r="CL777" i="1"/>
  <c r="CG777" i="1"/>
  <c r="CF777" i="1"/>
  <c r="CE777" i="1"/>
  <c r="CQ776" i="1"/>
  <c r="CP776" i="1"/>
  <c r="CO776" i="1"/>
  <c r="CN776" i="1"/>
  <c r="CL776" i="1"/>
  <c r="CG776" i="1"/>
  <c r="CS776" i="1" s="1"/>
  <c r="CF776" i="1"/>
  <c r="CE776" i="1"/>
  <c r="CQ775" i="1"/>
  <c r="CP775" i="1"/>
  <c r="CO775" i="1"/>
  <c r="CN775" i="1"/>
  <c r="CL775" i="1"/>
  <c r="CG775" i="1"/>
  <c r="CF775" i="1"/>
  <c r="CE775" i="1"/>
  <c r="CQ774" i="1"/>
  <c r="CP774" i="1"/>
  <c r="CO774" i="1"/>
  <c r="CN774" i="1"/>
  <c r="CL774" i="1"/>
  <c r="CG774" i="1"/>
  <c r="CF774" i="1"/>
  <c r="CE774" i="1"/>
  <c r="CQ773" i="1"/>
  <c r="CP773" i="1"/>
  <c r="CO773" i="1"/>
  <c r="CN773" i="1"/>
  <c r="CL773" i="1"/>
  <c r="CG773" i="1"/>
  <c r="CF773" i="1"/>
  <c r="CE773" i="1"/>
  <c r="CQ772" i="1"/>
  <c r="CP772" i="1"/>
  <c r="CO772" i="1"/>
  <c r="CN772" i="1"/>
  <c r="CL772" i="1"/>
  <c r="CG772" i="1"/>
  <c r="CF772" i="1"/>
  <c r="CE772" i="1"/>
  <c r="CQ771" i="1"/>
  <c r="CP771" i="1"/>
  <c r="CO771" i="1"/>
  <c r="CN771" i="1"/>
  <c r="CL771" i="1"/>
  <c r="CG771" i="1"/>
  <c r="CF771" i="1"/>
  <c r="CE771" i="1"/>
  <c r="CQ770" i="1"/>
  <c r="CP770" i="1"/>
  <c r="CO770" i="1"/>
  <c r="CN770" i="1"/>
  <c r="CL770" i="1"/>
  <c r="CG770" i="1"/>
  <c r="CF770" i="1"/>
  <c r="CE770" i="1"/>
  <c r="CQ769" i="1"/>
  <c r="CP769" i="1"/>
  <c r="CO769" i="1"/>
  <c r="CN769" i="1"/>
  <c r="CL769" i="1"/>
  <c r="CG769" i="1"/>
  <c r="CF769" i="1"/>
  <c r="CE769" i="1"/>
  <c r="CQ768" i="1"/>
  <c r="CP768" i="1"/>
  <c r="CO768" i="1"/>
  <c r="CN768" i="1"/>
  <c r="CL768" i="1"/>
  <c r="CG768" i="1"/>
  <c r="CF768" i="1"/>
  <c r="CE768" i="1"/>
  <c r="CQ767" i="1"/>
  <c r="CP767" i="1"/>
  <c r="CO767" i="1"/>
  <c r="CN767" i="1"/>
  <c r="CL767" i="1"/>
  <c r="CG767" i="1"/>
  <c r="CF767" i="1"/>
  <c r="CE767" i="1"/>
  <c r="CQ766" i="1"/>
  <c r="CP766" i="1"/>
  <c r="CO766" i="1"/>
  <c r="CN766" i="1"/>
  <c r="CL766" i="1"/>
  <c r="CG766" i="1"/>
  <c r="CF766" i="1"/>
  <c r="CE766" i="1"/>
  <c r="CQ765" i="1"/>
  <c r="CP765" i="1"/>
  <c r="CO765" i="1"/>
  <c r="CN765" i="1"/>
  <c r="CL765" i="1"/>
  <c r="CG765" i="1"/>
  <c r="CF765" i="1"/>
  <c r="CE765" i="1"/>
  <c r="CQ764" i="1"/>
  <c r="CP764" i="1"/>
  <c r="CO764" i="1"/>
  <c r="CN764" i="1"/>
  <c r="CL764" i="1"/>
  <c r="CG764" i="1"/>
  <c r="CS764" i="1" s="1"/>
  <c r="CF764" i="1"/>
  <c r="CE764" i="1"/>
  <c r="CQ763" i="1"/>
  <c r="CP763" i="1"/>
  <c r="CO763" i="1"/>
  <c r="CN763" i="1"/>
  <c r="CL763" i="1"/>
  <c r="CG763" i="1"/>
  <c r="CF763" i="1"/>
  <c r="CE763" i="1"/>
  <c r="CQ762" i="1"/>
  <c r="CP762" i="1"/>
  <c r="CO762" i="1"/>
  <c r="CN762" i="1"/>
  <c r="CL762" i="1"/>
  <c r="CG762" i="1"/>
  <c r="CF762" i="1"/>
  <c r="CE762" i="1"/>
  <c r="CQ761" i="1"/>
  <c r="CP761" i="1"/>
  <c r="CO761" i="1"/>
  <c r="CN761" i="1"/>
  <c r="CL761" i="1"/>
  <c r="CG761" i="1"/>
  <c r="CF761" i="1"/>
  <c r="CE761" i="1"/>
  <c r="CQ760" i="1"/>
  <c r="CP760" i="1"/>
  <c r="CO760" i="1"/>
  <c r="CN760" i="1"/>
  <c r="CL760" i="1"/>
  <c r="CG760" i="1"/>
  <c r="CF760" i="1"/>
  <c r="CE760" i="1"/>
  <c r="CQ759" i="1"/>
  <c r="CP759" i="1"/>
  <c r="CO759" i="1"/>
  <c r="CN759" i="1"/>
  <c r="CL759" i="1"/>
  <c r="CG759" i="1"/>
  <c r="CF759" i="1"/>
  <c r="CE759" i="1"/>
  <c r="CQ758" i="1"/>
  <c r="CP758" i="1"/>
  <c r="CO758" i="1"/>
  <c r="CN758" i="1"/>
  <c r="CL758" i="1"/>
  <c r="CG758" i="1"/>
  <c r="CF758" i="1"/>
  <c r="CE758" i="1"/>
  <c r="CQ757" i="1"/>
  <c r="CP757" i="1"/>
  <c r="CO757" i="1"/>
  <c r="CN757" i="1"/>
  <c r="CL757" i="1"/>
  <c r="CG757" i="1"/>
  <c r="CF757" i="1"/>
  <c r="CE757" i="1"/>
  <c r="CQ756" i="1"/>
  <c r="CP756" i="1"/>
  <c r="CO756" i="1"/>
  <c r="CN756" i="1"/>
  <c r="CL756" i="1"/>
  <c r="CG756" i="1"/>
  <c r="CF756" i="1"/>
  <c r="CE756" i="1"/>
  <c r="CQ755" i="1"/>
  <c r="CP755" i="1"/>
  <c r="CO755" i="1"/>
  <c r="CN755" i="1"/>
  <c r="CL755" i="1"/>
  <c r="CG755" i="1"/>
  <c r="CF755" i="1"/>
  <c r="CE755" i="1"/>
  <c r="CQ754" i="1"/>
  <c r="CP754" i="1"/>
  <c r="CO754" i="1"/>
  <c r="CN754" i="1"/>
  <c r="CL754" i="1"/>
  <c r="CG754" i="1"/>
  <c r="CF754" i="1"/>
  <c r="CE754" i="1"/>
  <c r="CQ753" i="1"/>
  <c r="CP753" i="1"/>
  <c r="CO753" i="1"/>
  <c r="CN753" i="1"/>
  <c r="CL753" i="1"/>
  <c r="CG753" i="1"/>
  <c r="CF753" i="1"/>
  <c r="CE753" i="1"/>
  <c r="CQ752" i="1"/>
  <c r="CP752" i="1"/>
  <c r="CO752" i="1"/>
  <c r="CN752" i="1"/>
  <c r="CL752" i="1"/>
  <c r="CG752" i="1"/>
  <c r="CF752" i="1"/>
  <c r="CE752" i="1"/>
  <c r="CQ751" i="1"/>
  <c r="CP751" i="1"/>
  <c r="CO751" i="1"/>
  <c r="CN751" i="1"/>
  <c r="CL751" i="1"/>
  <c r="CG751" i="1"/>
  <c r="CF751" i="1"/>
  <c r="CE751" i="1"/>
  <c r="CQ750" i="1"/>
  <c r="CP750" i="1"/>
  <c r="CO750" i="1"/>
  <c r="CN750" i="1"/>
  <c r="CL750" i="1"/>
  <c r="CG750" i="1"/>
  <c r="CF750" i="1"/>
  <c r="CE750" i="1"/>
  <c r="CQ749" i="1"/>
  <c r="CP749" i="1"/>
  <c r="CO749" i="1"/>
  <c r="CN749" i="1"/>
  <c r="CL749" i="1"/>
  <c r="CG749" i="1"/>
  <c r="CF749" i="1"/>
  <c r="CE749" i="1"/>
  <c r="CQ748" i="1"/>
  <c r="CP748" i="1"/>
  <c r="CO748" i="1"/>
  <c r="CN748" i="1"/>
  <c r="CL748" i="1"/>
  <c r="CG748" i="1"/>
  <c r="CF748" i="1"/>
  <c r="CE748" i="1"/>
  <c r="CQ747" i="1"/>
  <c r="CP747" i="1"/>
  <c r="CO747" i="1"/>
  <c r="CN747" i="1"/>
  <c r="CL747" i="1"/>
  <c r="CG747" i="1"/>
  <c r="CF747" i="1"/>
  <c r="CE747" i="1"/>
  <c r="CQ746" i="1"/>
  <c r="CP746" i="1"/>
  <c r="CO746" i="1"/>
  <c r="CN746" i="1"/>
  <c r="CL746" i="1"/>
  <c r="CG746" i="1"/>
  <c r="CF746" i="1"/>
  <c r="CE746" i="1"/>
  <c r="CQ745" i="1"/>
  <c r="CP745" i="1"/>
  <c r="CO745" i="1"/>
  <c r="CN745" i="1"/>
  <c r="CL745" i="1"/>
  <c r="CG745" i="1"/>
  <c r="CS745" i="1" s="1"/>
  <c r="CF745" i="1"/>
  <c r="CE745" i="1"/>
  <c r="CQ744" i="1"/>
  <c r="CP744" i="1"/>
  <c r="CO744" i="1"/>
  <c r="CN744" i="1"/>
  <c r="CL744" i="1"/>
  <c r="CG744" i="1"/>
  <c r="CF744" i="1"/>
  <c r="CE744" i="1"/>
  <c r="CQ743" i="1"/>
  <c r="CP743" i="1"/>
  <c r="CO743" i="1"/>
  <c r="CN743" i="1"/>
  <c r="CL743" i="1"/>
  <c r="CG743" i="1"/>
  <c r="CF743" i="1"/>
  <c r="CE743" i="1"/>
  <c r="CQ742" i="1"/>
  <c r="CP742" i="1"/>
  <c r="CO742" i="1"/>
  <c r="CN742" i="1"/>
  <c r="CL742" i="1"/>
  <c r="CG742" i="1"/>
  <c r="CF742" i="1"/>
  <c r="CE742" i="1"/>
  <c r="CQ741" i="1"/>
  <c r="CP741" i="1"/>
  <c r="CO741" i="1"/>
  <c r="CN741" i="1"/>
  <c r="CL741" i="1"/>
  <c r="CG741" i="1"/>
  <c r="CF741" i="1"/>
  <c r="CE741" i="1"/>
  <c r="CQ740" i="1"/>
  <c r="CP740" i="1"/>
  <c r="CO740" i="1"/>
  <c r="CN740" i="1"/>
  <c r="CL740" i="1"/>
  <c r="CG740" i="1"/>
  <c r="CF740" i="1"/>
  <c r="CE740" i="1"/>
  <c r="CQ739" i="1"/>
  <c r="CP739" i="1"/>
  <c r="CO739" i="1"/>
  <c r="CN739" i="1"/>
  <c r="CL739" i="1"/>
  <c r="CG739" i="1"/>
  <c r="CF739" i="1"/>
  <c r="CE739" i="1"/>
  <c r="CQ738" i="1"/>
  <c r="CP738" i="1"/>
  <c r="CO738" i="1"/>
  <c r="CN738" i="1"/>
  <c r="CL738" i="1"/>
  <c r="CG738" i="1"/>
  <c r="CF738" i="1"/>
  <c r="CE738" i="1"/>
  <c r="CQ737" i="1"/>
  <c r="CP737" i="1"/>
  <c r="CO737" i="1"/>
  <c r="CN737" i="1"/>
  <c r="CL737" i="1"/>
  <c r="CG737" i="1"/>
  <c r="CF737" i="1"/>
  <c r="CE737" i="1"/>
  <c r="CQ736" i="1"/>
  <c r="CP736" i="1"/>
  <c r="CO736" i="1"/>
  <c r="CN736" i="1"/>
  <c r="CL736" i="1"/>
  <c r="CG736" i="1"/>
  <c r="CF736" i="1"/>
  <c r="CE736" i="1"/>
  <c r="CQ735" i="1"/>
  <c r="CP735" i="1"/>
  <c r="CO735" i="1"/>
  <c r="CN735" i="1"/>
  <c r="CL735" i="1"/>
  <c r="CG735" i="1"/>
  <c r="CF735" i="1"/>
  <c r="CE735" i="1"/>
  <c r="CQ734" i="1"/>
  <c r="CP734" i="1"/>
  <c r="CO734" i="1"/>
  <c r="CN734" i="1"/>
  <c r="CL734" i="1"/>
  <c r="CG734" i="1"/>
  <c r="CF734" i="1"/>
  <c r="CE734" i="1"/>
  <c r="CQ733" i="1"/>
  <c r="CP733" i="1"/>
  <c r="CO733" i="1"/>
  <c r="CN733" i="1"/>
  <c r="CL733" i="1"/>
  <c r="CG733" i="1"/>
  <c r="CS733" i="1" s="1"/>
  <c r="CF733" i="1"/>
  <c r="CE733" i="1"/>
  <c r="CQ732" i="1"/>
  <c r="CP732" i="1"/>
  <c r="CO732" i="1"/>
  <c r="CN732" i="1"/>
  <c r="CL732" i="1"/>
  <c r="CG732" i="1"/>
  <c r="CF732" i="1"/>
  <c r="CE732" i="1"/>
  <c r="CQ731" i="1"/>
  <c r="CP731" i="1"/>
  <c r="CO731" i="1"/>
  <c r="CN731" i="1"/>
  <c r="CL731" i="1"/>
  <c r="CG731" i="1"/>
  <c r="CF731" i="1"/>
  <c r="CE731" i="1"/>
  <c r="CQ730" i="1"/>
  <c r="CP730" i="1"/>
  <c r="CO730" i="1"/>
  <c r="CN730" i="1"/>
  <c r="CL730" i="1"/>
  <c r="CG730" i="1"/>
  <c r="CF730" i="1"/>
  <c r="CE730" i="1"/>
  <c r="CQ729" i="1"/>
  <c r="CP729" i="1"/>
  <c r="CO729" i="1"/>
  <c r="CN729" i="1"/>
  <c r="CL729" i="1"/>
  <c r="CG729" i="1"/>
  <c r="CF729" i="1"/>
  <c r="CE729" i="1"/>
  <c r="CQ728" i="1"/>
  <c r="CP728" i="1"/>
  <c r="CO728" i="1"/>
  <c r="CN728" i="1"/>
  <c r="CL728" i="1"/>
  <c r="CG728" i="1"/>
  <c r="CF728" i="1"/>
  <c r="CE728" i="1"/>
  <c r="CQ727" i="1"/>
  <c r="CP727" i="1"/>
  <c r="CO727" i="1"/>
  <c r="CN727" i="1"/>
  <c r="CL727" i="1"/>
  <c r="CG727" i="1"/>
  <c r="CF727" i="1"/>
  <c r="CE727" i="1"/>
  <c r="CQ726" i="1"/>
  <c r="CP726" i="1"/>
  <c r="CO726" i="1"/>
  <c r="CN726" i="1"/>
  <c r="CL726" i="1"/>
  <c r="CG726" i="1"/>
  <c r="CF726" i="1"/>
  <c r="CE726" i="1"/>
  <c r="CQ725" i="1"/>
  <c r="CP725" i="1"/>
  <c r="CO725" i="1"/>
  <c r="CN725" i="1"/>
  <c r="CL725" i="1"/>
  <c r="CG725" i="1"/>
  <c r="CF725" i="1"/>
  <c r="CE725" i="1"/>
  <c r="CQ724" i="1"/>
  <c r="CP724" i="1"/>
  <c r="CO724" i="1"/>
  <c r="CN724" i="1"/>
  <c r="CL724" i="1"/>
  <c r="CG724" i="1"/>
  <c r="CF724" i="1"/>
  <c r="CE724" i="1"/>
  <c r="CQ723" i="1"/>
  <c r="CP723" i="1"/>
  <c r="CO723" i="1"/>
  <c r="CN723" i="1"/>
  <c r="CL723" i="1"/>
  <c r="CG723" i="1"/>
  <c r="CF723" i="1"/>
  <c r="CE723" i="1"/>
  <c r="CQ722" i="1"/>
  <c r="CP722" i="1"/>
  <c r="CO722" i="1"/>
  <c r="CN722" i="1"/>
  <c r="CL722" i="1"/>
  <c r="CG722" i="1"/>
  <c r="CF722" i="1"/>
  <c r="CE722" i="1"/>
  <c r="CQ721" i="1"/>
  <c r="CP721" i="1"/>
  <c r="CO721" i="1"/>
  <c r="CN721" i="1"/>
  <c r="CL721" i="1"/>
  <c r="CG721" i="1"/>
  <c r="CF721" i="1"/>
  <c r="CE721" i="1"/>
  <c r="CQ720" i="1"/>
  <c r="CP720" i="1"/>
  <c r="CO720" i="1"/>
  <c r="CN720" i="1"/>
  <c r="CL720" i="1"/>
  <c r="CG720" i="1"/>
  <c r="CF720" i="1"/>
  <c r="CE720" i="1"/>
  <c r="CQ719" i="1"/>
  <c r="CP719" i="1"/>
  <c r="CO719" i="1"/>
  <c r="CN719" i="1"/>
  <c r="CL719" i="1"/>
  <c r="CG719" i="1"/>
  <c r="CF719" i="1"/>
  <c r="CE719" i="1"/>
  <c r="CQ718" i="1"/>
  <c r="CP718" i="1"/>
  <c r="CO718" i="1"/>
  <c r="CN718" i="1"/>
  <c r="CL718" i="1"/>
  <c r="CG718" i="1"/>
  <c r="CF718" i="1"/>
  <c r="CE718" i="1"/>
  <c r="CQ717" i="1"/>
  <c r="CP717" i="1"/>
  <c r="CO717" i="1"/>
  <c r="CN717" i="1"/>
  <c r="CL717" i="1"/>
  <c r="CG717" i="1"/>
  <c r="CF717" i="1"/>
  <c r="CE717" i="1"/>
  <c r="CQ716" i="1"/>
  <c r="CP716" i="1"/>
  <c r="CO716" i="1"/>
  <c r="CN716" i="1"/>
  <c r="CL716" i="1"/>
  <c r="CG716" i="1"/>
  <c r="CF716" i="1"/>
  <c r="CE716" i="1"/>
  <c r="CQ715" i="1"/>
  <c r="CP715" i="1"/>
  <c r="CO715" i="1"/>
  <c r="CN715" i="1"/>
  <c r="CL715" i="1"/>
  <c r="CG715" i="1"/>
  <c r="CF715" i="1"/>
  <c r="CE715" i="1"/>
  <c r="CQ714" i="1"/>
  <c r="CP714" i="1"/>
  <c r="CO714" i="1"/>
  <c r="CN714" i="1"/>
  <c r="CL714" i="1"/>
  <c r="CG714" i="1"/>
  <c r="CF714" i="1"/>
  <c r="CE714" i="1"/>
  <c r="CQ713" i="1"/>
  <c r="CP713" i="1"/>
  <c r="CO713" i="1"/>
  <c r="CN713" i="1"/>
  <c r="CL713" i="1"/>
  <c r="CG713" i="1"/>
  <c r="CF713" i="1"/>
  <c r="CE713" i="1"/>
  <c r="CQ712" i="1"/>
  <c r="CP712" i="1"/>
  <c r="CO712" i="1"/>
  <c r="CN712" i="1"/>
  <c r="CL712" i="1"/>
  <c r="CG712" i="1"/>
  <c r="CF712" i="1"/>
  <c r="CE712" i="1"/>
  <c r="CQ711" i="1"/>
  <c r="CP711" i="1"/>
  <c r="CO711" i="1"/>
  <c r="CN711" i="1"/>
  <c r="CL711" i="1"/>
  <c r="CG711" i="1"/>
  <c r="CF711" i="1"/>
  <c r="CE711" i="1"/>
  <c r="CQ710" i="1"/>
  <c r="CP710" i="1"/>
  <c r="CO710" i="1"/>
  <c r="CN710" i="1"/>
  <c r="CL710" i="1"/>
  <c r="CG710" i="1"/>
  <c r="CF710" i="1"/>
  <c r="CE710" i="1"/>
  <c r="CQ709" i="1"/>
  <c r="CP709" i="1"/>
  <c r="CO709" i="1"/>
  <c r="CN709" i="1"/>
  <c r="CL709" i="1"/>
  <c r="CG709" i="1"/>
  <c r="CF709" i="1"/>
  <c r="CE709" i="1"/>
  <c r="CQ708" i="1"/>
  <c r="CP708" i="1"/>
  <c r="CO708" i="1"/>
  <c r="CN708" i="1"/>
  <c r="CL708" i="1"/>
  <c r="CG708" i="1"/>
  <c r="CF708" i="1"/>
  <c r="CE708" i="1"/>
  <c r="CQ707" i="1"/>
  <c r="CP707" i="1"/>
  <c r="CO707" i="1"/>
  <c r="CN707" i="1"/>
  <c r="CL707" i="1"/>
  <c r="CG707" i="1"/>
  <c r="CF707" i="1"/>
  <c r="CE707" i="1"/>
  <c r="CQ706" i="1"/>
  <c r="CP706" i="1"/>
  <c r="CO706" i="1"/>
  <c r="CN706" i="1"/>
  <c r="CL706" i="1"/>
  <c r="CG706" i="1"/>
  <c r="CF706" i="1"/>
  <c r="CE706" i="1"/>
  <c r="CQ705" i="1"/>
  <c r="CP705" i="1"/>
  <c r="CO705" i="1"/>
  <c r="CN705" i="1"/>
  <c r="CL705" i="1"/>
  <c r="CG705" i="1"/>
  <c r="CF705" i="1"/>
  <c r="CE705" i="1"/>
  <c r="CQ704" i="1"/>
  <c r="CP704" i="1"/>
  <c r="CO704" i="1"/>
  <c r="CN704" i="1"/>
  <c r="CL704" i="1"/>
  <c r="CG704" i="1"/>
  <c r="CS704" i="1" s="1"/>
  <c r="CF704" i="1"/>
  <c r="CE704" i="1"/>
  <c r="CQ703" i="1"/>
  <c r="CP703" i="1"/>
  <c r="CO703" i="1"/>
  <c r="CN703" i="1"/>
  <c r="CL703" i="1"/>
  <c r="CG703" i="1"/>
  <c r="CF703" i="1"/>
  <c r="CE703" i="1"/>
  <c r="CQ702" i="1"/>
  <c r="CP702" i="1"/>
  <c r="CO702" i="1"/>
  <c r="CN702" i="1"/>
  <c r="CL702" i="1"/>
  <c r="CG702" i="1"/>
  <c r="CF702" i="1"/>
  <c r="CE702" i="1"/>
  <c r="CQ701" i="1"/>
  <c r="CP701" i="1"/>
  <c r="CO701" i="1"/>
  <c r="CN701" i="1"/>
  <c r="CL701" i="1"/>
  <c r="CG701" i="1"/>
  <c r="CF701" i="1"/>
  <c r="CE701" i="1"/>
  <c r="CQ700" i="1"/>
  <c r="CP700" i="1"/>
  <c r="CO700" i="1"/>
  <c r="CN700" i="1"/>
  <c r="CL700" i="1"/>
  <c r="CG700" i="1"/>
  <c r="CF700" i="1"/>
  <c r="CE700" i="1"/>
  <c r="CQ699" i="1"/>
  <c r="CP699" i="1"/>
  <c r="CO699" i="1"/>
  <c r="CN699" i="1"/>
  <c r="CL699" i="1"/>
  <c r="CG699" i="1"/>
  <c r="CF699" i="1"/>
  <c r="CE699" i="1"/>
  <c r="CQ698" i="1"/>
  <c r="CP698" i="1"/>
  <c r="CO698" i="1"/>
  <c r="CN698" i="1"/>
  <c r="CL698" i="1"/>
  <c r="CG698" i="1"/>
  <c r="CF698" i="1"/>
  <c r="CE698" i="1"/>
  <c r="CQ697" i="1"/>
  <c r="CP697" i="1"/>
  <c r="CO697" i="1"/>
  <c r="CN697" i="1"/>
  <c r="CL697" i="1"/>
  <c r="CG697" i="1"/>
  <c r="CF697" i="1"/>
  <c r="CE697" i="1"/>
  <c r="CQ696" i="1"/>
  <c r="CP696" i="1"/>
  <c r="CO696" i="1"/>
  <c r="CN696" i="1"/>
  <c r="CL696" i="1"/>
  <c r="CG696" i="1"/>
  <c r="CF696" i="1"/>
  <c r="CE696" i="1"/>
  <c r="CQ695" i="1"/>
  <c r="CP695" i="1"/>
  <c r="CO695" i="1"/>
  <c r="CN695" i="1"/>
  <c r="CL695" i="1"/>
  <c r="CG695" i="1"/>
  <c r="CF695" i="1"/>
  <c r="CE695" i="1"/>
  <c r="CQ694" i="1"/>
  <c r="CP694" i="1"/>
  <c r="CO694" i="1"/>
  <c r="CN694" i="1"/>
  <c r="CL694" i="1"/>
  <c r="CG694" i="1"/>
  <c r="CF694" i="1"/>
  <c r="CE694" i="1"/>
  <c r="CQ693" i="1"/>
  <c r="CP693" i="1"/>
  <c r="CO693" i="1"/>
  <c r="CN693" i="1"/>
  <c r="CL693" i="1"/>
  <c r="CG693" i="1"/>
  <c r="CF693" i="1"/>
  <c r="CE693" i="1"/>
  <c r="CQ692" i="1"/>
  <c r="CP692" i="1"/>
  <c r="CO692" i="1"/>
  <c r="CN692" i="1"/>
  <c r="CL692" i="1"/>
  <c r="CG692" i="1"/>
  <c r="CF692" i="1"/>
  <c r="CE692" i="1"/>
  <c r="CQ691" i="1"/>
  <c r="CP691" i="1"/>
  <c r="CO691" i="1"/>
  <c r="CN691" i="1"/>
  <c r="CL691" i="1"/>
  <c r="CG691" i="1"/>
  <c r="CF691" i="1"/>
  <c r="CE691" i="1"/>
  <c r="CQ690" i="1"/>
  <c r="CP690" i="1"/>
  <c r="CO690" i="1"/>
  <c r="CN690" i="1"/>
  <c r="CL690" i="1"/>
  <c r="CG690" i="1"/>
  <c r="CF690" i="1"/>
  <c r="CE690" i="1"/>
  <c r="CQ689" i="1"/>
  <c r="CP689" i="1"/>
  <c r="CO689" i="1"/>
  <c r="CN689" i="1"/>
  <c r="CL689" i="1"/>
  <c r="CG689" i="1"/>
  <c r="CF689" i="1"/>
  <c r="CE689" i="1"/>
  <c r="CQ688" i="1"/>
  <c r="CP688" i="1"/>
  <c r="CO688" i="1"/>
  <c r="CN688" i="1"/>
  <c r="CL688" i="1"/>
  <c r="CG688" i="1"/>
  <c r="CF688" i="1"/>
  <c r="CE688" i="1"/>
  <c r="CQ687" i="1"/>
  <c r="CP687" i="1"/>
  <c r="CO687" i="1"/>
  <c r="CN687" i="1"/>
  <c r="CL687" i="1"/>
  <c r="CG687" i="1"/>
  <c r="CF687" i="1"/>
  <c r="CE687" i="1"/>
  <c r="CQ686" i="1"/>
  <c r="CP686" i="1"/>
  <c r="CO686" i="1"/>
  <c r="CN686" i="1"/>
  <c r="CL686" i="1"/>
  <c r="CG686" i="1"/>
  <c r="CF686" i="1"/>
  <c r="CE686" i="1"/>
  <c r="CQ685" i="1"/>
  <c r="CP685" i="1"/>
  <c r="CO685" i="1"/>
  <c r="CN685" i="1"/>
  <c r="CL685" i="1"/>
  <c r="CG685" i="1"/>
  <c r="CF685" i="1"/>
  <c r="CE685" i="1"/>
  <c r="CQ684" i="1"/>
  <c r="CP684" i="1"/>
  <c r="CO684" i="1"/>
  <c r="CN684" i="1"/>
  <c r="CL684" i="1"/>
  <c r="CG684" i="1"/>
  <c r="CF684" i="1"/>
  <c r="CE684" i="1"/>
  <c r="CQ683" i="1"/>
  <c r="CP683" i="1"/>
  <c r="CO683" i="1"/>
  <c r="CN683" i="1"/>
  <c r="CL683" i="1"/>
  <c r="CG683" i="1"/>
  <c r="CF683" i="1"/>
  <c r="CE683" i="1"/>
  <c r="CQ682" i="1"/>
  <c r="CP682" i="1"/>
  <c r="CO682" i="1"/>
  <c r="CN682" i="1"/>
  <c r="CL682" i="1"/>
  <c r="CG682" i="1"/>
  <c r="CF682" i="1"/>
  <c r="CE682" i="1"/>
  <c r="CQ681" i="1"/>
  <c r="CP681" i="1"/>
  <c r="CO681" i="1"/>
  <c r="CN681" i="1"/>
  <c r="CL681" i="1"/>
  <c r="CG681" i="1"/>
  <c r="CF681" i="1"/>
  <c r="CE681" i="1"/>
  <c r="CQ680" i="1"/>
  <c r="CP680" i="1"/>
  <c r="CO680" i="1"/>
  <c r="CN680" i="1"/>
  <c r="CL680" i="1"/>
  <c r="CG680" i="1"/>
  <c r="CS680" i="1" s="1"/>
  <c r="CF680" i="1"/>
  <c r="CE680" i="1"/>
  <c r="CQ679" i="1"/>
  <c r="CP679" i="1"/>
  <c r="CO679" i="1"/>
  <c r="CN679" i="1"/>
  <c r="CL679" i="1"/>
  <c r="CG679" i="1"/>
  <c r="CF679" i="1"/>
  <c r="CE679" i="1"/>
  <c r="CQ678" i="1"/>
  <c r="CP678" i="1"/>
  <c r="CO678" i="1"/>
  <c r="CN678" i="1"/>
  <c r="CL678" i="1"/>
  <c r="CG678" i="1"/>
  <c r="CF678" i="1"/>
  <c r="CE678" i="1"/>
  <c r="CQ677" i="1"/>
  <c r="CP677" i="1"/>
  <c r="CO677" i="1"/>
  <c r="CN677" i="1"/>
  <c r="CL677" i="1"/>
  <c r="CG677" i="1"/>
  <c r="CF677" i="1"/>
  <c r="CE677" i="1"/>
  <c r="CQ676" i="1"/>
  <c r="CP676" i="1"/>
  <c r="CO676" i="1"/>
  <c r="CN676" i="1"/>
  <c r="CL676" i="1"/>
  <c r="CG676" i="1"/>
  <c r="CF676" i="1"/>
  <c r="CE676" i="1"/>
  <c r="CQ675" i="1"/>
  <c r="CP675" i="1"/>
  <c r="CO675" i="1"/>
  <c r="CN675" i="1"/>
  <c r="CL675" i="1"/>
  <c r="CG675" i="1"/>
  <c r="CF675" i="1"/>
  <c r="CE675" i="1"/>
  <c r="CQ674" i="1"/>
  <c r="CP674" i="1"/>
  <c r="CO674" i="1"/>
  <c r="CN674" i="1"/>
  <c r="CL674" i="1"/>
  <c r="CG674" i="1"/>
  <c r="CF674" i="1"/>
  <c r="CE674" i="1"/>
  <c r="CQ673" i="1"/>
  <c r="CP673" i="1"/>
  <c r="CO673" i="1"/>
  <c r="CN673" i="1"/>
  <c r="CL673" i="1"/>
  <c r="CG673" i="1"/>
  <c r="CF673" i="1"/>
  <c r="CE673" i="1"/>
  <c r="CQ672" i="1"/>
  <c r="CP672" i="1"/>
  <c r="CO672" i="1"/>
  <c r="CN672" i="1"/>
  <c r="CL672" i="1"/>
  <c r="CG672" i="1"/>
  <c r="CF672" i="1"/>
  <c r="CE672" i="1"/>
  <c r="CQ671" i="1"/>
  <c r="CP671" i="1"/>
  <c r="CO671" i="1"/>
  <c r="CN671" i="1"/>
  <c r="CL671" i="1"/>
  <c r="CG671" i="1"/>
  <c r="CF671" i="1"/>
  <c r="CE671" i="1"/>
  <c r="CQ670" i="1"/>
  <c r="CP670" i="1"/>
  <c r="CO670" i="1"/>
  <c r="CN670" i="1"/>
  <c r="CL670" i="1"/>
  <c r="CG670" i="1"/>
  <c r="CF670" i="1"/>
  <c r="CE670" i="1"/>
  <c r="CQ669" i="1"/>
  <c r="CP669" i="1"/>
  <c r="CO669" i="1"/>
  <c r="CN669" i="1"/>
  <c r="CL669" i="1"/>
  <c r="CG669" i="1"/>
  <c r="CF669" i="1"/>
  <c r="CE669" i="1"/>
  <c r="CQ668" i="1"/>
  <c r="CP668" i="1"/>
  <c r="CO668" i="1"/>
  <c r="CN668" i="1"/>
  <c r="CL668" i="1"/>
  <c r="CG668" i="1"/>
  <c r="CS668" i="1" s="1"/>
  <c r="CF668" i="1"/>
  <c r="CE668" i="1"/>
  <c r="CQ667" i="1"/>
  <c r="CP667" i="1"/>
  <c r="CO667" i="1"/>
  <c r="CN667" i="1"/>
  <c r="CL667" i="1"/>
  <c r="CG667" i="1"/>
  <c r="CF667" i="1"/>
  <c r="CE667" i="1"/>
  <c r="CQ666" i="1"/>
  <c r="CP666" i="1"/>
  <c r="CO666" i="1"/>
  <c r="CN666" i="1"/>
  <c r="CL666" i="1"/>
  <c r="CG666" i="1"/>
  <c r="CF666" i="1"/>
  <c r="CE666" i="1"/>
  <c r="CQ665" i="1"/>
  <c r="CP665" i="1"/>
  <c r="CO665" i="1"/>
  <c r="CN665" i="1"/>
  <c r="CL665" i="1"/>
  <c r="CG665" i="1"/>
  <c r="CF665" i="1"/>
  <c r="CE665" i="1"/>
  <c r="CQ664" i="1"/>
  <c r="CP664" i="1"/>
  <c r="CO664" i="1"/>
  <c r="CN664" i="1"/>
  <c r="CL664" i="1"/>
  <c r="CG664" i="1"/>
  <c r="CF664" i="1"/>
  <c r="CE664" i="1"/>
  <c r="CQ663" i="1"/>
  <c r="CP663" i="1"/>
  <c r="CO663" i="1"/>
  <c r="CN663" i="1"/>
  <c r="CL663" i="1"/>
  <c r="CG663" i="1"/>
  <c r="CF663" i="1"/>
  <c r="CE663" i="1"/>
  <c r="CQ662" i="1"/>
  <c r="CP662" i="1"/>
  <c r="CO662" i="1"/>
  <c r="CN662" i="1"/>
  <c r="CL662" i="1"/>
  <c r="CG662" i="1"/>
  <c r="CF662" i="1"/>
  <c r="CE662" i="1"/>
  <c r="CQ661" i="1"/>
  <c r="CP661" i="1"/>
  <c r="CO661" i="1"/>
  <c r="CN661" i="1"/>
  <c r="CL661" i="1"/>
  <c r="CG661" i="1"/>
  <c r="CF661" i="1"/>
  <c r="CE661" i="1"/>
  <c r="CQ660" i="1"/>
  <c r="CP660" i="1"/>
  <c r="CO660" i="1"/>
  <c r="CN660" i="1"/>
  <c r="CL660" i="1"/>
  <c r="CG660" i="1"/>
  <c r="CF660" i="1"/>
  <c r="CE660" i="1"/>
  <c r="CQ659" i="1"/>
  <c r="CP659" i="1"/>
  <c r="CO659" i="1"/>
  <c r="CN659" i="1"/>
  <c r="CL659" i="1"/>
  <c r="CG659" i="1"/>
  <c r="CF659" i="1"/>
  <c r="CE659" i="1"/>
  <c r="CQ658" i="1"/>
  <c r="CP658" i="1"/>
  <c r="CO658" i="1"/>
  <c r="CN658" i="1"/>
  <c r="CL658" i="1"/>
  <c r="CG658" i="1"/>
  <c r="CF658" i="1"/>
  <c r="CE658" i="1"/>
  <c r="CQ657" i="1"/>
  <c r="CP657" i="1"/>
  <c r="CO657" i="1"/>
  <c r="CN657" i="1"/>
  <c r="CL657" i="1"/>
  <c r="CG657" i="1"/>
  <c r="CF657" i="1"/>
  <c r="CE657" i="1"/>
  <c r="CQ656" i="1"/>
  <c r="CP656" i="1"/>
  <c r="CO656" i="1"/>
  <c r="CN656" i="1"/>
  <c r="CL656" i="1"/>
  <c r="CG656" i="1"/>
  <c r="CF656" i="1"/>
  <c r="CE656" i="1"/>
  <c r="CQ655" i="1"/>
  <c r="CP655" i="1"/>
  <c r="CO655" i="1"/>
  <c r="CN655" i="1"/>
  <c r="CL655" i="1"/>
  <c r="CG655" i="1"/>
  <c r="CF655" i="1"/>
  <c r="CE655" i="1"/>
  <c r="CQ654" i="1"/>
  <c r="CP654" i="1"/>
  <c r="CO654" i="1"/>
  <c r="CN654" i="1"/>
  <c r="CL654" i="1"/>
  <c r="CG654" i="1"/>
  <c r="CF654" i="1"/>
  <c r="CE654" i="1"/>
  <c r="CQ653" i="1"/>
  <c r="CP653" i="1"/>
  <c r="CO653" i="1"/>
  <c r="CN653" i="1"/>
  <c r="CL653" i="1"/>
  <c r="CG653" i="1"/>
  <c r="CF653" i="1"/>
  <c r="CE653" i="1"/>
  <c r="CQ652" i="1"/>
  <c r="CP652" i="1"/>
  <c r="CO652" i="1"/>
  <c r="CN652" i="1"/>
  <c r="CL652" i="1"/>
  <c r="CG652" i="1"/>
  <c r="CF652" i="1"/>
  <c r="CE652" i="1"/>
  <c r="CQ651" i="1"/>
  <c r="CP651" i="1"/>
  <c r="CO651" i="1"/>
  <c r="CN651" i="1"/>
  <c r="CL651" i="1"/>
  <c r="CG651" i="1"/>
  <c r="CF651" i="1"/>
  <c r="CE651" i="1"/>
  <c r="CQ650" i="1"/>
  <c r="CP650" i="1"/>
  <c r="CO650" i="1"/>
  <c r="CN650" i="1"/>
  <c r="CL650" i="1"/>
  <c r="CG650" i="1"/>
  <c r="CF650" i="1"/>
  <c r="CE650" i="1"/>
  <c r="CQ649" i="1"/>
  <c r="CP649" i="1"/>
  <c r="CO649" i="1"/>
  <c r="CN649" i="1"/>
  <c r="CL649" i="1"/>
  <c r="CG649" i="1"/>
  <c r="CF649" i="1"/>
  <c r="CE649" i="1"/>
  <c r="CQ648" i="1"/>
  <c r="CP648" i="1"/>
  <c r="CO648" i="1"/>
  <c r="CN648" i="1"/>
  <c r="CL648" i="1"/>
  <c r="CG648" i="1"/>
  <c r="CF648" i="1"/>
  <c r="CE648" i="1"/>
  <c r="CQ647" i="1"/>
  <c r="CP647" i="1"/>
  <c r="CO647" i="1"/>
  <c r="CN647" i="1"/>
  <c r="CL647" i="1"/>
  <c r="CG647" i="1"/>
  <c r="CF647" i="1"/>
  <c r="CE647" i="1"/>
  <c r="CQ646" i="1"/>
  <c r="CP646" i="1"/>
  <c r="CO646" i="1"/>
  <c r="CN646" i="1"/>
  <c r="CL646" i="1"/>
  <c r="CG646" i="1"/>
  <c r="CF646" i="1"/>
  <c r="CE646" i="1"/>
  <c r="CQ645" i="1"/>
  <c r="CP645" i="1"/>
  <c r="CO645" i="1"/>
  <c r="CN645" i="1"/>
  <c r="CL645" i="1"/>
  <c r="CG645" i="1"/>
  <c r="CF645" i="1"/>
  <c r="CE645" i="1"/>
  <c r="CQ644" i="1"/>
  <c r="CP644" i="1"/>
  <c r="CO644" i="1"/>
  <c r="CN644" i="1"/>
  <c r="CL644" i="1"/>
  <c r="CG644" i="1"/>
  <c r="CF644" i="1"/>
  <c r="CE644" i="1"/>
  <c r="CQ643" i="1"/>
  <c r="CP643" i="1"/>
  <c r="CO643" i="1"/>
  <c r="CN643" i="1"/>
  <c r="CL643" i="1"/>
  <c r="CG643" i="1"/>
  <c r="CF643" i="1"/>
  <c r="CE643" i="1"/>
  <c r="CQ642" i="1"/>
  <c r="CP642" i="1"/>
  <c r="CO642" i="1"/>
  <c r="CN642" i="1"/>
  <c r="CL642" i="1"/>
  <c r="CG642" i="1"/>
  <c r="CF642" i="1"/>
  <c r="CE642" i="1"/>
  <c r="CQ641" i="1"/>
  <c r="CP641" i="1"/>
  <c r="CO641" i="1"/>
  <c r="CN641" i="1"/>
  <c r="CL641" i="1"/>
  <c r="CG641" i="1"/>
  <c r="CF641" i="1"/>
  <c r="CE641" i="1"/>
  <c r="CQ640" i="1"/>
  <c r="CP640" i="1"/>
  <c r="CO640" i="1"/>
  <c r="CN640" i="1"/>
  <c r="CL640" i="1"/>
  <c r="CG640" i="1"/>
  <c r="CF640" i="1"/>
  <c r="CE640" i="1"/>
  <c r="CQ639" i="1"/>
  <c r="CP639" i="1"/>
  <c r="CO639" i="1"/>
  <c r="CN639" i="1"/>
  <c r="CL639" i="1"/>
  <c r="CG639" i="1"/>
  <c r="CF639" i="1"/>
  <c r="CE639" i="1"/>
  <c r="CQ638" i="1"/>
  <c r="CP638" i="1"/>
  <c r="CO638" i="1"/>
  <c r="CN638" i="1"/>
  <c r="CL638" i="1"/>
  <c r="CG638" i="1"/>
  <c r="CF638" i="1"/>
  <c r="CE638" i="1"/>
  <c r="CQ637" i="1"/>
  <c r="CP637" i="1"/>
  <c r="CO637" i="1"/>
  <c r="CN637" i="1"/>
  <c r="CL637" i="1"/>
  <c r="CG637" i="1"/>
  <c r="CF637" i="1"/>
  <c r="CE637" i="1"/>
  <c r="CQ636" i="1"/>
  <c r="CP636" i="1"/>
  <c r="CO636" i="1"/>
  <c r="CN636" i="1"/>
  <c r="CL636" i="1"/>
  <c r="CG636" i="1"/>
  <c r="CF636" i="1"/>
  <c r="CE636" i="1"/>
  <c r="CQ635" i="1"/>
  <c r="CP635" i="1"/>
  <c r="CO635" i="1"/>
  <c r="CN635" i="1"/>
  <c r="CL635" i="1"/>
  <c r="CG635" i="1"/>
  <c r="CF635" i="1"/>
  <c r="CE635" i="1"/>
  <c r="CQ634" i="1"/>
  <c r="CP634" i="1"/>
  <c r="CO634" i="1"/>
  <c r="CN634" i="1"/>
  <c r="CL634" i="1"/>
  <c r="CG634" i="1"/>
  <c r="CF634" i="1"/>
  <c r="CE634" i="1"/>
  <c r="CQ633" i="1"/>
  <c r="CP633" i="1"/>
  <c r="CO633" i="1"/>
  <c r="CN633" i="1"/>
  <c r="CL633" i="1"/>
  <c r="CG633" i="1"/>
  <c r="CF633" i="1"/>
  <c r="CE633" i="1"/>
  <c r="CQ632" i="1"/>
  <c r="CP632" i="1"/>
  <c r="CO632" i="1"/>
  <c r="CN632" i="1"/>
  <c r="CL632" i="1"/>
  <c r="CG632" i="1"/>
  <c r="CF632" i="1"/>
  <c r="CE632" i="1"/>
  <c r="CQ631" i="1"/>
  <c r="CP631" i="1"/>
  <c r="CO631" i="1"/>
  <c r="CN631" i="1"/>
  <c r="CL631" i="1"/>
  <c r="CG631" i="1"/>
  <c r="CF631" i="1"/>
  <c r="CE631" i="1"/>
  <c r="CQ630" i="1"/>
  <c r="CP630" i="1"/>
  <c r="CO630" i="1"/>
  <c r="CN630" i="1"/>
  <c r="CL630" i="1"/>
  <c r="CG630" i="1"/>
  <c r="CF630" i="1"/>
  <c r="CE630" i="1"/>
  <c r="CQ629" i="1"/>
  <c r="CP629" i="1"/>
  <c r="CO629" i="1"/>
  <c r="CN629" i="1"/>
  <c r="CL629" i="1"/>
  <c r="CG629" i="1"/>
  <c r="CF629" i="1"/>
  <c r="CE629" i="1"/>
  <c r="CQ628" i="1"/>
  <c r="CP628" i="1"/>
  <c r="CO628" i="1"/>
  <c r="CN628" i="1"/>
  <c r="CL628" i="1"/>
  <c r="CG628" i="1"/>
  <c r="CF628" i="1"/>
  <c r="CE628" i="1"/>
  <c r="CQ627" i="1"/>
  <c r="CP627" i="1"/>
  <c r="CO627" i="1"/>
  <c r="CN627" i="1"/>
  <c r="CL627" i="1"/>
  <c r="CG627" i="1"/>
  <c r="CF627" i="1"/>
  <c r="CE627" i="1"/>
  <c r="CQ626" i="1"/>
  <c r="CP626" i="1"/>
  <c r="CO626" i="1"/>
  <c r="CN626" i="1"/>
  <c r="CL626" i="1"/>
  <c r="CG626" i="1"/>
  <c r="CF626" i="1"/>
  <c r="CE626" i="1"/>
  <c r="CQ625" i="1"/>
  <c r="CP625" i="1"/>
  <c r="CO625" i="1"/>
  <c r="CN625" i="1"/>
  <c r="CL625" i="1"/>
  <c r="CG625" i="1"/>
  <c r="CF625" i="1"/>
  <c r="CE625" i="1"/>
  <c r="CQ624" i="1"/>
  <c r="CP624" i="1"/>
  <c r="CO624" i="1"/>
  <c r="CN624" i="1"/>
  <c r="CL624" i="1"/>
  <c r="CG624" i="1"/>
  <c r="CF624" i="1"/>
  <c r="CE624" i="1"/>
  <c r="CQ623" i="1"/>
  <c r="CP623" i="1"/>
  <c r="CO623" i="1"/>
  <c r="CN623" i="1"/>
  <c r="CL623" i="1"/>
  <c r="CG623" i="1"/>
  <c r="CF623" i="1"/>
  <c r="CE623" i="1"/>
  <c r="CQ622" i="1"/>
  <c r="CP622" i="1"/>
  <c r="CO622" i="1"/>
  <c r="CN622" i="1"/>
  <c r="CL622" i="1"/>
  <c r="CG622" i="1"/>
  <c r="CF622" i="1"/>
  <c r="CE622" i="1"/>
  <c r="CQ621" i="1"/>
  <c r="CP621" i="1"/>
  <c r="CO621" i="1"/>
  <c r="CN621" i="1"/>
  <c r="CL621" i="1"/>
  <c r="CG621" i="1"/>
  <c r="CF621" i="1"/>
  <c r="CE621" i="1"/>
  <c r="CQ620" i="1"/>
  <c r="CP620" i="1"/>
  <c r="CO620" i="1"/>
  <c r="CN620" i="1"/>
  <c r="CL620" i="1"/>
  <c r="CG620" i="1"/>
  <c r="CF620" i="1"/>
  <c r="CE620" i="1"/>
  <c r="CQ619" i="1"/>
  <c r="CP619" i="1"/>
  <c r="CO619" i="1"/>
  <c r="CN619" i="1"/>
  <c r="CL619" i="1"/>
  <c r="CG619" i="1"/>
  <c r="CF619" i="1"/>
  <c r="CE619" i="1"/>
  <c r="CQ618" i="1"/>
  <c r="CP618" i="1"/>
  <c r="CO618" i="1"/>
  <c r="CN618" i="1"/>
  <c r="CL618" i="1"/>
  <c r="CG618" i="1"/>
  <c r="CF618" i="1"/>
  <c r="CE618" i="1"/>
  <c r="CQ617" i="1"/>
  <c r="CP617" i="1"/>
  <c r="CO617" i="1"/>
  <c r="CN617" i="1"/>
  <c r="CL617" i="1"/>
  <c r="CG617" i="1"/>
  <c r="CF617" i="1"/>
  <c r="CE617" i="1"/>
  <c r="CQ616" i="1"/>
  <c r="CP616" i="1"/>
  <c r="CO616" i="1"/>
  <c r="CN616" i="1"/>
  <c r="CL616" i="1"/>
  <c r="CG616" i="1"/>
  <c r="CF616" i="1"/>
  <c r="CE616" i="1"/>
  <c r="CQ615" i="1"/>
  <c r="CP615" i="1"/>
  <c r="CO615" i="1"/>
  <c r="CN615" i="1"/>
  <c r="CL615" i="1"/>
  <c r="CG615" i="1"/>
  <c r="CF615" i="1"/>
  <c r="CE615" i="1"/>
  <c r="CQ614" i="1"/>
  <c r="CP614" i="1"/>
  <c r="CO614" i="1"/>
  <c r="CN614" i="1"/>
  <c r="CL614" i="1"/>
  <c r="CG614" i="1"/>
  <c r="CF614" i="1"/>
  <c r="CE614" i="1"/>
  <c r="CQ613" i="1"/>
  <c r="CP613" i="1"/>
  <c r="CO613" i="1"/>
  <c r="CN613" i="1"/>
  <c r="CL613" i="1"/>
  <c r="CG613" i="1"/>
  <c r="CF613" i="1"/>
  <c r="CE613" i="1"/>
  <c r="CQ612" i="1"/>
  <c r="CP612" i="1"/>
  <c r="CO612" i="1"/>
  <c r="CN612" i="1"/>
  <c r="CL612" i="1"/>
  <c r="CG612" i="1"/>
  <c r="CF612" i="1"/>
  <c r="CE612" i="1"/>
  <c r="CQ611" i="1"/>
  <c r="CP611" i="1"/>
  <c r="CO611" i="1"/>
  <c r="CN611" i="1"/>
  <c r="CL611" i="1"/>
  <c r="CG611" i="1"/>
  <c r="CF611" i="1"/>
  <c r="CE611" i="1"/>
  <c r="CQ610" i="1"/>
  <c r="CP610" i="1"/>
  <c r="CO610" i="1"/>
  <c r="CN610" i="1"/>
  <c r="CL610" i="1"/>
  <c r="CG610" i="1"/>
  <c r="CF610" i="1"/>
  <c r="CE610" i="1"/>
  <c r="CQ609" i="1"/>
  <c r="CP609" i="1"/>
  <c r="CO609" i="1"/>
  <c r="CN609" i="1"/>
  <c r="CL609" i="1"/>
  <c r="CG609" i="1"/>
  <c r="CF609" i="1"/>
  <c r="CE609" i="1"/>
  <c r="CQ608" i="1"/>
  <c r="CP608" i="1"/>
  <c r="CO608" i="1"/>
  <c r="CN608" i="1"/>
  <c r="CL608" i="1"/>
  <c r="CG608" i="1"/>
  <c r="CF608" i="1"/>
  <c r="CE608" i="1"/>
  <c r="CQ607" i="1"/>
  <c r="CP607" i="1"/>
  <c r="CO607" i="1"/>
  <c r="CN607" i="1"/>
  <c r="CL607" i="1"/>
  <c r="CG607" i="1"/>
  <c r="CF607" i="1"/>
  <c r="CE607" i="1"/>
  <c r="CQ606" i="1"/>
  <c r="CP606" i="1"/>
  <c r="CO606" i="1"/>
  <c r="CN606" i="1"/>
  <c r="CL606" i="1"/>
  <c r="CG606" i="1"/>
  <c r="CF606" i="1"/>
  <c r="CE606" i="1"/>
  <c r="CQ605" i="1"/>
  <c r="CP605" i="1"/>
  <c r="CO605" i="1"/>
  <c r="CN605" i="1"/>
  <c r="CL605" i="1"/>
  <c r="CG605" i="1"/>
  <c r="CF605" i="1"/>
  <c r="CE605" i="1"/>
  <c r="CQ604" i="1"/>
  <c r="CP604" i="1"/>
  <c r="CO604" i="1"/>
  <c r="CN604" i="1"/>
  <c r="CL604" i="1"/>
  <c r="CG604" i="1"/>
  <c r="CF604" i="1"/>
  <c r="CE604" i="1"/>
  <c r="CQ603" i="1"/>
  <c r="CP603" i="1"/>
  <c r="CO603" i="1"/>
  <c r="CN603" i="1"/>
  <c r="CL603" i="1"/>
  <c r="CG603" i="1"/>
  <c r="CF603" i="1"/>
  <c r="CE603" i="1"/>
  <c r="CQ602" i="1"/>
  <c r="CP602" i="1"/>
  <c r="CO602" i="1"/>
  <c r="CN602" i="1"/>
  <c r="CL602" i="1"/>
  <c r="CG602" i="1"/>
  <c r="CF602" i="1"/>
  <c r="CE602" i="1"/>
  <c r="CQ601" i="1"/>
  <c r="CP601" i="1"/>
  <c r="CO601" i="1"/>
  <c r="CN601" i="1"/>
  <c r="CL601" i="1"/>
  <c r="CG601" i="1"/>
  <c r="CF601" i="1"/>
  <c r="CE601" i="1"/>
  <c r="CQ600" i="1"/>
  <c r="CP600" i="1"/>
  <c r="CO600" i="1"/>
  <c r="CN600" i="1"/>
  <c r="CL600" i="1"/>
  <c r="CG600" i="1"/>
  <c r="CF600" i="1"/>
  <c r="CE600" i="1"/>
  <c r="CQ599" i="1"/>
  <c r="CP599" i="1"/>
  <c r="CO599" i="1"/>
  <c r="CN599" i="1"/>
  <c r="CL599" i="1"/>
  <c r="CG599" i="1"/>
  <c r="CF599" i="1"/>
  <c r="CE599" i="1"/>
  <c r="CQ598" i="1"/>
  <c r="CP598" i="1"/>
  <c r="CO598" i="1"/>
  <c r="CN598" i="1"/>
  <c r="CL598" i="1"/>
  <c r="CG598" i="1"/>
  <c r="CF598" i="1"/>
  <c r="CE598" i="1"/>
  <c r="CQ597" i="1"/>
  <c r="CP597" i="1"/>
  <c r="CO597" i="1"/>
  <c r="CN597" i="1"/>
  <c r="CL597" i="1"/>
  <c r="CG597" i="1"/>
  <c r="CF597" i="1"/>
  <c r="CE597" i="1"/>
  <c r="CQ596" i="1"/>
  <c r="CP596" i="1"/>
  <c r="CO596" i="1"/>
  <c r="CN596" i="1"/>
  <c r="CL596" i="1"/>
  <c r="CG596" i="1"/>
  <c r="CF596" i="1"/>
  <c r="CE596" i="1"/>
  <c r="CQ595" i="1"/>
  <c r="CP595" i="1"/>
  <c r="CO595" i="1"/>
  <c r="CN595" i="1"/>
  <c r="CL595" i="1"/>
  <c r="CG595" i="1"/>
  <c r="CF595" i="1"/>
  <c r="CE595" i="1"/>
  <c r="CQ594" i="1"/>
  <c r="CP594" i="1"/>
  <c r="CO594" i="1"/>
  <c r="CN594" i="1"/>
  <c r="CL594" i="1"/>
  <c r="CG594" i="1"/>
  <c r="CF594" i="1"/>
  <c r="CE594" i="1"/>
  <c r="CQ593" i="1"/>
  <c r="CP593" i="1"/>
  <c r="CO593" i="1"/>
  <c r="CN593" i="1"/>
  <c r="CL593" i="1"/>
  <c r="CG593" i="1"/>
  <c r="CF593" i="1"/>
  <c r="CE593" i="1"/>
  <c r="CQ592" i="1"/>
  <c r="CP592" i="1"/>
  <c r="CO592" i="1"/>
  <c r="CN592" i="1"/>
  <c r="CL592" i="1"/>
  <c r="CG592" i="1"/>
  <c r="CF592" i="1"/>
  <c r="CE592" i="1"/>
  <c r="CQ591" i="1"/>
  <c r="CP591" i="1"/>
  <c r="CO591" i="1"/>
  <c r="CN591" i="1"/>
  <c r="CL591" i="1"/>
  <c r="CG591" i="1"/>
  <c r="CF591" i="1"/>
  <c r="CE591" i="1"/>
  <c r="CQ590" i="1"/>
  <c r="CP590" i="1"/>
  <c r="CO590" i="1"/>
  <c r="CN590" i="1"/>
  <c r="CL590" i="1"/>
  <c r="CG590" i="1"/>
  <c r="CF590" i="1"/>
  <c r="CE590" i="1"/>
  <c r="CQ589" i="1"/>
  <c r="CP589" i="1"/>
  <c r="CO589" i="1"/>
  <c r="CN589" i="1"/>
  <c r="CL589" i="1"/>
  <c r="CG589" i="1"/>
  <c r="CF589" i="1"/>
  <c r="CE589" i="1"/>
  <c r="CQ588" i="1"/>
  <c r="CP588" i="1"/>
  <c r="CO588" i="1"/>
  <c r="CN588" i="1"/>
  <c r="CL588" i="1"/>
  <c r="CG588" i="1"/>
  <c r="CF588" i="1"/>
  <c r="CE588" i="1"/>
  <c r="CQ587" i="1"/>
  <c r="CP587" i="1"/>
  <c r="CO587" i="1"/>
  <c r="CN587" i="1"/>
  <c r="CL587" i="1"/>
  <c r="CG587" i="1"/>
  <c r="CF587" i="1"/>
  <c r="CE587" i="1"/>
  <c r="CQ586" i="1"/>
  <c r="CP586" i="1"/>
  <c r="CO586" i="1"/>
  <c r="CN586" i="1"/>
  <c r="CL586" i="1"/>
  <c r="CG586" i="1"/>
  <c r="CF586" i="1"/>
  <c r="CE586" i="1"/>
  <c r="CQ585" i="1"/>
  <c r="CP585" i="1"/>
  <c r="CO585" i="1"/>
  <c r="CN585" i="1"/>
  <c r="CL585" i="1"/>
  <c r="CG585" i="1"/>
  <c r="CF585" i="1"/>
  <c r="CE585" i="1"/>
  <c r="CQ584" i="1"/>
  <c r="CP584" i="1"/>
  <c r="CO584" i="1"/>
  <c r="CN584" i="1"/>
  <c r="CL584" i="1"/>
  <c r="CG584" i="1"/>
  <c r="CF584" i="1"/>
  <c r="CE584" i="1"/>
  <c r="CQ583" i="1"/>
  <c r="CP583" i="1"/>
  <c r="CO583" i="1"/>
  <c r="CN583" i="1"/>
  <c r="CL583" i="1"/>
  <c r="CG583" i="1"/>
  <c r="CF583" i="1"/>
  <c r="CE583" i="1"/>
  <c r="CQ582" i="1"/>
  <c r="CP582" i="1"/>
  <c r="CO582" i="1"/>
  <c r="CN582" i="1"/>
  <c r="CL582" i="1"/>
  <c r="CG582" i="1"/>
  <c r="CF582" i="1"/>
  <c r="CE582" i="1"/>
  <c r="CQ581" i="1"/>
  <c r="CP581" i="1"/>
  <c r="CO581" i="1"/>
  <c r="CN581" i="1"/>
  <c r="CL581" i="1"/>
  <c r="CG581" i="1"/>
  <c r="CF581" i="1"/>
  <c r="CE581" i="1"/>
  <c r="CQ580" i="1"/>
  <c r="CP580" i="1"/>
  <c r="CO580" i="1"/>
  <c r="CN580" i="1"/>
  <c r="CL580" i="1"/>
  <c r="CG580" i="1"/>
  <c r="CF580" i="1"/>
  <c r="CE580" i="1"/>
  <c r="CQ579" i="1"/>
  <c r="CP579" i="1"/>
  <c r="CO579" i="1"/>
  <c r="CN579" i="1"/>
  <c r="CL579" i="1"/>
  <c r="CG579" i="1"/>
  <c r="CF579" i="1"/>
  <c r="CE579" i="1"/>
  <c r="CQ578" i="1"/>
  <c r="CP578" i="1"/>
  <c r="CO578" i="1"/>
  <c r="CN578" i="1"/>
  <c r="CL578" i="1"/>
  <c r="CG578" i="1"/>
  <c r="CF578" i="1"/>
  <c r="CE578" i="1"/>
  <c r="CQ577" i="1"/>
  <c r="CP577" i="1"/>
  <c r="CO577" i="1"/>
  <c r="CN577" i="1"/>
  <c r="CL577" i="1"/>
  <c r="CG577" i="1"/>
  <c r="CF577" i="1"/>
  <c r="CE577" i="1"/>
  <c r="CQ576" i="1"/>
  <c r="CP576" i="1"/>
  <c r="CO576" i="1"/>
  <c r="CN576" i="1"/>
  <c r="CL576" i="1"/>
  <c r="CG576" i="1"/>
  <c r="CF576" i="1"/>
  <c r="CE576" i="1"/>
  <c r="CQ575" i="1"/>
  <c r="CP575" i="1"/>
  <c r="CO575" i="1"/>
  <c r="CN575" i="1"/>
  <c r="CL575" i="1"/>
  <c r="CG575" i="1"/>
  <c r="CF575" i="1"/>
  <c r="CE575" i="1"/>
  <c r="CQ574" i="1"/>
  <c r="CP574" i="1"/>
  <c r="CO574" i="1"/>
  <c r="CN574" i="1"/>
  <c r="CL574" i="1"/>
  <c r="CG574" i="1"/>
  <c r="CF574" i="1"/>
  <c r="CE574" i="1"/>
  <c r="CQ573" i="1"/>
  <c r="CP573" i="1"/>
  <c r="CO573" i="1"/>
  <c r="CN573" i="1"/>
  <c r="CL573" i="1"/>
  <c r="CG573" i="1"/>
  <c r="CF573" i="1"/>
  <c r="CE573" i="1"/>
  <c r="CQ572" i="1"/>
  <c r="CP572" i="1"/>
  <c r="CO572" i="1"/>
  <c r="CN572" i="1"/>
  <c r="CL572" i="1"/>
  <c r="CG572" i="1"/>
  <c r="CF572" i="1"/>
  <c r="CE572" i="1"/>
  <c r="CQ571" i="1"/>
  <c r="CP571" i="1"/>
  <c r="CO571" i="1"/>
  <c r="CN571" i="1"/>
  <c r="CL571" i="1"/>
  <c r="CG571" i="1"/>
  <c r="CF571" i="1"/>
  <c r="CE571" i="1"/>
  <c r="CQ570" i="1"/>
  <c r="CP570" i="1"/>
  <c r="CO570" i="1"/>
  <c r="CN570" i="1"/>
  <c r="CL570" i="1"/>
  <c r="CG570" i="1"/>
  <c r="CF570" i="1"/>
  <c r="CE570" i="1"/>
  <c r="CQ569" i="1"/>
  <c r="CP569" i="1"/>
  <c r="CO569" i="1"/>
  <c r="CN569" i="1"/>
  <c r="CL569" i="1"/>
  <c r="CG569" i="1"/>
  <c r="CF569" i="1"/>
  <c r="CE569" i="1"/>
  <c r="CQ568" i="1"/>
  <c r="CP568" i="1"/>
  <c r="CO568" i="1"/>
  <c r="CN568" i="1"/>
  <c r="CL568" i="1"/>
  <c r="CG568" i="1"/>
  <c r="CF568" i="1"/>
  <c r="CE568" i="1"/>
  <c r="CQ567" i="1"/>
  <c r="CP567" i="1"/>
  <c r="CO567" i="1"/>
  <c r="CN567" i="1"/>
  <c r="CL567" i="1"/>
  <c r="CG567" i="1"/>
  <c r="CF567" i="1"/>
  <c r="CE567" i="1"/>
  <c r="CQ566" i="1"/>
  <c r="CP566" i="1"/>
  <c r="CO566" i="1"/>
  <c r="CN566" i="1"/>
  <c r="CL566" i="1"/>
  <c r="CG566" i="1"/>
  <c r="CF566" i="1"/>
  <c r="CE566" i="1"/>
  <c r="CQ565" i="1"/>
  <c r="CP565" i="1"/>
  <c r="CO565" i="1"/>
  <c r="CN565" i="1"/>
  <c r="CL565" i="1"/>
  <c r="CG565" i="1"/>
  <c r="CF565" i="1"/>
  <c r="CE565" i="1"/>
  <c r="CQ564" i="1"/>
  <c r="CP564" i="1"/>
  <c r="CO564" i="1"/>
  <c r="CN564" i="1"/>
  <c r="CL564" i="1"/>
  <c r="CG564" i="1"/>
  <c r="CF564" i="1"/>
  <c r="CE564" i="1"/>
  <c r="CQ563" i="1"/>
  <c r="CP563" i="1"/>
  <c r="CO563" i="1"/>
  <c r="CN563" i="1"/>
  <c r="CL563" i="1"/>
  <c r="CG563" i="1"/>
  <c r="CF563" i="1"/>
  <c r="CE563" i="1"/>
  <c r="CQ562" i="1"/>
  <c r="CP562" i="1"/>
  <c r="CO562" i="1"/>
  <c r="CN562" i="1"/>
  <c r="CL562" i="1"/>
  <c r="CG562" i="1"/>
  <c r="CF562" i="1"/>
  <c r="CE562" i="1"/>
  <c r="CQ561" i="1"/>
  <c r="CP561" i="1"/>
  <c r="CO561" i="1"/>
  <c r="CN561" i="1"/>
  <c r="CL561" i="1"/>
  <c r="CG561" i="1"/>
  <c r="CF561" i="1"/>
  <c r="CE561" i="1"/>
  <c r="CQ560" i="1"/>
  <c r="CP560" i="1"/>
  <c r="CO560" i="1"/>
  <c r="CN560" i="1"/>
  <c r="CL560" i="1"/>
  <c r="CG560" i="1"/>
  <c r="CF560" i="1"/>
  <c r="CE560" i="1"/>
  <c r="CQ559" i="1"/>
  <c r="CP559" i="1"/>
  <c r="CO559" i="1"/>
  <c r="CN559" i="1"/>
  <c r="CL559" i="1"/>
  <c r="CG559" i="1"/>
  <c r="CF559" i="1"/>
  <c r="CE559" i="1"/>
  <c r="CQ558" i="1"/>
  <c r="CP558" i="1"/>
  <c r="CO558" i="1"/>
  <c r="CN558" i="1"/>
  <c r="CL558" i="1"/>
  <c r="CG558" i="1"/>
  <c r="CF558" i="1"/>
  <c r="CE558" i="1"/>
  <c r="CQ557" i="1"/>
  <c r="CP557" i="1"/>
  <c r="CO557" i="1"/>
  <c r="CN557" i="1"/>
  <c r="CL557" i="1"/>
  <c r="CG557" i="1"/>
  <c r="CF557" i="1"/>
  <c r="CE557" i="1"/>
  <c r="CQ556" i="1"/>
  <c r="CP556" i="1"/>
  <c r="CO556" i="1"/>
  <c r="CN556" i="1"/>
  <c r="CL556" i="1"/>
  <c r="CG556" i="1"/>
  <c r="CF556" i="1"/>
  <c r="CE556" i="1"/>
  <c r="CQ555" i="1"/>
  <c r="CP555" i="1"/>
  <c r="CO555" i="1"/>
  <c r="CN555" i="1"/>
  <c r="CL555" i="1"/>
  <c r="CG555" i="1"/>
  <c r="CF555" i="1"/>
  <c r="CE555" i="1"/>
  <c r="CQ554" i="1"/>
  <c r="CP554" i="1"/>
  <c r="CO554" i="1"/>
  <c r="CN554" i="1"/>
  <c r="CL554" i="1"/>
  <c r="CG554" i="1"/>
  <c r="CF554" i="1"/>
  <c r="CE554" i="1"/>
  <c r="CQ553" i="1"/>
  <c r="CP553" i="1"/>
  <c r="CO553" i="1"/>
  <c r="CN553" i="1"/>
  <c r="CL553" i="1"/>
  <c r="CG553" i="1"/>
  <c r="CF553" i="1"/>
  <c r="CE553" i="1"/>
  <c r="CQ552" i="1"/>
  <c r="CP552" i="1"/>
  <c r="CO552" i="1"/>
  <c r="CN552" i="1"/>
  <c r="CL552" i="1"/>
  <c r="CG552" i="1"/>
  <c r="CF552" i="1"/>
  <c r="CE552" i="1"/>
  <c r="CQ551" i="1"/>
  <c r="CP551" i="1"/>
  <c r="CO551" i="1"/>
  <c r="CN551" i="1"/>
  <c r="CL551" i="1"/>
  <c r="CG551" i="1"/>
  <c r="CF551" i="1"/>
  <c r="CE551" i="1"/>
  <c r="CQ550" i="1"/>
  <c r="CP550" i="1"/>
  <c r="CO550" i="1"/>
  <c r="CN550" i="1"/>
  <c r="CL550" i="1"/>
  <c r="CG550" i="1"/>
  <c r="CF550" i="1"/>
  <c r="CE550" i="1"/>
  <c r="CQ549" i="1"/>
  <c r="CP549" i="1"/>
  <c r="CO549" i="1"/>
  <c r="CN549" i="1"/>
  <c r="CL549" i="1"/>
  <c r="CG549" i="1"/>
  <c r="CF549" i="1"/>
  <c r="CE549" i="1"/>
  <c r="CQ548" i="1"/>
  <c r="CP548" i="1"/>
  <c r="CO548" i="1"/>
  <c r="CN548" i="1"/>
  <c r="CL548" i="1"/>
  <c r="CG548" i="1"/>
  <c r="CF548" i="1"/>
  <c r="CE548" i="1"/>
  <c r="CQ547" i="1"/>
  <c r="CP547" i="1"/>
  <c r="CO547" i="1"/>
  <c r="CN547" i="1"/>
  <c r="CL547" i="1"/>
  <c r="CG547" i="1"/>
  <c r="CF547" i="1"/>
  <c r="CE547" i="1"/>
  <c r="CQ546" i="1"/>
  <c r="CP546" i="1"/>
  <c r="CO546" i="1"/>
  <c r="CN546" i="1"/>
  <c r="CL546" i="1"/>
  <c r="CG546" i="1"/>
  <c r="CF546" i="1"/>
  <c r="CE546" i="1"/>
  <c r="CQ545" i="1"/>
  <c r="CP545" i="1"/>
  <c r="CO545" i="1"/>
  <c r="CN545" i="1"/>
  <c r="CL545" i="1"/>
  <c r="CG545" i="1"/>
  <c r="CF545" i="1"/>
  <c r="CE545" i="1"/>
  <c r="CQ544" i="1"/>
  <c r="CP544" i="1"/>
  <c r="CO544" i="1"/>
  <c r="CN544" i="1"/>
  <c r="CL544" i="1"/>
  <c r="CG544" i="1"/>
  <c r="CF544" i="1"/>
  <c r="CE544" i="1"/>
  <c r="CQ543" i="1"/>
  <c r="CP543" i="1"/>
  <c r="CO543" i="1"/>
  <c r="CN543" i="1"/>
  <c r="CL543" i="1"/>
  <c r="CG543" i="1"/>
  <c r="CF543" i="1"/>
  <c r="CE543" i="1"/>
  <c r="CQ542" i="1"/>
  <c r="CP542" i="1"/>
  <c r="CO542" i="1"/>
  <c r="CN542" i="1"/>
  <c r="CL542" i="1"/>
  <c r="CG542" i="1"/>
  <c r="CF542" i="1"/>
  <c r="CE542" i="1"/>
  <c r="CQ541" i="1"/>
  <c r="CP541" i="1"/>
  <c r="CO541" i="1"/>
  <c r="CN541" i="1"/>
  <c r="CL541" i="1"/>
  <c r="CG541" i="1"/>
  <c r="CF541" i="1"/>
  <c r="CE541" i="1"/>
  <c r="CQ540" i="1"/>
  <c r="CP540" i="1"/>
  <c r="CO540" i="1"/>
  <c r="CN540" i="1"/>
  <c r="CL540" i="1"/>
  <c r="CG540" i="1"/>
  <c r="CF540" i="1"/>
  <c r="CE540" i="1"/>
  <c r="CQ539" i="1"/>
  <c r="CP539" i="1"/>
  <c r="CO539" i="1"/>
  <c r="CN539" i="1"/>
  <c r="CL539" i="1"/>
  <c r="CG539" i="1"/>
  <c r="CF539" i="1"/>
  <c r="CE539" i="1"/>
  <c r="CQ538" i="1"/>
  <c r="CP538" i="1"/>
  <c r="CO538" i="1"/>
  <c r="CN538" i="1"/>
  <c r="CL538" i="1"/>
  <c r="CG538" i="1"/>
  <c r="CF538" i="1"/>
  <c r="CE538" i="1"/>
  <c r="CQ537" i="1"/>
  <c r="CP537" i="1"/>
  <c r="CO537" i="1"/>
  <c r="CN537" i="1"/>
  <c r="CL537" i="1"/>
  <c r="CG537" i="1"/>
  <c r="CF537" i="1"/>
  <c r="CE537" i="1"/>
  <c r="CQ536" i="1"/>
  <c r="CP536" i="1"/>
  <c r="CO536" i="1"/>
  <c r="CN536" i="1"/>
  <c r="CL536" i="1"/>
  <c r="CG536" i="1"/>
  <c r="CF536" i="1"/>
  <c r="CE536" i="1"/>
  <c r="CQ535" i="1"/>
  <c r="CP535" i="1"/>
  <c r="CO535" i="1"/>
  <c r="CN535" i="1"/>
  <c r="CL535" i="1"/>
  <c r="CG535" i="1"/>
  <c r="CF535" i="1"/>
  <c r="CE535" i="1"/>
  <c r="CQ534" i="1"/>
  <c r="CP534" i="1"/>
  <c r="CO534" i="1"/>
  <c r="CN534" i="1"/>
  <c r="CL534" i="1"/>
  <c r="CG534" i="1"/>
  <c r="CF534" i="1"/>
  <c r="CE534" i="1"/>
  <c r="CQ533" i="1"/>
  <c r="CP533" i="1"/>
  <c r="CO533" i="1"/>
  <c r="CN533" i="1"/>
  <c r="CL533" i="1"/>
  <c r="CG533" i="1"/>
  <c r="CF533" i="1"/>
  <c r="CE533" i="1"/>
  <c r="CQ532" i="1"/>
  <c r="CP532" i="1"/>
  <c r="CO532" i="1"/>
  <c r="CN532" i="1"/>
  <c r="CL532" i="1"/>
  <c r="CG532" i="1"/>
  <c r="CF532" i="1"/>
  <c r="CE532" i="1"/>
  <c r="CQ531" i="1"/>
  <c r="CP531" i="1"/>
  <c r="CO531" i="1"/>
  <c r="CN531" i="1"/>
  <c r="CL531" i="1"/>
  <c r="CG531" i="1"/>
  <c r="CF531" i="1"/>
  <c r="CE531" i="1"/>
  <c r="CQ530" i="1"/>
  <c r="CP530" i="1"/>
  <c r="CO530" i="1"/>
  <c r="CN530" i="1"/>
  <c r="CL530" i="1"/>
  <c r="CG530" i="1"/>
  <c r="CF530" i="1"/>
  <c r="CE530" i="1"/>
  <c r="CQ529" i="1"/>
  <c r="CP529" i="1"/>
  <c r="CO529" i="1"/>
  <c r="CN529" i="1"/>
  <c r="CL529" i="1"/>
  <c r="CG529" i="1"/>
  <c r="CS529" i="1" s="1"/>
  <c r="CF529" i="1"/>
  <c r="CE529" i="1"/>
  <c r="CQ528" i="1"/>
  <c r="CP528" i="1"/>
  <c r="CO528" i="1"/>
  <c r="CN528" i="1"/>
  <c r="CL528" i="1"/>
  <c r="CG528" i="1"/>
  <c r="CF528" i="1"/>
  <c r="CE528" i="1"/>
  <c r="CQ527" i="1"/>
  <c r="CP527" i="1"/>
  <c r="CO527" i="1"/>
  <c r="CN527" i="1"/>
  <c r="CL527" i="1"/>
  <c r="CG527" i="1"/>
  <c r="CF527" i="1"/>
  <c r="CE527" i="1"/>
  <c r="CQ526" i="1"/>
  <c r="CP526" i="1"/>
  <c r="CO526" i="1"/>
  <c r="CN526" i="1"/>
  <c r="CL526" i="1"/>
  <c r="CG526" i="1"/>
  <c r="CF526" i="1"/>
  <c r="CE526" i="1"/>
  <c r="CQ525" i="1"/>
  <c r="CP525" i="1"/>
  <c r="CO525" i="1"/>
  <c r="CN525" i="1"/>
  <c r="CL525" i="1"/>
  <c r="CG525" i="1"/>
  <c r="CF525" i="1"/>
  <c r="CE525" i="1"/>
  <c r="CQ524" i="1"/>
  <c r="CP524" i="1"/>
  <c r="CO524" i="1"/>
  <c r="CN524" i="1"/>
  <c r="CL524" i="1"/>
  <c r="CG524" i="1"/>
  <c r="CF524" i="1"/>
  <c r="CE524" i="1"/>
  <c r="CQ523" i="1"/>
  <c r="CP523" i="1"/>
  <c r="CO523" i="1"/>
  <c r="CN523" i="1"/>
  <c r="CL523" i="1"/>
  <c r="CG523" i="1"/>
  <c r="CF523" i="1"/>
  <c r="CE523" i="1"/>
  <c r="CQ522" i="1"/>
  <c r="CP522" i="1"/>
  <c r="CO522" i="1"/>
  <c r="CN522" i="1"/>
  <c r="CL522" i="1"/>
  <c r="CG522" i="1"/>
  <c r="CF522" i="1"/>
  <c r="CE522" i="1"/>
  <c r="CQ521" i="1"/>
  <c r="CP521" i="1"/>
  <c r="CO521" i="1"/>
  <c r="CN521" i="1"/>
  <c r="CL521" i="1"/>
  <c r="CG521" i="1"/>
  <c r="CF521" i="1"/>
  <c r="CE521" i="1"/>
  <c r="CQ520" i="1"/>
  <c r="CP520" i="1"/>
  <c r="CO520" i="1"/>
  <c r="CN520" i="1"/>
  <c r="CL520" i="1"/>
  <c r="CG520" i="1"/>
  <c r="CF520" i="1"/>
  <c r="CE520" i="1"/>
  <c r="CQ519" i="1"/>
  <c r="CP519" i="1"/>
  <c r="CO519" i="1"/>
  <c r="CN519" i="1"/>
  <c r="CL519" i="1"/>
  <c r="CG519" i="1"/>
  <c r="CF519" i="1"/>
  <c r="CE519" i="1"/>
  <c r="CQ518" i="1"/>
  <c r="CP518" i="1"/>
  <c r="CO518" i="1"/>
  <c r="CN518" i="1"/>
  <c r="CL518" i="1"/>
  <c r="CG518" i="1"/>
  <c r="CF518" i="1"/>
  <c r="CE518" i="1"/>
  <c r="CQ517" i="1"/>
  <c r="CP517" i="1"/>
  <c r="CO517" i="1"/>
  <c r="CN517" i="1"/>
  <c r="CL517" i="1"/>
  <c r="CG517" i="1"/>
  <c r="CS517" i="1" s="1"/>
  <c r="CF517" i="1"/>
  <c r="CE517" i="1"/>
  <c r="CQ516" i="1"/>
  <c r="CP516" i="1"/>
  <c r="CO516" i="1"/>
  <c r="CN516" i="1"/>
  <c r="CL516" i="1"/>
  <c r="CG516" i="1"/>
  <c r="CF516" i="1"/>
  <c r="CE516" i="1"/>
  <c r="CQ515" i="1"/>
  <c r="CP515" i="1"/>
  <c r="CO515" i="1"/>
  <c r="CN515" i="1"/>
  <c r="CL515" i="1"/>
  <c r="CG515" i="1"/>
  <c r="CF515" i="1"/>
  <c r="CE515" i="1"/>
  <c r="CQ514" i="1"/>
  <c r="CP514" i="1"/>
  <c r="CO514" i="1"/>
  <c r="CN514" i="1"/>
  <c r="CL514" i="1"/>
  <c r="CG514" i="1"/>
  <c r="CF514" i="1"/>
  <c r="CE514" i="1"/>
  <c r="CQ513" i="1"/>
  <c r="CP513" i="1"/>
  <c r="CO513" i="1"/>
  <c r="CN513" i="1"/>
  <c r="CL513" i="1"/>
  <c r="CG513" i="1"/>
  <c r="CF513" i="1"/>
  <c r="CE513" i="1"/>
  <c r="CQ512" i="1"/>
  <c r="CP512" i="1"/>
  <c r="CO512" i="1"/>
  <c r="CN512" i="1"/>
  <c r="CL512" i="1"/>
  <c r="CG512" i="1"/>
  <c r="CF512" i="1"/>
  <c r="CE512" i="1"/>
  <c r="CQ511" i="1"/>
  <c r="CP511" i="1"/>
  <c r="CO511" i="1"/>
  <c r="CN511" i="1"/>
  <c r="CL511" i="1"/>
  <c r="CG511" i="1"/>
  <c r="CF511" i="1"/>
  <c r="CE511" i="1"/>
  <c r="CQ510" i="1"/>
  <c r="CP510" i="1"/>
  <c r="CO510" i="1"/>
  <c r="CN510" i="1"/>
  <c r="CL510" i="1"/>
  <c r="CG510" i="1"/>
  <c r="CF510" i="1"/>
  <c r="CE510" i="1"/>
  <c r="CQ509" i="1"/>
  <c r="CP509" i="1"/>
  <c r="CO509" i="1"/>
  <c r="CN509" i="1"/>
  <c r="CL509" i="1"/>
  <c r="CG509" i="1"/>
  <c r="CF509" i="1"/>
  <c r="CE509" i="1"/>
  <c r="CQ508" i="1"/>
  <c r="CP508" i="1"/>
  <c r="CO508" i="1"/>
  <c r="CN508" i="1"/>
  <c r="CL508" i="1"/>
  <c r="CG508" i="1"/>
  <c r="CF508" i="1"/>
  <c r="CE508" i="1"/>
  <c r="CQ507" i="1"/>
  <c r="CP507" i="1"/>
  <c r="CO507" i="1"/>
  <c r="CN507" i="1"/>
  <c r="CL507" i="1"/>
  <c r="CG507" i="1"/>
  <c r="CF507" i="1"/>
  <c r="CE507" i="1"/>
  <c r="CQ506" i="1"/>
  <c r="CP506" i="1"/>
  <c r="CO506" i="1"/>
  <c r="CN506" i="1"/>
  <c r="CL506" i="1"/>
  <c r="CG506" i="1"/>
  <c r="CF506" i="1"/>
  <c r="CE506" i="1"/>
  <c r="CQ505" i="1"/>
  <c r="CP505" i="1"/>
  <c r="CO505" i="1"/>
  <c r="CN505" i="1"/>
  <c r="CL505" i="1"/>
  <c r="CG505" i="1"/>
  <c r="CF505" i="1"/>
  <c r="CE505" i="1"/>
  <c r="CQ504" i="1"/>
  <c r="CP504" i="1"/>
  <c r="CO504" i="1"/>
  <c r="CN504" i="1"/>
  <c r="CL504" i="1"/>
  <c r="CG504" i="1"/>
  <c r="CF504" i="1"/>
  <c r="CE504" i="1"/>
  <c r="CQ503" i="1"/>
  <c r="CP503" i="1"/>
  <c r="CO503" i="1"/>
  <c r="CN503" i="1"/>
  <c r="CL503" i="1"/>
  <c r="CG503" i="1"/>
  <c r="CF503" i="1"/>
  <c r="CE503" i="1"/>
  <c r="CQ502" i="1"/>
  <c r="CP502" i="1"/>
  <c r="CO502" i="1"/>
  <c r="CN502" i="1"/>
  <c r="CL502" i="1"/>
  <c r="CG502" i="1"/>
  <c r="CF502" i="1"/>
  <c r="CE502" i="1"/>
  <c r="CQ501" i="1"/>
  <c r="CP501" i="1"/>
  <c r="CO501" i="1"/>
  <c r="CN501" i="1"/>
  <c r="CL501" i="1"/>
  <c r="CG501" i="1"/>
  <c r="CF501" i="1"/>
  <c r="CE501" i="1"/>
  <c r="CQ500" i="1"/>
  <c r="CP500" i="1"/>
  <c r="CO500" i="1"/>
  <c r="CN500" i="1"/>
  <c r="CL500" i="1"/>
  <c r="CG500" i="1"/>
  <c r="CF500" i="1"/>
  <c r="CE500" i="1"/>
  <c r="CQ499" i="1"/>
  <c r="CP499" i="1"/>
  <c r="CO499" i="1"/>
  <c r="CN499" i="1"/>
  <c r="CL499" i="1"/>
  <c r="CG499" i="1"/>
  <c r="CF499" i="1"/>
  <c r="CE499" i="1"/>
  <c r="CQ498" i="1"/>
  <c r="CP498" i="1"/>
  <c r="CO498" i="1"/>
  <c r="CN498" i="1"/>
  <c r="CL498" i="1"/>
  <c r="CG498" i="1"/>
  <c r="CF498" i="1"/>
  <c r="CE498" i="1"/>
  <c r="CQ497" i="1"/>
  <c r="CP497" i="1"/>
  <c r="CO497" i="1"/>
  <c r="CN497" i="1"/>
  <c r="CL497" i="1"/>
  <c r="CG497" i="1"/>
  <c r="CF497" i="1"/>
  <c r="CE497" i="1"/>
  <c r="CQ496" i="1"/>
  <c r="CP496" i="1"/>
  <c r="CO496" i="1"/>
  <c r="CN496" i="1"/>
  <c r="CL496" i="1"/>
  <c r="CG496" i="1"/>
  <c r="CF496" i="1"/>
  <c r="CE496" i="1"/>
  <c r="CQ495" i="1"/>
  <c r="CP495" i="1"/>
  <c r="CO495" i="1"/>
  <c r="CN495" i="1"/>
  <c r="CL495" i="1"/>
  <c r="CG495" i="1"/>
  <c r="CF495" i="1"/>
  <c r="CE495" i="1"/>
  <c r="CQ494" i="1"/>
  <c r="CP494" i="1"/>
  <c r="CO494" i="1"/>
  <c r="CN494" i="1"/>
  <c r="CL494" i="1"/>
  <c r="CG494" i="1"/>
  <c r="CF494" i="1"/>
  <c r="CE494" i="1"/>
  <c r="CQ493" i="1"/>
  <c r="CP493" i="1"/>
  <c r="CO493" i="1"/>
  <c r="CN493" i="1"/>
  <c r="CL493" i="1"/>
  <c r="CG493" i="1"/>
  <c r="CF493" i="1"/>
  <c r="CE493" i="1"/>
  <c r="CQ492" i="1"/>
  <c r="CP492" i="1"/>
  <c r="CO492" i="1"/>
  <c r="CN492" i="1"/>
  <c r="CL492" i="1"/>
  <c r="CG492" i="1"/>
  <c r="CF492" i="1"/>
  <c r="CE492" i="1"/>
  <c r="CQ491" i="1"/>
  <c r="CP491" i="1"/>
  <c r="CO491" i="1"/>
  <c r="CN491" i="1"/>
  <c r="CL491" i="1"/>
  <c r="CG491" i="1"/>
  <c r="CF491" i="1"/>
  <c r="CE491" i="1"/>
  <c r="CQ490" i="1"/>
  <c r="CP490" i="1"/>
  <c r="CO490" i="1"/>
  <c r="CN490" i="1"/>
  <c r="CL490" i="1"/>
  <c r="CG490" i="1"/>
  <c r="CF490" i="1"/>
  <c r="CE490" i="1"/>
  <c r="CQ489" i="1"/>
  <c r="CP489" i="1"/>
  <c r="CO489" i="1"/>
  <c r="CN489" i="1"/>
  <c r="CL489" i="1"/>
  <c r="CG489" i="1"/>
  <c r="CF489" i="1"/>
  <c r="CE489" i="1"/>
  <c r="CQ488" i="1"/>
  <c r="CP488" i="1"/>
  <c r="CO488" i="1"/>
  <c r="CN488" i="1"/>
  <c r="CL488" i="1"/>
  <c r="CG488" i="1"/>
  <c r="CF488" i="1"/>
  <c r="CE488" i="1"/>
  <c r="CQ487" i="1"/>
  <c r="CP487" i="1"/>
  <c r="CO487" i="1"/>
  <c r="CN487" i="1"/>
  <c r="CL487" i="1"/>
  <c r="CG487" i="1"/>
  <c r="CF487" i="1"/>
  <c r="CE487" i="1"/>
  <c r="CQ486" i="1"/>
  <c r="CP486" i="1"/>
  <c r="CO486" i="1"/>
  <c r="CN486" i="1"/>
  <c r="CL486" i="1"/>
  <c r="CG486" i="1"/>
  <c r="CF486" i="1"/>
  <c r="CE486" i="1"/>
  <c r="CQ485" i="1"/>
  <c r="CP485" i="1"/>
  <c r="CO485" i="1"/>
  <c r="CN485" i="1"/>
  <c r="CL485" i="1"/>
  <c r="CG485" i="1"/>
  <c r="CF485" i="1"/>
  <c r="CE485" i="1"/>
  <c r="CQ484" i="1"/>
  <c r="CP484" i="1"/>
  <c r="CO484" i="1"/>
  <c r="CN484" i="1"/>
  <c r="CL484" i="1"/>
  <c r="CG484" i="1"/>
  <c r="CF484" i="1"/>
  <c r="CE484" i="1"/>
  <c r="CQ483" i="1"/>
  <c r="CP483" i="1"/>
  <c r="CO483" i="1"/>
  <c r="CN483" i="1"/>
  <c r="CL483" i="1"/>
  <c r="CG483" i="1"/>
  <c r="CF483" i="1"/>
  <c r="CE483" i="1"/>
  <c r="CQ482" i="1"/>
  <c r="CP482" i="1"/>
  <c r="CO482" i="1"/>
  <c r="CN482" i="1"/>
  <c r="CL482" i="1"/>
  <c r="CG482" i="1"/>
  <c r="CF482" i="1"/>
  <c r="CE482" i="1"/>
  <c r="CQ481" i="1"/>
  <c r="CP481" i="1"/>
  <c r="CO481" i="1"/>
  <c r="CN481" i="1"/>
  <c r="CL481" i="1"/>
  <c r="CG481" i="1"/>
  <c r="CS481" i="1" s="1"/>
  <c r="CF481" i="1"/>
  <c r="CE481" i="1"/>
  <c r="CQ480" i="1"/>
  <c r="CP480" i="1"/>
  <c r="CO480" i="1"/>
  <c r="CN480" i="1"/>
  <c r="CL480" i="1"/>
  <c r="CG480" i="1"/>
  <c r="CF480" i="1"/>
  <c r="CE480" i="1"/>
  <c r="CQ479" i="1"/>
  <c r="CP479" i="1"/>
  <c r="CO479" i="1"/>
  <c r="CN479" i="1"/>
  <c r="CL479" i="1"/>
  <c r="CG479" i="1"/>
  <c r="CF479" i="1"/>
  <c r="CE479" i="1"/>
  <c r="CQ478" i="1"/>
  <c r="CP478" i="1"/>
  <c r="CO478" i="1"/>
  <c r="CN478" i="1"/>
  <c r="CL478" i="1"/>
  <c r="CG478" i="1"/>
  <c r="CF478" i="1"/>
  <c r="CE478" i="1"/>
  <c r="CQ477" i="1"/>
  <c r="CP477" i="1"/>
  <c r="CO477" i="1"/>
  <c r="CN477" i="1"/>
  <c r="CL477" i="1"/>
  <c r="CG477" i="1"/>
  <c r="CF477" i="1"/>
  <c r="CE477" i="1"/>
  <c r="CQ476" i="1"/>
  <c r="CP476" i="1"/>
  <c r="CO476" i="1"/>
  <c r="CN476" i="1"/>
  <c r="CL476" i="1"/>
  <c r="CG476" i="1"/>
  <c r="CF476" i="1"/>
  <c r="CE476" i="1"/>
  <c r="CQ475" i="1"/>
  <c r="CP475" i="1"/>
  <c r="CO475" i="1"/>
  <c r="CN475" i="1"/>
  <c r="CL475" i="1"/>
  <c r="CG475" i="1"/>
  <c r="CF475" i="1"/>
  <c r="CE475" i="1"/>
  <c r="CQ474" i="1"/>
  <c r="CP474" i="1"/>
  <c r="CO474" i="1"/>
  <c r="CN474" i="1"/>
  <c r="CL474" i="1"/>
  <c r="CG474" i="1"/>
  <c r="CF474" i="1"/>
  <c r="CE474" i="1"/>
  <c r="CQ473" i="1"/>
  <c r="CP473" i="1"/>
  <c r="CO473" i="1"/>
  <c r="CN473" i="1"/>
  <c r="CL473" i="1"/>
  <c r="CG473" i="1"/>
  <c r="CF473" i="1"/>
  <c r="CE473" i="1"/>
  <c r="CQ472" i="1"/>
  <c r="CP472" i="1"/>
  <c r="CO472" i="1"/>
  <c r="CN472" i="1"/>
  <c r="CL472" i="1"/>
  <c r="CG472" i="1"/>
  <c r="CF472" i="1"/>
  <c r="CE472" i="1"/>
  <c r="CQ471" i="1"/>
  <c r="CP471" i="1"/>
  <c r="CO471" i="1"/>
  <c r="CN471" i="1"/>
  <c r="CL471" i="1"/>
  <c r="CG471" i="1"/>
  <c r="CF471" i="1"/>
  <c r="CE471" i="1"/>
  <c r="CQ470" i="1"/>
  <c r="CP470" i="1"/>
  <c r="CO470" i="1"/>
  <c r="CN470" i="1"/>
  <c r="CL470" i="1"/>
  <c r="CG470" i="1"/>
  <c r="CF470" i="1"/>
  <c r="CE470" i="1"/>
  <c r="CQ469" i="1"/>
  <c r="CP469" i="1"/>
  <c r="CO469" i="1"/>
  <c r="CN469" i="1"/>
  <c r="CL469" i="1"/>
  <c r="CG469" i="1"/>
  <c r="CF469" i="1"/>
  <c r="CE469" i="1"/>
  <c r="CQ468" i="1"/>
  <c r="CP468" i="1"/>
  <c r="CO468" i="1"/>
  <c r="CN468" i="1"/>
  <c r="CL468" i="1"/>
  <c r="CG468" i="1"/>
  <c r="CF468" i="1"/>
  <c r="CE468" i="1"/>
  <c r="CQ467" i="1"/>
  <c r="CP467" i="1"/>
  <c r="CO467" i="1"/>
  <c r="CN467" i="1"/>
  <c r="CL467" i="1"/>
  <c r="CG467" i="1"/>
  <c r="CF467" i="1"/>
  <c r="CE467" i="1"/>
  <c r="CQ466" i="1"/>
  <c r="CP466" i="1"/>
  <c r="CO466" i="1"/>
  <c r="CN466" i="1"/>
  <c r="CL466" i="1"/>
  <c r="CG466" i="1"/>
  <c r="CF466" i="1"/>
  <c r="CE466" i="1"/>
  <c r="CQ465" i="1"/>
  <c r="CP465" i="1"/>
  <c r="CO465" i="1"/>
  <c r="CN465" i="1"/>
  <c r="CL465" i="1"/>
  <c r="CG465" i="1"/>
  <c r="CF465" i="1"/>
  <c r="CE465" i="1"/>
  <c r="CQ464" i="1"/>
  <c r="CP464" i="1"/>
  <c r="CO464" i="1"/>
  <c r="CN464" i="1"/>
  <c r="CL464" i="1"/>
  <c r="CG464" i="1"/>
  <c r="CF464" i="1"/>
  <c r="CE464" i="1"/>
  <c r="CQ463" i="1"/>
  <c r="CP463" i="1"/>
  <c r="CO463" i="1"/>
  <c r="CN463" i="1"/>
  <c r="CL463" i="1"/>
  <c r="CG463" i="1"/>
  <c r="CF463" i="1"/>
  <c r="CE463" i="1"/>
  <c r="CQ462" i="1"/>
  <c r="CP462" i="1"/>
  <c r="CO462" i="1"/>
  <c r="CN462" i="1"/>
  <c r="CL462" i="1"/>
  <c r="CG462" i="1"/>
  <c r="CF462" i="1"/>
  <c r="CE462" i="1"/>
  <c r="CQ461" i="1"/>
  <c r="CP461" i="1"/>
  <c r="CO461" i="1"/>
  <c r="CN461" i="1"/>
  <c r="CL461" i="1"/>
  <c r="CG461" i="1"/>
  <c r="CF461" i="1"/>
  <c r="CE461" i="1"/>
  <c r="CQ460" i="1"/>
  <c r="CP460" i="1"/>
  <c r="CO460" i="1"/>
  <c r="CN460" i="1"/>
  <c r="CL460" i="1"/>
  <c r="CG460" i="1"/>
  <c r="CF460" i="1"/>
  <c r="CE460" i="1"/>
  <c r="CQ459" i="1"/>
  <c r="CP459" i="1"/>
  <c r="CO459" i="1"/>
  <c r="CN459" i="1"/>
  <c r="CL459" i="1"/>
  <c r="CG459" i="1"/>
  <c r="CF459" i="1"/>
  <c r="CE459" i="1"/>
  <c r="CQ458" i="1"/>
  <c r="CP458" i="1"/>
  <c r="CO458" i="1"/>
  <c r="CN458" i="1"/>
  <c r="CL458" i="1"/>
  <c r="CG458" i="1"/>
  <c r="CF458" i="1"/>
  <c r="CE458" i="1"/>
  <c r="CQ457" i="1"/>
  <c r="CP457" i="1"/>
  <c r="CO457" i="1"/>
  <c r="CN457" i="1"/>
  <c r="CL457" i="1"/>
  <c r="CG457" i="1"/>
  <c r="CF457" i="1"/>
  <c r="CE457" i="1"/>
  <c r="CQ456" i="1"/>
  <c r="CP456" i="1"/>
  <c r="CO456" i="1"/>
  <c r="CN456" i="1"/>
  <c r="CL456" i="1"/>
  <c r="CG456" i="1"/>
  <c r="CF456" i="1"/>
  <c r="CE456" i="1"/>
  <c r="CQ455" i="1"/>
  <c r="CP455" i="1"/>
  <c r="CO455" i="1"/>
  <c r="CN455" i="1"/>
  <c r="CL455" i="1"/>
  <c r="CG455" i="1"/>
  <c r="CF455" i="1"/>
  <c r="CE455" i="1"/>
  <c r="CQ454" i="1"/>
  <c r="CP454" i="1"/>
  <c r="CO454" i="1"/>
  <c r="CN454" i="1"/>
  <c r="CL454" i="1"/>
  <c r="CG454" i="1"/>
  <c r="CF454" i="1"/>
  <c r="CE454" i="1"/>
  <c r="CQ453" i="1"/>
  <c r="CP453" i="1"/>
  <c r="CO453" i="1"/>
  <c r="CN453" i="1"/>
  <c r="CL453" i="1"/>
  <c r="CG453" i="1"/>
  <c r="CF453" i="1"/>
  <c r="CE453" i="1"/>
  <c r="CQ452" i="1"/>
  <c r="CP452" i="1"/>
  <c r="CO452" i="1"/>
  <c r="CN452" i="1"/>
  <c r="CL452" i="1"/>
  <c r="CG452" i="1"/>
  <c r="CS452" i="1" s="1"/>
  <c r="CF452" i="1"/>
  <c r="CE452" i="1"/>
  <c r="CQ451" i="1"/>
  <c r="CP451" i="1"/>
  <c r="CO451" i="1"/>
  <c r="CN451" i="1"/>
  <c r="CL451" i="1"/>
  <c r="CG451" i="1"/>
  <c r="CF451" i="1"/>
  <c r="CE451" i="1"/>
  <c r="CQ450" i="1"/>
  <c r="CP450" i="1"/>
  <c r="CO450" i="1"/>
  <c r="CN450" i="1"/>
  <c r="CL450" i="1"/>
  <c r="CG450" i="1"/>
  <c r="CF450" i="1"/>
  <c r="CE450" i="1"/>
  <c r="CQ449" i="1"/>
  <c r="CP449" i="1"/>
  <c r="CO449" i="1"/>
  <c r="CN449" i="1"/>
  <c r="CL449" i="1"/>
  <c r="CG449" i="1"/>
  <c r="CF449" i="1"/>
  <c r="CE449" i="1"/>
  <c r="CQ448" i="1"/>
  <c r="CP448" i="1"/>
  <c r="CO448" i="1"/>
  <c r="CN448" i="1"/>
  <c r="CL448" i="1"/>
  <c r="CG448" i="1"/>
  <c r="CF448" i="1"/>
  <c r="CE448" i="1"/>
  <c r="CQ447" i="1"/>
  <c r="CP447" i="1"/>
  <c r="CO447" i="1"/>
  <c r="CN447" i="1"/>
  <c r="CL447" i="1"/>
  <c r="CG447" i="1"/>
  <c r="CF447" i="1"/>
  <c r="CE447" i="1"/>
  <c r="CQ446" i="1"/>
  <c r="CP446" i="1"/>
  <c r="CO446" i="1"/>
  <c r="CN446" i="1"/>
  <c r="CL446" i="1"/>
  <c r="CG446" i="1"/>
  <c r="CF446" i="1"/>
  <c r="CE446" i="1"/>
  <c r="CQ445" i="1"/>
  <c r="CP445" i="1"/>
  <c r="CO445" i="1"/>
  <c r="CN445" i="1"/>
  <c r="CL445" i="1"/>
  <c r="CG445" i="1"/>
  <c r="CF445" i="1"/>
  <c r="CE445" i="1"/>
  <c r="CQ444" i="1"/>
  <c r="CP444" i="1"/>
  <c r="CO444" i="1"/>
  <c r="CN444" i="1"/>
  <c r="CL444" i="1"/>
  <c r="CG444" i="1"/>
  <c r="CF444" i="1"/>
  <c r="CE444" i="1"/>
  <c r="CQ443" i="1"/>
  <c r="CP443" i="1"/>
  <c r="CO443" i="1"/>
  <c r="CN443" i="1"/>
  <c r="CL443" i="1"/>
  <c r="CG443" i="1"/>
  <c r="CF443" i="1"/>
  <c r="CE443" i="1"/>
  <c r="CQ442" i="1"/>
  <c r="CP442" i="1"/>
  <c r="CO442" i="1"/>
  <c r="CN442" i="1"/>
  <c r="CL442" i="1"/>
  <c r="CG442" i="1"/>
  <c r="CF442" i="1"/>
  <c r="CE442" i="1"/>
  <c r="CQ441" i="1"/>
  <c r="CP441" i="1"/>
  <c r="CO441" i="1"/>
  <c r="CN441" i="1"/>
  <c r="CL441" i="1"/>
  <c r="CG441" i="1"/>
  <c r="CF441" i="1"/>
  <c r="CE441" i="1"/>
  <c r="CQ440" i="1"/>
  <c r="CP440" i="1"/>
  <c r="CO440" i="1"/>
  <c r="CN440" i="1"/>
  <c r="CL440" i="1"/>
  <c r="CG440" i="1"/>
  <c r="CF440" i="1"/>
  <c r="CE440" i="1"/>
  <c r="CQ439" i="1"/>
  <c r="CP439" i="1"/>
  <c r="CO439" i="1"/>
  <c r="CN439" i="1"/>
  <c r="CL439" i="1"/>
  <c r="CG439" i="1"/>
  <c r="CF439" i="1"/>
  <c r="CE439" i="1"/>
  <c r="CQ438" i="1"/>
  <c r="CP438" i="1"/>
  <c r="CO438" i="1"/>
  <c r="CN438" i="1"/>
  <c r="CL438" i="1"/>
  <c r="CG438" i="1"/>
  <c r="CF438" i="1"/>
  <c r="CE438" i="1"/>
  <c r="CQ437" i="1"/>
  <c r="CP437" i="1"/>
  <c r="CO437" i="1"/>
  <c r="CN437" i="1"/>
  <c r="CL437" i="1"/>
  <c r="CG437" i="1"/>
  <c r="CF437" i="1"/>
  <c r="CE437" i="1"/>
  <c r="CQ436" i="1"/>
  <c r="CP436" i="1"/>
  <c r="CO436" i="1"/>
  <c r="CN436" i="1"/>
  <c r="CL436" i="1"/>
  <c r="CG436" i="1"/>
  <c r="CF436" i="1"/>
  <c r="CE436" i="1"/>
  <c r="CQ435" i="1"/>
  <c r="CP435" i="1"/>
  <c r="CO435" i="1"/>
  <c r="CN435" i="1"/>
  <c r="CL435" i="1"/>
  <c r="CG435" i="1"/>
  <c r="CF435" i="1"/>
  <c r="CE435" i="1"/>
  <c r="CQ434" i="1"/>
  <c r="CP434" i="1"/>
  <c r="CO434" i="1"/>
  <c r="CN434" i="1"/>
  <c r="CL434" i="1"/>
  <c r="CG434" i="1"/>
  <c r="CF434" i="1"/>
  <c r="CE434" i="1"/>
  <c r="CQ433" i="1"/>
  <c r="CP433" i="1"/>
  <c r="CO433" i="1"/>
  <c r="CN433" i="1"/>
  <c r="CL433" i="1"/>
  <c r="CG433" i="1"/>
  <c r="CF433" i="1"/>
  <c r="CE433" i="1"/>
  <c r="CQ432" i="1"/>
  <c r="CP432" i="1"/>
  <c r="CO432" i="1"/>
  <c r="CN432" i="1"/>
  <c r="CL432" i="1"/>
  <c r="CG432" i="1"/>
  <c r="CF432" i="1"/>
  <c r="CE432" i="1"/>
  <c r="CQ431" i="1"/>
  <c r="CP431" i="1"/>
  <c r="CO431" i="1"/>
  <c r="CN431" i="1"/>
  <c r="CL431" i="1"/>
  <c r="CG431" i="1"/>
  <c r="CF431" i="1"/>
  <c r="CE431" i="1"/>
  <c r="CQ430" i="1"/>
  <c r="CP430" i="1"/>
  <c r="CO430" i="1"/>
  <c r="CN430" i="1"/>
  <c r="CL430" i="1"/>
  <c r="CG430" i="1"/>
  <c r="CF430" i="1"/>
  <c r="CE430" i="1"/>
  <c r="CQ429" i="1"/>
  <c r="CP429" i="1"/>
  <c r="CO429" i="1"/>
  <c r="CN429" i="1"/>
  <c r="CL429" i="1"/>
  <c r="CG429" i="1"/>
  <c r="CF429" i="1"/>
  <c r="CE429" i="1"/>
  <c r="CQ428" i="1"/>
  <c r="CP428" i="1"/>
  <c r="CO428" i="1"/>
  <c r="CN428" i="1"/>
  <c r="CL428" i="1"/>
  <c r="CG428" i="1"/>
  <c r="CF428" i="1"/>
  <c r="CE428" i="1"/>
  <c r="CQ427" i="1"/>
  <c r="CP427" i="1"/>
  <c r="CO427" i="1"/>
  <c r="CN427" i="1"/>
  <c r="CL427" i="1"/>
  <c r="CG427" i="1"/>
  <c r="CF427" i="1"/>
  <c r="CE427" i="1"/>
  <c r="CQ426" i="1"/>
  <c r="CP426" i="1"/>
  <c r="CO426" i="1"/>
  <c r="CN426" i="1"/>
  <c r="CL426" i="1"/>
  <c r="CG426" i="1"/>
  <c r="CF426" i="1"/>
  <c r="CE426" i="1"/>
  <c r="CQ425" i="1"/>
  <c r="CP425" i="1"/>
  <c r="CO425" i="1"/>
  <c r="CN425" i="1"/>
  <c r="CL425" i="1"/>
  <c r="CG425" i="1"/>
  <c r="CF425" i="1"/>
  <c r="CE425" i="1"/>
  <c r="CQ424" i="1"/>
  <c r="CP424" i="1"/>
  <c r="CO424" i="1"/>
  <c r="CN424" i="1"/>
  <c r="CL424" i="1"/>
  <c r="CG424" i="1"/>
  <c r="CF424" i="1"/>
  <c r="CE424" i="1"/>
  <c r="CQ423" i="1"/>
  <c r="CP423" i="1"/>
  <c r="CO423" i="1"/>
  <c r="CN423" i="1"/>
  <c r="CL423" i="1"/>
  <c r="CG423" i="1"/>
  <c r="CF423" i="1"/>
  <c r="CE423" i="1"/>
  <c r="CQ422" i="1"/>
  <c r="CP422" i="1"/>
  <c r="CO422" i="1"/>
  <c r="CN422" i="1"/>
  <c r="CL422" i="1"/>
  <c r="CG422" i="1"/>
  <c r="CF422" i="1"/>
  <c r="CE422" i="1"/>
  <c r="CQ421" i="1"/>
  <c r="CP421" i="1"/>
  <c r="CO421" i="1"/>
  <c r="CN421" i="1"/>
  <c r="CL421" i="1"/>
  <c r="CG421" i="1"/>
  <c r="CF421" i="1"/>
  <c r="CE421" i="1"/>
  <c r="CQ420" i="1"/>
  <c r="CP420" i="1"/>
  <c r="CO420" i="1"/>
  <c r="CN420" i="1"/>
  <c r="CL420" i="1"/>
  <c r="CG420" i="1"/>
  <c r="CF420" i="1"/>
  <c r="CE420" i="1"/>
  <c r="CQ419" i="1"/>
  <c r="CP419" i="1"/>
  <c r="CO419" i="1"/>
  <c r="CN419" i="1"/>
  <c r="CL419" i="1"/>
  <c r="CG419" i="1"/>
  <c r="CF419" i="1"/>
  <c r="CE419" i="1"/>
  <c r="CQ418" i="1"/>
  <c r="CP418" i="1"/>
  <c r="CO418" i="1"/>
  <c r="CN418" i="1"/>
  <c r="CL418" i="1"/>
  <c r="CG418" i="1"/>
  <c r="CF418" i="1"/>
  <c r="CE418" i="1"/>
  <c r="CQ417" i="1"/>
  <c r="CP417" i="1"/>
  <c r="CO417" i="1"/>
  <c r="CN417" i="1"/>
  <c r="CL417" i="1"/>
  <c r="CG417" i="1"/>
  <c r="CF417" i="1"/>
  <c r="CE417" i="1"/>
  <c r="CQ416" i="1"/>
  <c r="CP416" i="1"/>
  <c r="CO416" i="1"/>
  <c r="CN416" i="1"/>
  <c r="CL416" i="1"/>
  <c r="CG416" i="1"/>
  <c r="CF416" i="1"/>
  <c r="CE416" i="1"/>
  <c r="CQ415" i="1"/>
  <c r="CP415" i="1"/>
  <c r="CO415" i="1"/>
  <c r="CN415" i="1"/>
  <c r="CL415" i="1"/>
  <c r="CG415" i="1"/>
  <c r="CF415" i="1"/>
  <c r="CE415" i="1"/>
  <c r="CQ414" i="1"/>
  <c r="CP414" i="1"/>
  <c r="CO414" i="1"/>
  <c r="CN414" i="1"/>
  <c r="CL414" i="1"/>
  <c r="CG414" i="1"/>
  <c r="CF414" i="1"/>
  <c r="CE414" i="1"/>
  <c r="CQ413" i="1"/>
  <c r="CP413" i="1"/>
  <c r="CO413" i="1"/>
  <c r="CN413" i="1"/>
  <c r="CL413" i="1"/>
  <c r="CG413" i="1"/>
  <c r="CF413" i="1"/>
  <c r="CE413" i="1"/>
  <c r="CQ412" i="1"/>
  <c r="CP412" i="1"/>
  <c r="CO412" i="1"/>
  <c r="CN412" i="1"/>
  <c r="CL412" i="1"/>
  <c r="CG412" i="1"/>
  <c r="CF412" i="1"/>
  <c r="CE412" i="1"/>
  <c r="CQ411" i="1"/>
  <c r="CP411" i="1"/>
  <c r="CO411" i="1"/>
  <c r="CN411" i="1"/>
  <c r="CL411" i="1"/>
  <c r="CG411" i="1"/>
  <c r="CF411" i="1"/>
  <c r="CE411" i="1"/>
  <c r="CQ410" i="1"/>
  <c r="CP410" i="1"/>
  <c r="CO410" i="1"/>
  <c r="CN410" i="1"/>
  <c r="CL410" i="1"/>
  <c r="CG410" i="1"/>
  <c r="CF410" i="1"/>
  <c r="CE410" i="1"/>
  <c r="CQ409" i="1"/>
  <c r="CP409" i="1"/>
  <c r="CO409" i="1"/>
  <c r="CN409" i="1"/>
  <c r="CL409" i="1"/>
  <c r="CG409" i="1"/>
  <c r="CF409" i="1"/>
  <c r="CE409" i="1"/>
  <c r="CQ408" i="1"/>
  <c r="CP408" i="1"/>
  <c r="CO408" i="1"/>
  <c r="CN408" i="1"/>
  <c r="CL408" i="1"/>
  <c r="CG408" i="1"/>
  <c r="CF408" i="1"/>
  <c r="CE408" i="1"/>
  <c r="CQ407" i="1"/>
  <c r="CP407" i="1"/>
  <c r="CO407" i="1"/>
  <c r="CN407" i="1"/>
  <c r="CL407" i="1"/>
  <c r="CG407" i="1"/>
  <c r="CF407" i="1"/>
  <c r="CE407" i="1"/>
  <c r="CQ406" i="1"/>
  <c r="CP406" i="1"/>
  <c r="CO406" i="1"/>
  <c r="CN406" i="1"/>
  <c r="CL406" i="1"/>
  <c r="CG406" i="1"/>
  <c r="CF406" i="1"/>
  <c r="CE406" i="1"/>
  <c r="CQ405" i="1"/>
  <c r="CP405" i="1"/>
  <c r="CO405" i="1"/>
  <c r="CN405" i="1"/>
  <c r="CL405" i="1"/>
  <c r="CG405" i="1"/>
  <c r="CF405" i="1"/>
  <c r="CE405" i="1"/>
  <c r="CQ404" i="1"/>
  <c r="CP404" i="1"/>
  <c r="CO404" i="1"/>
  <c r="CN404" i="1"/>
  <c r="CL404" i="1"/>
  <c r="CG404" i="1"/>
  <c r="CF404" i="1"/>
  <c r="CE404" i="1"/>
  <c r="CQ403" i="1"/>
  <c r="CP403" i="1"/>
  <c r="CO403" i="1"/>
  <c r="CN403" i="1"/>
  <c r="CL403" i="1"/>
  <c r="CG403" i="1"/>
  <c r="CF403" i="1"/>
  <c r="CE403" i="1"/>
  <c r="CQ402" i="1"/>
  <c r="CP402" i="1"/>
  <c r="CO402" i="1"/>
  <c r="CN402" i="1"/>
  <c r="CL402" i="1"/>
  <c r="CG402" i="1"/>
  <c r="CF402" i="1"/>
  <c r="CE402" i="1"/>
  <c r="CQ401" i="1"/>
  <c r="CP401" i="1"/>
  <c r="CO401" i="1"/>
  <c r="CN401" i="1"/>
  <c r="CL401" i="1"/>
  <c r="CG401" i="1"/>
  <c r="CF401" i="1"/>
  <c r="CE401" i="1"/>
  <c r="CQ400" i="1"/>
  <c r="CP400" i="1"/>
  <c r="CO400" i="1"/>
  <c r="CN400" i="1"/>
  <c r="CL400" i="1"/>
  <c r="CG400" i="1"/>
  <c r="CF400" i="1"/>
  <c r="CE400" i="1"/>
  <c r="CQ399" i="1"/>
  <c r="CP399" i="1"/>
  <c r="CO399" i="1"/>
  <c r="CN399" i="1"/>
  <c r="CL399" i="1"/>
  <c r="CG399" i="1"/>
  <c r="CF399" i="1"/>
  <c r="CE399" i="1"/>
  <c r="CQ398" i="1"/>
  <c r="CP398" i="1"/>
  <c r="CO398" i="1"/>
  <c r="CN398" i="1"/>
  <c r="CL398" i="1"/>
  <c r="CG398" i="1"/>
  <c r="CF398" i="1"/>
  <c r="CE398" i="1"/>
  <c r="CQ397" i="1"/>
  <c r="CP397" i="1"/>
  <c r="CO397" i="1"/>
  <c r="CN397" i="1"/>
  <c r="CL397" i="1"/>
  <c r="CG397" i="1"/>
  <c r="CF397" i="1"/>
  <c r="CE397" i="1"/>
  <c r="CQ396" i="1"/>
  <c r="CP396" i="1"/>
  <c r="CO396" i="1"/>
  <c r="CN396" i="1"/>
  <c r="CL396" i="1"/>
  <c r="CG396" i="1"/>
  <c r="CF396" i="1"/>
  <c r="CE396" i="1"/>
  <c r="CQ395" i="1"/>
  <c r="CP395" i="1"/>
  <c r="CO395" i="1"/>
  <c r="CN395" i="1"/>
  <c r="CL395" i="1"/>
  <c r="CG395" i="1"/>
  <c r="CF395" i="1"/>
  <c r="CE395" i="1"/>
  <c r="CQ394" i="1"/>
  <c r="CP394" i="1"/>
  <c r="CO394" i="1"/>
  <c r="CN394" i="1"/>
  <c r="CL394" i="1"/>
  <c r="CG394" i="1"/>
  <c r="CF394" i="1"/>
  <c r="CE394" i="1"/>
  <c r="CQ393" i="1"/>
  <c r="CP393" i="1"/>
  <c r="CO393" i="1"/>
  <c r="CN393" i="1"/>
  <c r="CL393" i="1"/>
  <c r="CG393" i="1"/>
  <c r="CF393" i="1"/>
  <c r="CE393" i="1"/>
  <c r="CQ392" i="1"/>
  <c r="CP392" i="1"/>
  <c r="CO392" i="1"/>
  <c r="CN392" i="1"/>
  <c r="CL392" i="1"/>
  <c r="CG392" i="1"/>
  <c r="CF392" i="1"/>
  <c r="CE392" i="1"/>
  <c r="CQ391" i="1"/>
  <c r="CP391" i="1"/>
  <c r="CO391" i="1"/>
  <c r="CN391" i="1"/>
  <c r="CL391" i="1"/>
  <c r="CG391" i="1"/>
  <c r="CF391" i="1"/>
  <c r="CE391" i="1"/>
  <c r="CQ390" i="1"/>
  <c r="CP390" i="1"/>
  <c r="CO390" i="1"/>
  <c r="CN390" i="1"/>
  <c r="CL390" i="1"/>
  <c r="CG390" i="1"/>
  <c r="CF390" i="1"/>
  <c r="CE390" i="1"/>
  <c r="CQ389" i="1"/>
  <c r="CP389" i="1"/>
  <c r="CO389" i="1"/>
  <c r="CN389" i="1"/>
  <c r="CL389" i="1"/>
  <c r="CG389" i="1"/>
  <c r="CF389" i="1"/>
  <c r="CE389" i="1"/>
  <c r="CQ388" i="1"/>
  <c r="CP388" i="1"/>
  <c r="CO388" i="1"/>
  <c r="CN388" i="1"/>
  <c r="CL388" i="1"/>
  <c r="CG388" i="1"/>
  <c r="CF388" i="1"/>
  <c r="CE388" i="1"/>
  <c r="CQ387" i="1"/>
  <c r="CP387" i="1"/>
  <c r="CO387" i="1"/>
  <c r="CN387" i="1"/>
  <c r="CL387" i="1"/>
  <c r="CG387" i="1"/>
  <c r="CF387" i="1"/>
  <c r="CE387" i="1"/>
  <c r="CQ386" i="1"/>
  <c r="CP386" i="1"/>
  <c r="CO386" i="1"/>
  <c r="CN386" i="1"/>
  <c r="CL386" i="1"/>
  <c r="CG386" i="1"/>
  <c r="CF386" i="1"/>
  <c r="CE386" i="1"/>
  <c r="CQ385" i="1"/>
  <c r="CP385" i="1"/>
  <c r="CO385" i="1"/>
  <c r="CN385" i="1"/>
  <c r="CL385" i="1"/>
  <c r="CG385" i="1"/>
  <c r="CF385" i="1"/>
  <c r="CE385" i="1"/>
  <c r="CQ384" i="1"/>
  <c r="CP384" i="1"/>
  <c r="CO384" i="1"/>
  <c r="CN384" i="1"/>
  <c r="CL384" i="1"/>
  <c r="CG384" i="1"/>
  <c r="CF384" i="1"/>
  <c r="CE384" i="1"/>
  <c r="CQ383" i="1"/>
  <c r="CP383" i="1"/>
  <c r="CO383" i="1"/>
  <c r="CN383" i="1"/>
  <c r="CL383" i="1"/>
  <c r="CG383" i="1"/>
  <c r="CF383" i="1"/>
  <c r="CE383" i="1"/>
  <c r="CQ382" i="1"/>
  <c r="CP382" i="1"/>
  <c r="CO382" i="1"/>
  <c r="CN382" i="1"/>
  <c r="CL382" i="1"/>
  <c r="CG382" i="1"/>
  <c r="CF382" i="1"/>
  <c r="CE382" i="1"/>
  <c r="CQ381" i="1"/>
  <c r="CP381" i="1"/>
  <c r="CO381" i="1"/>
  <c r="CN381" i="1"/>
  <c r="CL381" i="1"/>
  <c r="CG381" i="1"/>
  <c r="CF381" i="1"/>
  <c r="CE381" i="1"/>
  <c r="CQ380" i="1"/>
  <c r="CP380" i="1"/>
  <c r="CO380" i="1"/>
  <c r="CN380" i="1"/>
  <c r="CL380" i="1"/>
  <c r="CG380" i="1"/>
  <c r="CF380" i="1"/>
  <c r="CE380" i="1"/>
  <c r="CQ379" i="1"/>
  <c r="CP379" i="1"/>
  <c r="CO379" i="1"/>
  <c r="CN379" i="1"/>
  <c r="CL379" i="1"/>
  <c r="CG379" i="1"/>
  <c r="CF379" i="1"/>
  <c r="CE379" i="1"/>
  <c r="CQ378" i="1"/>
  <c r="CP378" i="1"/>
  <c r="CO378" i="1"/>
  <c r="CN378" i="1"/>
  <c r="CL378" i="1"/>
  <c r="CG378" i="1"/>
  <c r="CF378" i="1"/>
  <c r="CE378" i="1"/>
  <c r="CQ377" i="1"/>
  <c r="CP377" i="1"/>
  <c r="CO377" i="1"/>
  <c r="CN377" i="1"/>
  <c r="CL377" i="1"/>
  <c r="CG377" i="1"/>
  <c r="CF377" i="1"/>
  <c r="CE377" i="1"/>
  <c r="CQ376" i="1"/>
  <c r="CP376" i="1"/>
  <c r="CO376" i="1"/>
  <c r="CN376" i="1"/>
  <c r="CL376" i="1"/>
  <c r="CG376" i="1"/>
  <c r="CF376" i="1"/>
  <c r="CE376" i="1"/>
  <c r="CQ375" i="1"/>
  <c r="CP375" i="1"/>
  <c r="CO375" i="1"/>
  <c r="CN375" i="1"/>
  <c r="CL375" i="1"/>
  <c r="CG375" i="1"/>
  <c r="CF375" i="1"/>
  <c r="CE375" i="1"/>
  <c r="CQ374" i="1"/>
  <c r="CP374" i="1"/>
  <c r="CO374" i="1"/>
  <c r="CN374" i="1"/>
  <c r="CL374" i="1"/>
  <c r="CG374" i="1"/>
  <c r="CF374" i="1"/>
  <c r="CE374" i="1"/>
  <c r="CQ373" i="1"/>
  <c r="CP373" i="1"/>
  <c r="CO373" i="1"/>
  <c r="CN373" i="1"/>
  <c r="CL373" i="1"/>
  <c r="CG373" i="1"/>
  <c r="CF373" i="1"/>
  <c r="CE373" i="1"/>
  <c r="CQ372" i="1"/>
  <c r="CP372" i="1"/>
  <c r="CO372" i="1"/>
  <c r="CN372" i="1"/>
  <c r="CL372" i="1"/>
  <c r="CG372" i="1"/>
  <c r="CF372" i="1"/>
  <c r="CE372" i="1"/>
  <c r="CQ371" i="1"/>
  <c r="CP371" i="1"/>
  <c r="CO371" i="1"/>
  <c r="CN371" i="1"/>
  <c r="CL371" i="1"/>
  <c r="CG371" i="1"/>
  <c r="CF371" i="1"/>
  <c r="CE371" i="1"/>
  <c r="CQ370" i="1"/>
  <c r="CP370" i="1"/>
  <c r="CO370" i="1"/>
  <c r="CN370" i="1"/>
  <c r="CL370" i="1"/>
  <c r="CG370" i="1"/>
  <c r="CF370" i="1"/>
  <c r="CE370" i="1"/>
  <c r="CQ369" i="1"/>
  <c r="CP369" i="1"/>
  <c r="CO369" i="1"/>
  <c r="CN369" i="1"/>
  <c r="CL369" i="1"/>
  <c r="CG369" i="1"/>
  <c r="CF369" i="1"/>
  <c r="CE369" i="1"/>
  <c r="CQ368" i="1"/>
  <c r="CP368" i="1"/>
  <c r="CO368" i="1"/>
  <c r="CN368" i="1"/>
  <c r="CL368" i="1"/>
  <c r="CG368" i="1"/>
  <c r="CF368" i="1"/>
  <c r="CE368" i="1"/>
  <c r="CQ367" i="1"/>
  <c r="CP367" i="1"/>
  <c r="CO367" i="1"/>
  <c r="CN367" i="1"/>
  <c r="CL367" i="1"/>
  <c r="CG367" i="1"/>
  <c r="CF367" i="1"/>
  <c r="CE367" i="1"/>
  <c r="CQ366" i="1"/>
  <c r="CP366" i="1"/>
  <c r="CO366" i="1"/>
  <c r="CN366" i="1"/>
  <c r="CL366" i="1"/>
  <c r="CG366" i="1"/>
  <c r="CF366" i="1"/>
  <c r="CE366" i="1"/>
  <c r="CQ365" i="1"/>
  <c r="CP365" i="1"/>
  <c r="CO365" i="1"/>
  <c r="CN365" i="1"/>
  <c r="CL365" i="1"/>
  <c r="CG365" i="1"/>
  <c r="CF365" i="1"/>
  <c r="CE365" i="1"/>
  <c r="CQ364" i="1"/>
  <c r="CP364" i="1"/>
  <c r="CO364" i="1"/>
  <c r="CN364" i="1"/>
  <c r="CL364" i="1"/>
  <c r="CG364" i="1"/>
  <c r="CF364" i="1"/>
  <c r="CE364" i="1"/>
  <c r="CQ363" i="1"/>
  <c r="CP363" i="1"/>
  <c r="CO363" i="1"/>
  <c r="CN363" i="1"/>
  <c r="CL363" i="1"/>
  <c r="CG363" i="1"/>
  <c r="CF363" i="1"/>
  <c r="CE363" i="1"/>
  <c r="CQ362" i="1"/>
  <c r="CP362" i="1"/>
  <c r="CO362" i="1"/>
  <c r="CN362" i="1"/>
  <c r="CL362" i="1"/>
  <c r="CG362" i="1"/>
  <c r="CF362" i="1"/>
  <c r="CE362" i="1"/>
  <c r="CQ361" i="1"/>
  <c r="CP361" i="1"/>
  <c r="CO361" i="1"/>
  <c r="CN361" i="1"/>
  <c r="CL361" i="1"/>
  <c r="CG361" i="1"/>
  <c r="CF361" i="1"/>
  <c r="CE361" i="1"/>
  <c r="CQ360" i="1"/>
  <c r="CP360" i="1"/>
  <c r="CO360" i="1"/>
  <c r="CN360" i="1"/>
  <c r="CL360" i="1"/>
  <c r="CG360" i="1"/>
  <c r="CF360" i="1"/>
  <c r="CE360" i="1"/>
  <c r="CQ359" i="1"/>
  <c r="CP359" i="1"/>
  <c r="CO359" i="1"/>
  <c r="CN359" i="1"/>
  <c r="CL359" i="1"/>
  <c r="CG359" i="1"/>
  <c r="CF359" i="1"/>
  <c r="CE359" i="1"/>
  <c r="CQ358" i="1"/>
  <c r="CP358" i="1"/>
  <c r="CO358" i="1"/>
  <c r="CN358" i="1"/>
  <c r="CL358" i="1"/>
  <c r="CG358" i="1"/>
  <c r="CF358" i="1"/>
  <c r="CE358" i="1"/>
  <c r="CQ357" i="1"/>
  <c r="CP357" i="1"/>
  <c r="CO357" i="1"/>
  <c r="CN357" i="1"/>
  <c r="CL357" i="1"/>
  <c r="CG357" i="1"/>
  <c r="CF357" i="1"/>
  <c r="CE357" i="1"/>
  <c r="CQ356" i="1"/>
  <c r="CP356" i="1"/>
  <c r="CO356" i="1"/>
  <c r="CN356" i="1"/>
  <c r="CL356" i="1"/>
  <c r="CG356" i="1"/>
  <c r="CF356" i="1"/>
  <c r="CE356" i="1"/>
  <c r="CQ355" i="1"/>
  <c r="CP355" i="1"/>
  <c r="CO355" i="1"/>
  <c r="CN355" i="1"/>
  <c r="CL355" i="1"/>
  <c r="CG355" i="1"/>
  <c r="CF355" i="1"/>
  <c r="CE355" i="1"/>
  <c r="CQ354" i="1"/>
  <c r="CP354" i="1"/>
  <c r="CO354" i="1"/>
  <c r="CN354" i="1"/>
  <c r="CL354" i="1"/>
  <c r="CG354" i="1"/>
  <c r="CF354" i="1"/>
  <c r="CE354" i="1"/>
  <c r="CQ353" i="1"/>
  <c r="CP353" i="1"/>
  <c r="CO353" i="1"/>
  <c r="CN353" i="1"/>
  <c r="CL353" i="1"/>
  <c r="CG353" i="1"/>
  <c r="CF353" i="1"/>
  <c r="CE353" i="1"/>
  <c r="CQ352" i="1"/>
  <c r="CP352" i="1"/>
  <c r="CO352" i="1"/>
  <c r="CN352" i="1"/>
  <c r="CL352" i="1"/>
  <c r="CG352" i="1"/>
  <c r="CF352" i="1"/>
  <c r="CE352" i="1"/>
  <c r="CQ351" i="1"/>
  <c r="CP351" i="1"/>
  <c r="CO351" i="1"/>
  <c r="CN351" i="1"/>
  <c r="CL351" i="1"/>
  <c r="CG351" i="1"/>
  <c r="CF351" i="1"/>
  <c r="CE351" i="1"/>
  <c r="CQ350" i="1"/>
  <c r="CP350" i="1"/>
  <c r="CO350" i="1"/>
  <c r="CN350" i="1"/>
  <c r="CL350" i="1"/>
  <c r="CG350" i="1"/>
  <c r="CF350" i="1"/>
  <c r="CE350" i="1"/>
  <c r="CQ349" i="1"/>
  <c r="CP349" i="1"/>
  <c r="CO349" i="1"/>
  <c r="CN349" i="1"/>
  <c r="CL349" i="1"/>
  <c r="CG349" i="1"/>
  <c r="CF349" i="1"/>
  <c r="CE349" i="1"/>
  <c r="CQ348" i="1"/>
  <c r="CP348" i="1"/>
  <c r="CO348" i="1"/>
  <c r="CN348" i="1"/>
  <c r="CL348" i="1"/>
  <c r="CG348" i="1"/>
  <c r="CF348" i="1"/>
  <c r="CE348" i="1"/>
  <c r="CQ347" i="1"/>
  <c r="CP347" i="1"/>
  <c r="CO347" i="1"/>
  <c r="CN347" i="1"/>
  <c r="CL347" i="1"/>
  <c r="CG347" i="1"/>
  <c r="CF347" i="1"/>
  <c r="CE347" i="1"/>
  <c r="CQ346" i="1"/>
  <c r="CP346" i="1"/>
  <c r="CO346" i="1"/>
  <c r="CN346" i="1"/>
  <c r="CL346" i="1"/>
  <c r="CG346" i="1"/>
  <c r="CF346" i="1"/>
  <c r="CE346" i="1"/>
  <c r="CQ345" i="1"/>
  <c r="CP345" i="1"/>
  <c r="CO345" i="1"/>
  <c r="CN345" i="1"/>
  <c r="CL345" i="1"/>
  <c r="CG345" i="1"/>
  <c r="CF345" i="1"/>
  <c r="CE345" i="1"/>
  <c r="CQ344" i="1"/>
  <c r="CP344" i="1"/>
  <c r="CO344" i="1"/>
  <c r="CN344" i="1"/>
  <c r="CL344" i="1"/>
  <c r="CG344" i="1"/>
  <c r="CF344" i="1"/>
  <c r="CE344" i="1"/>
  <c r="CQ343" i="1"/>
  <c r="CP343" i="1"/>
  <c r="CO343" i="1"/>
  <c r="CN343" i="1"/>
  <c r="CL343" i="1"/>
  <c r="CG343" i="1"/>
  <c r="CF343" i="1"/>
  <c r="CE343" i="1"/>
  <c r="CQ342" i="1"/>
  <c r="CP342" i="1"/>
  <c r="CO342" i="1"/>
  <c r="CN342" i="1"/>
  <c r="CL342" i="1"/>
  <c r="CG342" i="1"/>
  <c r="CF342" i="1"/>
  <c r="CE342" i="1"/>
  <c r="CQ341" i="1"/>
  <c r="CP341" i="1"/>
  <c r="CO341" i="1"/>
  <c r="CN341" i="1"/>
  <c r="CL341" i="1"/>
  <c r="CG341" i="1"/>
  <c r="CF341" i="1"/>
  <c r="CE341" i="1"/>
  <c r="CQ340" i="1"/>
  <c r="CP340" i="1"/>
  <c r="CO340" i="1"/>
  <c r="CN340" i="1"/>
  <c r="CL340" i="1"/>
  <c r="CG340" i="1"/>
  <c r="CF340" i="1"/>
  <c r="CE340" i="1"/>
  <c r="CQ339" i="1"/>
  <c r="CP339" i="1"/>
  <c r="CO339" i="1"/>
  <c r="CN339" i="1"/>
  <c r="CL339" i="1"/>
  <c r="CG339" i="1"/>
  <c r="CF339" i="1"/>
  <c r="CE339" i="1"/>
  <c r="CQ338" i="1"/>
  <c r="CP338" i="1"/>
  <c r="CO338" i="1"/>
  <c r="CN338" i="1"/>
  <c r="CL338" i="1"/>
  <c r="CG338" i="1"/>
  <c r="CF338" i="1"/>
  <c r="CE338" i="1"/>
  <c r="CQ337" i="1"/>
  <c r="CP337" i="1"/>
  <c r="CO337" i="1"/>
  <c r="CN337" i="1"/>
  <c r="CL337" i="1"/>
  <c r="CG337" i="1"/>
  <c r="CF337" i="1"/>
  <c r="CE337" i="1"/>
  <c r="CQ336" i="1"/>
  <c r="CP336" i="1"/>
  <c r="CO336" i="1"/>
  <c r="CN336" i="1"/>
  <c r="CL336" i="1"/>
  <c r="CG336" i="1"/>
  <c r="CF336" i="1"/>
  <c r="CE336" i="1"/>
  <c r="CQ335" i="1"/>
  <c r="CP335" i="1"/>
  <c r="CO335" i="1"/>
  <c r="CN335" i="1"/>
  <c r="CL335" i="1"/>
  <c r="CG335" i="1"/>
  <c r="CF335" i="1"/>
  <c r="CE335" i="1"/>
  <c r="CQ334" i="1"/>
  <c r="CP334" i="1"/>
  <c r="CO334" i="1"/>
  <c r="CN334" i="1"/>
  <c r="CL334" i="1"/>
  <c r="CG334" i="1"/>
  <c r="CF334" i="1"/>
  <c r="CE334" i="1"/>
  <c r="CQ333" i="1"/>
  <c r="CP333" i="1"/>
  <c r="CO333" i="1"/>
  <c r="CN333" i="1"/>
  <c r="CL333" i="1"/>
  <c r="CG333" i="1"/>
  <c r="CF333" i="1"/>
  <c r="CE333" i="1"/>
  <c r="CQ332" i="1"/>
  <c r="CP332" i="1"/>
  <c r="CO332" i="1"/>
  <c r="CN332" i="1"/>
  <c r="CL332" i="1"/>
  <c r="CG332" i="1"/>
  <c r="CF332" i="1"/>
  <c r="CE332" i="1"/>
  <c r="CQ331" i="1"/>
  <c r="CP331" i="1"/>
  <c r="CO331" i="1"/>
  <c r="CN331" i="1"/>
  <c r="CL331" i="1"/>
  <c r="CG331" i="1"/>
  <c r="CF331" i="1"/>
  <c r="CE331" i="1"/>
  <c r="CQ330" i="1"/>
  <c r="CP330" i="1"/>
  <c r="CO330" i="1"/>
  <c r="CN330" i="1"/>
  <c r="CL330" i="1"/>
  <c r="CG330" i="1"/>
  <c r="CF330" i="1"/>
  <c r="CE330" i="1"/>
  <c r="CQ329" i="1"/>
  <c r="CP329" i="1"/>
  <c r="CO329" i="1"/>
  <c r="CN329" i="1"/>
  <c r="CL329" i="1"/>
  <c r="CG329" i="1"/>
  <c r="CF329" i="1"/>
  <c r="CE329" i="1"/>
  <c r="CQ328" i="1"/>
  <c r="CP328" i="1"/>
  <c r="CO328" i="1"/>
  <c r="CN328" i="1"/>
  <c r="CL328" i="1"/>
  <c r="CG328" i="1"/>
  <c r="CF328" i="1"/>
  <c r="CE328" i="1"/>
  <c r="CQ327" i="1"/>
  <c r="CP327" i="1"/>
  <c r="CO327" i="1"/>
  <c r="CN327" i="1"/>
  <c r="CL327" i="1"/>
  <c r="CG327" i="1"/>
  <c r="CF327" i="1"/>
  <c r="CE327" i="1"/>
  <c r="CQ326" i="1"/>
  <c r="CP326" i="1"/>
  <c r="CO326" i="1"/>
  <c r="CN326" i="1"/>
  <c r="CL326" i="1"/>
  <c r="CG326" i="1"/>
  <c r="CF326" i="1"/>
  <c r="CE326" i="1"/>
  <c r="CQ325" i="1"/>
  <c r="CP325" i="1"/>
  <c r="CO325" i="1"/>
  <c r="CN325" i="1"/>
  <c r="CL325" i="1"/>
  <c r="CG325" i="1"/>
  <c r="CF325" i="1"/>
  <c r="CE325" i="1"/>
  <c r="CQ324" i="1"/>
  <c r="CP324" i="1"/>
  <c r="CO324" i="1"/>
  <c r="CN324" i="1"/>
  <c r="CL324" i="1"/>
  <c r="CG324" i="1"/>
  <c r="CF324" i="1"/>
  <c r="CE324" i="1"/>
  <c r="CQ323" i="1"/>
  <c r="CP323" i="1"/>
  <c r="CO323" i="1"/>
  <c r="CN323" i="1"/>
  <c r="CL323" i="1"/>
  <c r="CG323" i="1"/>
  <c r="CF323" i="1"/>
  <c r="CE323" i="1"/>
  <c r="CQ322" i="1"/>
  <c r="CP322" i="1"/>
  <c r="CO322" i="1"/>
  <c r="CN322" i="1"/>
  <c r="CL322" i="1"/>
  <c r="CG322" i="1"/>
  <c r="CF322" i="1"/>
  <c r="CE322" i="1"/>
  <c r="CQ321" i="1"/>
  <c r="CP321" i="1"/>
  <c r="CO321" i="1"/>
  <c r="CN321" i="1"/>
  <c r="CL321" i="1"/>
  <c r="CG321" i="1"/>
  <c r="CF321" i="1"/>
  <c r="CE321" i="1"/>
  <c r="CQ320" i="1"/>
  <c r="CP320" i="1"/>
  <c r="CO320" i="1"/>
  <c r="CN320" i="1"/>
  <c r="CL320" i="1"/>
  <c r="CG320" i="1"/>
  <c r="CF320" i="1"/>
  <c r="CE320" i="1"/>
  <c r="CQ319" i="1"/>
  <c r="CP319" i="1"/>
  <c r="CO319" i="1"/>
  <c r="CN319" i="1"/>
  <c r="CL319" i="1"/>
  <c r="CG319" i="1"/>
  <c r="CF319" i="1"/>
  <c r="CE319" i="1"/>
  <c r="CQ318" i="1"/>
  <c r="CP318" i="1"/>
  <c r="CO318" i="1"/>
  <c r="CN318" i="1"/>
  <c r="CL318" i="1"/>
  <c r="CG318" i="1"/>
  <c r="CF318" i="1"/>
  <c r="CE318" i="1"/>
  <c r="CQ317" i="1"/>
  <c r="CP317" i="1"/>
  <c r="CO317" i="1"/>
  <c r="CN317" i="1"/>
  <c r="CL317" i="1"/>
  <c r="CG317" i="1"/>
  <c r="CF317" i="1"/>
  <c r="CE317" i="1"/>
  <c r="CQ316" i="1"/>
  <c r="CP316" i="1"/>
  <c r="CO316" i="1"/>
  <c r="CN316" i="1"/>
  <c r="CL316" i="1"/>
  <c r="CG316" i="1"/>
  <c r="CF316" i="1"/>
  <c r="CE316" i="1"/>
  <c r="CQ315" i="1"/>
  <c r="CP315" i="1"/>
  <c r="CO315" i="1"/>
  <c r="CN315" i="1"/>
  <c r="CL315" i="1"/>
  <c r="CG315" i="1"/>
  <c r="CF315" i="1"/>
  <c r="CE315" i="1"/>
  <c r="CQ314" i="1"/>
  <c r="CP314" i="1"/>
  <c r="CO314" i="1"/>
  <c r="CN314" i="1"/>
  <c r="CL314" i="1"/>
  <c r="CG314" i="1"/>
  <c r="CF314" i="1"/>
  <c r="CE314" i="1"/>
  <c r="CQ313" i="1"/>
  <c r="CP313" i="1"/>
  <c r="CO313" i="1"/>
  <c r="CN313" i="1"/>
  <c r="CL313" i="1"/>
  <c r="CG313" i="1"/>
  <c r="CF313" i="1"/>
  <c r="CE313" i="1"/>
  <c r="CQ312" i="1"/>
  <c r="CP312" i="1"/>
  <c r="CO312" i="1"/>
  <c r="CN312" i="1"/>
  <c r="CL312" i="1"/>
  <c r="CG312" i="1"/>
  <c r="CF312" i="1"/>
  <c r="CE312" i="1"/>
  <c r="CQ311" i="1"/>
  <c r="CP311" i="1"/>
  <c r="CO311" i="1"/>
  <c r="CN311" i="1"/>
  <c r="CL311" i="1"/>
  <c r="CG311" i="1"/>
  <c r="CF311" i="1"/>
  <c r="CE311" i="1"/>
  <c r="CQ310" i="1"/>
  <c r="CP310" i="1"/>
  <c r="CO310" i="1"/>
  <c r="CN310" i="1"/>
  <c r="CL310" i="1"/>
  <c r="CG310" i="1"/>
  <c r="CF310" i="1"/>
  <c r="CE310" i="1"/>
  <c r="CQ309" i="1"/>
  <c r="CP309" i="1"/>
  <c r="CO309" i="1"/>
  <c r="CN309" i="1"/>
  <c r="CL309" i="1"/>
  <c r="CG309" i="1"/>
  <c r="CF309" i="1"/>
  <c r="CE309" i="1"/>
  <c r="CQ308" i="1"/>
  <c r="CP308" i="1"/>
  <c r="CO308" i="1"/>
  <c r="CN308" i="1"/>
  <c r="CL308" i="1"/>
  <c r="CG308" i="1"/>
  <c r="CF308" i="1"/>
  <c r="CE308" i="1"/>
  <c r="CQ307" i="1"/>
  <c r="CP307" i="1"/>
  <c r="CO307" i="1"/>
  <c r="CN307" i="1"/>
  <c r="CL307" i="1"/>
  <c r="CG307" i="1"/>
  <c r="CF307" i="1"/>
  <c r="CE307" i="1"/>
  <c r="CQ306" i="1"/>
  <c r="CP306" i="1"/>
  <c r="CO306" i="1"/>
  <c r="CN306" i="1"/>
  <c r="CL306" i="1"/>
  <c r="CG306" i="1"/>
  <c r="CF306" i="1"/>
  <c r="CE306" i="1"/>
  <c r="CQ305" i="1"/>
  <c r="CP305" i="1"/>
  <c r="CO305" i="1"/>
  <c r="CN305" i="1"/>
  <c r="CL305" i="1"/>
  <c r="CG305" i="1"/>
  <c r="CF305" i="1"/>
  <c r="CE305" i="1"/>
  <c r="CQ304" i="1"/>
  <c r="CP304" i="1"/>
  <c r="CO304" i="1"/>
  <c r="CN304" i="1"/>
  <c r="CL304" i="1"/>
  <c r="CG304" i="1"/>
  <c r="CF304" i="1"/>
  <c r="CE304" i="1"/>
  <c r="CQ303" i="1"/>
  <c r="CP303" i="1"/>
  <c r="CO303" i="1"/>
  <c r="CN303" i="1"/>
  <c r="CL303" i="1"/>
  <c r="CG303" i="1"/>
  <c r="CF303" i="1"/>
  <c r="CE303" i="1"/>
  <c r="CQ302" i="1"/>
  <c r="CP302" i="1"/>
  <c r="CO302" i="1"/>
  <c r="CN302" i="1"/>
  <c r="CL302" i="1"/>
  <c r="CG302" i="1"/>
  <c r="CF302" i="1"/>
  <c r="CE302" i="1"/>
  <c r="CQ301" i="1"/>
  <c r="CP301" i="1"/>
  <c r="CO301" i="1"/>
  <c r="CN301" i="1"/>
  <c r="CL301" i="1"/>
  <c r="CG301" i="1"/>
  <c r="CF301" i="1"/>
  <c r="CE301" i="1"/>
  <c r="CQ300" i="1"/>
  <c r="CP300" i="1"/>
  <c r="CO300" i="1"/>
  <c r="CN300" i="1"/>
  <c r="CL300" i="1"/>
  <c r="CG300" i="1"/>
  <c r="CF300" i="1"/>
  <c r="CE300" i="1"/>
  <c r="CQ299" i="1"/>
  <c r="CP299" i="1"/>
  <c r="CO299" i="1"/>
  <c r="CN299" i="1"/>
  <c r="CL299" i="1"/>
  <c r="CG299" i="1"/>
  <c r="CF299" i="1"/>
  <c r="CE299" i="1"/>
  <c r="CQ298" i="1"/>
  <c r="CP298" i="1"/>
  <c r="CO298" i="1"/>
  <c r="CN298" i="1"/>
  <c r="CL298" i="1"/>
  <c r="CG298" i="1"/>
  <c r="CF298" i="1"/>
  <c r="CE298" i="1"/>
  <c r="CQ297" i="1"/>
  <c r="CP297" i="1"/>
  <c r="CO297" i="1"/>
  <c r="CN297" i="1"/>
  <c r="CL297" i="1"/>
  <c r="CG297" i="1"/>
  <c r="CF297" i="1"/>
  <c r="CE297" i="1"/>
  <c r="CQ296" i="1"/>
  <c r="CP296" i="1"/>
  <c r="CO296" i="1"/>
  <c r="CN296" i="1"/>
  <c r="CL296" i="1"/>
  <c r="CG296" i="1"/>
  <c r="CF296" i="1"/>
  <c r="CE296" i="1"/>
  <c r="CQ295" i="1"/>
  <c r="CP295" i="1"/>
  <c r="CO295" i="1"/>
  <c r="CN295" i="1"/>
  <c r="CL295" i="1"/>
  <c r="CG295" i="1"/>
  <c r="CF295" i="1"/>
  <c r="CE295" i="1"/>
  <c r="CQ294" i="1"/>
  <c r="CP294" i="1"/>
  <c r="CO294" i="1"/>
  <c r="CN294" i="1"/>
  <c r="CL294" i="1"/>
  <c r="CG294" i="1"/>
  <c r="CF294" i="1"/>
  <c r="CE294" i="1"/>
  <c r="CQ293" i="1"/>
  <c r="CP293" i="1"/>
  <c r="CO293" i="1"/>
  <c r="CN293" i="1"/>
  <c r="CL293" i="1"/>
  <c r="CG293" i="1"/>
  <c r="CF293" i="1"/>
  <c r="CE293" i="1"/>
  <c r="CQ292" i="1"/>
  <c r="CP292" i="1"/>
  <c r="CO292" i="1"/>
  <c r="CN292" i="1"/>
  <c r="CL292" i="1"/>
  <c r="CG292" i="1"/>
  <c r="CF292" i="1"/>
  <c r="CE292" i="1"/>
  <c r="CQ291" i="1"/>
  <c r="CP291" i="1"/>
  <c r="CO291" i="1"/>
  <c r="CN291" i="1"/>
  <c r="CL291" i="1"/>
  <c r="CG291" i="1"/>
  <c r="CF291" i="1"/>
  <c r="CE291" i="1"/>
  <c r="CQ290" i="1"/>
  <c r="CP290" i="1"/>
  <c r="CO290" i="1"/>
  <c r="CN290" i="1"/>
  <c r="CL290" i="1"/>
  <c r="CG290" i="1"/>
  <c r="CF290" i="1"/>
  <c r="CE290" i="1"/>
  <c r="CQ289" i="1"/>
  <c r="CP289" i="1"/>
  <c r="CO289" i="1"/>
  <c r="CN289" i="1"/>
  <c r="CL289" i="1"/>
  <c r="CG289" i="1"/>
  <c r="CF289" i="1"/>
  <c r="CE289" i="1"/>
  <c r="CQ288" i="1"/>
  <c r="CP288" i="1"/>
  <c r="CO288" i="1"/>
  <c r="CN288" i="1"/>
  <c r="CL288" i="1"/>
  <c r="CG288" i="1"/>
  <c r="CF288" i="1"/>
  <c r="CE288" i="1"/>
  <c r="CQ287" i="1"/>
  <c r="CP287" i="1"/>
  <c r="CO287" i="1"/>
  <c r="CN287" i="1"/>
  <c r="CL287" i="1"/>
  <c r="CG287" i="1"/>
  <c r="CF287" i="1"/>
  <c r="CE287" i="1"/>
  <c r="CQ286" i="1"/>
  <c r="CP286" i="1"/>
  <c r="CO286" i="1"/>
  <c r="CN286" i="1"/>
  <c r="CL286" i="1"/>
  <c r="CG286" i="1"/>
  <c r="CF286" i="1"/>
  <c r="CE286" i="1"/>
  <c r="CQ285" i="1"/>
  <c r="CP285" i="1"/>
  <c r="CO285" i="1"/>
  <c r="CN285" i="1"/>
  <c r="CL285" i="1"/>
  <c r="CG285" i="1"/>
  <c r="CF285" i="1"/>
  <c r="CE285" i="1"/>
  <c r="CQ284" i="1"/>
  <c r="CP284" i="1"/>
  <c r="CO284" i="1"/>
  <c r="CN284" i="1"/>
  <c r="CL284" i="1"/>
  <c r="CG284" i="1"/>
  <c r="CF284" i="1"/>
  <c r="CE284" i="1"/>
  <c r="CQ283" i="1"/>
  <c r="CP283" i="1"/>
  <c r="CO283" i="1"/>
  <c r="CN283" i="1"/>
  <c r="CL283" i="1"/>
  <c r="CG283" i="1"/>
  <c r="CF283" i="1"/>
  <c r="CE283" i="1"/>
  <c r="CQ282" i="1"/>
  <c r="CP282" i="1"/>
  <c r="CO282" i="1"/>
  <c r="CN282" i="1"/>
  <c r="CL282" i="1"/>
  <c r="CG282" i="1"/>
  <c r="CF282" i="1"/>
  <c r="CE282" i="1"/>
  <c r="CQ281" i="1"/>
  <c r="CP281" i="1"/>
  <c r="CO281" i="1"/>
  <c r="CN281" i="1"/>
  <c r="CL281" i="1"/>
  <c r="CG281" i="1"/>
  <c r="CF281" i="1"/>
  <c r="CE281" i="1"/>
  <c r="CQ280" i="1"/>
  <c r="CP280" i="1"/>
  <c r="CO280" i="1"/>
  <c r="CN280" i="1"/>
  <c r="CL280" i="1"/>
  <c r="CG280" i="1"/>
  <c r="CF280" i="1"/>
  <c r="CE280" i="1"/>
  <c r="CQ279" i="1"/>
  <c r="CP279" i="1"/>
  <c r="CO279" i="1"/>
  <c r="CN279" i="1"/>
  <c r="CL279" i="1"/>
  <c r="CG279" i="1"/>
  <c r="CF279" i="1"/>
  <c r="CE279" i="1"/>
  <c r="CQ278" i="1"/>
  <c r="CP278" i="1"/>
  <c r="CO278" i="1"/>
  <c r="CN278" i="1"/>
  <c r="CL278" i="1"/>
  <c r="CG278" i="1"/>
  <c r="CF278" i="1"/>
  <c r="CE278" i="1"/>
  <c r="CQ277" i="1"/>
  <c r="CP277" i="1"/>
  <c r="CO277" i="1"/>
  <c r="CN277" i="1"/>
  <c r="CL277" i="1"/>
  <c r="CG277" i="1"/>
  <c r="CF277" i="1"/>
  <c r="CE277" i="1"/>
  <c r="CQ276" i="1"/>
  <c r="CP276" i="1"/>
  <c r="CO276" i="1"/>
  <c r="CN276" i="1"/>
  <c r="CL276" i="1"/>
  <c r="CG276" i="1"/>
  <c r="CF276" i="1"/>
  <c r="CE276" i="1"/>
  <c r="CQ275" i="1"/>
  <c r="CP275" i="1"/>
  <c r="CO275" i="1"/>
  <c r="CN275" i="1"/>
  <c r="CL275" i="1"/>
  <c r="CG275" i="1"/>
  <c r="CF275" i="1"/>
  <c r="CE275" i="1"/>
  <c r="CQ274" i="1"/>
  <c r="CP274" i="1"/>
  <c r="CO274" i="1"/>
  <c r="CN274" i="1"/>
  <c r="CL274" i="1"/>
  <c r="CG274" i="1"/>
  <c r="CF274" i="1"/>
  <c r="CE274" i="1"/>
  <c r="CQ273" i="1"/>
  <c r="CP273" i="1"/>
  <c r="CO273" i="1"/>
  <c r="CN273" i="1"/>
  <c r="CL273" i="1"/>
  <c r="CG273" i="1"/>
  <c r="CF273" i="1"/>
  <c r="CE273" i="1"/>
  <c r="CQ272" i="1"/>
  <c r="CP272" i="1"/>
  <c r="CO272" i="1"/>
  <c r="CN272" i="1"/>
  <c r="CL272" i="1"/>
  <c r="CG272" i="1"/>
  <c r="CF272" i="1"/>
  <c r="CE272" i="1"/>
  <c r="CQ271" i="1"/>
  <c r="CP271" i="1"/>
  <c r="CO271" i="1"/>
  <c r="CN271" i="1"/>
  <c r="CL271" i="1"/>
  <c r="CG271" i="1"/>
  <c r="CF271" i="1"/>
  <c r="CE271" i="1"/>
  <c r="CQ270" i="1"/>
  <c r="CP270" i="1"/>
  <c r="CO270" i="1"/>
  <c r="CN270" i="1"/>
  <c r="CL270" i="1"/>
  <c r="CG270" i="1"/>
  <c r="CF270" i="1"/>
  <c r="CE270" i="1"/>
  <c r="CQ269" i="1"/>
  <c r="CP269" i="1"/>
  <c r="CO269" i="1"/>
  <c r="CN269" i="1"/>
  <c r="CL269" i="1"/>
  <c r="CG269" i="1"/>
  <c r="CF269" i="1"/>
  <c r="CE269" i="1"/>
  <c r="CQ268" i="1"/>
  <c r="CP268" i="1"/>
  <c r="CO268" i="1"/>
  <c r="CN268" i="1"/>
  <c r="CL268" i="1"/>
  <c r="CG268" i="1"/>
  <c r="CF268" i="1"/>
  <c r="CE268" i="1"/>
  <c r="CQ267" i="1"/>
  <c r="CP267" i="1"/>
  <c r="CO267" i="1"/>
  <c r="CN267" i="1"/>
  <c r="CL267" i="1"/>
  <c r="CG267" i="1"/>
  <c r="CF267" i="1"/>
  <c r="CE267" i="1"/>
  <c r="CQ266" i="1"/>
  <c r="CP266" i="1"/>
  <c r="CO266" i="1"/>
  <c r="CN266" i="1"/>
  <c r="CL266" i="1"/>
  <c r="CG266" i="1"/>
  <c r="CF266" i="1"/>
  <c r="CE266" i="1"/>
  <c r="CQ265" i="1"/>
  <c r="CP265" i="1"/>
  <c r="CO265" i="1"/>
  <c r="CN265" i="1"/>
  <c r="CL265" i="1"/>
  <c r="CG265" i="1"/>
  <c r="CF265" i="1"/>
  <c r="CE265" i="1"/>
  <c r="CQ264" i="1"/>
  <c r="CP264" i="1"/>
  <c r="CO264" i="1"/>
  <c r="CN264" i="1"/>
  <c r="CL264" i="1"/>
  <c r="CG264" i="1"/>
  <c r="CF264" i="1"/>
  <c r="CE264" i="1"/>
  <c r="CQ263" i="1"/>
  <c r="CP263" i="1"/>
  <c r="CO263" i="1"/>
  <c r="CN263" i="1"/>
  <c r="CL263" i="1"/>
  <c r="CG263" i="1"/>
  <c r="CF263" i="1"/>
  <c r="CE263" i="1"/>
  <c r="CQ262" i="1"/>
  <c r="CP262" i="1"/>
  <c r="CO262" i="1"/>
  <c r="CN262" i="1"/>
  <c r="CL262" i="1"/>
  <c r="CG262" i="1"/>
  <c r="CF262" i="1"/>
  <c r="CE262" i="1"/>
  <c r="CQ261" i="1"/>
  <c r="CP261" i="1"/>
  <c r="CO261" i="1"/>
  <c r="CN261" i="1"/>
  <c r="CL261" i="1"/>
  <c r="CG261" i="1"/>
  <c r="CF261" i="1"/>
  <c r="CE261" i="1"/>
  <c r="CQ260" i="1"/>
  <c r="CP260" i="1"/>
  <c r="CO260" i="1"/>
  <c r="CN260" i="1"/>
  <c r="CL260" i="1"/>
  <c r="CG260" i="1"/>
  <c r="CF260" i="1"/>
  <c r="CE260" i="1"/>
  <c r="CQ259" i="1"/>
  <c r="CP259" i="1"/>
  <c r="CO259" i="1"/>
  <c r="CN259" i="1"/>
  <c r="CL259" i="1"/>
  <c r="CG259" i="1"/>
  <c r="CF259" i="1"/>
  <c r="CE259" i="1"/>
  <c r="CQ258" i="1"/>
  <c r="CP258" i="1"/>
  <c r="CO258" i="1"/>
  <c r="CN258" i="1"/>
  <c r="CL258" i="1"/>
  <c r="CG258" i="1"/>
  <c r="CF258" i="1"/>
  <c r="CE258" i="1"/>
  <c r="CQ257" i="1"/>
  <c r="CP257" i="1"/>
  <c r="CO257" i="1"/>
  <c r="CN257" i="1"/>
  <c r="CL257" i="1"/>
  <c r="CG257" i="1"/>
  <c r="CF257" i="1"/>
  <c r="CE257" i="1"/>
  <c r="CQ256" i="1"/>
  <c r="CP256" i="1"/>
  <c r="CO256" i="1"/>
  <c r="CN256" i="1"/>
  <c r="CL256" i="1"/>
  <c r="CG256" i="1"/>
  <c r="CF256" i="1"/>
  <c r="CE256" i="1"/>
  <c r="CQ255" i="1"/>
  <c r="CP255" i="1"/>
  <c r="CO255" i="1"/>
  <c r="CN255" i="1"/>
  <c r="CL255" i="1"/>
  <c r="CG255" i="1"/>
  <c r="CF255" i="1"/>
  <c r="CE255" i="1"/>
  <c r="CQ254" i="1"/>
  <c r="CP254" i="1"/>
  <c r="CO254" i="1"/>
  <c r="CN254" i="1"/>
  <c r="CL254" i="1"/>
  <c r="CG254" i="1"/>
  <c r="CF254" i="1"/>
  <c r="CE254" i="1"/>
  <c r="CQ253" i="1"/>
  <c r="CP253" i="1"/>
  <c r="CO253" i="1"/>
  <c r="CN253" i="1"/>
  <c r="CL253" i="1"/>
  <c r="CG253" i="1"/>
  <c r="CF253" i="1"/>
  <c r="CE253" i="1"/>
  <c r="CQ252" i="1"/>
  <c r="CP252" i="1"/>
  <c r="CO252" i="1"/>
  <c r="CN252" i="1"/>
  <c r="CL252" i="1"/>
  <c r="CG252" i="1"/>
  <c r="CF252" i="1"/>
  <c r="CE252" i="1"/>
  <c r="CQ251" i="1"/>
  <c r="CP251" i="1"/>
  <c r="CO251" i="1"/>
  <c r="CN251" i="1"/>
  <c r="CL251" i="1"/>
  <c r="CG251" i="1"/>
  <c r="CF251" i="1"/>
  <c r="CE251" i="1"/>
  <c r="CQ250" i="1"/>
  <c r="CP250" i="1"/>
  <c r="CO250" i="1"/>
  <c r="CN250" i="1"/>
  <c r="CL250" i="1"/>
  <c r="CG250" i="1"/>
  <c r="CF250" i="1"/>
  <c r="CE250" i="1"/>
  <c r="CQ249" i="1"/>
  <c r="CP249" i="1"/>
  <c r="CO249" i="1"/>
  <c r="CN249" i="1"/>
  <c r="CL249" i="1"/>
  <c r="CG249" i="1"/>
  <c r="CF249" i="1"/>
  <c r="CE249" i="1"/>
  <c r="CQ248" i="1"/>
  <c r="CP248" i="1"/>
  <c r="CO248" i="1"/>
  <c r="CN248" i="1"/>
  <c r="CL248" i="1"/>
  <c r="CG248" i="1"/>
  <c r="CF248" i="1"/>
  <c r="CE248" i="1"/>
  <c r="CQ247" i="1"/>
  <c r="CP247" i="1"/>
  <c r="CO247" i="1"/>
  <c r="CN247" i="1"/>
  <c r="CL247" i="1"/>
  <c r="CG247" i="1"/>
  <c r="CF247" i="1"/>
  <c r="CE247" i="1"/>
  <c r="CQ246" i="1"/>
  <c r="CP246" i="1"/>
  <c r="CO246" i="1"/>
  <c r="CN246" i="1"/>
  <c r="CL246" i="1"/>
  <c r="CG246" i="1"/>
  <c r="CF246" i="1"/>
  <c r="CE246" i="1"/>
  <c r="CQ245" i="1"/>
  <c r="CP245" i="1"/>
  <c r="CO245" i="1"/>
  <c r="CN245" i="1"/>
  <c r="CL245" i="1"/>
  <c r="CG245" i="1"/>
  <c r="CF245" i="1"/>
  <c r="CE245" i="1"/>
  <c r="CQ244" i="1"/>
  <c r="CP244" i="1"/>
  <c r="CO244" i="1"/>
  <c r="CN244" i="1"/>
  <c r="CL244" i="1"/>
  <c r="CG244" i="1"/>
  <c r="CF244" i="1"/>
  <c r="CE244" i="1"/>
  <c r="CQ243" i="1"/>
  <c r="CP243" i="1"/>
  <c r="CO243" i="1"/>
  <c r="CN243" i="1"/>
  <c r="CL243" i="1"/>
  <c r="CG243" i="1"/>
  <c r="CF243" i="1"/>
  <c r="CE243" i="1"/>
  <c r="CQ242" i="1"/>
  <c r="CP242" i="1"/>
  <c r="CO242" i="1"/>
  <c r="CN242" i="1"/>
  <c r="CL242" i="1"/>
  <c r="CG242" i="1"/>
  <c r="CF242" i="1"/>
  <c r="CE242" i="1"/>
  <c r="CQ241" i="1"/>
  <c r="CP241" i="1"/>
  <c r="CO241" i="1"/>
  <c r="CN241" i="1"/>
  <c r="CL241" i="1"/>
  <c r="CG241" i="1"/>
  <c r="CF241" i="1"/>
  <c r="CE241" i="1"/>
  <c r="CQ240" i="1"/>
  <c r="CP240" i="1"/>
  <c r="CO240" i="1"/>
  <c r="CN240" i="1"/>
  <c r="CL240" i="1"/>
  <c r="CG240" i="1"/>
  <c r="CF240" i="1"/>
  <c r="CE240" i="1"/>
  <c r="CQ239" i="1"/>
  <c r="CP239" i="1"/>
  <c r="CO239" i="1"/>
  <c r="CN239" i="1"/>
  <c r="CL239" i="1"/>
  <c r="CG239" i="1"/>
  <c r="CF239" i="1"/>
  <c r="CE239" i="1"/>
  <c r="CQ238" i="1"/>
  <c r="CP238" i="1"/>
  <c r="CO238" i="1"/>
  <c r="CN238" i="1"/>
  <c r="CL238" i="1"/>
  <c r="CG238" i="1"/>
  <c r="CF238" i="1"/>
  <c r="CE238" i="1"/>
  <c r="CQ237" i="1"/>
  <c r="CP237" i="1"/>
  <c r="CO237" i="1"/>
  <c r="CN237" i="1"/>
  <c r="CL237" i="1"/>
  <c r="CG237" i="1"/>
  <c r="CF237" i="1"/>
  <c r="CE237" i="1"/>
  <c r="CQ236" i="1"/>
  <c r="CP236" i="1"/>
  <c r="CO236" i="1"/>
  <c r="CN236" i="1"/>
  <c r="CL236" i="1"/>
  <c r="CG236" i="1"/>
  <c r="CF236" i="1"/>
  <c r="CE236" i="1"/>
  <c r="CQ235" i="1"/>
  <c r="CP235" i="1"/>
  <c r="CO235" i="1"/>
  <c r="CN235" i="1"/>
  <c r="CL235" i="1"/>
  <c r="CG235" i="1"/>
  <c r="CF235" i="1"/>
  <c r="CE235" i="1"/>
  <c r="CQ234" i="1"/>
  <c r="CP234" i="1"/>
  <c r="CO234" i="1"/>
  <c r="CN234" i="1"/>
  <c r="CL234" i="1"/>
  <c r="CG234" i="1"/>
  <c r="CF234" i="1"/>
  <c r="CE234" i="1"/>
  <c r="CQ233" i="1"/>
  <c r="CP233" i="1"/>
  <c r="CO233" i="1"/>
  <c r="CN233" i="1"/>
  <c r="CL233" i="1"/>
  <c r="CG233" i="1"/>
  <c r="CF233" i="1"/>
  <c r="CE233" i="1"/>
  <c r="CQ232" i="1"/>
  <c r="CP232" i="1"/>
  <c r="CO232" i="1"/>
  <c r="CN232" i="1"/>
  <c r="CL232" i="1"/>
  <c r="CG232" i="1"/>
  <c r="CF232" i="1"/>
  <c r="CE232" i="1"/>
  <c r="CQ231" i="1"/>
  <c r="CP231" i="1"/>
  <c r="CO231" i="1"/>
  <c r="CN231" i="1"/>
  <c r="CL231" i="1"/>
  <c r="CG231" i="1"/>
  <c r="CF231" i="1"/>
  <c r="CE231" i="1"/>
  <c r="CQ230" i="1"/>
  <c r="CP230" i="1"/>
  <c r="CO230" i="1"/>
  <c r="CN230" i="1"/>
  <c r="CL230" i="1"/>
  <c r="CG230" i="1"/>
  <c r="CF230" i="1"/>
  <c r="CE230" i="1"/>
  <c r="CQ229" i="1"/>
  <c r="CP229" i="1"/>
  <c r="CO229" i="1"/>
  <c r="CN229" i="1"/>
  <c r="CL229" i="1"/>
  <c r="CG229" i="1"/>
  <c r="CF229" i="1"/>
  <c r="CE229" i="1"/>
  <c r="CQ228" i="1"/>
  <c r="CP228" i="1"/>
  <c r="CO228" i="1"/>
  <c r="CN228" i="1"/>
  <c r="CL228" i="1"/>
  <c r="CG228" i="1"/>
  <c r="CF228" i="1"/>
  <c r="CE228" i="1"/>
  <c r="CQ227" i="1"/>
  <c r="CP227" i="1"/>
  <c r="CO227" i="1"/>
  <c r="CN227" i="1"/>
  <c r="CL227" i="1"/>
  <c r="CG227" i="1"/>
  <c r="CF227" i="1"/>
  <c r="CE227" i="1"/>
  <c r="CQ226" i="1"/>
  <c r="CP226" i="1"/>
  <c r="CO226" i="1"/>
  <c r="CN226" i="1"/>
  <c r="CL226" i="1"/>
  <c r="CG226" i="1"/>
  <c r="CF226" i="1"/>
  <c r="CE226" i="1"/>
  <c r="CQ225" i="1"/>
  <c r="CP225" i="1"/>
  <c r="CO225" i="1"/>
  <c r="CN225" i="1"/>
  <c r="CL225" i="1"/>
  <c r="CG225" i="1"/>
  <c r="CF225" i="1"/>
  <c r="CE225" i="1"/>
  <c r="CQ224" i="1"/>
  <c r="CP224" i="1"/>
  <c r="CO224" i="1"/>
  <c r="CN224" i="1"/>
  <c r="CL224" i="1"/>
  <c r="CG224" i="1"/>
  <c r="CF224" i="1"/>
  <c r="CE224" i="1"/>
  <c r="CQ223" i="1"/>
  <c r="CP223" i="1"/>
  <c r="CO223" i="1"/>
  <c r="CN223" i="1"/>
  <c r="CL223" i="1"/>
  <c r="CG223" i="1"/>
  <c r="CF223" i="1"/>
  <c r="CE223" i="1"/>
  <c r="CQ222" i="1"/>
  <c r="CP222" i="1"/>
  <c r="CO222" i="1"/>
  <c r="CN222" i="1"/>
  <c r="CL222" i="1"/>
  <c r="CG222" i="1"/>
  <c r="CF222" i="1"/>
  <c r="CE222" i="1"/>
  <c r="CQ221" i="1"/>
  <c r="CP221" i="1"/>
  <c r="CO221" i="1"/>
  <c r="CN221" i="1"/>
  <c r="CL221" i="1"/>
  <c r="CG221" i="1"/>
  <c r="CF221" i="1"/>
  <c r="CE221" i="1"/>
  <c r="CQ220" i="1"/>
  <c r="CP220" i="1"/>
  <c r="CO220" i="1"/>
  <c r="CN220" i="1"/>
  <c r="CL220" i="1"/>
  <c r="CG220" i="1"/>
  <c r="CF220" i="1"/>
  <c r="CE220" i="1"/>
  <c r="CQ219" i="1"/>
  <c r="CP219" i="1"/>
  <c r="CO219" i="1"/>
  <c r="CN219" i="1"/>
  <c r="CL219" i="1"/>
  <c r="CG219" i="1"/>
  <c r="CF219" i="1"/>
  <c r="CE219" i="1"/>
  <c r="CQ218" i="1"/>
  <c r="CP218" i="1"/>
  <c r="CO218" i="1"/>
  <c r="CN218" i="1"/>
  <c r="CL218" i="1"/>
  <c r="CG218" i="1"/>
  <c r="CF218" i="1"/>
  <c r="CE218" i="1"/>
  <c r="CQ217" i="1"/>
  <c r="CP217" i="1"/>
  <c r="CO217" i="1"/>
  <c r="CN217" i="1"/>
  <c r="CL217" i="1"/>
  <c r="CG217" i="1"/>
  <c r="CF217" i="1"/>
  <c r="CE217" i="1"/>
  <c r="CQ216" i="1"/>
  <c r="CP216" i="1"/>
  <c r="CO216" i="1"/>
  <c r="CN216" i="1"/>
  <c r="CL216" i="1"/>
  <c r="CG216" i="1"/>
  <c r="CF216" i="1"/>
  <c r="CE216" i="1"/>
  <c r="CQ215" i="1"/>
  <c r="CP215" i="1"/>
  <c r="CO215" i="1"/>
  <c r="CN215" i="1"/>
  <c r="CL215" i="1"/>
  <c r="CG215" i="1"/>
  <c r="CF215" i="1"/>
  <c r="CE215" i="1"/>
  <c r="CQ214" i="1"/>
  <c r="CP214" i="1"/>
  <c r="CO214" i="1"/>
  <c r="CN214" i="1"/>
  <c r="CL214" i="1"/>
  <c r="CG214" i="1"/>
  <c r="CF214" i="1"/>
  <c r="CE214" i="1"/>
  <c r="CQ213" i="1"/>
  <c r="CP213" i="1"/>
  <c r="CO213" i="1"/>
  <c r="CN213" i="1"/>
  <c r="CL213" i="1"/>
  <c r="CG213" i="1"/>
  <c r="CF213" i="1"/>
  <c r="CE213" i="1"/>
  <c r="CQ212" i="1"/>
  <c r="CP212" i="1"/>
  <c r="CO212" i="1"/>
  <c r="CN212" i="1"/>
  <c r="CL212" i="1"/>
  <c r="CG212" i="1"/>
  <c r="CF212" i="1"/>
  <c r="CE212" i="1"/>
  <c r="CQ211" i="1"/>
  <c r="CP211" i="1"/>
  <c r="CO211" i="1"/>
  <c r="CN211" i="1"/>
  <c r="CL211" i="1"/>
  <c r="CG211" i="1"/>
  <c r="CF211" i="1"/>
  <c r="CE211" i="1"/>
  <c r="CQ210" i="1"/>
  <c r="CP210" i="1"/>
  <c r="CO210" i="1"/>
  <c r="CN210" i="1"/>
  <c r="CL210" i="1"/>
  <c r="CG210" i="1"/>
  <c r="CF210" i="1"/>
  <c r="CE210" i="1"/>
  <c r="CQ209" i="1"/>
  <c r="CP209" i="1"/>
  <c r="CO209" i="1"/>
  <c r="CN209" i="1"/>
  <c r="CL209" i="1"/>
  <c r="CG209" i="1"/>
  <c r="CF209" i="1"/>
  <c r="CE209" i="1"/>
  <c r="CQ208" i="1"/>
  <c r="CP208" i="1"/>
  <c r="CO208" i="1"/>
  <c r="CN208" i="1"/>
  <c r="CL208" i="1"/>
  <c r="CG208" i="1"/>
  <c r="CF208" i="1"/>
  <c r="CE208" i="1"/>
  <c r="CQ207" i="1"/>
  <c r="CP207" i="1"/>
  <c r="CO207" i="1"/>
  <c r="CN207" i="1"/>
  <c r="CL207" i="1"/>
  <c r="CG207" i="1"/>
  <c r="CF207" i="1"/>
  <c r="CE207" i="1"/>
  <c r="CQ206" i="1"/>
  <c r="CP206" i="1"/>
  <c r="CO206" i="1"/>
  <c r="CN206" i="1"/>
  <c r="CL206" i="1"/>
  <c r="CG206" i="1"/>
  <c r="CF206" i="1"/>
  <c r="CE206" i="1"/>
  <c r="CQ205" i="1"/>
  <c r="CP205" i="1"/>
  <c r="CO205" i="1"/>
  <c r="CN205" i="1"/>
  <c r="CL205" i="1"/>
  <c r="CG205" i="1"/>
  <c r="CF205" i="1"/>
  <c r="CE205" i="1"/>
  <c r="CQ204" i="1"/>
  <c r="CP204" i="1"/>
  <c r="CO204" i="1"/>
  <c r="CN204" i="1"/>
  <c r="CL204" i="1"/>
  <c r="CG204" i="1"/>
  <c r="CF204" i="1"/>
  <c r="CE204" i="1"/>
  <c r="CQ203" i="1"/>
  <c r="CP203" i="1"/>
  <c r="CO203" i="1"/>
  <c r="CN203" i="1"/>
  <c r="CL203" i="1"/>
  <c r="CG203" i="1"/>
  <c r="CF203" i="1"/>
  <c r="CE203" i="1"/>
  <c r="CQ202" i="1"/>
  <c r="CP202" i="1"/>
  <c r="CO202" i="1"/>
  <c r="CN202" i="1"/>
  <c r="CL202" i="1"/>
  <c r="CG202" i="1"/>
  <c r="CF202" i="1"/>
  <c r="CE202" i="1"/>
  <c r="CQ201" i="1"/>
  <c r="CP201" i="1"/>
  <c r="CO201" i="1"/>
  <c r="CN201" i="1"/>
  <c r="CL201" i="1"/>
  <c r="CG201" i="1"/>
  <c r="CF201" i="1"/>
  <c r="CE201" i="1"/>
  <c r="CQ200" i="1"/>
  <c r="CP200" i="1"/>
  <c r="CO200" i="1"/>
  <c r="CN200" i="1"/>
  <c r="CL200" i="1"/>
  <c r="CG200" i="1"/>
  <c r="CF200" i="1"/>
  <c r="CE200" i="1"/>
  <c r="CQ199" i="1"/>
  <c r="CP199" i="1"/>
  <c r="CO199" i="1"/>
  <c r="CN199" i="1"/>
  <c r="CL199" i="1"/>
  <c r="CG199" i="1"/>
  <c r="CF199" i="1"/>
  <c r="CE199" i="1"/>
  <c r="CQ198" i="1"/>
  <c r="CP198" i="1"/>
  <c r="CO198" i="1"/>
  <c r="CN198" i="1"/>
  <c r="CL198" i="1"/>
  <c r="CG198" i="1"/>
  <c r="CF198" i="1"/>
  <c r="CE198" i="1"/>
  <c r="CQ197" i="1"/>
  <c r="CP197" i="1"/>
  <c r="CO197" i="1"/>
  <c r="CN197" i="1"/>
  <c r="CL197" i="1"/>
  <c r="CG197" i="1"/>
  <c r="CF197" i="1"/>
  <c r="CE197" i="1"/>
  <c r="CQ196" i="1"/>
  <c r="CP196" i="1"/>
  <c r="CO196" i="1"/>
  <c r="CN196" i="1"/>
  <c r="CL196" i="1"/>
  <c r="CG196" i="1"/>
  <c r="CF196" i="1"/>
  <c r="CE196" i="1"/>
  <c r="CQ195" i="1"/>
  <c r="CP195" i="1"/>
  <c r="CO195" i="1"/>
  <c r="CN195" i="1"/>
  <c r="CL195" i="1"/>
  <c r="CG195" i="1"/>
  <c r="CF195" i="1"/>
  <c r="CE195" i="1"/>
  <c r="CQ194" i="1"/>
  <c r="CP194" i="1"/>
  <c r="CO194" i="1"/>
  <c r="CN194" i="1"/>
  <c r="CL194" i="1"/>
  <c r="CG194" i="1"/>
  <c r="CF194" i="1"/>
  <c r="CE194" i="1"/>
  <c r="CQ193" i="1"/>
  <c r="CP193" i="1"/>
  <c r="CO193" i="1"/>
  <c r="CN193" i="1"/>
  <c r="CL193" i="1"/>
  <c r="CG193" i="1"/>
  <c r="CF193" i="1"/>
  <c r="CE193" i="1"/>
  <c r="CQ192" i="1"/>
  <c r="CP192" i="1"/>
  <c r="CO192" i="1"/>
  <c r="CN192" i="1"/>
  <c r="CL192" i="1"/>
  <c r="CG192" i="1"/>
  <c r="CF192" i="1"/>
  <c r="CE192" i="1"/>
  <c r="CQ191" i="1"/>
  <c r="CP191" i="1"/>
  <c r="CO191" i="1"/>
  <c r="CN191" i="1"/>
  <c r="CL191" i="1"/>
  <c r="CG191" i="1"/>
  <c r="CF191" i="1"/>
  <c r="CE191" i="1"/>
  <c r="CQ190" i="1"/>
  <c r="CP190" i="1"/>
  <c r="CO190" i="1"/>
  <c r="CN190" i="1"/>
  <c r="CL190" i="1"/>
  <c r="CG190" i="1"/>
  <c r="CF190" i="1"/>
  <c r="CE190" i="1"/>
  <c r="CQ189" i="1"/>
  <c r="CP189" i="1"/>
  <c r="CO189" i="1"/>
  <c r="CN189" i="1"/>
  <c r="CL189" i="1"/>
  <c r="CG189" i="1"/>
  <c r="CF189" i="1"/>
  <c r="CE189" i="1"/>
  <c r="CQ188" i="1"/>
  <c r="CP188" i="1"/>
  <c r="CO188" i="1"/>
  <c r="CN188" i="1"/>
  <c r="CL188" i="1"/>
  <c r="CG188" i="1"/>
  <c r="CF188" i="1"/>
  <c r="CE188" i="1"/>
  <c r="CQ187" i="1"/>
  <c r="CP187" i="1"/>
  <c r="CO187" i="1"/>
  <c r="CN187" i="1"/>
  <c r="CL187" i="1"/>
  <c r="CG187" i="1"/>
  <c r="CF187" i="1"/>
  <c r="CE187" i="1"/>
  <c r="CQ186" i="1"/>
  <c r="CP186" i="1"/>
  <c r="CO186" i="1"/>
  <c r="CN186" i="1"/>
  <c r="CL186" i="1"/>
  <c r="CG186" i="1"/>
  <c r="CF186" i="1"/>
  <c r="CE186" i="1"/>
  <c r="CQ185" i="1"/>
  <c r="CP185" i="1"/>
  <c r="CO185" i="1"/>
  <c r="CN185" i="1"/>
  <c r="CL185" i="1"/>
  <c r="CG185" i="1"/>
  <c r="CF185" i="1"/>
  <c r="CE185" i="1"/>
  <c r="CQ184" i="1"/>
  <c r="CP184" i="1"/>
  <c r="CO184" i="1"/>
  <c r="CN184" i="1"/>
  <c r="CL184" i="1"/>
  <c r="CG184" i="1"/>
  <c r="CF184" i="1"/>
  <c r="CE184" i="1"/>
  <c r="CQ183" i="1"/>
  <c r="CP183" i="1"/>
  <c r="CO183" i="1"/>
  <c r="CN183" i="1"/>
  <c r="CL183" i="1"/>
  <c r="CG183" i="1"/>
  <c r="CF183" i="1"/>
  <c r="CE183" i="1"/>
  <c r="CQ182" i="1"/>
  <c r="CP182" i="1"/>
  <c r="CO182" i="1"/>
  <c r="CN182" i="1"/>
  <c r="CL182" i="1"/>
  <c r="CG182" i="1"/>
  <c r="CF182" i="1"/>
  <c r="CE182" i="1"/>
  <c r="CQ181" i="1"/>
  <c r="CP181" i="1"/>
  <c r="CO181" i="1"/>
  <c r="CN181" i="1"/>
  <c r="CL181" i="1"/>
  <c r="CG181" i="1"/>
  <c r="CF181" i="1"/>
  <c r="CE181" i="1"/>
  <c r="CQ180" i="1"/>
  <c r="CP180" i="1"/>
  <c r="CO180" i="1"/>
  <c r="CN180" i="1"/>
  <c r="CL180" i="1"/>
  <c r="CG180" i="1"/>
  <c r="CF180" i="1"/>
  <c r="CE180" i="1"/>
  <c r="CQ179" i="1"/>
  <c r="CP179" i="1"/>
  <c r="CO179" i="1"/>
  <c r="CN179" i="1"/>
  <c r="CL179" i="1"/>
  <c r="CG179" i="1"/>
  <c r="CF179" i="1"/>
  <c r="CE179" i="1"/>
  <c r="CQ178" i="1"/>
  <c r="CP178" i="1"/>
  <c r="CO178" i="1"/>
  <c r="CN178" i="1"/>
  <c r="CL178" i="1"/>
  <c r="CG178" i="1"/>
  <c r="CF178" i="1"/>
  <c r="CE178" i="1"/>
  <c r="CQ177" i="1"/>
  <c r="CP177" i="1"/>
  <c r="CO177" i="1"/>
  <c r="CN177" i="1"/>
  <c r="CL177" i="1"/>
  <c r="CG177" i="1"/>
  <c r="CF177" i="1"/>
  <c r="CE177" i="1"/>
  <c r="CQ176" i="1"/>
  <c r="CP176" i="1"/>
  <c r="CO176" i="1"/>
  <c r="CN176" i="1"/>
  <c r="CL176" i="1"/>
  <c r="CG176" i="1"/>
  <c r="CF176" i="1"/>
  <c r="CE176" i="1"/>
  <c r="CQ175" i="1"/>
  <c r="CP175" i="1"/>
  <c r="CO175" i="1"/>
  <c r="CN175" i="1"/>
  <c r="CL175" i="1"/>
  <c r="CG175" i="1"/>
  <c r="CF175" i="1"/>
  <c r="CE175" i="1"/>
  <c r="CQ174" i="1"/>
  <c r="CP174" i="1"/>
  <c r="CO174" i="1"/>
  <c r="CN174" i="1"/>
  <c r="CL174" i="1"/>
  <c r="CG174" i="1"/>
  <c r="CF174" i="1"/>
  <c r="CE174" i="1"/>
  <c r="CQ173" i="1"/>
  <c r="CP173" i="1"/>
  <c r="CO173" i="1"/>
  <c r="CN173" i="1"/>
  <c r="CL173" i="1"/>
  <c r="CG173" i="1"/>
  <c r="CF173" i="1"/>
  <c r="CE173" i="1"/>
  <c r="CQ172" i="1"/>
  <c r="CP172" i="1"/>
  <c r="CO172" i="1"/>
  <c r="CN172" i="1"/>
  <c r="CL172" i="1"/>
  <c r="CG172" i="1"/>
  <c r="CF172" i="1"/>
  <c r="CE172" i="1"/>
  <c r="CQ171" i="1"/>
  <c r="CP171" i="1"/>
  <c r="CO171" i="1"/>
  <c r="CN171" i="1"/>
  <c r="CL171" i="1"/>
  <c r="CG171" i="1"/>
  <c r="CF171" i="1"/>
  <c r="CE171" i="1"/>
  <c r="CQ170" i="1"/>
  <c r="CP170" i="1"/>
  <c r="CO170" i="1"/>
  <c r="CN170" i="1"/>
  <c r="CL170" i="1"/>
  <c r="CG170" i="1"/>
  <c r="CF170" i="1"/>
  <c r="CE170" i="1"/>
  <c r="CQ169" i="1"/>
  <c r="CP169" i="1"/>
  <c r="CO169" i="1"/>
  <c r="CN169" i="1"/>
  <c r="CL169" i="1"/>
  <c r="CG169" i="1"/>
  <c r="CF169" i="1"/>
  <c r="CE169" i="1"/>
  <c r="CQ168" i="1"/>
  <c r="CP168" i="1"/>
  <c r="CO168" i="1"/>
  <c r="CN168" i="1"/>
  <c r="CL168" i="1"/>
  <c r="CG168" i="1"/>
  <c r="CF168" i="1"/>
  <c r="CE168" i="1"/>
  <c r="CQ167" i="1"/>
  <c r="CP167" i="1"/>
  <c r="CO167" i="1"/>
  <c r="CN167" i="1"/>
  <c r="CL167" i="1"/>
  <c r="CG167" i="1"/>
  <c r="CF167" i="1"/>
  <c r="CE167" i="1"/>
  <c r="CQ166" i="1"/>
  <c r="CP166" i="1"/>
  <c r="CO166" i="1"/>
  <c r="CN166" i="1"/>
  <c r="CL166" i="1"/>
  <c r="CG166" i="1"/>
  <c r="CF166" i="1"/>
  <c r="CE166" i="1"/>
  <c r="CQ165" i="1"/>
  <c r="CP165" i="1"/>
  <c r="CO165" i="1"/>
  <c r="CN165" i="1"/>
  <c r="CL165" i="1"/>
  <c r="CG165" i="1"/>
  <c r="CF165" i="1"/>
  <c r="CE165" i="1"/>
  <c r="CQ164" i="1"/>
  <c r="CP164" i="1"/>
  <c r="CO164" i="1"/>
  <c r="CN164" i="1"/>
  <c r="CL164" i="1"/>
  <c r="CG164" i="1"/>
  <c r="CF164" i="1"/>
  <c r="CE164" i="1"/>
  <c r="CQ163" i="1"/>
  <c r="CP163" i="1"/>
  <c r="CO163" i="1"/>
  <c r="CN163" i="1"/>
  <c r="CL163" i="1"/>
  <c r="CG163" i="1"/>
  <c r="CF163" i="1"/>
  <c r="CE163" i="1"/>
  <c r="CQ162" i="1"/>
  <c r="CP162" i="1"/>
  <c r="CO162" i="1"/>
  <c r="CN162" i="1"/>
  <c r="CL162" i="1"/>
  <c r="CG162" i="1"/>
  <c r="CF162" i="1"/>
  <c r="CE162" i="1"/>
  <c r="CQ161" i="1"/>
  <c r="CP161" i="1"/>
  <c r="CO161" i="1"/>
  <c r="CN161" i="1"/>
  <c r="CL161" i="1"/>
  <c r="CG161" i="1"/>
  <c r="CF161" i="1"/>
  <c r="CE161" i="1"/>
  <c r="CQ160" i="1"/>
  <c r="CP160" i="1"/>
  <c r="CO160" i="1"/>
  <c r="CN160" i="1"/>
  <c r="CL160" i="1"/>
  <c r="CG160" i="1"/>
  <c r="CF160" i="1"/>
  <c r="CE160" i="1"/>
  <c r="CQ159" i="1"/>
  <c r="CP159" i="1"/>
  <c r="CO159" i="1"/>
  <c r="CN159" i="1"/>
  <c r="CL159" i="1"/>
  <c r="CG159" i="1"/>
  <c r="CF159" i="1"/>
  <c r="CE159" i="1"/>
  <c r="CQ158" i="1"/>
  <c r="CP158" i="1"/>
  <c r="CO158" i="1"/>
  <c r="CN158" i="1"/>
  <c r="CL158" i="1"/>
  <c r="CG158" i="1"/>
  <c r="CF158" i="1"/>
  <c r="CE158" i="1"/>
  <c r="CQ157" i="1"/>
  <c r="CP157" i="1"/>
  <c r="CO157" i="1"/>
  <c r="CN157" i="1"/>
  <c r="CL157" i="1"/>
  <c r="CG157" i="1"/>
  <c r="CS157" i="1" s="1"/>
  <c r="CF157" i="1"/>
  <c r="CE157" i="1"/>
  <c r="CQ156" i="1"/>
  <c r="CP156" i="1"/>
  <c r="CO156" i="1"/>
  <c r="CN156" i="1"/>
  <c r="CL156" i="1"/>
  <c r="CG156" i="1"/>
  <c r="CF156" i="1"/>
  <c r="CE156" i="1"/>
  <c r="CQ155" i="1"/>
  <c r="CP155" i="1"/>
  <c r="CO155" i="1"/>
  <c r="CN155" i="1"/>
  <c r="CL155" i="1"/>
  <c r="CG155" i="1"/>
  <c r="CF155" i="1"/>
  <c r="CE155" i="1"/>
  <c r="CQ154" i="1"/>
  <c r="CP154" i="1"/>
  <c r="CO154" i="1"/>
  <c r="CN154" i="1"/>
  <c r="CL154" i="1"/>
  <c r="CG154" i="1"/>
  <c r="CF154" i="1"/>
  <c r="CE154" i="1"/>
  <c r="CQ153" i="1"/>
  <c r="CP153" i="1"/>
  <c r="CO153" i="1"/>
  <c r="CN153" i="1"/>
  <c r="CL153" i="1"/>
  <c r="CG153" i="1"/>
  <c r="CF153" i="1"/>
  <c r="CE153" i="1"/>
  <c r="CQ152" i="1"/>
  <c r="CP152" i="1"/>
  <c r="CO152" i="1"/>
  <c r="CN152" i="1"/>
  <c r="CL152" i="1"/>
  <c r="CG152" i="1"/>
  <c r="CF152" i="1"/>
  <c r="CE152" i="1"/>
  <c r="CQ151" i="1"/>
  <c r="CP151" i="1"/>
  <c r="CO151" i="1"/>
  <c r="CN151" i="1"/>
  <c r="CL151" i="1"/>
  <c r="CG151" i="1"/>
  <c r="CF151" i="1"/>
  <c r="CE151" i="1"/>
  <c r="CQ150" i="1"/>
  <c r="CP150" i="1"/>
  <c r="CO150" i="1"/>
  <c r="CN150" i="1"/>
  <c r="CL150" i="1"/>
  <c r="CG150" i="1"/>
  <c r="CF150" i="1"/>
  <c r="CE150" i="1"/>
  <c r="CQ149" i="1"/>
  <c r="CP149" i="1"/>
  <c r="CO149" i="1"/>
  <c r="CN149" i="1"/>
  <c r="CL149" i="1"/>
  <c r="CG149" i="1"/>
  <c r="CF149" i="1"/>
  <c r="CE149" i="1"/>
  <c r="CQ148" i="1"/>
  <c r="CP148" i="1"/>
  <c r="CO148" i="1"/>
  <c r="CN148" i="1"/>
  <c r="CL148" i="1"/>
  <c r="CG148" i="1"/>
  <c r="CF148" i="1"/>
  <c r="CE148" i="1"/>
  <c r="CQ147" i="1"/>
  <c r="CP147" i="1"/>
  <c r="CO147" i="1"/>
  <c r="CN147" i="1"/>
  <c r="CL147" i="1"/>
  <c r="CG147" i="1"/>
  <c r="CF147" i="1"/>
  <c r="CE147" i="1"/>
  <c r="CQ146" i="1"/>
  <c r="CP146" i="1"/>
  <c r="CO146" i="1"/>
  <c r="CN146" i="1"/>
  <c r="CL146" i="1"/>
  <c r="CG146" i="1"/>
  <c r="CF146" i="1"/>
  <c r="CE146" i="1"/>
  <c r="CQ145" i="1"/>
  <c r="CP145" i="1"/>
  <c r="CO145" i="1"/>
  <c r="CN145" i="1"/>
  <c r="CL145" i="1"/>
  <c r="CG145" i="1"/>
  <c r="CF145" i="1"/>
  <c r="CE145" i="1"/>
  <c r="CQ144" i="1"/>
  <c r="CP144" i="1"/>
  <c r="CO144" i="1"/>
  <c r="CN144" i="1"/>
  <c r="CL144" i="1"/>
  <c r="CG144" i="1"/>
  <c r="CF144" i="1"/>
  <c r="CE144" i="1"/>
  <c r="CQ143" i="1"/>
  <c r="CP143" i="1"/>
  <c r="CO143" i="1"/>
  <c r="CN143" i="1"/>
  <c r="CL143" i="1"/>
  <c r="CG143" i="1"/>
  <c r="CF143" i="1"/>
  <c r="CE143" i="1"/>
  <c r="CQ142" i="1"/>
  <c r="CP142" i="1"/>
  <c r="CO142" i="1"/>
  <c r="CN142" i="1"/>
  <c r="CL142" i="1"/>
  <c r="CG142" i="1"/>
  <c r="CF142" i="1"/>
  <c r="CE142" i="1"/>
  <c r="CQ141" i="1"/>
  <c r="CP141" i="1"/>
  <c r="CO141" i="1"/>
  <c r="CN141" i="1"/>
  <c r="CL141" i="1"/>
  <c r="CG141" i="1"/>
  <c r="CF141" i="1"/>
  <c r="CE141" i="1"/>
  <c r="CQ140" i="1"/>
  <c r="CP140" i="1"/>
  <c r="CO140" i="1"/>
  <c r="CN140" i="1"/>
  <c r="CL140" i="1"/>
  <c r="CG140" i="1"/>
  <c r="CF140" i="1"/>
  <c r="CE140" i="1"/>
  <c r="CQ139" i="1"/>
  <c r="CP139" i="1"/>
  <c r="CO139" i="1"/>
  <c r="CN139" i="1"/>
  <c r="CL139" i="1"/>
  <c r="CG139" i="1"/>
  <c r="CF139" i="1"/>
  <c r="CE139" i="1"/>
  <c r="CQ138" i="1"/>
  <c r="CP138" i="1"/>
  <c r="CO138" i="1"/>
  <c r="CN138" i="1"/>
  <c r="CL138" i="1"/>
  <c r="CG138" i="1"/>
  <c r="CF138" i="1"/>
  <c r="CE138" i="1"/>
  <c r="CQ137" i="1"/>
  <c r="CP137" i="1"/>
  <c r="CO137" i="1"/>
  <c r="CN137" i="1"/>
  <c r="CL137" i="1"/>
  <c r="CG137" i="1"/>
  <c r="CF137" i="1"/>
  <c r="CE137" i="1"/>
  <c r="CQ136" i="1"/>
  <c r="CP136" i="1"/>
  <c r="CO136" i="1"/>
  <c r="CN136" i="1"/>
  <c r="CL136" i="1"/>
  <c r="CG136" i="1"/>
  <c r="CF136" i="1"/>
  <c r="CE136" i="1"/>
  <c r="CQ135" i="1"/>
  <c r="CP135" i="1"/>
  <c r="CO135" i="1"/>
  <c r="CN135" i="1"/>
  <c r="CL135" i="1"/>
  <c r="CG135" i="1"/>
  <c r="CF135" i="1"/>
  <c r="CE135" i="1"/>
  <c r="CQ134" i="1"/>
  <c r="CP134" i="1"/>
  <c r="CO134" i="1"/>
  <c r="CN134" i="1"/>
  <c r="CL134" i="1"/>
  <c r="CG134" i="1"/>
  <c r="CF134" i="1"/>
  <c r="CE134" i="1"/>
  <c r="CQ133" i="1"/>
  <c r="CP133" i="1"/>
  <c r="CO133" i="1"/>
  <c r="CN133" i="1"/>
  <c r="CL133" i="1"/>
  <c r="CG133" i="1"/>
  <c r="CF133" i="1"/>
  <c r="CE133" i="1"/>
  <c r="CQ132" i="1"/>
  <c r="CP132" i="1"/>
  <c r="CO132" i="1"/>
  <c r="CN132" i="1"/>
  <c r="CL132" i="1"/>
  <c r="CG132" i="1"/>
  <c r="CF132" i="1"/>
  <c r="CE132" i="1"/>
  <c r="CQ131" i="1"/>
  <c r="CP131" i="1"/>
  <c r="CO131" i="1"/>
  <c r="CN131" i="1"/>
  <c r="CL131" i="1"/>
  <c r="CG131" i="1"/>
  <c r="CF131" i="1"/>
  <c r="CE131" i="1"/>
  <c r="CQ130" i="1"/>
  <c r="CP130" i="1"/>
  <c r="CO130" i="1"/>
  <c r="CN130" i="1"/>
  <c r="CL130" i="1"/>
  <c r="CG130" i="1"/>
  <c r="CF130" i="1"/>
  <c r="CE130" i="1"/>
  <c r="CQ129" i="1"/>
  <c r="CP129" i="1"/>
  <c r="CO129" i="1"/>
  <c r="CN129" i="1"/>
  <c r="CL129" i="1"/>
  <c r="CG129" i="1"/>
  <c r="CF129" i="1"/>
  <c r="CE129" i="1"/>
  <c r="CQ128" i="1"/>
  <c r="CP128" i="1"/>
  <c r="CO128" i="1"/>
  <c r="CN128" i="1"/>
  <c r="CL128" i="1"/>
  <c r="CG128" i="1"/>
  <c r="CF128" i="1"/>
  <c r="CE128" i="1"/>
  <c r="CQ127" i="1"/>
  <c r="CP127" i="1"/>
  <c r="CO127" i="1"/>
  <c r="CN127" i="1"/>
  <c r="CL127" i="1"/>
  <c r="CG127" i="1"/>
  <c r="CF127" i="1"/>
  <c r="CE127" i="1"/>
  <c r="CQ126" i="1"/>
  <c r="CP126" i="1"/>
  <c r="CO126" i="1"/>
  <c r="CN126" i="1"/>
  <c r="CL126" i="1"/>
  <c r="CG126" i="1"/>
  <c r="CF126" i="1"/>
  <c r="CE126" i="1"/>
  <c r="CQ125" i="1"/>
  <c r="CP125" i="1"/>
  <c r="CO125" i="1"/>
  <c r="CN125" i="1"/>
  <c r="CL125" i="1"/>
  <c r="CG125" i="1"/>
  <c r="CF125" i="1"/>
  <c r="CE125" i="1"/>
  <c r="CQ124" i="1"/>
  <c r="CP124" i="1"/>
  <c r="CO124" i="1"/>
  <c r="CN124" i="1"/>
  <c r="CL124" i="1"/>
  <c r="CG124" i="1"/>
  <c r="CF124" i="1"/>
  <c r="CE124" i="1"/>
  <c r="CQ123" i="1"/>
  <c r="CP123" i="1"/>
  <c r="CO123" i="1"/>
  <c r="CN123" i="1"/>
  <c r="CL123" i="1"/>
  <c r="CG123" i="1"/>
  <c r="CF123" i="1"/>
  <c r="CE123" i="1"/>
  <c r="CQ122" i="1"/>
  <c r="CP122" i="1"/>
  <c r="CO122" i="1"/>
  <c r="CN122" i="1"/>
  <c r="CL122" i="1"/>
  <c r="CG122" i="1"/>
  <c r="CF122" i="1"/>
  <c r="CE122" i="1"/>
  <c r="CQ121" i="1"/>
  <c r="CP121" i="1"/>
  <c r="CO121" i="1"/>
  <c r="CN121" i="1"/>
  <c r="CL121" i="1"/>
  <c r="CG121" i="1"/>
  <c r="CF121" i="1"/>
  <c r="CE121" i="1"/>
  <c r="CQ120" i="1"/>
  <c r="CP120" i="1"/>
  <c r="CO120" i="1"/>
  <c r="CN120" i="1"/>
  <c r="CL120" i="1"/>
  <c r="CG120" i="1"/>
  <c r="CF120" i="1"/>
  <c r="CE120" i="1"/>
  <c r="CQ119" i="1"/>
  <c r="CP119" i="1"/>
  <c r="CO119" i="1"/>
  <c r="CN119" i="1"/>
  <c r="CL119" i="1"/>
  <c r="CG119" i="1"/>
  <c r="CF119" i="1"/>
  <c r="CE119" i="1"/>
  <c r="CQ118" i="1"/>
  <c r="CP118" i="1"/>
  <c r="CO118" i="1"/>
  <c r="CN118" i="1"/>
  <c r="CL118" i="1"/>
  <c r="CG118" i="1"/>
  <c r="CF118" i="1"/>
  <c r="CE118" i="1"/>
  <c r="CQ117" i="1"/>
  <c r="CP117" i="1"/>
  <c r="CO117" i="1"/>
  <c r="CN117" i="1"/>
  <c r="CL117" i="1"/>
  <c r="CG117" i="1"/>
  <c r="CF117" i="1"/>
  <c r="CE117" i="1"/>
  <c r="CQ116" i="1"/>
  <c r="CP116" i="1"/>
  <c r="CO116" i="1"/>
  <c r="CN116" i="1"/>
  <c r="CL116" i="1"/>
  <c r="CG116" i="1"/>
  <c r="CF116" i="1"/>
  <c r="CE116" i="1"/>
  <c r="CQ115" i="1"/>
  <c r="CP115" i="1"/>
  <c r="CO115" i="1"/>
  <c r="CN115" i="1"/>
  <c r="CL115" i="1"/>
  <c r="CG115" i="1"/>
  <c r="CF115" i="1"/>
  <c r="CE115" i="1"/>
  <c r="CQ114" i="1"/>
  <c r="CP114" i="1"/>
  <c r="CO114" i="1"/>
  <c r="CN114" i="1"/>
  <c r="CL114" i="1"/>
  <c r="CG114" i="1"/>
  <c r="CF114" i="1"/>
  <c r="CE114" i="1"/>
  <c r="CQ113" i="1"/>
  <c r="CP113" i="1"/>
  <c r="CO113" i="1"/>
  <c r="CN113" i="1"/>
  <c r="CL113" i="1"/>
  <c r="CG113" i="1"/>
  <c r="CF113" i="1"/>
  <c r="CE113" i="1"/>
  <c r="CQ112" i="1"/>
  <c r="CP112" i="1"/>
  <c r="CO112" i="1"/>
  <c r="CN112" i="1"/>
  <c r="CL112" i="1"/>
  <c r="CG112" i="1"/>
  <c r="CF112" i="1"/>
  <c r="CE112" i="1"/>
  <c r="CQ111" i="1"/>
  <c r="CP111" i="1"/>
  <c r="CO111" i="1"/>
  <c r="CN111" i="1"/>
  <c r="CL111" i="1"/>
  <c r="CG111" i="1"/>
  <c r="CF111" i="1"/>
  <c r="CE111" i="1"/>
  <c r="CQ110" i="1"/>
  <c r="CP110" i="1"/>
  <c r="CO110" i="1"/>
  <c r="CN110" i="1"/>
  <c r="CL110" i="1"/>
  <c r="CG110" i="1"/>
  <c r="CF110" i="1"/>
  <c r="CE110" i="1"/>
  <c r="CQ109" i="1"/>
  <c r="CP109" i="1"/>
  <c r="CO109" i="1"/>
  <c r="CN109" i="1"/>
  <c r="CL109" i="1"/>
  <c r="CG109" i="1"/>
  <c r="CF109" i="1"/>
  <c r="CE109" i="1"/>
  <c r="CQ108" i="1"/>
  <c r="CP108" i="1"/>
  <c r="CO108" i="1"/>
  <c r="CN108" i="1"/>
  <c r="CL108" i="1"/>
  <c r="CG108" i="1"/>
  <c r="CF108" i="1"/>
  <c r="CE108" i="1"/>
  <c r="CQ107" i="1"/>
  <c r="CP107" i="1"/>
  <c r="CO107" i="1"/>
  <c r="CN107" i="1"/>
  <c r="CL107" i="1"/>
  <c r="CG107" i="1"/>
  <c r="CF107" i="1"/>
  <c r="CE107" i="1"/>
  <c r="CQ106" i="1"/>
  <c r="CP106" i="1"/>
  <c r="CO106" i="1"/>
  <c r="CN106" i="1"/>
  <c r="CL106" i="1"/>
  <c r="CG106" i="1"/>
  <c r="CF106" i="1"/>
  <c r="CE106" i="1"/>
  <c r="CQ105" i="1"/>
  <c r="CP105" i="1"/>
  <c r="CO105" i="1"/>
  <c r="CN105" i="1"/>
  <c r="CL105" i="1"/>
  <c r="CG105" i="1"/>
  <c r="CF105" i="1"/>
  <c r="CE105" i="1"/>
  <c r="CQ104" i="1"/>
  <c r="CP104" i="1"/>
  <c r="CO104" i="1"/>
  <c r="CN104" i="1"/>
  <c r="CL104" i="1"/>
  <c r="CG104" i="1"/>
  <c r="CF104" i="1"/>
  <c r="CE104" i="1"/>
  <c r="CQ103" i="1"/>
  <c r="CP103" i="1"/>
  <c r="CO103" i="1"/>
  <c r="CN103" i="1"/>
  <c r="CL103" i="1"/>
  <c r="CG103" i="1"/>
  <c r="CF103" i="1"/>
  <c r="CE103" i="1"/>
  <c r="CQ102" i="1"/>
  <c r="CP102" i="1"/>
  <c r="CO102" i="1"/>
  <c r="CN102" i="1"/>
  <c r="CL102" i="1"/>
  <c r="CG102" i="1"/>
  <c r="CF102" i="1"/>
  <c r="CE102" i="1"/>
  <c r="CQ101" i="1"/>
  <c r="CP101" i="1"/>
  <c r="CO101" i="1"/>
  <c r="CN101" i="1"/>
  <c r="CL101" i="1"/>
  <c r="CG101" i="1"/>
  <c r="CF101" i="1"/>
  <c r="CE101" i="1"/>
  <c r="CQ100" i="1"/>
  <c r="CP100" i="1"/>
  <c r="CO100" i="1"/>
  <c r="CN100" i="1"/>
  <c r="CL100" i="1"/>
  <c r="CG100" i="1"/>
  <c r="CF100" i="1"/>
  <c r="CE100" i="1"/>
  <c r="CQ99" i="1"/>
  <c r="CP99" i="1"/>
  <c r="CO99" i="1"/>
  <c r="CN99" i="1"/>
  <c r="CL99" i="1"/>
  <c r="CG99" i="1"/>
  <c r="CF99" i="1"/>
  <c r="CE99" i="1"/>
  <c r="CQ98" i="1"/>
  <c r="CP98" i="1"/>
  <c r="CO98" i="1"/>
  <c r="CN98" i="1"/>
  <c r="CL98" i="1"/>
  <c r="CG98" i="1"/>
  <c r="CF98" i="1"/>
  <c r="CE98" i="1"/>
  <c r="CQ97" i="1"/>
  <c r="CP97" i="1"/>
  <c r="CO97" i="1"/>
  <c r="CN97" i="1"/>
  <c r="CL97" i="1"/>
  <c r="CG97" i="1"/>
  <c r="CF97" i="1"/>
  <c r="CE97" i="1"/>
  <c r="CQ96" i="1"/>
  <c r="CP96" i="1"/>
  <c r="CO96" i="1"/>
  <c r="CN96" i="1"/>
  <c r="CL96" i="1"/>
  <c r="CG96" i="1"/>
  <c r="CF96" i="1"/>
  <c r="CE96" i="1"/>
  <c r="CQ95" i="1"/>
  <c r="CP95" i="1"/>
  <c r="CO95" i="1"/>
  <c r="CN95" i="1"/>
  <c r="CL95" i="1"/>
  <c r="CG95" i="1"/>
  <c r="CF95" i="1"/>
  <c r="CE95" i="1"/>
  <c r="CQ94" i="1"/>
  <c r="CP94" i="1"/>
  <c r="CO94" i="1"/>
  <c r="CN94" i="1"/>
  <c r="CL94" i="1"/>
  <c r="CG94" i="1"/>
  <c r="CF94" i="1"/>
  <c r="CE94" i="1"/>
  <c r="CQ93" i="1"/>
  <c r="CP93" i="1"/>
  <c r="CO93" i="1"/>
  <c r="CN93" i="1"/>
  <c r="CL93" i="1"/>
  <c r="CG93" i="1"/>
  <c r="CF93" i="1"/>
  <c r="CE93" i="1"/>
  <c r="CQ92" i="1"/>
  <c r="CP92" i="1"/>
  <c r="CO92" i="1"/>
  <c r="CN92" i="1"/>
  <c r="CL92" i="1"/>
  <c r="CG92" i="1"/>
  <c r="CF92" i="1"/>
  <c r="CE92" i="1"/>
  <c r="CQ91" i="1"/>
  <c r="CP91" i="1"/>
  <c r="CO91" i="1"/>
  <c r="CN91" i="1"/>
  <c r="CL91" i="1"/>
  <c r="CG91" i="1"/>
  <c r="CF91" i="1"/>
  <c r="CE91" i="1"/>
  <c r="CQ90" i="1"/>
  <c r="CP90" i="1"/>
  <c r="CO90" i="1"/>
  <c r="CN90" i="1"/>
  <c r="CL90" i="1"/>
  <c r="CG90" i="1"/>
  <c r="CF90" i="1"/>
  <c r="CE90" i="1"/>
  <c r="CQ89" i="1"/>
  <c r="CP89" i="1"/>
  <c r="CO89" i="1"/>
  <c r="CN89" i="1"/>
  <c r="CL89" i="1"/>
  <c r="CG89" i="1"/>
  <c r="CF89" i="1"/>
  <c r="CE89" i="1"/>
  <c r="CQ88" i="1"/>
  <c r="CP88" i="1"/>
  <c r="CO88" i="1"/>
  <c r="CN88" i="1"/>
  <c r="CL88" i="1"/>
  <c r="CG88" i="1"/>
  <c r="CF88" i="1"/>
  <c r="CE88" i="1"/>
  <c r="CQ87" i="1"/>
  <c r="CP87" i="1"/>
  <c r="CO87" i="1"/>
  <c r="CN87" i="1"/>
  <c r="CL87" i="1"/>
  <c r="CG87" i="1"/>
  <c r="CF87" i="1"/>
  <c r="CE87" i="1"/>
  <c r="CQ86" i="1"/>
  <c r="CP86" i="1"/>
  <c r="CO86" i="1"/>
  <c r="CN86" i="1"/>
  <c r="CL86" i="1"/>
  <c r="CG86" i="1"/>
  <c r="CF86" i="1"/>
  <c r="CE86" i="1"/>
  <c r="CQ85" i="1"/>
  <c r="CP85" i="1"/>
  <c r="CO85" i="1"/>
  <c r="CN85" i="1"/>
  <c r="CL85" i="1"/>
  <c r="CG85" i="1"/>
  <c r="CF85" i="1"/>
  <c r="CE85" i="1"/>
  <c r="CQ84" i="1"/>
  <c r="CP84" i="1"/>
  <c r="CO84" i="1"/>
  <c r="CN84" i="1"/>
  <c r="CL84" i="1"/>
  <c r="CG84" i="1"/>
  <c r="CF84" i="1"/>
  <c r="CE84" i="1"/>
  <c r="CQ83" i="1"/>
  <c r="CP83" i="1"/>
  <c r="CO83" i="1"/>
  <c r="CN83" i="1"/>
  <c r="CL83" i="1"/>
  <c r="CG83" i="1"/>
  <c r="CF83" i="1"/>
  <c r="CE83" i="1"/>
  <c r="CQ82" i="1"/>
  <c r="CP82" i="1"/>
  <c r="CO82" i="1"/>
  <c r="CN82" i="1"/>
  <c r="CL82" i="1"/>
  <c r="CG82" i="1"/>
  <c r="CF82" i="1"/>
  <c r="CE82" i="1"/>
  <c r="CQ81" i="1"/>
  <c r="CP81" i="1"/>
  <c r="CO81" i="1"/>
  <c r="CN81" i="1"/>
  <c r="CL81" i="1"/>
  <c r="CG81" i="1"/>
  <c r="CF81" i="1"/>
  <c r="CE81" i="1"/>
  <c r="CQ80" i="1"/>
  <c r="CP80" i="1"/>
  <c r="CO80" i="1"/>
  <c r="CN80" i="1"/>
  <c r="CL80" i="1"/>
  <c r="CG80" i="1"/>
  <c r="CF80" i="1"/>
  <c r="CE80" i="1"/>
  <c r="CQ79" i="1"/>
  <c r="CP79" i="1"/>
  <c r="CO79" i="1"/>
  <c r="CN79" i="1"/>
  <c r="CL79" i="1"/>
  <c r="CG79" i="1"/>
  <c r="CF79" i="1"/>
  <c r="CE79" i="1"/>
  <c r="CQ78" i="1"/>
  <c r="CP78" i="1"/>
  <c r="CO78" i="1"/>
  <c r="CN78" i="1"/>
  <c r="CL78" i="1"/>
  <c r="CG78" i="1"/>
  <c r="CF78" i="1"/>
  <c r="CE78" i="1"/>
  <c r="CQ77" i="1"/>
  <c r="CP77" i="1"/>
  <c r="CO77" i="1"/>
  <c r="CN77" i="1"/>
  <c r="CL77" i="1"/>
  <c r="CG77" i="1"/>
  <c r="CF77" i="1"/>
  <c r="CE77" i="1"/>
  <c r="CQ76" i="1"/>
  <c r="CP76" i="1"/>
  <c r="CO76" i="1"/>
  <c r="CN76" i="1"/>
  <c r="CL76" i="1"/>
  <c r="CG76" i="1"/>
  <c r="CF76" i="1"/>
  <c r="CE76" i="1"/>
  <c r="CQ75" i="1"/>
  <c r="CP75" i="1"/>
  <c r="CO75" i="1"/>
  <c r="CN75" i="1"/>
  <c r="CL75" i="1"/>
  <c r="CG75" i="1"/>
  <c r="CF75" i="1"/>
  <c r="CE75" i="1"/>
  <c r="CQ74" i="1"/>
  <c r="CP74" i="1"/>
  <c r="CO74" i="1"/>
  <c r="CN74" i="1"/>
  <c r="CL74" i="1"/>
  <c r="CG74" i="1"/>
  <c r="CF74" i="1"/>
  <c r="CE74" i="1"/>
  <c r="CQ73" i="1"/>
  <c r="CP73" i="1"/>
  <c r="CO73" i="1"/>
  <c r="CN73" i="1"/>
  <c r="CL73" i="1"/>
  <c r="CG73" i="1"/>
  <c r="CF73" i="1"/>
  <c r="CE73" i="1"/>
  <c r="CQ72" i="1"/>
  <c r="CP72" i="1"/>
  <c r="CO72" i="1"/>
  <c r="CN72" i="1"/>
  <c r="CL72" i="1"/>
  <c r="CG72" i="1"/>
  <c r="CF72" i="1"/>
  <c r="CE72" i="1"/>
  <c r="CQ71" i="1"/>
  <c r="CP71" i="1"/>
  <c r="CO71" i="1"/>
  <c r="CN71" i="1"/>
  <c r="CL71" i="1"/>
  <c r="CG71" i="1"/>
  <c r="CF71" i="1"/>
  <c r="CE71" i="1"/>
  <c r="CQ70" i="1"/>
  <c r="CP70" i="1"/>
  <c r="CO70" i="1"/>
  <c r="CN70" i="1"/>
  <c r="CL70" i="1"/>
  <c r="CG70" i="1"/>
  <c r="CF70" i="1"/>
  <c r="CE70" i="1"/>
  <c r="CQ69" i="1"/>
  <c r="CP69" i="1"/>
  <c r="CO69" i="1"/>
  <c r="CN69" i="1"/>
  <c r="CL69" i="1"/>
  <c r="CG69" i="1"/>
  <c r="CF69" i="1"/>
  <c r="CE69" i="1"/>
  <c r="CQ68" i="1"/>
  <c r="CP68" i="1"/>
  <c r="CO68" i="1"/>
  <c r="CN68" i="1"/>
  <c r="CL68" i="1"/>
  <c r="CG68" i="1"/>
  <c r="CF68" i="1"/>
  <c r="CE68" i="1"/>
  <c r="CQ67" i="1"/>
  <c r="CP67" i="1"/>
  <c r="CO67" i="1"/>
  <c r="CN67" i="1"/>
  <c r="CL67" i="1"/>
  <c r="CG67" i="1"/>
  <c r="CF67" i="1"/>
  <c r="CE67" i="1"/>
  <c r="CQ66" i="1"/>
  <c r="CP66" i="1"/>
  <c r="CO66" i="1"/>
  <c r="CN66" i="1"/>
  <c r="CL66" i="1"/>
  <c r="CG66" i="1"/>
  <c r="CF66" i="1"/>
  <c r="CE66" i="1"/>
  <c r="CQ65" i="1"/>
  <c r="CP65" i="1"/>
  <c r="CO65" i="1"/>
  <c r="CN65" i="1"/>
  <c r="CL65" i="1"/>
  <c r="CG65" i="1"/>
  <c r="CF65" i="1"/>
  <c r="CE65" i="1"/>
  <c r="CQ64" i="1"/>
  <c r="CP64" i="1"/>
  <c r="CO64" i="1"/>
  <c r="CN64" i="1"/>
  <c r="CL64" i="1"/>
  <c r="CG64" i="1"/>
  <c r="CF64" i="1"/>
  <c r="CE64" i="1"/>
  <c r="CQ63" i="1"/>
  <c r="CP63" i="1"/>
  <c r="CO63" i="1"/>
  <c r="CN63" i="1"/>
  <c r="CL63" i="1"/>
  <c r="CG63" i="1"/>
  <c r="CF63" i="1"/>
  <c r="CE63" i="1"/>
  <c r="CQ62" i="1"/>
  <c r="CP62" i="1"/>
  <c r="CO62" i="1"/>
  <c r="CN62" i="1"/>
  <c r="CL62" i="1"/>
  <c r="CG62" i="1"/>
  <c r="CF62" i="1"/>
  <c r="CE62" i="1"/>
  <c r="CQ61" i="1"/>
  <c r="CP61" i="1"/>
  <c r="CO61" i="1"/>
  <c r="CN61" i="1"/>
  <c r="CL61" i="1"/>
  <c r="CG61" i="1"/>
  <c r="CF61" i="1"/>
  <c r="CE61" i="1"/>
  <c r="CQ60" i="1"/>
  <c r="CP60" i="1"/>
  <c r="CO60" i="1"/>
  <c r="CN60" i="1"/>
  <c r="CL60" i="1"/>
  <c r="CG60" i="1"/>
  <c r="CF60" i="1"/>
  <c r="CE60" i="1"/>
  <c r="CQ59" i="1"/>
  <c r="CP59" i="1"/>
  <c r="CO59" i="1"/>
  <c r="CN59" i="1"/>
  <c r="CL59" i="1"/>
  <c r="CG59" i="1"/>
  <c r="CF59" i="1"/>
  <c r="CE59" i="1"/>
  <c r="CQ58" i="1"/>
  <c r="CP58" i="1"/>
  <c r="CO58" i="1"/>
  <c r="CN58" i="1"/>
  <c r="CL58" i="1"/>
  <c r="CG58" i="1"/>
  <c r="CF58" i="1"/>
  <c r="CE58" i="1"/>
  <c r="CQ57" i="1"/>
  <c r="CP57" i="1"/>
  <c r="CO57" i="1"/>
  <c r="CN57" i="1"/>
  <c r="CL57" i="1"/>
  <c r="CG57" i="1"/>
  <c r="CF57" i="1"/>
  <c r="CE57" i="1"/>
  <c r="CQ56" i="1"/>
  <c r="CP56" i="1"/>
  <c r="CO56" i="1"/>
  <c r="CN56" i="1"/>
  <c r="CL56" i="1"/>
  <c r="CG56" i="1"/>
  <c r="CF56" i="1"/>
  <c r="CE56" i="1"/>
  <c r="CQ55" i="1"/>
  <c r="CP55" i="1"/>
  <c r="CO55" i="1"/>
  <c r="CN55" i="1"/>
  <c r="CL55" i="1"/>
  <c r="CG55" i="1"/>
  <c r="CF55" i="1"/>
  <c r="CE55" i="1"/>
  <c r="CQ54" i="1"/>
  <c r="CP54" i="1"/>
  <c r="CO54" i="1"/>
  <c r="CN54" i="1"/>
  <c r="CL54" i="1"/>
  <c r="CG54" i="1"/>
  <c r="CF54" i="1"/>
  <c r="CE54" i="1"/>
  <c r="CQ53" i="1"/>
  <c r="CP53" i="1"/>
  <c r="CO53" i="1"/>
  <c r="CN53" i="1"/>
  <c r="CL53" i="1"/>
  <c r="CG53" i="1"/>
  <c r="CF53" i="1"/>
  <c r="CE53" i="1"/>
  <c r="CQ52" i="1"/>
  <c r="CP52" i="1"/>
  <c r="CO52" i="1"/>
  <c r="CN52" i="1"/>
  <c r="CL52" i="1"/>
  <c r="CG52" i="1"/>
  <c r="CF52" i="1"/>
  <c r="CE52" i="1"/>
  <c r="CQ51" i="1"/>
  <c r="CP51" i="1"/>
  <c r="CO51" i="1"/>
  <c r="CN51" i="1"/>
  <c r="CL51" i="1"/>
  <c r="CG51" i="1"/>
  <c r="CF51" i="1"/>
  <c r="CE51" i="1"/>
  <c r="CQ50" i="1"/>
  <c r="CP50" i="1"/>
  <c r="CO50" i="1"/>
  <c r="CN50" i="1"/>
  <c r="CL50" i="1"/>
  <c r="CG50" i="1"/>
  <c r="CF50" i="1"/>
  <c r="CE50" i="1"/>
  <c r="CQ49" i="1"/>
  <c r="CP49" i="1"/>
  <c r="CO49" i="1"/>
  <c r="CN49" i="1"/>
  <c r="CL49" i="1"/>
  <c r="CG49" i="1"/>
  <c r="CF49" i="1"/>
  <c r="CE49" i="1"/>
  <c r="CQ48" i="1"/>
  <c r="CP48" i="1"/>
  <c r="CO48" i="1"/>
  <c r="CN48" i="1"/>
  <c r="CL48" i="1"/>
  <c r="CG48" i="1"/>
  <c r="CF48" i="1"/>
  <c r="CE48" i="1"/>
  <c r="CQ47" i="1"/>
  <c r="CP47" i="1"/>
  <c r="CO47" i="1"/>
  <c r="CN47" i="1"/>
  <c r="CL47" i="1"/>
  <c r="CG47" i="1"/>
  <c r="CF47" i="1"/>
  <c r="CE47" i="1"/>
  <c r="CQ46" i="1"/>
  <c r="CP46" i="1"/>
  <c r="CO46" i="1"/>
  <c r="CN46" i="1"/>
  <c r="CL46" i="1"/>
  <c r="CG46" i="1"/>
  <c r="CF46" i="1"/>
  <c r="CE46" i="1"/>
  <c r="CQ45" i="1"/>
  <c r="CP45" i="1"/>
  <c r="CO45" i="1"/>
  <c r="CN45" i="1"/>
  <c r="CL45" i="1"/>
  <c r="CG45" i="1"/>
  <c r="CF45" i="1"/>
  <c r="CE45" i="1"/>
  <c r="CQ44" i="1"/>
  <c r="CP44" i="1"/>
  <c r="CO44" i="1"/>
  <c r="CN44" i="1"/>
  <c r="CL44" i="1"/>
  <c r="CG44" i="1"/>
  <c r="CF44" i="1"/>
  <c r="CE44" i="1"/>
  <c r="CQ43" i="1"/>
  <c r="CP43" i="1"/>
  <c r="CO43" i="1"/>
  <c r="CN43" i="1"/>
  <c r="CL43" i="1"/>
  <c r="CG43" i="1"/>
  <c r="CF43" i="1"/>
  <c r="CE43" i="1"/>
  <c r="CQ42" i="1"/>
  <c r="CP42" i="1"/>
  <c r="CO42" i="1"/>
  <c r="CN42" i="1"/>
  <c r="CL42" i="1"/>
  <c r="CG42" i="1"/>
  <c r="CF42" i="1"/>
  <c r="CE42" i="1"/>
  <c r="CQ41" i="1"/>
  <c r="CP41" i="1"/>
  <c r="CO41" i="1"/>
  <c r="CN41" i="1"/>
  <c r="CL41" i="1"/>
  <c r="CG41" i="1"/>
  <c r="CF41" i="1"/>
  <c r="CE41" i="1"/>
  <c r="CQ40" i="1"/>
  <c r="CP40" i="1"/>
  <c r="CO40" i="1"/>
  <c r="CN40" i="1"/>
  <c r="CL40" i="1"/>
  <c r="CG40" i="1"/>
  <c r="CF40" i="1"/>
  <c r="CE40" i="1"/>
  <c r="CQ39" i="1"/>
  <c r="CP39" i="1"/>
  <c r="CO39" i="1"/>
  <c r="CN39" i="1"/>
  <c r="CL39" i="1"/>
  <c r="CG39" i="1"/>
  <c r="CF39" i="1"/>
  <c r="CE39" i="1"/>
  <c r="CQ38" i="1"/>
  <c r="CP38" i="1"/>
  <c r="CO38" i="1"/>
  <c r="CN38" i="1"/>
  <c r="CL38" i="1"/>
  <c r="CG38" i="1"/>
  <c r="CF38" i="1"/>
  <c r="CE38" i="1"/>
  <c r="CQ37" i="1"/>
  <c r="CP37" i="1"/>
  <c r="CO37" i="1"/>
  <c r="CN37" i="1"/>
  <c r="CL37" i="1"/>
  <c r="CG37" i="1"/>
  <c r="CF37" i="1"/>
  <c r="CE37" i="1"/>
  <c r="CQ36" i="1"/>
  <c r="CP36" i="1"/>
  <c r="CO36" i="1"/>
  <c r="CN36" i="1"/>
  <c r="CL36" i="1"/>
  <c r="CG36" i="1"/>
  <c r="CF36" i="1"/>
  <c r="CE36" i="1"/>
  <c r="CQ35" i="1"/>
  <c r="CP35" i="1"/>
  <c r="CO35" i="1"/>
  <c r="CN35" i="1"/>
  <c r="CL35" i="1"/>
  <c r="CG35" i="1"/>
  <c r="CF35" i="1"/>
  <c r="CE35" i="1"/>
  <c r="CQ34" i="1"/>
  <c r="CP34" i="1"/>
  <c r="CO34" i="1"/>
  <c r="CN34" i="1"/>
  <c r="CL34" i="1"/>
  <c r="CG34" i="1"/>
  <c r="CF34" i="1"/>
  <c r="CE34" i="1"/>
  <c r="CQ33" i="1"/>
  <c r="CP33" i="1"/>
  <c r="CO33" i="1"/>
  <c r="CN33" i="1"/>
  <c r="CL33" i="1"/>
  <c r="CG33" i="1"/>
  <c r="CF33" i="1"/>
  <c r="CE33" i="1"/>
  <c r="CQ32" i="1"/>
  <c r="CP32" i="1"/>
  <c r="CO32" i="1"/>
  <c r="CN32" i="1"/>
  <c r="CL32" i="1"/>
  <c r="CG32" i="1"/>
  <c r="CF32" i="1"/>
  <c r="CE32" i="1"/>
  <c r="CQ31" i="1"/>
  <c r="CP31" i="1"/>
  <c r="CO31" i="1"/>
  <c r="CN31" i="1"/>
  <c r="CL31" i="1"/>
  <c r="CG31" i="1"/>
  <c r="CF31" i="1"/>
  <c r="CE31" i="1"/>
  <c r="CQ30" i="1"/>
  <c r="CP30" i="1"/>
  <c r="CO30" i="1"/>
  <c r="CN30" i="1"/>
  <c r="CL30" i="1"/>
  <c r="CG30" i="1"/>
  <c r="CF30" i="1"/>
  <c r="CE30" i="1"/>
  <c r="CQ29" i="1"/>
  <c r="CP29" i="1"/>
  <c r="CO29" i="1"/>
  <c r="CN29" i="1"/>
  <c r="CL29" i="1"/>
  <c r="CG29" i="1"/>
  <c r="CF29" i="1"/>
  <c r="CE29" i="1"/>
  <c r="CQ28" i="1"/>
  <c r="CP28" i="1"/>
  <c r="CO28" i="1"/>
  <c r="CN28" i="1"/>
  <c r="CL28" i="1"/>
  <c r="CG28" i="1"/>
  <c r="CF28" i="1"/>
  <c r="CE28" i="1"/>
  <c r="CQ27" i="1"/>
  <c r="CP27" i="1"/>
  <c r="CO27" i="1"/>
  <c r="CN27" i="1"/>
  <c r="CL27" i="1"/>
  <c r="CG27" i="1"/>
  <c r="CF27" i="1"/>
  <c r="CE27" i="1"/>
  <c r="CQ26" i="1"/>
  <c r="CP26" i="1"/>
  <c r="CO26" i="1"/>
  <c r="CN26" i="1"/>
  <c r="CL26" i="1"/>
  <c r="CG26" i="1"/>
  <c r="CF26" i="1"/>
  <c r="CE26" i="1"/>
  <c r="CQ25" i="1"/>
  <c r="CP25" i="1"/>
  <c r="CO25" i="1"/>
  <c r="CN25" i="1"/>
  <c r="CL25" i="1"/>
  <c r="CG25" i="1"/>
  <c r="CF25" i="1"/>
  <c r="CE25" i="1"/>
  <c r="CQ24" i="1"/>
  <c r="CP24" i="1"/>
  <c r="CO24" i="1"/>
  <c r="CN24" i="1"/>
  <c r="CL24" i="1"/>
  <c r="CG24" i="1"/>
  <c r="CF24" i="1"/>
  <c r="CE24" i="1"/>
  <c r="CQ23" i="1"/>
  <c r="CP23" i="1"/>
  <c r="CO23" i="1"/>
  <c r="CN23" i="1"/>
  <c r="CL23" i="1"/>
  <c r="CG23" i="1"/>
  <c r="CF23" i="1"/>
  <c r="CE23" i="1"/>
  <c r="CQ22" i="1"/>
  <c r="CP22" i="1"/>
  <c r="CO22" i="1"/>
  <c r="CN22" i="1"/>
  <c r="CL22" i="1"/>
  <c r="CG22" i="1"/>
  <c r="CF22" i="1"/>
  <c r="CE22" i="1"/>
  <c r="CQ21" i="1"/>
  <c r="CP21" i="1"/>
  <c r="CO21" i="1"/>
  <c r="CN21" i="1"/>
  <c r="CL21" i="1"/>
  <c r="CG21" i="1"/>
  <c r="CF21" i="1"/>
  <c r="CE21" i="1"/>
  <c r="CQ20" i="1"/>
  <c r="CP20" i="1"/>
  <c r="CO20" i="1"/>
  <c r="CN20" i="1"/>
  <c r="CL20" i="1"/>
  <c r="CG20" i="1"/>
  <c r="CF20" i="1"/>
  <c r="CE20" i="1"/>
  <c r="CQ19" i="1"/>
  <c r="CP19" i="1"/>
  <c r="CO19" i="1"/>
  <c r="CN19" i="1"/>
  <c r="CL19" i="1"/>
  <c r="CG19" i="1"/>
  <c r="CF19" i="1"/>
  <c r="CE19" i="1"/>
  <c r="CQ18" i="1"/>
  <c r="CP18" i="1"/>
  <c r="CO18" i="1"/>
  <c r="CN18" i="1"/>
  <c r="CL18" i="1"/>
  <c r="CG18" i="1"/>
  <c r="CF18" i="1"/>
  <c r="CE18" i="1"/>
  <c r="CQ17" i="1"/>
  <c r="CP17" i="1"/>
  <c r="CO17" i="1"/>
  <c r="CN17" i="1"/>
  <c r="CL17" i="1"/>
  <c r="CG17" i="1"/>
  <c r="CF17" i="1"/>
  <c r="CE17" i="1"/>
  <c r="CQ16" i="1"/>
  <c r="CP16" i="1"/>
  <c r="CO16" i="1"/>
  <c r="CN16" i="1"/>
  <c r="CL16" i="1"/>
  <c r="CG16" i="1"/>
  <c r="CF16" i="1"/>
  <c r="CE16" i="1"/>
  <c r="CQ15" i="1"/>
  <c r="CP15" i="1"/>
  <c r="CO15" i="1"/>
  <c r="CN15" i="1"/>
  <c r="CL15" i="1"/>
  <c r="CG15" i="1"/>
  <c r="CF15" i="1"/>
  <c r="CE15" i="1"/>
  <c r="CQ14" i="1"/>
  <c r="CP14" i="1"/>
  <c r="CO14" i="1"/>
  <c r="CN14" i="1"/>
  <c r="CL14" i="1"/>
  <c r="CG14" i="1"/>
  <c r="CF14" i="1"/>
  <c r="CE14" i="1"/>
  <c r="CQ13" i="1"/>
  <c r="CP13" i="1"/>
  <c r="CO13" i="1"/>
  <c r="CN13" i="1"/>
  <c r="CL13" i="1"/>
  <c r="CG13" i="1"/>
  <c r="CF13" i="1"/>
  <c r="CE13" i="1"/>
  <c r="CQ12" i="1"/>
  <c r="CP12" i="1"/>
  <c r="CO12" i="1"/>
  <c r="CN12" i="1"/>
  <c r="CL12" i="1"/>
  <c r="CG12" i="1"/>
  <c r="CF12" i="1"/>
  <c r="CE12" i="1"/>
  <c r="CQ11" i="1"/>
  <c r="CP11" i="1"/>
  <c r="CO11" i="1"/>
  <c r="CN11" i="1"/>
  <c r="CL11" i="1"/>
  <c r="CG11" i="1"/>
  <c r="CF11" i="1"/>
  <c r="CE11" i="1"/>
  <c r="CQ10" i="1"/>
  <c r="CP10" i="1"/>
  <c r="CO10" i="1"/>
  <c r="CN10" i="1"/>
  <c r="CL10" i="1"/>
  <c r="CG10" i="1"/>
  <c r="CF10" i="1"/>
  <c r="CE10" i="1"/>
  <c r="CQ9" i="1"/>
  <c r="CP9" i="1"/>
  <c r="CO9" i="1"/>
  <c r="CN9" i="1"/>
  <c r="CL9" i="1"/>
  <c r="CG9" i="1"/>
  <c r="CF9" i="1"/>
  <c r="CE9" i="1"/>
  <c r="CQ8" i="1"/>
  <c r="CP8" i="1"/>
  <c r="CO8" i="1"/>
  <c r="CN8" i="1"/>
  <c r="CL8" i="1"/>
  <c r="CG8" i="1"/>
  <c r="CF8" i="1"/>
  <c r="CE8" i="1"/>
  <c r="CQ7" i="1"/>
  <c r="CP7" i="1"/>
  <c r="CO7" i="1"/>
  <c r="CN7" i="1"/>
  <c r="CL7" i="1"/>
  <c r="CG7" i="1"/>
  <c r="CF7" i="1"/>
  <c r="CE7" i="1"/>
  <c r="CQ6" i="1"/>
  <c r="CP6" i="1"/>
  <c r="CO6" i="1"/>
  <c r="CN6" i="1"/>
  <c r="CL6" i="1"/>
  <c r="CG6" i="1"/>
  <c r="CF6" i="1"/>
  <c r="CE6" i="1"/>
  <c r="CQ5" i="1"/>
  <c r="CP5" i="1"/>
  <c r="CO5" i="1"/>
  <c r="CN5" i="1"/>
  <c r="CL5" i="1"/>
  <c r="CG5" i="1"/>
  <c r="CF5" i="1"/>
  <c r="CE5" i="1"/>
  <c r="CQ4" i="1"/>
  <c r="CP4" i="1"/>
  <c r="CO4" i="1"/>
  <c r="CN4" i="1"/>
  <c r="CL4" i="1"/>
  <c r="CG4" i="1"/>
  <c r="CF4" i="1"/>
  <c r="CE4" i="1"/>
  <c r="CS142" i="1" l="1"/>
  <c r="CS1389" i="1"/>
  <c r="CS1398" i="1"/>
  <c r="CS1401" i="1"/>
  <c r="CS1508" i="1"/>
  <c r="CS1511" i="1"/>
  <c r="CS1523" i="1"/>
  <c r="CS1553" i="1"/>
  <c r="CS81" i="1"/>
  <c r="CS90" i="1"/>
  <c r="CS138" i="1"/>
  <c r="CS189" i="1"/>
  <c r="CS768" i="1"/>
  <c r="CS948" i="1"/>
  <c r="CS966" i="1"/>
  <c r="CS972" i="1"/>
  <c r="CS996" i="1"/>
  <c r="CS1002" i="1"/>
  <c r="CS1050" i="1"/>
  <c r="CS1068" i="1"/>
  <c r="CS1092" i="1"/>
  <c r="CS1098" i="1"/>
  <c r="CS186" i="1"/>
  <c r="CS201" i="1"/>
  <c r="CS1424" i="1"/>
  <c r="CS1445" i="1"/>
  <c r="CS1451" i="1"/>
  <c r="CS1487" i="1"/>
  <c r="CS1514" i="1"/>
  <c r="CS14" i="1"/>
  <c r="CS17" i="1"/>
  <c r="CS23" i="1"/>
  <c r="CS29" i="1"/>
  <c r="CS32" i="1"/>
  <c r="CS38" i="1"/>
  <c r="CS41" i="1"/>
  <c r="CS47" i="1"/>
  <c r="CS56" i="1"/>
  <c r="CS62" i="1"/>
  <c r="CS74" i="1"/>
  <c r="CS1371" i="1"/>
  <c r="CS12" i="1"/>
  <c r="CS1176" i="1"/>
  <c r="CS1194" i="1"/>
  <c r="CS1203" i="1"/>
  <c r="CS1212" i="1"/>
  <c r="CS1227" i="1"/>
  <c r="CS1230" i="1"/>
  <c r="CS1236" i="1"/>
  <c r="CS1242" i="1"/>
  <c r="CS1272" i="1"/>
  <c r="CS1340" i="1"/>
  <c r="CS1350" i="1"/>
  <c r="CS1354" i="1"/>
  <c r="CS1358" i="1"/>
  <c r="CS1362" i="1"/>
  <c r="CS1365" i="1"/>
  <c r="CS185" i="1"/>
  <c r="CS194" i="1"/>
  <c r="CS197" i="1"/>
  <c r="CS200" i="1"/>
  <c r="CS206" i="1"/>
  <c r="CS209" i="1"/>
  <c r="CS236" i="1"/>
  <c r="CS245" i="1"/>
  <c r="CS248" i="1"/>
  <c r="CS284" i="1"/>
  <c r="CS293" i="1"/>
  <c r="CS296" i="1"/>
  <c r="CS305" i="1"/>
  <c r="CS308" i="1"/>
  <c r="CS1339" i="1"/>
  <c r="CS1342" i="1"/>
  <c r="CS1284" i="1"/>
  <c r="CS1290" i="1"/>
  <c r="CS1304" i="1"/>
  <c r="CS1346" i="1"/>
  <c r="CS1537" i="1"/>
  <c r="CS1546" i="1"/>
  <c r="CS16" i="1"/>
  <c r="CS19" i="1"/>
  <c r="CS637" i="1"/>
  <c r="CS1180" i="1"/>
  <c r="CS1183" i="1"/>
  <c r="CS1273" i="1"/>
  <c r="CS1303" i="1"/>
  <c r="CS497" i="1"/>
  <c r="CS500" i="1"/>
  <c r="CS509" i="1"/>
  <c r="CS512" i="1"/>
  <c r="CS569" i="1"/>
  <c r="CS572" i="1"/>
  <c r="CS605" i="1"/>
  <c r="CS608" i="1"/>
  <c r="CS617" i="1"/>
  <c r="CS620" i="1"/>
  <c r="CS1443" i="1"/>
  <c r="CS1467" i="1"/>
  <c r="CS1491" i="1"/>
  <c r="CS1509" i="1"/>
  <c r="CS122" i="1"/>
  <c r="CS641" i="1"/>
  <c r="CS644" i="1"/>
  <c r="CS860" i="1"/>
  <c r="CS863" i="1"/>
  <c r="CS869" i="1"/>
  <c r="CS875" i="1"/>
  <c r="CS878" i="1"/>
  <c r="CS881" i="1"/>
  <c r="CS887" i="1"/>
  <c r="CS902" i="1"/>
  <c r="CS905" i="1"/>
  <c r="CS1148" i="1"/>
  <c r="CS1163" i="1"/>
  <c r="CS1166" i="1"/>
  <c r="CS1169" i="1"/>
  <c r="CS1175" i="1"/>
  <c r="CS1349" i="1"/>
  <c r="CS1353" i="1"/>
  <c r="CS1357" i="1"/>
  <c r="CS1364" i="1"/>
  <c r="CS1373" i="1"/>
  <c r="CS1376" i="1"/>
  <c r="CS1385" i="1"/>
  <c r="CS1388" i="1"/>
  <c r="CS1403" i="1"/>
  <c r="CS220" i="1"/>
  <c r="CS229" i="1"/>
  <c r="CS235" i="1"/>
  <c r="CS271" i="1"/>
  <c r="CS277" i="1"/>
  <c r="CS283" i="1"/>
  <c r="CS286" i="1"/>
  <c r="CS289" i="1"/>
  <c r="CS295" i="1"/>
  <c r="CS298" i="1"/>
  <c r="CS301" i="1"/>
  <c r="CS307" i="1"/>
  <c r="CS445" i="1"/>
  <c r="CS643" i="1"/>
  <c r="CS775" i="1"/>
  <c r="CS799" i="1"/>
  <c r="CS841" i="1"/>
  <c r="CS847" i="1"/>
  <c r="CS850" i="1"/>
  <c r="CS853" i="1"/>
  <c r="CS1057" i="1"/>
  <c r="CS1063" i="1"/>
  <c r="CS1066" i="1"/>
  <c r="CS1081" i="1"/>
  <c r="CS1084" i="1"/>
  <c r="CS1087" i="1"/>
  <c r="CS1090" i="1"/>
  <c r="CS1093" i="1"/>
  <c r="CS1099" i="1"/>
  <c r="CS1105" i="1"/>
  <c r="CS1111" i="1"/>
  <c r="CS1114" i="1"/>
  <c r="CS1117" i="1"/>
  <c r="CS1129" i="1"/>
  <c r="CS1132" i="1"/>
  <c r="CS1135" i="1"/>
  <c r="CS1138" i="1"/>
  <c r="CS1421" i="1"/>
  <c r="CS36" i="1"/>
  <c r="CS39" i="1"/>
  <c r="CS51" i="1"/>
  <c r="CS60" i="1"/>
  <c r="CS63" i="1"/>
  <c r="CS1189" i="1"/>
  <c r="CS1192" i="1"/>
  <c r="CS1204" i="1"/>
  <c r="CS1213" i="1"/>
  <c r="CS1216" i="1"/>
  <c r="CS1219" i="1"/>
  <c r="CS1225" i="1"/>
  <c r="CS1237" i="1"/>
  <c r="CS1240" i="1"/>
  <c r="CS1276" i="1"/>
  <c r="CS1390" i="1"/>
  <c r="CS1507" i="1"/>
  <c r="CS351" i="1"/>
  <c r="CS360" i="1"/>
  <c r="CS405" i="1"/>
  <c r="CS420" i="1"/>
  <c r="CS423" i="1"/>
  <c r="CS432" i="1"/>
  <c r="CS444" i="1"/>
  <c r="CS459" i="1"/>
  <c r="CS468" i="1"/>
  <c r="CS480" i="1"/>
  <c r="CS483" i="1"/>
  <c r="CS492" i="1"/>
  <c r="CS495" i="1"/>
  <c r="CS567" i="1"/>
  <c r="CS576" i="1"/>
  <c r="CS588" i="1"/>
  <c r="CS591" i="1"/>
  <c r="CS600" i="1"/>
  <c r="CS612" i="1"/>
  <c r="CS624" i="1"/>
  <c r="CS627" i="1"/>
  <c r="CS636" i="1"/>
  <c r="CS801" i="1"/>
  <c r="CS804" i="1"/>
  <c r="CS807" i="1"/>
  <c r="CS819" i="1"/>
  <c r="CS834" i="1"/>
  <c r="CS837" i="1"/>
  <c r="CS840" i="1"/>
  <c r="CS843" i="1"/>
  <c r="CS846" i="1"/>
  <c r="CS852" i="1"/>
  <c r="CS1125" i="1"/>
  <c r="CS1140" i="1"/>
  <c r="CS1152" i="1"/>
  <c r="CS1155" i="1"/>
  <c r="CS1173" i="1"/>
  <c r="CS1425" i="1"/>
  <c r="CS37" i="1"/>
  <c r="CS46" i="1"/>
  <c r="CS61" i="1"/>
  <c r="CS76" i="1"/>
  <c r="CS91" i="1"/>
  <c r="CS100" i="1"/>
  <c r="CS115" i="1"/>
  <c r="CS124" i="1"/>
  <c r="CS175" i="1"/>
  <c r="CS184" i="1"/>
  <c r="CS675" i="1"/>
  <c r="CS684" i="1"/>
  <c r="CS696" i="1"/>
  <c r="CS699" i="1"/>
  <c r="CS708" i="1"/>
  <c r="CS711" i="1"/>
  <c r="CS955" i="1"/>
  <c r="CS961" i="1"/>
  <c r="CS967" i="1"/>
  <c r="CS970" i="1"/>
  <c r="CS985" i="1"/>
  <c r="CS988" i="1"/>
  <c r="CS991" i="1"/>
  <c r="CS994" i="1"/>
  <c r="CS1009" i="1"/>
  <c r="CS1015" i="1"/>
  <c r="CS1018" i="1"/>
  <c r="CS1033" i="1"/>
  <c r="CS1036" i="1"/>
  <c r="CS1039" i="1"/>
  <c r="CS1042" i="1"/>
  <c r="CS1250" i="1"/>
  <c r="CS1259" i="1"/>
  <c r="CS1262" i="1"/>
  <c r="CS1271" i="1"/>
  <c r="CS1327" i="1"/>
  <c r="CS1330" i="1"/>
  <c r="CS1361" i="1"/>
  <c r="CS1392" i="1"/>
  <c r="CS1415" i="1"/>
  <c r="CS1503" i="1"/>
  <c r="CS1524" i="1"/>
  <c r="CS1527" i="1"/>
  <c r="CS1530" i="1"/>
  <c r="CS1533" i="1"/>
  <c r="CS1539" i="1"/>
  <c r="CS1545" i="1"/>
  <c r="CS1551" i="1"/>
  <c r="CS18" i="1"/>
  <c r="CS27" i="1"/>
  <c r="CS99" i="1"/>
  <c r="CS108" i="1"/>
  <c r="CS111" i="1"/>
  <c r="CS123" i="1"/>
  <c r="CS132" i="1"/>
  <c r="CS135" i="1"/>
  <c r="CS147" i="1"/>
  <c r="CS156" i="1"/>
  <c r="CS159" i="1"/>
  <c r="CS171" i="1"/>
  <c r="CS183" i="1"/>
  <c r="CS451" i="1"/>
  <c r="CS596" i="1"/>
  <c r="CS713" i="1"/>
  <c r="CS716" i="1"/>
  <c r="CS725" i="1"/>
  <c r="CS728" i="1"/>
  <c r="CS770" i="1"/>
  <c r="CS773" i="1"/>
  <c r="CS912" i="1"/>
  <c r="CS915" i="1"/>
  <c r="CS918" i="1"/>
  <c r="CS933" i="1"/>
  <c r="CS936" i="1"/>
  <c r="CS951" i="1"/>
  <c r="CS1008" i="1"/>
  <c r="CS1011" i="1"/>
  <c r="CS1029" i="1"/>
  <c r="CS1044" i="1"/>
  <c r="CS1147" i="1"/>
  <c r="CS1165" i="1"/>
  <c r="CS1316" i="1"/>
  <c r="CS1329" i="1"/>
  <c r="CS1352" i="1"/>
  <c r="CS1356" i="1"/>
  <c r="CS1360" i="1"/>
  <c r="CS1417" i="1"/>
  <c r="CS536" i="1"/>
  <c r="CS1051" i="1"/>
  <c r="CS1274" i="1"/>
  <c r="CS1367" i="1"/>
  <c r="CS228" i="1"/>
  <c r="CS231" i="1"/>
  <c r="CS373" i="1"/>
  <c r="CS409" i="1"/>
  <c r="CS454" i="1"/>
  <c r="CS457" i="1"/>
  <c r="CS493" i="1"/>
  <c r="CS499" i="1"/>
  <c r="CS535" i="1"/>
  <c r="CS538" i="1"/>
  <c r="CS541" i="1"/>
  <c r="CS547" i="1"/>
  <c r="CS559" i="1"/>
  <c r="CS562" i="1"/>
  <c r="CS565" i="1"/>
  <c r="CS571" i="1"/>
  <c r="CS794" i="1"/>
  <c r="CS797" i="1"/>
  <c r="CS848" i="1"/>
  <c r="CS876" i="1"/>
  <c r="CS900" i="1"/>
  <c r="CS1104" i="1"/>
  <c r="CS1107" i="1"/>
  <c r="CS1439" i="1"/>
  <c r="CS1475" i="1"/>
  <c r="CS792" i="1"/>
  <c r="CS1280" i="1"/>
  <c r="CS1283" i="1"/>
  <c r="CS1286" i="1"/>
  <c r="CS1289" i="1"/>
  <c r="CS1292" i="1"/>
  <c r="CS1375" i="1"/>
  <c r="CS1387" i="1"/>
  <c r="CS1459" i="1"/>
  <c r="CS1477" i="1"/>
  <c r="CS1489" i="1"/>
  <c r="CS137" i="1"/>
  <c r="CS143" i="1"/>
  <c r="CS146" i="1"/>
  <c r="CS152" i="1"/>
  <c r="CS158" i="1"/>
  <c r="CS161" i="1"/>
  <c r="CS170" i="1"/>
  <c r="CS173" i="1"/>
  <c r="CS179" i="1"/>
  <c r="CS447" i="1"/>
  <c r="CS589" i="1"/>
  <c r="CS601" i="1"/>
  <c r="CS625" i="1"/>
  <c r="CS646" i="1"/>
  <c r="CS649" i="1"/>
  <c r="CS655" i="1"/>
  <c r="CS667" i="1"/>
  <c r="CS670" i="1"/>
  <c r="CS673" i="1"/>
  <c r="CS682" i="1"/>
  <c r="CS685" i="1"/>
  <c r="CS691" i="1"/>
  <c r="CS703" i="1"/>
  <c r="CS706" i="1"/>
  <c r="CS709" i="1"/>
  <c r="CS715" i="1"/>
  <c r="CS751" i="1"/>
  <c r="CS754" i="1"/>
  <c r="CS757" i="1"/>
  <c r="CS763" i="1"/>
  <c r="CS766" i="1"/>
  <c r="CS769" i="1"/>
  <c r="CS944" i="1"/>
  <c r="CS950" i="1"/>
  <c r="CS953" i="1"/>
  <c r="CS956" i="1"/>
  <c r="CS959" i="1"/>
  <c r="CS965" i="1"/>
  <c r="CS971" i="1"/>
  <c r="CS974" i="1"/>
  <c r="CS977" i="1"/>
  <c r="CS983" i="1"/>
  <c r="CS992" i="1"/>
  <c r="CS1146" i="1"/>
  <c r="CS1248" i="1"/>
  <c r="CS1263" i="1"/>
  <c r="CS1266" i="1"/>
  <c r="CS1298" i="1"/>
  <c r="CS1315" i="1"/>
  <c r="CS1318" i="1"/>
  <c r="CS1399" i="1"/>
  <c r="CS1552" i="1"/>
  <c r="CS214" i="1"/>
  <c r="CS488" i="1"/>
  <c r="CS98" i="1"/>
  <c r="CS414" i="1"/>
  <c r="CS1046" i="1"/>
  <c r="CS1049" i="1"/>
  <c r="CS1094" i="1"/>
  <c r="CS1100" i="1"/>
  <c r="CS1115" i="1"/>
  <c r="CS1185" i="1"/>
  <c r="CS1191" i="1"/>
  <c r="CS1275" i="1"/>
  <c r="CS1347" i="1"/>
  <c r="CS1368" i="1"/>
  <c r="CS1386" i="1"/>
  <c r="CS1423" i="1"/>
  <c r="CS1519" i="1"/>
  <c r="CS1525" i="1"/>
  <c r="CS205" i="1"/>
  <c r="CS265" i="1"/>
  <c r="CS560" i="1"/>
  <c r="CS13" i="1"/>
  <c r="CS67" i="1"/>
  <c r="CS218" i="1"/>
  <c r="CS272" i="1"/>
  <c r="CS389" i="1"/>
  <c r="CS392" i="1"/>
  <c r="CS398" i="1"/>
  <c r="CS401" i="1"/>
  <c r="CS425" i="1"/>
  <c r="CS428" i="1"/>
  <c r="CS437" i="1"/>
  <c r="CS510" i="1"/>
  <c r="CS522" i="1"/>
  <c r="CS639" i="1"/>
  <c r="CS793" i="1"/>
  <c r="CS829" i="1"/>
  <c r="CS835" i="1"/>
  <c r="CS859" i="1"/>
  <c r="CS865" i="1"/>
  <c r="CS874" i="1"/>
  <c r="CS892" i="1"/>
  <c r="CS895" i="1"/>
  <c r="CS898" i="1"/>
  <c r="CS901" i="1"/>
  <c r="CS1184" i="1"/>
  <c r="CS1187" i="1"/>
  <c r="CS1226" i="1"/>
  <c r="CS1241" i="1"/>
  <c r="CS1305" i="1"/>
  <c r="CS1449" i="1"/>
  <c r="CS1455" i="1"/>
  <c r="CS1473" i="1"/>
  <c r="CS8" i="1"/>
  <c r="CS33" i="1"/>
  <c r="CS42" i="1"/>
  <c r="CS57" i="1"/>
  <c r="CS75" i="1"/>
  <c r="CS84" i="1"/>
  <c r="CS87" i="1"/>
  <c r="CS109" i="1"/>
  <c r="CS187" i="1"/>
  <c r="CS66" i="1"/>
  <c r="CS65" i="1"/>
  <c r="CS71" i="1"/>
  <c r="CS26" i="1"/>
  <c r="CS4" i="1"/>
  <c r="CS10" i="1"/>
  <c r="CS50" i="1"/>
  <c r="CS80" i="1"/>
  <c r="CS86" i="1"/>
  <c r="CS89" i="1"/>
  <c r="CS95" i="1"/>
  <c r="CS105" i="1"/>
  <c r="CS114" i="1"/>
  <c r="CS129" i="1"/>
  <c r="CS28" i="1"/>
  <c r="CS43" i="1"/>
  <c r="CS52" i="1"/>
  <c r="CS104" i="1"/>
  <c r="CS110" i="1"/>
  <c r="CS113" i="1"/>
  <c r="CS119" i="1"/>
  <c r="CS1471" i="1"/>
  <c r="CS15" i="1"/>
  <c r="CS70" i="1"/>
  <c r="CS85" i="1"/>
  <c r="CS94" i="1"/>
  <c r="CS118" i="1"/>
  <c r="CS133" i="1"/>
  <c r="CS148" i="1"/>
  <c r="CS163" i="1"/>
  <c r="CS221" i="1"/>
  <c r="CS224" i="1"/>
  <c r="CS276" i="1"/>
  <c r="CS279" i="1"/>
  <c r="CS288" i="1"/>
  <c r="CS291" i="1"/>
  <c r="CS300" i="1"/>
  <c r="CS376" i="1"/>
  <c r="CS379" i="1"/>
  <c r="CS382" i="1"/>
  <c r="CS385" i="1"/>
  <c r="CS394" i="1"/>
  <c r="CS403" i="1"/>
  <c r="CS412" i="1"/>
  <c r="CS415" i="1"/>
  <c r="CS418" i="1"/>
  <c r="CS421" i="1"/>
  <c r="CS427" i="1"/>
  <c r="CS430" i="1"/>
  <c r="CS433" i="1"/>
  <c r="CS439" i="1"/>
  <c r="CS540" i="1"/>
  <c r="CS552" i="1"/>
  <c r="CS555" i="1"/>
  <c r="CS564" i="1"/>
  <c r="CS610" i="1"/>
  <c r="CS613" i="1"/>
  <c r="CS619" i="1"/>
  <c r="CS631" i="1"/>
  <c r="CS634" i="1"/>
  <c r="CS689" i="1"/>
  <c r="CS692" i="1"/>
  <c r="CS830" i="1"/>
  <c r="CS833" i="1"/>
  <c r="CS839" i="1"/>
  <c r="CS861" i="1"/>
  <c r="CS867" i="1"/>
  <c r="CS882" i="1"/>
  <c r="CS888" i="1"/>
  <c r="CS891" i="1"/>
  <c r="CS894" i="1"/>
  <c r="CS1004" i="1"/>
  <c r="CS1013" i="1"/>
  <c r="CS1019" i="1"/>
  <c r="CS1022" i="1"/>
  <c r="CS1025" i="1"/>
  <c r="CS1031" i="1"/>
  <c r="CS1040" i="1"/>
  <c r="CS1095" i="1"/>
  <c r="CS1123" i="1"/>
  <c r="CS1153" i="1"/>
  <c r="CS1156" i="1"/>
  <c r="CS1159" i="1"/>
  <c r="CS1162" i="1"/>
  <c r="CS1181" i="1"/>
  <c r="CS1208" i="1"/>
  <c r="CS1223" i="1"/>
  <c r="CS1252" i="1"/>
  <c r="CS1264" i="1"/>
  <c r="CS1410" i="1"/>
  <c r="CS1412" i="1"/>
  <c r="CS257" i="1"/>
  <c r="CS260" i="1"/>
  <c r="CS312" i="1"/>
  <c r="CS315" i="1"/>
  <c r="CS324" i="1"/>
  <c r="CS327" i="1"/>
  <c r="CS333" i="1"/>
  <c r="CS339" i="1"/>
  <c r="CS348" i="1"/>
  <c r="CS1535" i="1"/>
  <c r="CS1538" i="1"/>
  <c r="CS1550" i="1"/>
  <c r="CS178" i="1"/>
  <c r="CS211" i="1"/>
  <c r="CS269" i="1"/>
  <c r="CS363" i="1"/>
  <c r="CS372" i="1"/>
  <c r="CS463" i="1"/>
  <c r="CS466" i="1"/>
  <c r="CS469" i="1"/>
  <c r="CS475" i="1"/>
  <c r="CS533" i="1"/>
  <c r="CS603" i="1"/>
  <c r="CS679" i="1"/>
  <c r="CS749" i="1"/>
  <c r="CS752" i="1"/>
  <c r="CS755" i="1"/>
  <c r="CS761" i="1"/>
  <c r="CS777" i="1"/>
  <c r="CS780" i="1"/>
  <c r="CS783" i="1"/>
  <c r="CS805" i="1"/>
  <c r="CS808" i="1"/>
  <c r="CS811" i="1"/>
  <c r="CS814" i="1"/>
  <c r="CS817" i="1"/>
  <c r="CS820" i="1"/>
  <c r="CS823" i="1"/>
  <c r="CS826" i="1"/>
  <c r="CS854" i="1"/>
  <c r="CS857" i="1"/>
  <c r="CS939" i="1"/>
  <c r="CS942" i="1"/>
  <c r="CS997" i="1"/>
  <c r="CS1052" i="1"/>
  <c r="CS1061" i="1"/>
  <c r="CS1067" i="1"/>
  <c r="CS1070" i="1"/>
  <c r="CS1073" i="1"/>
  <c r="CS1079" i="1"/>
  <c r="CS1088" i="1"/>
  <c r="CS1110" i="1"/>
  <c r="CS1116" i="1"/>
  <c r="CS1143" i="1"/>
  <c r="CS1171" i="1"/>
  <c r="CS1174" i="1"/>
  <c r="CS1198" i="1"/>
  <c r="CS1238" i="1"/>
  <c r="CS1245" i="1"/>
  <c r="CS1393" i="1"/>
  <c r="CS1396" i="1"/>
  <c r="CS1407" i="1"/>
  <c r="CS1409" i="1"/>
  <c r="CS1433" i="1"/>
  <c r="CS1461" i="1"/>
  <c r="CS1483" i="1"/>
  <c r="CS1492" i="1"/>
  <c r="CS1495" i="1"/>
  <c r="CS1498" i="1"/>
  <c r="CS1501" i="1"/>
  <c r="CS354" i="1"/>
  <c r="CS375" i="1"/>
  <c r="CS387" i="1"/>
  <c r="CS396" i="1"/>
  <c r="CS408" i="1"/>
  <c r="CS411" i="1"/>
  <c r="CS487" i="1"/>
  <c r="CS490" i="1"/>
  <c r="CS524" i="1"/>
  <c r="CS545" i="1"/>
  <c r="CS548" i="1"/>
  <c r="CS661" i="1"/>
  <c r="CS740" i="1"/>
  <c r="CS924" i="1"/>
  <c r="CS973" i="1"/>
  <c r="CS979" i="1"/>
  <c r="CS1097" i="1"/>
  <c r="CS1186" i="1"/>
  <c r="CS1235" i="1"/>
  <c r="CS1414" i="1"/>
  <c r="CS1419" i="1"/>
  <c r="CS1476" i="1"/>
  <c r="CS1479" i="1"/>
  <c r="CS1482" i="1"/>
  <c r="CS1485" i="1"/>
  <c r="CS128" i="1"/>
  <c r="CS134" i="1"/>
  <c r="CS153" i="1"/>
  <c r="CS162" i="1"/>
  <c r="CS165" i="1"/>
  <c r="CS195" i="1"/>
  <c r="CS204" i="1"/>
  <c r="CS207" i="1"/>
  <c r="CS238" i="1"/>
  <c r="CS241" i="1"/>
  <c r="CS247" i="1"/>
  <c r="CS250" i="1"/>
  <c r="CS253" i="1"/>
  <c r="CS259" i="1"/>
  <c r="CS262" i="1"/>
  <c r="CS320" i="1"/>
  <c r="CS335" i="1"/>
  <c r="CS344" i="1"/>
  <c r="CS353" i="1"/>
  <c r="CS356" i="1"/>
  <c r="CS426" i="1"/>
  <c r="CS438" i="1"/>
  <c r="CS456" i="1"/>
  <c r="CS502" i="1"/>
  <c r="CS511" i="1"/>
  <c r="CS523" i="1"/>
  <c r="CS526" i="1"/>
  <c r="CS581" i="1"/>
  <c r="CS584" i="1"/>
  <c r="CS618" i="1"/>
  <c r="CS630" i="1"/>
  <c r="CS648" i="1"/>
  <c r="CS660" i="1"/>
  <c r="CS663" i="1"/>
  <c r="CS672" i="1"/>
  <c r="CS697" i="1"/>
  <c r="CS718" i="1"/>
  <c r="CS721" i="1"/>
  <c r="CS727" i="1"/>
  <c r="CS739" i="1"/>
  <c r="CS742" i="1"/>
  <c r="CS908" i="1"/>
  <c r="CS911" i="1"/>
  <c r="CS917" i="1"/>
  <c r="CS923" i="1"/>
  <c r="CS926" i="1"/>
  <c r="CS929" i="1"/>
  <c r="CS935" i="1"/>
  <c r="CS957" i="1"/>
  <c r="CS963" i="1"/>
  <c r="CS981" i="1"/>
  <c r="CS984" i="1"/>
  <c r="CS990" i="1"/>
  <c r="CS1021" i="1"/>
  <c r="CS1027" i="1"/>
  <c r="CS1118" i="1"/>
  <c r="CS1121" i="1"/>
  <c r="CS1127" i="1"/>
  <c r="CS1136" i="1"/>
  <c r="CS1158" i="1"/>
  <c r="CS1164" i="1"/>
  <c r="CS1182" i="1"/>
  <c r="CS1228" i="1"/>
  <c r="CS1260" i="1"/>
  <c r="CS1269" i="1"/>
  <c r="CS1295" i="1"/>
  <c r="CS1306" i="1"/>
  <c r="CS1317" i="1"/>
  <c r="CS1328" i="1"/>
  <c r="CS1404" i="1"/>
  <c r="CS1406" i="1"/>
  <c r="CS1426" i="1"/>
  <c r="CS1428" i="1"/>
  <c r="CS1457" i="1"/>
  <c r="CS174" i="1"/>
  <c r="CS365" i="1"/>
  <c r="CS368" i="1"/>
  <c r="CS450" i="1"/>
  <c r="CS642" i="1"/>
  <c r="CS999" i="1"/>
  <c r="CS1142" i="1"/>
  <c r="CS1145" i="1"/>
  <c r="CS1418" i="1"/>
  <c r="CS1435" i="1"/>
  <c r="CS1460" i="1"/>
  <c r="CS1463" i="1"/>
  <c r="CS1466" i="1"/>
  <c r="CS1469" i="1"/>
  <c r="CS1497" i="1"/>
  <c r="CS1430" i="1"/>
  <c r="CS1441" i="1"/>
  <c r="CS1534" i="1"/>
  <c r="CS210" i="1"/>
  <c r="CS462" i="1"/>
  <c r="CS828" i="1"/>
  <c r="CS1069" i="1"/>
  <c r="CS1075" i="1"/>
  <c r="CS1338" i="1"/>
  <c r="CS1341" i="1"/>
  <c r="CS1345" i="1"/>
  <c r="CS1395" i="1"/>
  <c r="CS1444" i="1"/>
  <c r="CS1447" i="1"/>
  <c r="CS1450" i="1"/>
  <c r="CS1453" i="1"/>
  <c r="CS1481" i="1"/>
  <c r="CS1515" i="1"/>
  <c r="CS225" i="1"/>
  <c r="CS240" i="1"/>
  <c r="CS243" i="1"/>
  <c r="CS252" i="1"/>
  <c r="CS255" i="1"/>
  <c r="CS264" i="1"/>
  <c r="CS313" i="1"/>
  <c r="CS319" i="1"/>
  <c r="CS322" i="1"/>
  <c r="CS331" i="1"/>
  <c r="CS337" i="1"/>
  <c r="CS340" i="1"/>
  <c r="CS343" i="1"/>
  <c r="CS346" i="1"/>
  <c r="CS349" i="1"/>
  <c r="CS358" i="1"/>
  <c r="CS380" i="1"/>
  <c r="CS416" i="1"/>
  <c r="CS504" i="1"/>
  <c r="CS516" i="1"/>
  <c r="CS519" i="1"/>
  <c r="CS528" i="1"/>
  <c r="CS553" i="1"/>
  <c r="CS574" i="1"/>
  <c r="CS577" i="1"/>
  <c r="CS583" i="1"/>
  <c r="CS595" i="1"/>
  <c r="CS598" i="1"/>
  <c r="CS632" i="1"/>
  <c r="CS653" i="1"/>
  <c r="CS656" i="1"/>
  <c r="CS720" i="1"/>
  <c r="CS732" i="1"/>
  <c r="CS735" i="1"/>
  <c r="CS744" i="1"/>
  <c r="CS877" i="1"/>
  <c r="CS883" i="1"/>
  <c r="CS913" i="1"/>
  <c r="CS922" i="1"/>
  <c r="CS1020" i="1"/>
  <c r="CS1032" i="1"/>
  <c r="CS1047" i="1"/>
  <c r="CS1209" i="1"/>
  <c r="CS1218" i="1"/>
  <c r="CS1221" i="1"/>
  <c r="CS1224" i="1"/>
  <c r="CS1366" i="1"/>
  <c r="CS139" i="1"/>
  <c r="CS182" i="1"/>
  <c r="CS215" i="1"/>
  <c r="CS367" i="1"/>
  <c r="CS461" i="1"/>
  <c r="CS464" i="1"/>
  <c r="CS473" i="1"/>
  <c r="CS531" i="1"/>
  <c r="CS607" i="1"/>
  <c r="CS677" i="1"/>
  <c r="CS747" i="1"/>
  <c r="CS756" i="1"/>
  <c r="CS759" i="1"/>
  <c r="CS762" i="1"/>
  <c r="CS781" i="1"/>
  <c r="CS787" i="1"/>
  <c r="CS790" i="1"/>
  <c r="CS812" i="1"/>
  <c r="CS815" i="1"/>
  <c r="CS821" i="1"/>
  <c r="CS827" i="1"/>
  <c r="CS855" i="1"/>
  <c r="CS937" i="1"/>
  <c r="CS943" i="1"/>
  <c r="CS946" i="1"/>
  <c r="CS998" i="1"/>
  <c r="CS1001" i="1"/>
  <c r="CS1053" i="1"/>
  <c r="CS1056" i="1"/>
  <c r="CS1059" i="1"/>
  <c r="CS1077" i="1"/>
  <c r="CS1080" i="1"/>
  <c r="CS1141" i="1"/>
  <c r="CS1193" i="1"/>
  <c r="CS1239" i="1"/>
  <c r="CS1249" i="1"/>
  <c r="CS1351" i="1"/>
  <c r="CS1355" i="1"/>
  <c r="CS1359" i="1"/>
  <c r="CS1363" i="1"/>
  <c r="CS1369" i="1"/>
  <c r="CS1372" i="1"/>
  <c r="CS1381" i="1"/>
  <c r="CS1384" i="1"/>
  <c r="CS1397" i="1"/>
  <c r="CS1400" i="1"/>
  <c r="CS1422" i="1"/>
  <c r="CS1434" i="1"/>
  <c r="CS1437" i="1"/>
  <c r="CS1465" i="1"/>
  <c r="CS167" i="1"/>
  <c r="CS188" i="1"/>
  <c r="CS208" i="1"/>
  <c r="CS328" i="1"/>
  <c r="CS341" i="1"/>
  <c r="CS361" i="1"/>
  <c r="CS30" i="1"/>
  <c r="CS35" i="1"/>
  <c r="CS48" i="1"/>
  <c r="CS49" i="1"/>
  <c r="CS55" i="1"/>
  <c r="CS68" i="1"/>
  <c r="CS69" i="1"/>
  <c r="CS82" i="1"/>
  <c r="CS88" i="1"/>
  <c r="CS101" i="1"/>
  <c r="CS102" i="1"/>
  <c r="CS107" i="1"/>
  <c r="CS120" i="1"/>
  <c r="CS121" i="1"/>
  <c r="CS127" i="1"/>
  <c r="CS140" i="1"/>
  <c r="CS141" i="1"/>
  <c r="CS154" i="1"/>
  <c r="CS160" i="1"/>
  <c r="CS180" i="1"/>
  <c r="CS181" i="1"/>
  <c r="CS202" i="1"/>
  <c r="CS222" i="1"/>
  <c r="CS227" i="1"/>
  <c r="CS234" i="1"/>
  <c r="CS242" i="1"/>
  <c r="CS249" i="1"/>
  <c r="CS256" i="1"/>
  <c r="CS263" i="1"/>
  <c r="CS270" i="1"/>
  <c r="CS278" i="1"/>
  <c r="CS285" i="1"/>
  <c r="CS292" i="1"/>
  <c r="CS299" i="1"/>
  <c r="CS306" i="1"/>
  <c r="CS314" i="1"/>
  <c r="CS321" i="1"/>
  <c r="CS334" i="1"/>
  <c r="CS347" i="1"/>
  <c r="CS419" i="1"/>
  <c r="CS476" i="1"/>
  <c r="CS166" i="1"/>
  <c r="CS172" i="1"/>
  <c r="CS192" i="1"/>
  <c r="CS193" i="1"/>
  <c r="CS219" i="1"/>
  <c r="CS326" i="1"/>
  <c r="CS391" i="1"/>
  <c r="CS22" i="1"/>
  <c r="CS72" i="1"/>
  <c r="CS79" i="1"/>
  <c r="CS92" i="1"/>
  <c r="CS93" i="1"/>
  <c r="CS106" i="1"/>
  <c r="CS112" i="1"/>
  <c r="CS125" i="1"/>
  <c r="CS126" i="1"/>
  <c r="CS131" i="1"/>
  <c r="CS144" i="1"/>
  <c r="CS145" i="1"/>
  <c r="CS151" i="1"/>
  <c r="CS199" i="1"/>
  <c r="CS212" i="1"/>
  <c r="CS213" i="1"/>
  <c r="CS232" i="1"/>
  <c r="CS239" i="1"/>
  <c r="CS246" i="1"/>
  <c r="CS254" i="1"/>
  <c r="CS261" i="1"/>
  <c r="CS268" i="1"/>
  <c r="CS275" i="1"/>
  <c r="CS282" i="1"/>
  <c r="CS290" i="1"/>
  <c r="CS297" i="1"/>
  <c r="CS304" i="1"/>
  <c r="CS311" i="1"/>
  <c r="CS318" i="1"/>
  <c r="CS332" i="1"/>
  <c r="CS384" i="1"/>
  <c r="CS404" i="1"/>
  <c r="CS9" i="1"/>
  <c r="CS7" i="1"/>
  <c r="CS20" i="1"/>
  <c r="CS21" i="1"/>
  <c r="CS34" i="1"/>
  <c r="CS40" i="1"/>
  <c r="CS53" i="1"/>
  <c r="CS54" i="1"/>
  <c r="CS59" i="1"/>
  <c r="CS73" i="1"/>
  <c r="CS164" i="1"/>
  <c r="CS191" i="1"/>
  <c r="CS325" i="1"/>
  <c r="CS390" i="1"/>
  <c r="CS397" i="1"/>
  <c r="CS267" i="1"/>
  <c r="CS274" i="1"/>
  <c r="CS281" i="1"/>
  <c r="CS303" i="1"/>
  <c r="CS310" i="1"/>
  <c r="CS317" i="1"/>
  <c r="CS370" i="1"/>
  <c r="CS383" i="1"/>
  <c r="CS505" i="1"/>
  <c r="CS5" i="1"/>
  <c r="CS6" i="1"/>
  <c r="CS11" i="1"/>
  <c r="CS77" i="1"/>
  <c r="CS96" i="1"/>
  <c r="CS103" i="1"/>
  <c r="CS116" i="1"/>
  <c r="CS130" i="1"/>
  <c r="CS136" i="1"/>
  <c r="CS149" i="1"/>
  <c r="CS150" i="1"/>
  <c r="CS155" i="1"/>
  <c r="CS176" i="1"/>
  <c r="CS177" i="1"/>
  <c r="CS198" i="1"/>
  <c r="CS203" i="1"/>
  <c r="CS216" i="1"/>
  <c r="CS217" i="1"/>
  <c r="CS223" i="1"/>
  <c r="CS230" i="1"/>
  <c r="CS237" i="1"/>
  <c r="CS244" i="1"/>
  <c r="CS251" i="1"/>
  <c r="CS258" i="1"/>
  <c r="CS266" i="1"/>
  <c r="CS273" i="1"/>
  <c r="CS280" i="1"/>
  <c r="CS287" i="1"/>
  <c r="CS294" i="1"/>
  <c r="CS302" i="1"/>
  <c r="CS309" i="1"/>
  <c r="CS316" i="1"/>
  <c r="CS336" i="1"/>
  <c r="CS369" i="1"/>
  <c r="CS440" i="1"/>
  <c r="CS24" i="1"/>
  <c r="CS25" i="1"/>
  <c r="CS31" i="1"/>
  <c r="CS44" i="1"/>
  <c r="CS45" i="1"/>
  <c r="CS58" i="1"/>
  <c r="CS64" i="1"/>
  <c r="CS78" i="1"/>
  <c r="CS83" i="1"/>
  <c r="CS97" i="1"/>
  <c r="CS117" i="1"/>
  <c r="CS168" i="1"/>
  <c r="CS169" i="1"/>
  <c r="CS190" i="1"/>
  <c r="CS196" i="1"/>
  <c r="CS329" i="1"/>
  <c r="CS355" i="1"/>
  <c r="CS362" i="1"/>
  <c r="CS758" i="1"/>
  <c r="CS765" i="1"/>
  <c r="CS772" i="1"/>
  <c r="CS779" i="1"/>
  <c r="CS785" i="1"/>
  <c r="CS786" i="1"/>
  <c r="CS791" i="1"/>
  <c r="CS798" i="1"/>
  <c r="CS806" i="1"/>
  <c r="CS813" i="1"/>
  <c r="CS871" i="1"/>
  <c r="CS890" i="1"/>
  <c r="CS910" i="1"/>
  <c r="CS916" i="1"/>
  <c r="CS986" i="1"/>
  <c r="CS1006" i="1"/>
  <c r="CS1012" i="1"/>
  <c r="CS1082" i="1"/>
  <c r="CS1108" i="1"/>
  <c r="CS1190" i="1"/>
  <c r="CS1243" i="1"/>
  <c r="CS1251" i="1"/>
  <c r="CS1258" i="1"/>
  <c r="CS434" i="1"/>
  <c r="CS441" i="1"/>
  <c r="CS448" i="1"/>
  <c r="CS455" i="1"/>
  <c r="CS470" i="1"/>
  <c r="CS477" i="1"/>
  <c r="CS484" i="1"/>
  <c r="CS491" i="1"/>
  <c r="CS498" i="1"/>
  <c r="CS506" i="1"/>
  <c r="CS513" i="1"/>
  <c r="CS520" i="1"/>
  <c r="CS527" i="1"/>
  <c r="CS534" i="1"/>
  <c r="CS542" i="1"/>
  <c r="CS549" i="1"/>
  <c r="CS556" i="1"/>
  <c r="CS563" i="1"/>
  <c r="CS570" i="1"/>
  <c r="CS578" i="1"/>
  <c r="CS585" i="1"/>
  <c r="CS592" i="1"/>
  <c r="CS599" i="1"/>
  <c r="CS606" i="1"/>
  <c r="CS614" i="1"/>
  <c r="CS621" i="1"/>
  <c r="CS628" i="1"/>
  <c r="CS635" i="1"/>
  <c r="CS650" i="1"/>
  <c r="CS657" i="1"/>
  <c r="CS664" i="1"/>
  <c r="CS671" i="1"/>
  <c r="CS678" i="1"/>
  <c r="CS686" i="1"/>
  <c r="CS693" i="1"/>
  <c r="CS700" i="1"/>
  <c r="CS707" i="1"/>
  <c r="CS714" i="1"/>
  <c r="CS722" i="1"/>
  <c r="CS729" i="1"/>
  <c r="CS736" i="1"/>
  <c r="CS743" i="1"/>
  <c r="CS750" i="1"/>
  <c r="CS896" i="1"/>
  <c r="CS903" i="1"/>
  <c r="CS1177" i="1"/>
  <c r="CS1377" i="1"/>
  <c r="CS1380" i="1"/>
  <c r="CS771" i="1"/>
  <c r="CS778" i="1"/>
  <c r="CS784" i="1"/>
  <c r="CS844" i="1"/>
  <c r="CS864" i="1"/>
  <c r="CS870" i="1"/>
  <c r="CS889" i="1"/>
  <c r="CS909" i="1"/>
  <c r="CS940" i="1"/>
  <c r="CS960" i="1"/>
  <c r="CS1005" i="1"/>
  <c r="CS1101" i="1"/>
  <c r="CS1540" i="1"/>
  <c r="CS323" i="1"/>
  <c r="CS330" i="1"/>
  <c r="CS338" i="1"/>
  <c r="CS345" i="1"/>
  <c r="CS352" i="1"/>
  <c r="CS359" i="1"/>
  <c r="CS366" i="1"/>
  <c r="CS374" i="1"/>
  <c r="CS381" i="1"/>
  <c r="CS388" i="1"/>
  <c r="CS395" i="1"/>
  <c r="CS402" i="1"/>
  <c r="CS410" i="1"/>
  <c r="CS417" i="1"/>
  <c r="CS424" i="1"/>
  <c r="CS431" i="1"/>
  <c r="CS446" i="1"/>
  <c r="CS453" i="1"/>
  <c r="CS460" i="1"/>
  <c r="CS467" i="1"/>
  <c r="CS474" i="1"/>
  <c r="CS482" i="1"/>
  <c r="CS489" i="1"/>
  <c r="CS496" i="1"/>
  <c r="CS503" i="1"/>
  <c r="CS518" i="1"/>
  <c r="CS525" i="1"/>
  <c r="CS532" i="1"/>
  <c r="CS539" i="1"/>
  <c r="CS546" i="1"/>
  <c r="CS554" i="1"/>
  <c r="CS561" i="1"/>
  <c r="CS568" i="1"/>
  <c r="CS575" i="1"/>
  <c r="CS582" i="1"/>
  <c r="CS590" i="1"/>
  <c r="CS597" i="1"/>
  <c r="CS604" i="1"/>
  <c r="CS611" i="1"/>
  <c r="CS626" i="1"/>
  <c r="CS633" i="1"/>
  <c r="CS640" i="1"/>
  <c r="CS647" i="1"/>
  <c r="CS654" i="1"/>
  <c r="CS662" i="1"/>
  <c r="CS669" i="1"/>
  <c r="CS676" i="1"/>
  <c r="CS683" i="1"/>
  <c r="CS690" i="1"/>
  <c r="CS698" i="1"/>
  <c r="CS705" i="1"/>
  <c r="CS712" i="1"/>
  <c r="CS719" i="1"/>
  <c r="CS726" i="1"/>
  <c r="CS734" i="1"/>
  <c r="CS741" i="1"/>
  <c r="CS748" i="1"/>
  <c r="CS836" i="1"/>
  <c r="CS932" i="1"/>
  <c r="CS978" i="1"/>
  <c r="CS788" i="1"/>
  <c r="CS795" i="1"/>
  <c r="CS802" i="1"/>
  <c r="CS809" i="1"/>
  <c r="CS816" i="1"/>
  <c r="CS822" i="1"/>
  <c r="CS842" i="1"/>
  <c r="CS862" i="1"/>
  <c r="CS868" i="1"/>
  <c r="CS919" i="1"/>
  <c r="CS938" i="1"/>
  <c r="CS958" i="1"/>
  <c r="CS964" i="1"/>
  <c r="CS1034" i="1"/>
  <c r="CS1054" i="1"/>
  <c r="CS1060" i="1"/>
  <c r="CS1149" i="1"/>
  <c r="CS342" i="1"/>
  <c r="CS350" i="1"/>
  <c r="CS357" i="1"/>
  <c r="CS364" i="1"/>
  <c r="CS371" i="1"/>
  <c r="CS378" i="1"/>
  <c r="CS386" i="1"/>
  <c r="CS393" i="1"/>
  <c r="CS400" i="1"/>
  <c r="CS407" i="1"/>
  <c r="CS422" i="1"/>
  <c r="CS429" i="1"/>
  <c r="CS436" i="1"/>
  <c r="CS443" i="1"/>
  <c r="CS458" i="1"/>
  <c r="CS465" i="1"/>
  <c r="CS472" i="1"/>
  <c r="CS479" i="1"/>
  <c r="CS486" i="1"/>
  <c r="CS494" i="1"/>
  <c r="CS501" i="1"/>
  <c r="CS508" i="1"/>
  <c r="CS515" i="1"/>
  <c r="CS530" i="1"/>
  <c r="CS537" i="1"/>
  <c r="CS544" i="1"/>
  <c r="CS551" i="1"/>
  <c r="CS558" i="1"/>
  <c r="CS566" i="1"/>
  <c r="CS573" i="1"/>
  <c r="CS580" i="1"/>
  <c r="CS587" i="1"/>
  <c r="CS594" i="1"/>
  <c r="CS602" i="1"/>
  <c r="CS609" i="1"/>
  <c r="CS616" i="1"/>
  <c r="CS623" i="1"/>
  <c r="CS638" i="1"/>
  <c r="CS645" i="1"/>
  <c r="CS652" i="1"/>
  <c r="CS659" i="1"/>
  <c r="CS666" i="1"/>
  <c r="CS674" i="1"/>
  <c r="CS681" i="1"/>
  <c r="CS688" i="1"/>
  <c r="CS695" i="1"/>
  <c r="CS702" i="1"/>
  <c r="CS710" i="1"/>
  <c r="CS717" i="1"/>
  <c r="CS724" i="1"/>
  <c r="CS731" i="1"/>
  <c r="CS738" i="1"/>
  <c r="CS746" i="1"/>
  <c r="CS885" i="1"/>
  <c r="CS930" i="1"/>
  <c r="CS1128" i="1"/>
  <c r="CS1205" i="1"/>
  <c r="CS1211" i="1"/>
  <c r="CS1348" i="1"/>
  <c r="CS1427" i="1"/>
  <c r="CS1499" i="1"/>
  <c r="CS377" i="1"/>
  <c r="CS399" i="1"/>
  <c r="CS406" i="1"/>
  <c r="CS413" i="1"/>
  <c r="CS435" i="1"/>
  <c r="CS442" i="1"/>
  <c r="CS449" i="1"/>
  <c r="CS471" i="1"/>
  <c r="CS478" i="1"/>
  <c r="CS485" i="1"/>
  <c r="CS507" i="1"/>
  <c r="CS514" i="1"/>
  <c r="CS521" i="1"/>
  <c r="CS543" i="1"/>
  <c r="CS550" i="1"/>
  <c r="CS557" i="1"/>
  <c r="CS579" i="1"/>
  <c r="CS586" i="1"/>
  <c r="CS593" i="1"/>
  <c r="CS615" i="1"/>
  <c r="CS622" i="1"/>
  <c r="CS629" i="1"/>
  <c r="CS651" i="1"/>
  <c r="CS658" i="1"/>
  <c r="CS665" i="1"/>
  <c r="CS687" i="1"/>
  <c r="CS694" i="1"/>
  <c r="CS701" i="1"/>
  <c r="CS723" i="1"/>
  <c r="CS730" i="1"/>
  <c r="CS737" i="1"/>
  <c r="CS884" i="1"/>
  <c r="CS1197" i="1"/>
  <c r="CS1102" i="1"/>
  <c r="CS1109" i="1"/>
  <c r="CS1130" i="1"/>
  <c r="CS1150" i="1"/>
  <c r="CS1157" i="1"/>
  <c r="CS1178" i="1"/>
  <c r="CS1199" i="1"/>
  <c r="CS1206" i="1"/>
  <c r="CS1244" i="1"/>
  <c r="CS1253" i="1"/>
  <c r="CS1268" i="1"/>
  <c r="CS1277" i="1"/>
  <c r="CS1307" i="1"/>
  <c r="CS1319" i="1"/>
  <c r="CS1331" i="1"/>
  <c r="CS1343" i="1"/>
  <c r="CS1370" i="1"/>
  <c r="CS1391" i="1"/>
  <c r="CS1394" i="1"/>
  <c r="CS1438" i="1"/>
  <c r="CS1454" i="1"/>
  <c r="CS1470" i="1"/>
  <c r="CS1486" i="1"/>
  <c r="CS1502" i="1"/>
  <c r="CS1518" i="1"/>
  <c r="CS1547" i="1"/>
  <c r="CS1026" i="1"/>
  <c r="CS1074" i="1"/>
  <c r="CS1122" i="1"/>
  <c r="CS1170" i="1"/>
  <c r="CS1234" i="1"/>
  <c r="CS1411" i="1"/>
  <c r="CS1505" i="1"/>
  <c r="CS1521" i="1"/>
  <c r="CS1383" i="1"/>
  <c r="CS1416" i="1"/>
  <c r="CS1544" i="1"/>
  <c r="CS825" i="1"/>
  <c r="CS832" i="1"/>
  <c r="CS873" i="1"/>
  <c r="CS880" i="1"/>
  <c r="CS921" i="1"/>
  <c r="CS928" i="1"/>
  <c r="CS969" i="1"/>
  <c r="CS976" i="1"/>
  <c r="CS1017" i="1"/>
  <c r="CS1024" i="1"/>
  <c r="CS1065" i="1"/>
  <c r="CS1072" i="1"/>
  <c r="CS1113" i="1"/>
  <c r="CS1120" i="1"/>
  <c r="CS1161" i="1"/>
  <c r="CS1168" i="1"/>
  <c r="CS1232" i="1"/>
  <c r="CS1233" i="1"/>
  <c r="CS1282" i="1"/>
  <c r="CS1288" i="1"/>
  <c r="CS1302" i="1"/>
  <c r="CS1314" i="1"/>
  <c r="CS1326" i="1"/>
  <c r="CS1408" i="1"/>
  <c r="CS1440" i="1"/>
  <c r="CS1456" i="1"/>
  <c r="CS1472" i="1"/>
  <c r="CS1488" i="1"/>
  <c r="CS1504" i="1"/>
  <c r="CS1520" i="1"/>
  <c r="CS753" i="1"/>
  <c r="CS760" i="1"/>
  <c r="CS767" i="1"/>
  <c r="CS774" i="1"/>
  <c r="CS782" i="1"/>
  <c r="CS789" i="1"/>
  <c r="CS796" i="1"/>
  <c r="CS803" i="1"/>
  <c r="CS810" i="1"/>
  <c r="CS818" i="1"/>
  <c r="CS838" i="1"/>
  <c r="CS845" i="1"/>
  <c r="CS866" i="1"/>
  <c r="CS886" i="1"/>
  <c r="CS893" i="1"/>
  <c r="CS914" i="1"/>
  <c r="CS934" i="1"/>
  <c r="CS941" i="1"/>
  <c r="CS962" i="1"/>
  <c r="CS982" i="1"/>
  <c r="CS989" i="1"/>
  <c r="CS1010" i="1"/>
  <c r="CS1030" i="1"/>
  <c r="CS1037" i="1"/>
  <c r="CS1038" i="1"/>
  <c r="CS1058" i="1"/>
  <c r="CS1078" i="1"/>
  <c r="CS1085" i="1"/>
  <c r="CS1086" i="1"/>
  <c r="CS1106" i="1"/>
  <c r="CS1126" i="1"/>
  <c r="CS1133" i="1"/>
  <c r="CS1134" i="1"/>
  <c r="CS1154" i="1"/>
  <c r="CS1188" i="1"/>
  <c r="CS1195" i="1"/>
  <c r="CS1210" i="1"/>
  <c r="CS1256" i="1"/>
  <c r="CS1257" i="1"/>
  <c r="CS1265" i="1"/>
  <c r="CS1294" i="1"/>
  <c r="CS1301" i="1"/>
  <c r="CS1313" i="1"/>
  <c r="CS1325" i="1"/>
  <c r="CS1337" i="1"/>
  <c r="CS1379" i="1"/>
  <c r="CS1382" i="1"/>
  <c r="CS1413" i="1"/>
  <c r="CS1429" i="1"/>
  <c r="CS1446" i="1"/>
  <c r="CS1462" i="1"/>
  <c r="CS1494" i="1"/>
  <c r="CS1510" i="1"/>
  <c r="CS1517" i="1"/>
  <c r="CS1526" i="1"/>
  <c r="CS1536" i="1"/>
  <c r="CS1543" i="1"/>
  <c r="CS824" i="1"/>
  <c r="CS831" i="1"/>
  <c r="CS851" i="1"/>
  <c r="CS858" i="1"/>
  <c r="CS872" i="1"/>
  <c r="CS879" i="1"/>
  <c r="CS899" i="1"/>
  <c r="CS906" i="1"/>
  <c r="CS920" i="1"/>
  <c r="CS927" i="1"/>
  <c r="CS947" i="1"/>
  <c r="CS954" i="1"/>
  <c r="CS968" i="1"/>
  <c r="CS975" i="1"/>
  <c r="CS995" i="1"/>
  <c r="CS1016" i="1"/>
  <c r="CS1023" i="1"/>
  <c r="CS1043" i="1"/>
  <c r="CS1064" i="1"/>
  <c r="CS1071" i="1"/>
  <c r="CS1091" i="1"/>
  <c r="CS1112" i="1"/>
  <c r="CS1119" i="1"/>
  <c r="CS1139" i="1"/>
  <c r="CS1160" i="1"/>
  <c r="CS1167" i="1"/>
  <c r="CS1231" i="1"/>
  <c r="CS1281" i="1"/>
  <c r="CS1287" i="1"/>
  <c r="CS1293" i="1"/>
  <c r="CS1300" i="1"/>
  <c r="CS1312" i="1"/>
  <c r="CS1324" i="1"/>
  <c r="CS1336" i="1"/>
  <c r="CS1311" i="1"/>
  <c r="CS1323" i="1"/>
  <c r="CS1335" i="1"/>
  <c r="CS1378" i="1"/>
  <c r="CS1402" i="1"/>
  <c r="CS1436" i="1"/>
  <c r="CS1452" i="1"/>
  <c r="CS1468" i="1"/>
  <c r="CS1484" i="1"/>
  <c r="CS1500" i="1"/>
  <c r="CS1516" i="1"/>
  <c r="CS1542" i="1"/>
  <c r="CS1549" i="1"/>
  <c r="CS1310" i="1"/>
  <c r="CS1322" i="1"/>
  <c r="CS1334" i="1"/>
  <c r="CS1420" i="1"/>
  <c r="CS1442" i="1"/>
  <c r="CS1458" i="1"/>
  <c r="CS1474" i="1"/>
  <c r="CS1490" i="1"/>
  <c r="CS1506" i="1"/>
  <c r="CS1513" i="1"/>
  <c r="CS1522" i="1"/>
  <c r="CS1529" i="1"/>
  <c r="CS980" i="1"/>
  <c r="CS987" i="1"/>
  <c r="CS1007" i="1"/>
  <c r="CS1014" i="1"/>
  <c r="CS1028" i="1"/>
  <c r="CS1035" i="1"/>
  <c r="CS1055" i="1"/>
  <c r="CS1062" i="1"/>
  <c r="CS1076" i="1"/>
  <c r="CS1083" i="1"/>
  <c r="CS1103" i="1"/>
  <c r="CS1124" i="1"/>
  <c r="CS1131" i="1"/>
  <c r="CS1151" i="1"/>
  <c r="CS1172" i="1"/>
  <c r="CS1179" i="1"/>
  <c r="CS1200" i="1"/>
  <c r="CS1201" i="1"/>
  <c r="CS1215" i="1"/>
  <c r="CS1246" i="1"/>
  <c r="CS1254" i="1"/>
  <c r="CS1270" i="1"/>
  <c r="CS1278" i="1"/>
  <c r="CS1309" i="1"/>
  <c r="CS1321" i="1"/>
  <c r="CS1333" i="1"/>
  <c r="CS1374" i="1"/>
  <c r="CS1493" i="1"/>
  <c r="CS1541" i="1"/>
  <c r="CS1548" i="1"/>
  <c r="CS849" i="1"/>
  <c r="CS856" i="1"/>
  <c r="CS897" i="1"/>
  <c r="CS904" i="1"/>
  <c r="CS945" i="1"/>
  <c r="CS952" i="1"/>
  <c r="CS993" i="1"/>
  <c r="CS1000" i="1"/>
  <c r="CS1041" i="1"/>
  <c r="CS1048" i="1"/>
  <c r="CS1089" i="1"/>
  <c r="CS1096" i="1"/>
  <c r="CS1137" i="1"/>
  <c r="CS1144" i="1"/>
  <c r="CS1222" i="1"/>
  <c r="CS1229" i="1"/>
  <c r="CS1285" i="1"/>
  <c r="CS1291" i="1"/>
  <c r="CS1308" i="1"/>
  <c r="CS1320" i="1"/>
  <c r="CS1332" i="1"/>
  <c r="CS1344" i="1"/>
  <c r="CS1432" i="1"/>
  <c r="CS1448" i="1"/>
  <c r="CS1464" i="1"/>
  <c r="CS1480" i="1"/>
  <c r="CS1496" i="1"/>
  <c r="CS1512" i="1"/>
  <c r="CS1528" i="1"/>
  <c r="CS226" i="1"/>
  <c r="CS233" i="1"/>
  <c r="CS1196" i="1"/>
  <c r="CS1207" i="1"/>
  <c r="CS1267" i="1"/>
  <c r="CS1255" i="1"/>
  <c r="CS1299" i="1"/>
  <c r="CS1220" i="1"/>
  <c r="CS129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Elle Lashko</author>
  </authors>
  <commentList>
    <comment ref="O3" authorId="0" shapeId="0" xr:uid="{D7F400C1-15C4-48A4-A31B-CDFEFECE6BA8}">
      <text>
        <r>
          <rPr>
            <b/>
            <sz val="9"/>
            <color indexed="81"/>
            <rFont val="Tahoma"/>
            <family val="2"/>
          </rPr>
          <t>Elle Lashko:</t>
        </r>
        <r>
          <rPr>
            <sz val="9"/>
            <color indexed="81"/>
            <rFont val="Tahoma"/>
            <family val="2"/>
          </rPr>
          <t xml:space="preserve">
Why the project was setup, what are its aims, links to other projects, time it occurred.</t>
        </r>
      </text>
    </comment>
    <comment ref="P3" authorId="0" shapeId="0" xr:uid="{4292EC58-E40F-42CA-9C75-D03B1E4C6028}">
      <text>
        <r>
          <rPr>
            <b/>
            <sz val="9"/>
            <color indexed="81"/>
            <rFont val="Tahoma"/>
            <family val="2"/>
          </rPr>
          <t>Elle Lashko:</t>
        </r>
        <r>
          <rPr>
            <sz val="9"/>
            <color indexed="81"/>
            <rFont val="Tahoma"/>
            <family val="2"/>
          </rPr>
          <t xml:space="preserve">
Only infilled if there is a development plan presented.
Include, no. of wells, injection profile etc</t>
        </r>
      </text>
    </comment>
    <comment ref="AH3" authorId="0" shapeId="0" xr:uid="{5E406EC8-8E48-4EA3-857A-C18DCB1239D7}">
      <text>
        <r>
          <rPr>
            <b/>
            <sz val="9"/>
            <color indexed="81"/>
            <rFont val="Tahoma"/>
            <family val="2"/>
          </rPr>
          <t>Elle Lashko:</t>
        </r>
        <r>
          <rPr>
            <sz val="9"/>
            <color indexed="81"/>
            <rFont val="Tahoma"/>
            <family val="2"/>
          </rPr>
          <t xml:space="preserve">
Theoretical Volumetric (Paper)
Theoretical Static
Effective (Dynamic)</t>
        </r>
      </text>
    </comment>
    <comment ref="AM3" authorId="0" shapeId="0" xr:uid="{E547AE8E-4D5A-481C-8829-8021381CC3BF}">
      <text>
        <r>
          <rPr>
            <b/>
            <sz val="9"/>
            <color indexed="81"/>
            <rFont val="Tahoma"/>
            <family val="2"/>
          </rPr>
          <t>Elle Lashko:</t>
        </r>
        <r>
          <rPr>
            <sz val="9"/>
            <color indexed="81"/>
            <rFont val="Tahoma"/>
            <family val="2"/>
          </rPr>
          <t xml:space="preserve">
If analogue was used, state which one.
If no analogue used, state "no analogue used"</t>
        </r>
      </text>
    </comment>
    <comment ref="CH3" authorId="0" shapeId="0" xr:uid="{C3B139D8-67F3-4622-A66D-066219BCB5E2}">
      <text>
        <r>
          <rPr>
            <b/>
            <sz val="9"/>
            <color indexed="81"/>
            <rFont val="Tahoma"/>
            <family val="2"/>
          </rPr>
          <t>Elle Lashko:</t>
        </r>
        <r>
          <rPr>
            <sz val="9"/>
            <color indexed="81"/>
            <rFont val="Tahoma"/>
            <family val="2"/>
          </rPr>
          <t xml:space="preserve">
Does the reference note a flow test? Y/N (Assume Yes for all O&amp;G fields)</t>
        </r>
      </text>
    </comment>
    <comment ref="CJ3" authorId="0" shapeId="0" xr:uid="{4033B9CA-867E-4EDA-90BC-F6A1AC248A08}">
      <text>
        <r>
          <rPr>
            <b/>
            <sz val="9"/>
            <color indexed="81"/>
            <rFont val="Tahoma"/>
            <family val="2"/>
          </rPr>
          <t>Elle Lashko:</t>
        </r>
        <r>
          <rPr>
            <sz val="9"/>
            <color indexed="81"/>
            <rFont val="Tahoma"/>
            <family val="2"/>
          </rPr>
          <t xml:space="preserve">
Is there a notational development plan presented? Y/N</t>
        </r>
      </text>
    </comment>
    <comment ref="CL3" authorId="0" shapeId="0" xr:uid="{530AC66C-4B1C-40D6-BC9E-793DF0BC6591}">
      <text>
        <r>
          <rPr>
            <b/>
            <sz val="9"/>
            <color indexed="81"/>
            <rFont val="Tahoma"/>
            <family val="2"/>
          </rPr>
          <t>Elle Lashko:</t>
        </r>
        <r>
          <rPr>
            <sz val="9"/>
            <color indexed="81"/>
            <rFont val="Tahoma"/>
            <family val="2"/>
          </rPr>
          <t xml:space="preserve">
Calculated from other fields in the spreadsheet</t>
        </r>
      </text>
    </comment>
    <comment ref="CM3" authorId="0" shapeId="0" xr:uid="{AD665AA4-B287-4696-99D6-09BDAF2474A0}">
      <text>
        <r>
          <rPr>
            <b/>
            <sz val="9"/>
            <color indexed="81"/>
            <rFont val="Tahoma"/>
            <family val="2"/>
          </rPr>
          <t>Elle Lashko:</t>
        </r>
        <r>
          <rPr>
            <sz val="9"/>
            <color indexed="81"/>
            <rFont val="Tahoma"/>
            <family val="2"/>
          </rPr>
          <t xml:space="preserve">
Is there a simulation model?</t>
        </r>
      </text>
    </comment>
  </commentList>
</comments>
</file>

<file path=xl/sharedStrings.xml><?xml version="1.0" encoding="utf-8"?>
<sst xmlns="http://schemas.openxmlformats.org/spreadsheetml/2006/main" count="33893" uniqueCount="4629">
  <si>
    <t>Stored (Mt)</t>
  </si>
  <si>
    <t>On Inj. (Mt)</t>
  </si>
  <si>
    <t>App. For Dev. (Mt)</t>
  </si>
  <si>
    <t>Just. For Dev. (Mt)</t>
  </si>
  <si>
    <t>Dev. Pend. (Mt)</t>
  </si>
  <si>
    <t>Dev. On Hold (Mt)</t>
  </si>
  <si>
    <t>Dev. Not Via (Mt)</t>
  </si>
  <si>
    <t>Dev. Uncl. (Mt)</t>
  </si>
  <si>
    <t>Inacces.  (Mt)</t>
  </si>
  <si>
    <t>Prospect (Mt)</t>
  </si>
  <si>
    <t>Lead (Mt)</t>
  </si>
  <si>
    <t>Sequence (Mt)</t>
  </si>
  <si>
    <t>Basin (Mt)</t>
  </si>
  <si>
    <t>Inacces. (Mt)</t>
  </si>
  <si>
    <t>Aggregated SR (Mt)</t>
  </si>
  <si>
    <t>Stored</t>
  </si>
  <si>
    <t>Capacity</t>
  </si>
  <si>
    <t>Sub-Commercial</t>
  </si>
  <si>
    <t>Undiscovered</t>
  </si>
  <si>
    <t>Check on % of sites/resource with range provided</t>
  </si>
  <si>
    <t>Code</t>
  </si>
  <si>
    <t>Country</t>
  </si>
  <si>
    <t>Area</t>
  </si>
  <si>
    <t>Latitude</t>
  </si>
  <si>
    <t>Longitude</t>
  </si>
  <si>
    <t>Site Name</t>
  </si>
  <si>
    <t>Basin</t>
  </si>
  <si>
    <t>Formation</t>
  </si>
  <si>
    <t>Unit Designation</t>
  </si>
  <si>
    <t>Type</t>
  </si>
  <si>
    <t>Storage Unit Type</t>
  </si>
  <si>
    <t>Discovery Status</t>
  </si>
  <si>
    <t>Age</t>
  </si>
  <si>
    <t>Publication</t>
  </si>
  <si>
    <t>Project History</t>
  </si>
  <si>
    <t>Development Plan</t>
  </si>
  <si>
    <t>Containment Summary</t>
  </si>
  <si>
    <t>Assessment Notes</t>
  </si>
  <si>
    <t>Year of Publication</t>
  </si>
  <si>
    <t>Cycle No.</t>
  </si>
  <si>
    <t>Author</t>
  </si>
  <si>
    <t>Site Area km2</t>
  </si>
  <si>
    <t>Depth m</t>
  </si>
  <si>
    <t>Thickness m</t>
  </si>
  <si>
    <t>NTG %</t>
  </si>
  <si>
    <t>Porosity %</t>
  </si>
  <si>
    <t>Permeability mD</t>
  </si>
  <si>
    <t>Brine Salinity</t>
  </si>
  <si>
    <t>CO2 Density KG/m3</t>
  </si>
  <si>
    <t>Well Count</t>
  </si>
  <si>
    <t>Well Density</t>
  </si>
  <si>
    <t>Single Well Discovery Area</t>
  </si>
  <si>
    <t>Pressure Mpa</t>
  </si>
  <si>
    <t>Source of Storage Efficiency Factor</t>
  </si>
  <si>
    <t>Storage Efficiency %</t>
  </si>
  <si>
    <t>Pore Compressibility</t>
  </si>
  <si>
    <t>Frac Pressure Mpa</t>
  </si>
  <si>
    <t>Pre-Injection Pressure Mpa</t>
  </si>
  <si>
    <t>Source of Analogue</t>
  </si>
  <si>
    <t>Assessment</t>
  </si>
  <si>
    <t>Low</t>
  </si>
  <si>
    <t>Mid</t>
  </si>
  <si>
    <t>High</t>
  </si>
  <si>
    <t>Low2</t>
  </si>
  <si>
    <t>Mid3</t>
  </si>
  <si>
    <t>High4</t>
  </si>
  <si>
    <t>Low5</t>
  </si>
  <si>
    <t>Mid6</t>
  </si>
  <si>
    <t>High7</t>
  </si>
  <si>
    <t>Low8</t>
  </si>
  <si>
    <t>Mid9</t>
  </si>
  <si>
    <t>High10</t>
  </si>
  <si>
    <t>Low11</t>
  </si>
  <si>
    <t>Mid12</t>
  </si>
  <si>
    <t>High13</t>
  </si>
  <si>
    <t>Low14</t>
  </si>
  <si>
    <t>Mid15</t>
  </si>
  <si>
    <t>High16</t>
  </si>
  <si>
    <t>Low17</t>
  </si>
  <si>
    <t>Mid18</t>
  </si>
  <si>
    <t>High19</t>
  </si>
  <si>
    <t>Low20</t>
  </si>
  <si>
    <t>Mid21</t>
  </si>
  <si>
    <t>High22</t>
  </si>
  <si>
    <t>Low23</t>
  </si>
  <si>
    <t>Mid24</t>
  </si>
  <si>
    <t>High25</t>
  </si>
  <si>
    <t>Low26</t>
  </si>
  <si>
    <t>Mid27</t>
  </si>
  <si>
    <t>High28</t>
  </si>
  <si>
    <t>Low29</t>
  </si>
  <si>
    <t>Mid30</t>
  </si>
  <si>
    <t>High31</t>
  </si>
  <si>
    <t>Low32</t>
  </si>
  <si>
    <t>Mid33</t>
  </si>
  <si>
    <t>High34</t>
  </si>
  <si>
    <t>Low35</t>
  </si>
  <si>
    <t>Mid36</t>
  </si>
  <si>
    <t>High37</t>
  </si>
  <si>
    <t>Low38</t>
  </si>
  <si>
    <t>Mid39</t>
  </si>
  <si>
    <t>High40</t>
  </si>
  <si>
    <t>Low41</t>
  </si>
  <si>
    <t>Mid42</t>
  </si>
  <si>
    <t>High43</t>
  </si>
  <si>
    <t>Flowtest</t>
  </si>
  <si>
    <t>Rocktype</t>
  </si>
  <si>
    <t>Project Spec</t>
  </si>
  <si>
    <t>P50 Pore Volume MMCUM</t>
  </si>
  <si>
    <t>Proportion of site considered discovered</t>
  </si>
  <si>
    <t>Simulation Model</t>
  </si>
  <si>
    <t>Region</t>
  </si>
  <si>
    <t>Range provided?</t>
  </si>
  <si>
    <t>Australia</t>
  </si>
  <si>
    <t>Northern Territories: Offshore</t>
  </si>
  <si>
    <t>Petrel field area: Cretaceous reservoirs</t>
  </si>
  <si>
    <t>Bonaparte</t>
  </si>
  <si>
    <t>Sandpiper Sandstone</t>
  </si>
  <si>
    <t>Saline Aquifer</t>
  </si>
  <si>
    <t>Saline</t>
  </si>
  <si>
    <t>Open, no identified structural/ stratigraphic confinement</t>
  </si>
  <si>
    <t>Discovered</t>
  </si>
  <si>
    <t>Cretaceous</t>
  </si>
  <si>
    <t>Australian Government: Geoscience Australia, “Regional assessment of the CO2 storage potential of the Mesozoic succession in the Petrel Sub-basin, Northern Territory, Australia,” 2014.</t>
  </si>
  <si>
    <t>As part of a regional evaluation of storage potential in the Petrel sub-basin, a small local area dynamic simulation was carried out on an area north of the Petrel gas field.</t>
  </si>
  <si>
    <t>Representative injection well locations derived from fill-spill modelling. 9 vertical wells on a regular grid with 3km spacing. Maximum injection rate/well: 1.556 Mt/annum. Total injection rate: 5 Mt/annum for 30 years (150 Mt). Injection limited by reservoir thickness and shallow injection depth. Shorter perforation interval than Jurassic reservoirs at same site. Injection volume based on 2009 estimate of Darwin Hub emissions (not a maximum resource estimate). Plume migration over 30 years: 5km. Post-injection migration rate: 12m/year.</t>
  </si>
  <si>
    <t>Caprock are the Bathhurst Island Group mudstones/shales (Echuca Shoals, Darwin Formation &amp; Wangarlu Formation). Site of simulation based on fill-spill modeling</t>
  </si>
  <si>
    <t>Simulation-based resource estimate subtracted from regional Cretaceous reservoirs (volumetric) estimate: see site entry for Regional estimates. No current plans for developments, although Shell and now ENI reviewing area for storage opportunities (2020).</t>
  </si>
  <si>
    <t>Cycle 2</t>
  </si>
  <si>
    <t>SB</t>
  </si>
  <si>
    <t>Simulation</t>
  </si>
  <si>
    <t>Dynamic simulation on local area of regional structural and geological model.</t>
  </si>
  <si>
    <t>Assessed</t>
  </si>
  <si>
    <t>Yes</t>
  </si>
  <si>
    <t>Clastic</t>
  </si>
  <si>
    <t>YES</t>
  </si>
  <si>
    <t>Oceania</t>
  </si>
  <si>
    <t>Petrel field area: Jurassic reservoirs</t>
  </si>
  <si>
    <t>Plover &amp; Elang Formations</t>
  </si>
  <si>
    <t>Jurassic</t>
  </si>
  <si>
    <t>Australian Government: Geoscience Australia. 2014. “Regional assessment of the CO2 storage potential of the Mesozoic succession in the Petrel Sub-basin, Northern Territory, Australia.”</t>
  </si>
  <si>
    <t>Representative injection well locations derived from fill-spill modelling. 9 vertical wells on a regular grid with 3km spacing. Maximum injection rate/well: 1.556 Mt/annum. Total injection rate: 14 Mt/annum for 30 years (420 Mt). Perforated interval: 300m. Injection volume based on 2009 estimate of Darwin Hub emissions (not a maximum resource estimate). Plume migration over 30 years: 5km. Post-injection migration rate: 12m/year.</t>
  </si>
  <si>
    <t>Caprock is the Upper Frigate Formation. Site of simulation based on fill-spill modeling.</t>
  </si>
  <si>
    <t>Simulation-based resource estimate subtracted from regional Jurassic reservoirs (volumetric) estimate: see site entry for Regional estimates. No current plans for developments, although Shell and now ENI reviewing area for storage opportunities (2020).</t>
  </si>
  <si>
    <t>Northern Territory: Offshore</t>
  </si>
  <si>
    <t>Eastern Petrel Sub-basin: Cretaceous reservoirs</t>
  </si>
  <si>
    <t>Sandpiper Sandstone Formation</t>
  </si>
  <si>
    <t>Discovered awaiting detailed evaluation</t>
  </si>
  <si>
    <t>Lower Cretaceous</t>
  </si>
  <si>
    <t xml:space="preserve">Geoscience Australia commissioned by the Australian Government to undertake a series of regional, geological studies to assess the CO2 storage potential of the Australian sedimentary basins, as part of the National Low Emissions Coal Initiative. Detailed geological study developed structural and geological models on the centre and eastern areas of the Petrel sub-basin. </t>
  </si>
  <si>
    <t>No development plan for regional resource estimation (dynamic simulation for Petrel field area: see additional site in database).</t>
  </si>
  <si>
    <t>Trapping model relies  on residual and dissolution trapping with long migration-assisted storage with long pathways (50-70km). Overlying seal is Bathhurst Island Sequence sediments (Echuca Shoals, Darwin Formation and Wangarlu Formation). Mudstones calculated to have sealing capacity to hold back a CO2 column height of 137-365m. Geomechanical risk (fault re-activation/slippage) is an issue and requires further investigation (limited data available; Stalker et al 2020).</t>
  </si>
  <si>
    <t>Reservoir characteristics taken from Petrel-1. Porosity is log porosity. Depth calculated from mid-point on the depth map (approx. 1550m) plus half the approximate thickness at the same mid-point location (approx. 660m), from Figure 6.11. Partial discovery (85%) of the reservoir, calculated using the well density (34 wells over AOI of 80 x 100km) in the aquifer (resource estimate adjusted). Risk of double counting with the Bonaparte Basin from the Australian Government (2009) National Infrastructure Plan.</t>
  </si>
  <si>
    <t>Cycle 1</t>
  </si>
  <si>
    <t>EL</t>
  </si>
  <si>
    <t>Bradshaw et al 2009. Data from static and dynamic models used to constrain inputs (variability evaluated using Monte Carlo model to address uncertainties). Probabilistic effective storage estimate.</t>
  </si>
  <si>
    <t>Derived from static and dynamic models. Inputs evaluated using Monte Carlo model.</t>
  </si>
  <si>
    <t>No</t>
  </si>
  <si>
    <t>NO</t>
  </si>
  <si>
    <t>Eastern Petrel Sub-basin: Jurassic reservoirs</t>
  </si>
  <si>
    <t>Plover, Elang and lower Frigate Shale Formations</t>
  </si>
  <si>
    <t>Lower to Mid Jurassic</t>
  </si>
  <si>
    <t xml:space="preserve">No development plan for regional resource estimation (dynamic simulation for Petrel field area: see additional site in database). </t>
  </si>
  <si>
    <t>Trapping model relies  on residual and dissolution trapping with long migration-assisted storage with long pathways (50-70km). Overlying seal is Upper Frigate Shale. Upper parts of caprock have reduced seal capacity (transitions into Sandpiper Sandstone) but lower shale is mud-rick and fissile (from cuttings data). Geomechanical risk (fault re-activation/slippage) is an issue and requires further investigation (limited data available; Stalker et al 2020).</t>
  </si>
  <si>
    <t>Reservoir characteristics taken from Petrel-1. Porosity is log porosity. Depth taken from the mid-point in Figure 4.7b. Partial discovery (13%) of the reservoir, calculated using the well density in the aquifer. Risk of double counting with the Bonaparte Basin from the Australian Government (2009) National Infrastructure Plan.</t>
  </si>
  <si>
    <t>Offshore</t>
  </si>
  <si>
    <t>Bass</t>
  </si>
  <si>
    <t>Unspecified</t>
  </si>
  <si>
    <t>Australian Government. 2009. “National Carbon Mapping and Infrastructure Plan.”</t>
  </si>
  <si>
    <t>The Australian Government established the Carbon Storage Taskforce in October 2008 to bring together key industry sectors with an interest and expertise in CCS, including coal, power and government, to establish the National Carbon Mapping and Infrastructure Plan (referenced report). The plan aims to map both the potential storage capacity and carbon sources in Australia to accelerate industrial CCS development. No specific CCS project is defined for this evaluation.  This is a 2009 vintage basin wide evaluation.</t>
  </si>
  <si>
    <t xml:space="preserve">None available. </t>
  </si>
  <si>
    <t>The basin was screened for suitable reservoir and containment attributes, but none are presented in the source report.</t>
  </si>
  <si>
    <t>With no development plan, detailed evaluation or well count, this estimation can only be considered for characterisation in the Basin Play category.  The quantification of storage resource was computed on a probabilistic basis.  The evaluation presented is now over 10 years old and should be refined with more up to date detailed evaluations.</t>
  </si>
  <si>
    <t>AJ</t>
  </si>
  <si>
    <t>US DOE studies</t>
  </si>
  <si>
    <t>E, the storage efficiency factor – a single number of 4% was assumed for E in the montages. The storage efficiency factor is the fraction of the total pore volume that will be occupied by CO2. This value is not well known, and it may vary considerably depending on geology. Estimates for saline aquifers tend to be in the range of 0.5% to 4%40, which is almost an order of magnitude of uncertainty. In the estimations of storage capacity that follow, both an efficiency factor of 4% and an efficiency factor of 0.5% have been used.</t>
  </si>
  <si>
    <t>Carbonate</t>
  </si>
  <si>
    <t>Bonaparte Basin</t>
  </si>
  <si>
    <t>Browse Basin</t>
  </si>
  <si>
    <t>Browse</t>
  </si>
  <si>
    <t>The Australian Government established the Carbon Storage Taskforce in October 2008 to bring together key industry sectors with an interest and expertise in CCS, including coal, power and government, to establish the National Carbon Mapping and Infrastructure Plan (referenced report). The plan aims to map both the potential storage capacity and carbon sources in Australia to accelerate industrial CCS development. No specific CCS project is defined for this evaluation.  This is a 2009 vintage basin wide evaluation. A follow-up study (Rollet et al. 2016) provides a detailed geological review of Browse Basin and concludes (from qualitative CRS mapping) that only 'moderately suitable' Cretaceous plays are present for storage. Upper Campanian Caswell Fan (site entry, this database) modelled to hold 100Mt resource.</t>
  </si>
  <si>
    <t>With no development plan, detailed evaluation or well count, this estimation can only be considered for characterisation in the Basin Play category.  The quantification of storage resource was computed on a probabilistic basis.  The evaluation presented is now over 10 years old and should be refined with more up to date detailed evaluations. Resource estimate adjusted for Caswell Fan Sequence Play site (100Mt).</t>
  </si>
  <si>
    <t>Canning Offshore</t>
  </si>
  <si>
    <t>Canning</t>
  </si>
  <si>
    <t>Carnarvon North</t>
  </si>
  <si>
    <t>North Carnarvon</t>
  </si>
  <si>
    <t>Carnarvon South</t>
  </si>
  <si>
    <t>South Carnarvon</t>
  </si>
  <si>
    <t>Caswell Fan</t>
  </si>
  <si>
    <t>Undifferentiated</t>
  </si>
  <si>
    <t>Hybrid or Unspecified</t>
  </si>
  <si>
    <t>Upper Cretaceous</t>
  </si>
  <si>
    <t>N. Rollet, S. T. Abbott, M. E. Lech, R. Romeyn, E. Grosjean, D. S. Edwards, J. M. Totterdell, C. J. Nicholson, K. Khider, D. Nguyen, G. Bernardel, E. Tenthorey, C. Orlov and L. Wang, “A regional assessment of CO2 storage potential in the Browse Basin: Results of a study undertaken as part of the National CO2 Infrastructure Plan. Record 2016/17.,” Canberra, 2016</t>
  </si>
  <si>
    <t>Study on CO2 storage potential of Casswell Fan, offshore Browse Basin. Static and dynamic modelling to estimate theoretical and effective storage resource</t>
  </si>
  <si>
    <t>Dynamic simulation injecting 1 Mt/year via 2 injection wells.</t>
  </si>
  <si>
    <t>Not specified.</t>
  </si>
  <si>
    <t>Gross theoretical resource using DOE volumetric approach: 296 Mt. Dynamic modelling effective resource: 100Mt</t>
  </si>
  <si>
    <t>Gippsland</t>
  </si>
  <si>
    <t>North Perth Onshore</t>
  </si>
  <si>
    <t>Perth</t>
  </si>
  <si>
    <t>NW Shelf Oil &amp; Gas Fields</t>
  </si>
  <si>
    <t>Oil &amp; Gas Fields</t>
  </si>
  <si>
    <t>Petroleum</t>
  </si>
  <si>
    <t>Structural/Stratigraphic Trap</t>
  </si>
  <si>
    <t>O&amp;G Assumed discovered</t>
  </si>
  <si>
    <t>Not specified. Depleted hydrocarbon fields. Assumed structural/stratigraphic containment.</t>
  </si>
  <si>
    <t>Petroleum activity in the NW shelf forecast to continue past 2050, so was classified as inaccessible at this time. Methodology not specified.</t>
  </si>
  <si>
    <t>Cycle 0</t>
  </si>
  <si>
    <t>Oil &amp; Gas Fields (Excluding NW Shelf)</t>
  </si>
  <si>
    <t>Methodology not specified.</t>
  </si>
  <si>
    <t>Otway East</t>
  </si>
  <si>
    <t>Otway</t>
  </si>
  <si>
    <t>Otway West</t>
  </si>
  <si>
    <t>Southernmost Deep Central, Southern Terrace and Southern Platform</t>
  </si>
  <si>
    <t>Halibut and Cobia Sub-groups</t>
  </si>
  <si>
    <t>Late Cretaceous to Eocene</t>
  </si>
  <si>
    <t>Australian Government: Geoscience Australia. 2016. “Carbon dioxide storage potential of the Gippsland Basin.”</t>
  </si>
  <si>
    <t>Research undertaken in the National CO2 Infrastructure Plan to accelerate the identification and development of CO2 storage sites.</t>
  </si>
  <si>
    <t>Injection through three vertical wells located in the centre of the Central Deep area. The wells are spaced 3000m apart. CO2 injection for 30 years with monitoring for 970 years subsequently. Injection at 1350m3/day.</t>
  </si>
  <si>
    <t>Dissolution and residual trapping are the dominant trapping mechanisms. Up to 20% of the injected CO2 could remain as untrapped, dense phase after 1000 years.</t>
  </si>
  <si>
    <t>Reservoir characteristics are means for the entire Latrobe Group (pg. 192). Permeability was calculated from log-derived porosities. Mid-case storage resource is from the CMG GEM numerical model estimate, low-case is the TempestMORE simulation (doesn't consider dissolution trapping), high-case is the Monte Carlo method (assumes open boundary conditions). Risk of double counting with the Gippsland Basin from the Australian Government (2009) National Infrastructure Plan.</t>
  </si>
  <si>
    <t>Carbon Storage Taskforce (2009)</t>
  </si>
  <si>
    <t>Torquay</t>
  </si>
  <si>
    <t>Onshore</t>
  </si>
  <si>
    <t>Bowen</t>
  </si>
  <si>
    <t>Bowen - Surat</t>
  </si>
  <si>
    <t>Canning Onshore</t>
  </si>
  <si>
    <t>Clarence Moreton</t>
  </si>
  <si>
    <t>Clarence - Moreton</t>
  </si>
  <si>
    <t>Cooper</t>
  </si>
  <si>
    <t>Eromanga</t>
  </si>
  <si>
    <t>Darling</t>
  </si>
  <si>
    <t>Denison Trough</t>
  </si>
  <si>
    <t>Galilee</t>
  </si>
  <si>
    <t>Galilee - Drummond</t>
  </si>
  <si>
    <t>Gorgon</t>
  </si>
  <si>
    <t>Dupuy Formation</t>
  </si>
  <si>
    <t>Macdonald-Smith, A. 2020. Chevron injects one millionth tonne of carbon at Gorgon. Accessed 03 09, 2020. https://www.afr.com/policy/energy-and-climate/chevron-injects-one-millionth-tonne-of-carbon-at-gorgon-20200214-p540xv. Cycle 5 citation used to update  injected CO2:  Gao, X., &amp; Krevor, S. (2024). The London Register of Subsurface CO₂ Storage: 2024 Annual Report. Imperial College London. https://imperialcollegelondon.github.io/The-London-Register-of-Subsurface-CO2-Storage/</t>
  </si>
  <si>
    <t>Chevron-operated LNG Project. Naturally-occurring CO2 extracted from natural gas before the methane is compressed to form LNG.</t>
  </si>
  <si>
    <t>9 injection wells from 3 drilling centres, 4 water production wells, 2 water injection wells for pressure management, 2 reservoir surveillance wells.</t>
  </si>
  <si>
    <t>Approved injection volume given as 120 Mt. Note: this does not represent the P50 storage resource at Gorgon, merely that which has been permitted as of 1Q20 (information provided by M. Trupp, Chevron). Cycle 4 data updated from https://australia.chevron.com/what-we-do/gorgon-project/carbon-capture-and-storage https://australia.chevron.com/-/media/australia/our-businesses/documents/gorgon-gas-development-and-jansz-feed-gas-pipeline-environmental-performance-report-2021.pdf</t>
  </si>
  <si>
    <t>North Perth Offshore</t>
  </si>
  <si>
    <t>Otway Research Facility</t>
  </si>
  <si>
    <t>CO2CRC, “Our History,” [Online]. Available: http://www.co2crc.com.au/our-history/.</t>
  </si>
  <si>
    <t>Research facility purpose-built to test CCS and CO2 monitoring technologies. Designed to promote CCS and support the CCS industry by de-risking technologies.</t>
  </si>
  <si>
    <t>Otway Stage 1 (2008) injection into a depleted gas field, at 150 tonnes per day. Otway Stage 2 (2011) injection into a saline reservoir. Between 2004-2015, 65,000 tonnes of CO2 injected. In 2015, another 15,000 tonnes injected to test minimum detection levels during monitoring. In total, up to 5 injection and monitoring wells to be drilled from 2017.</t>
  </si>
  <si>
    <t>Otway Stage 1 storage in a depleted gas field. Otway Stage 2 storage via residual trapping in a saline aquifer.</t>
  </si>
  <si>
    <t>2021 Storage resource taken from: https://co2crc.com.au/co2-injection-phase-complete-on-major-ccus-research-project/</t>
  </si>
  <si>
    <t>Not Assessed</t>
  </si>
  <si>
    <t>Surat</t>
  </si>
  <si>
    <t>Queensland</t>
  </si>
  <si>
    <t>Challum Field</t>
  </si>
  <si>
    <t>Unknown</t>
  </si>
  <si>
    <t>B. E. Bradshaw, L. K. Spencer, A.-L. Lahtinen, K. Khider, D. J. Ryan, J. B. Colwell, A. Chirinos, J. Bradshaw, J. J. Draper, J. Hodgkinson and M. McKillop, “An Assessment of Queensland’s CO2 Geological Storage Prospectivity - The Queensland CO2 Geological Storage Atlas,” Energy Procedia, vol. 4, pp. 4583-4590, 2011.</t>
  </si>
  <si>
    <t xml:space="preserve">The only previous study in this area was a basin wide probabilistic assessment carried out by the Australian government as part of their National Carbon Mapping and Infrastructure Plan in 2009. The storage resources from this study are listed above as part of the 2019 GSRA. The data presented here comes from the Queensland CO2 Geological storage Atlas. This Atlas was compiled to assist future commercial deployment of large scale clean coal. There are 11 major stationary emissions sources in Queensland, 95% of these emissions are from fossil fuel power stations with the remainder coming from major cement, aluminium and petroleum refineries. All  storage resources given are based on oil and gas replacement volumes. </t>
  </si>
  <si>
    <t>Not specified</t>
  </si>
  <si>
    <t>Discovered. Gas replacement volume is given, albeit CO2 will occupy a slightly different volume to methane this is still a very accurate value for storage resource.</t>
  </si>
  <si>
    <t>Petroleum replacement volume</t>
  </si>
  <si>
    <t>Victoria</t>
  </si>
  <si>
    <t>Site 1 (Golden Beach)</t>
  </si>
  <si>
    <t>Golden Beach Subgroup</t>
  </si>
  <si>
    <t>Partly Discovered</t>
  </si>
  <si>
    <t>S. Hurter, N. Marmin, P. Probst and A. Garnett, “Probabilistic Estimates of Injectivity and Capacity for Large Scale CO2 Storage in the Gippsland Basin, Victoria, Australia,” Energy Procedia, vol. 37, pp. 3602-3609, 2013.</t>
  </si>
  <si>
    <t xml:space="preserve">The only previous assessment in this area was a basin wide probabilistic assessment carried out by the Australian government as part of their National Carbon Mapping and Infrastructure Plan in 2009. In the current study the Gippsland basin is screened for industrial scale (&gt;1Mt/a) CO2 storage. Subsequently, 3 "Large scale storage sites" are picked from the basin, the study indicates the main uncertainties from these sites and creates a work program to help reduce them. The bulk of this study focuses on probabilistic modelling (Monte Carlo simulations) that is used to give uncertainty, and what these impacts have on the assessments. </t>
  </si>
  <si>
    <t xml:space="preserve">None available. The simulations give high confidence that "industrial scale" injection (&gt;1Mt/a &amp; storage resource of 40-200Mt) can be achieved by using a combination of injection horizons. This combination is not stated and it is noted that a second appraisal is needed in order to select the optimum injection horizons. The injection pressure in area's 2 &amp; 3 is 70% of the fracture gradient, while with area 1 it is 90% of the fracture gradient. </t>
  </si>
  <si>
    <t>The regional seal for these reservoirs is the Lakes entrance formation it is underlain by the siliciclastic reservoir rocks of the Cobia, Halibut, and Golden Beach subgroups.</t>
  </si>
  <si>
    <t xml:space="preserve">Discovered. High medium and low values represent: L90, Mean and L10 of data, respectively. this site has site has ~25 exploration and possible production wells within it - Some well locations intercept gas field locations. The wells are uniformly distributed throughout. </t>
  </si>
  <si>
    <t>simulation</t>
  </si>
  <si>
    <t>Dynamic Model</t>
  </si>
  <si>
    <t>Western Australia</t>
  </si>
  <si>
    <t>Dongara Terrace</t>
  </si>
  <si>
    <t>Dongara Sandstone</t>
  </si>
  <si>
    <t>Top Permian</t>
  </si>
  <si>
    <t>S. Varma, J. Underschultz, S. Giger, B. Field, L. Roncaglia, J. Hodgkinson and D. Hilditch, “CO2 geosequestration potential in the Northern Perth Basin, Western Australia,” Australian Journal of Earth Sciences, vol. 60, pp. 1-22, 2012.</t>
  </si>
  <si>
    <t>Based on public data from study by CO2CRC. The study was commissioned by AVIVA Corporation and AWE. Planned to store 2.9 Mt annual CO2 output from the Coolimba coal fired PowerStation, owned by AVIVA.</t>
  </si>
  <si>
    <t>The assessment is based around depleted oil and gas reservoirs, but their surrounding DSA systems are also assessed and added to the storage resource. Only low and high resource estimates are provided. For the purposes of this database a mid-point value has been used a the mid-range estimate.</t>
  </si>
  <si>
    <t xml:space="preserve">The Main structural trap for this reservoir is a faulted anticline,  if the area should experience any deformation, this may lead to seismic induced seal breaches along the fault. The seal capacity is rated at: little to no obvious sealing structures in projected migration pathway. </t>
  </si>
  <si>
    <t>Volumetric (US-DOE 2006)</t>
  </si>
  <si>
    <t>Volumetric analysis</t>
  </si>
  <si>
    <t>Yardarino</t>
  </si>
  <si>
    <t>Seal capacity: Migration pathways assumed to arrest at fault structures, no demonstrated lateral confinement.</t>
  </si>
  <si>
    <t>All Queensland Gas fields (Apart from: silver springs, Brumby and Challum).</t>
  </si>
  <si>
    <t xml:space="preserve">Discovered. Gas replacement volume is given, albeit CO2 will occupy a slightly different volume to methane this is still a very accurate value for storage resource. Using No. of oil &amp; gas fields and total storage resource, the average storage resource per field would be: 1.3Mt. Of course some will be far above this and some below. </t>
  </si>
  <si>
    <t>All Queensland oil fields.</t>
  </si>
  <si>
    <t xml:space="preserve">Discovered. Oil replacement volume is given, albeit CO2 will occupy a slightly different volume to Oil. Using No. of oil &amp; gas fields and total storage resource, the average storage resource per field would be: 1.3Mt. Of course some will be far above this and some below. </t>
  </si>
  <si>
    <t>Bowen - Southern (Showgrounds Sandstone)</t>
  </si>
  <si>
    <t>Showgrounds Sandstone</t>
  </si>
  <si>
    <t>Mid Triassic</t>
  </si>
  <si>
    <t xml:space="preserve">The only previous study in this area was a basin wide probabilistic assessment carried out by the Australian government as part of their National Carbon Mapping and Infrastructure Plan in 2009. The storage resources from this study are listed above as part of the 2019 GSRA. The data presented here comes from the Queensland CO2 Geological storage Atlas. This Atlas was compiled to assist future commercial deployment of large scale clean coal. There are 11 major stationary emissions sources in Queensland, 95% of these emissions are from fossil fuel power stations with the remainder coming from major cement, aluminium and petroleum refineries. All volumetric calculations for storage resource use site specific data for each assessment. The area of the storage sites was constrained by the identification of storage fairways that have a high integrity seal and good potential reservoir trapping characteristics. </t>
  </si>
  <si>
    <t>Area-1 seal is: Snake creek mudstone (lacustrine mudstone). The storage mechanism involves injection downdip and using migration assisted storage to trap CO2 as it migrates updip along a long (25 - 30 km) and tortuous migration pathway towards the structural highs.  The regional seals of the area are all late Permian marine and middle Triassic lacustrine mudstones. Theses formations are proven to be effective as at containing hydrocarbons in the 76 oil and gas fields of the area (mostly nearing depletion). Reservoirs that are targets for CO2 injection are limited to late Permian and Triassic  fluvial sandstones, these have highly variability and are limited to thin channel sandstone (5-17m thick). All of the site's theoretical storage area's in this study are based on highly prospective reservoir seal intervals, and calculation of theoretical storage volumes is based on site specific data.</t>
  </si>
  <si>
    <t>Undiscovered. There are many oil and gas fields in the region, which also contain even more production and exploration wells. However due to the large size of the storage resources presented here,  only a very small percentage of these sites would count as discovered due to the occurrence of wells. Additionally, none of these site studies define specific boundaries and well numbers and locations are not given which makes it difficult calculate percent discovered. The storage resource presented here is a singular value representing  "a maximum theoretical CO2 storage volume within the selected storage fairway".</t>
  </si>
  <si>
    <t xml:space="preserve">Volumetric </t>
  </si>
  <si>
    <t>Bowen - Southern (Tinowon Formation)</t>
  </si>
  <si>
    <t>Tinowon Formation</t>
  </si>
  <si>
    <t>Permian - Middle Triassic</t>
  </si>
  <si>
    <t>Area-2 seal is: Black Alley Shale (marine-lacustrine shale and siltstone). The storage mechanism involves injection downdip and using migration assisted storage to trap CO2 as it migrates updip along a long (25 - 30 km) and tortuous migration pathway towards the structural highs.  The regional seals of the area are all late Permian marine and middle Triassic lacustrine mudstones. Theses formations are proven to be effective as at containing hydrocarbons in the 76 oil and gas fields of the area (mostly nearing depletion). Reservoirs that are targets for CO2 injection are limited to late Permian and Triassic  fluvial sandstones, these have highly variability and are limited to thin channel sandstone (5-17m thick). All of the site's theoretical storage area's in this study are based on highly prospective reservoir seal intervals, and calculation of theoretical storage volumes is based on site specific data.</t>
  </si>
  <si>
    <t>Bowen - Western (Aldebaran Sandstone)</t>
  </si>
  <si>
    <t>Aldebaran Sandstone</t>
  </si>
  <si>
    <t>Permian</t>
  </si>
  <si>
    <t>Area seal is: the Intraformational &amp; Ingelara formation (Marine Shales). the CO2 storage mechanism for this area involves injection downdip of anticlines and using migration assisted storage as CO2 migrates updip (15-30km) towards the anticline crests. All of the site's theoretical storage area's in this study are based on highly prospective reservoir seal intervals, and calculation of theoretical storage volumes is based on site specific data. The regional seal in this area is composed of a series of late Permian marine shales, and it is a proven hydrocarbons seal. The injection reservoir of this region is composed of early and late Permian coastal and fluvial-deltaic sandstones - these reservoirs have highly variable permeabilities and are very thin (pay zone thickness in gas fields of 4.4 -17.4m).</t>
  </si>
  <si>
    <t xml:space="preserve">Brumby gas field </t>
  </si>
  <si>
    <t xml:space="preserve">Discovered. Gas replacement volume is given, albeit CO2 will occupy a slightly different volume to methane this is still a very accurate value for storage resource. This is below the threshold of 10Mt storage resource for gas replacement volumes, however in this case it has been decided to include it, as it is already known to have sufficient infrastructure for methane storage. </t>
  </si>
  <si>
    <t>Cooper (Toolachee Formation)</t>
  </si>
  <si>
    <t>Toolachee Formation</t>
  </si>
  <si>
    <t>Late Permian</t>
  </si>
  <si>
    <t>Area seal is: Callamurra Member (fluvio-lacustrine mudstone/ siltstone). The storage regime for this area involves injecting in the downdip in the centre of the large syncline that occupies the Cooper basin, CO2 will then migrate updip towards each side where it will be stored by migration assisted trapping and then structural trapping when it reaches structural highs. The best quality reservoir in this area is the Late Permian Toolachee formation, reservoir quality reduces with depth below this due to diagenetic quartz cementation, at depths greater than 2,400m reservoir quality is very poor. The  regional seal in this area is composed of late Permian fluvio-lacustrine mudstones. All of the site's theoretical storage area's in this study are based on highly prospective reservoir seal intervals, and calculation of theoretical storage volumes is based on site specific data.</t>
  </si>
  <si>
    <t>Eromanga (Adori Sandstone)</t>
  </si>
  <si>
    <t>Adori Sandstone</t>
  </si>
  <si>
    <t>Jurassic - Cretaceous</t>
  </si>
  <si>
    <t xml:space="preserve">Area-2 seal is: the Westbourne Formation (fluvial-lacustrine shale). All of the site's theoretical storage area's in this study are based on highly prospective reservoir seal intervals, and calculation of theoretical storage volumes is based on site specific data. The Eromanga basin has a thick regional seal which includes marine mudstones and siltstone dominated fluvial lacustrine deposits. Structures in the basin include: the presence of large anticlinal structures, flat dipping synclines and monoclines. These structures will allow for both free phase gas trapping in dry structures and residual gas trapping by migration assisted storage. </t>
  </si>
  <si>
    <t>Eromanga (Hooray Sandstone)</t>
  </si>
  <si>
    <t>Hooray Sandstone</t>
  </si>
  <si>
    <t xml:space="preserve">Area-3 seal is: the Cadna-owie formation (Shoreface mudstone to siltstone). All of the site's theoretical storage area's in this study are based on highly prospective reservoir seal intervals, and calculation of theoretical storage volumes is based on site specific data. The Eromanga basin has a thick regional seal which includes marine mudstones and siltstone dominated fluvial lacustrine deposits. Structures in the basin include: the presence of large anticlinal structures, flat dipping synclines and monoclines. These structures will allow for both free phase gas trapping in dry structures and residual gas trapping by migration assisted storage. </t>
  </si>
  <si>
    <t>Eromanga (Hutton Sandstone)</t>
  </si>
  <si>
    <t>Hutton Sandstone</t>
  </si>
  <si>
    <t xml:space="preserve">Area-3 seal is: the birched formation (fluvial lacustrine siltstone and sandstone) - lower integrity seal. All of the site's theoretical storage area's in this study are based on highly prospective reservoir seal intervals, and calculation of theoretical storage volumes is based on site specific data. The Eromanga basin has a thick regional seal which includes marine mudstones and siltstone dominated fluvial lacustrine deposits. Structures in the basin include: the presence of large anticlinal structures, flat dipping synclines and monoclines. These structures will allow for both free phase gas trapping in dry structures and residual gas trapping by migration assisted storage. </t>
  </si>
  <si>
    <t>Eromanga (Lower Poolowanna Sandstone)</t>
  </si>
  <si>
    <t>Lower Poolowanna Sandstone</t>
  </si>
  <si>
    <t xml:space="preserve">Area-5 seal is: the Upper Poolowanna Fm (Fluvial lacustrine siltstone and mudstone) . All of the site's theoretical storage area's in this study are based on highly prospective reservoir seal intervals, and calculation of theoretical storage volumes is based on site specific data. The Eromanga basin has a thick regional seal which includes marine mudstones and siltstone dominated fluvial lacustrine deposits. Structures in the basin include: the presence of large anticlinal structures, flat dipping synclines and monoclines. These structures will allow for both free phase gas trapping in dry structures and residual gas trapping by migration assisted storage. </t>
  </si>
  <si>
    <t>Eromanga (Wyandra Sandstone)</t>
  </si>
  <si>
    <t>Wyandra Sandstone</t>
  </si>
  <si>
    <t xml:space="preserve">Area-1 seal is: the Wallumbilla Fm/ Allaru Mudstone. All of the site's theoretical storage area's in this study are based on highly prospective reservoir seal intervals, and calculation of theoretical storage volumes is based on site specific data. The Eromanga basin has a thick regional seal which includes marine mudstones and siltstone dominated fluvial lacustrine deposits. Structures in the basin include: the presence of large anticlinal structures, flat dipping synclines and monoclines. These structures will allow for both free phase gas trapping in dry structures and residual gas trapping by migration assisted storage. </t>
  </si>
  <si>
    <t>Galilee - North (Betts Creek beds)</t>
  </si>
  <si>
    <t>Betts Creek beds</t>
  </si>
  <si>
    <t>Late Carboniferous - Triassic</t>
  </si>
  <si>
    <t xml:space="preserve"> Area-1 seal is: The reran Formation (Fluvial lacustrine). All of the site's theoretical storage area's in this study are based on highly prospective reservoir seal intervals, and calculation of theoretical storage volumes is based on site specific data. Potential regional seals in the area are marine-deltaic shales and siltstones from the Black alley shale, and unconventional thinly interbedded fluvial-lacustrine mudstones, siltstones and sandstones from the Rewan Formation. Integrity of these seals needs testing  by a coring and analysis program. Trapping processes are predicted to be mainly migration assisted trapping as CO2 migrates along shallow dipping strata in the northern Galilee basin. </t>
  </si>
  <si>
    <t>seismic and well data coverage is relatively sparse so doesn't allow detailed mapping of reservoir fairways. Undiscovered. There are many oil and gas fields in the region, which also contain even more production and exploration wells. However due to the large size of the storage resources presented here,  only a very small percentage of these sites would count as discovered due to the occurrence of wells. Additionally, none of these site studies define specific boundaries and well numbers and locations are not given which makes it difficult calculate percent discovered. The storage resource presented here is a singular value representing  "a maximum theoretical CO2 storage volume within the selected storage fairway".</t>
  </si>
  <si>
    <t>Galilee - North (Clematis Sandstone/ Rewan Fm)</t>
  </si>
  <si>
    <t>Clematis Sandstone/ Rewan Fm</t>
  </si>
  <si>
    <t>Early Triassic</t>
  </si>
  <si>
    <t xml:space="preserve">Area-2 seal is: The Moolayember Fm (Fluvial lacustrine). All of the site's theoretical storage area's in this study are based on highly prospective reservoir seal intervals, and calculation of theoretical storage volumes is based on site specific data. Potential regional seals in the area are marine-deltaic shales and siltstones from the Black alley shale, and unconventional thinly interbedded fluvial-lacustrine mudstones, siltstones and sandstones from the Rewan Formation. Integrity of these seals needs testing  by a coring and analysis program. Trapping processes are predicted to be mainly migration assisted trapping as CO2 migrates along shallow dipping strata in the northern Galilee basin. </t>
  </si>
  <si>
    <t>Galilee - South (Clematis Sandstone/ Rewan Fm)</t>
  </si>
  <si>
    <t xml:space="preserve">area-1 seal is: the Moolayember Fm (fluvio-lacustrine) All of the site's theoretical storage area's in this study are based on highly prospective reservoir seal intervals, and calculation of theoretical storage volumes is based on site specific data. Potential regional seals in the area are marine-deltaic shales and siltstones from the Black alley shale, and unconventional thinly interbedded fluvial-lacustrine mudstones, siltstones and sandstones from the Rewan Formation. Integrity of these seals needs testing  by a coring and analysis program. Both Migration assisted trapping and structural trapping are predicted to be present in the extensively folded strata of the southern Galilee basin. </t>
  </si>
  <si>
    <t>Galilee - South (Colinlea Sandstone)</t>
  </si>
  <si>
    <t>Colinlea Sandstone</t>
  </si>
  <si>
    <t xml:space="preserve">Area-2 seal is: the Black Alley Shale (Marine-deltaic shale &amp; siltstone). All of the site's theoretical storage area's in this study are based on highly prospective reservoir seal intervals, and calculation of theoretical storage volumes is based on site specific data. Potential regional seals in the area are marine-deltaic shales and siltstones from the Black alley shale, and unconventional thinly interbedded fluvial-lacustrine mudstones, siltstones and sandstones from the Rewan Formation. Integrity of these seals needs testing  by a coring and analysis program. Both Migration assisted trapping and structural trapping are predicted to be present in the extensively folded strata of the southern Galilee basin. </t>
  </si>
  <si>
    <t>Sector-1 (Precipice)</t>
  </si>
  <si>
    <t>Precipice sandstone</t>
  </si>
  <si>
    <t>Early Jurassic</t>
  </si>
  <si>
    <t>S. Hurter, A. Garnett, P. Probst, Y. Pamukcu, S. Gonzalez and S. Guiton, “Dynamic Models of CO2 Injection in the Surat and Bowen Basins, Queensland, Australia,” Energy Procedia, vol. 37, no. 3755-3763, 2013.</t>
  </si>
  <si>
    <t xml:space="preserve">The only previous study in this area was a basin wide probabilistic assessment carried out by the Australian government as part of their National Carbon Mapping and Infrastructure Plan in 2009. The storage resources from this study are listed above as part of the 2019 GSRA. The data and work from this paper (Garnett et al. 2013) comes from an in-depth case history of the ZeroGen project (Garnett et al. 2012), but this work has been elaborated on to discuss reservoir modelling approaches. This study was carried out in order to create confidence to justify investing in new data acquisition in 5 CO2 storage exploration license blocks. It sets out to discover the probability of injecting CO2 into the Bowen and Surat Basins at a rate of 2-3 Mt/a, resulting in secure storage of 60-90Mt. This site is a potential for CO2 storage resource to be used by the ZeroGen project. </t>
  </si>
  <si>
    <t xml:space="preserve">No specific plan, however, in Fig. 1 there is a map showing locations of modelled injection wells - However it is stated that a lot more wells may be needed due to sub-seismic flow barriers such as paleosol baffles. This study models injection rates based on the potential occurrence of two separate flow barriers: one at 10km and one at 5km from the injection point. </t>
  </si>
  <si>
    <t>The Precipice Sandstone is sealed by the Evergreen formation. This mudstone is a proven seal, as in the western and eastern flanks of the Surat basin, the Precipice sandstone is a hydrocarbon reservoir that is sealed by the Evergreen Formation. In the modelled scenarios, only a small proportion of injected CO2 will reach the seal - This is due to paleosol baffles slowing down migration within the reservoir. Also the shut in time for these models was only 200 years, i.e. a longer modelled shut in time (1000years) would allow much more CO2 to reach the seal.</t>
  </si>
  <si>
    <t>Undiscovered. This site does not contain any exploration wells. The well data used to model  injection within this site comes from two offset wells: Overston-1 &amp; Trelinga, which are 47km and 25km from the site perimeter, respectively. This site has modelled injection rates of 2Mt/a or 3Mt/a depending on the distance of a possible vertical flow barrier from the injection well.</t>
  </si>
  <si>
    <t>Sector-1 (Showgrounds)</t>
  </si>
  <si>
    <t>The showgrounds Sandstone is sealed by the Snake Creek Mudstone. This mudstone is a proven seal, as in the Southern Bowen basin the Showgrounds sandstone is a hydrocarbon reservoir that is sealed by the Snake Creek Mudstone. In the modelled scenarios, only a small proportion of injected CO2 will reach the seal. However the shut in time for these models was only 200 years.</t>
  </si>
  <si>
    <t xml:space="preserve">Undiscovered. This site does not contain any exploration wells. The well data used to model  injection within this site comes from two offset wells: Overston-1 &amp; Trelinga, which are 47km and 25km from the site perimeter, respectively. The showgrounds sandstone seems to be least optimal for CO2 storage as it is ~ 100m deeper than the sites within the Precipice, and has a modelled injectivity of 1.2Mt/a which is ~1/2 of the modelled injectivities for all other sites within the Precipice Ss. </t>
  </si>
  <si>
    <t>Sector-2 (Precipice)</t>
  </si>
  <si>
    <t>Partly Discovered. This site has one exploration well (Trelinga) almost directly in it's centre - It has a corresponding radial model which will give an accurate representation of the reservoir, compared to the other radial models that are out with site perimeters. This site has modelled injection rates of 2Mt/a or 3Mt/a depending on the distance of a possible vertical flow barrier from the injection well.</t>
  </si>
  <si>
    <t>Sector-3 (Precipice)</t>
  </si>
  <si>
    <t xml:space="preserve">Undiscovered. This site does not contain any exploration wells. The well data used to model injection within this site comes from the Moonie-39 well which is ~26km south of the site perimeter. Injection rates of 2Mt/a or 3Mt/a depending on the distance of a possible vertical flow barrier from the injection well. </t>
  </si>
  <si>
    <t xml:space="preserve">Silver Springs-Renlim gas field </t>
  </si>
  <si>
    <t>No specific development plan. It was near depleted in 2011 according to Bradshaw et al.  However according to Australian Gas Limited, it was fully depleted in 2000 and the silver springs-reclaim gas field is now being used for Methane storage.</t>
  </si>
  <si>
    <t>The Seal is the Snake Creak Mudstone.</t>
  </si>
  <si>
    <t>Surat (Basal Evergreen Unit)</t>
  </si>
  <si>
    <t>Basal Evergreen Unit</t>
  </si>
  <si>
    <t xml:space="preserve">Jurassic </t>
  </si>
  <si>
    <t>Bradshaw et al. (2011). An assessment of Queensland’s CO2 geological storage prospectivity — the Queensland CO2 Geological Storage Atlas. Energy Procedia 4.</t>
  </si>
  <si>
    <t xml:space="preserve">Area-2 seal is: the Evergreen Formation (marine-lacustrine shale &amp; siltstone) All of the site's theoretical storage area's in this study are based on highly prospective reservoir seal intervals, and calculation of theoretical storage volumes is based on site specific data. The Surat Basin forms a wide structural depression, this will favour long range migration of injected CO2 along the gently dipping basin sides. </t>
  </si>
  <si>
    <t>Surat (Boxvale Unit)</t>
  </si>
  <si>
    <t>Boxvale Unit</t>
  </si>
  <si>
    <t xml:space="preserve">Area-4 seal is: the Walloon sub-group (fluvio-lacustrine siltstone &amp; mudstone) All of the site's theoretical storage area's in this study are based on highly prospective reservoir seal intervals, and calculation of theoretical storage volumes is based on site specific data. The Surat Basin forms a wide structural depression, this will favour long range migration of injected CO2 along the gently dipping basin sides. </t>
  </si>
  <si>
    <t>Surat (Hutton Sandstone)</t>
  </si>
  <si>
    <t xml:space="preserve">Area-3 seal is: the Evergreen Formation (marine-lacustrine shale &amp; siltstone) All of the site's theoretical storage area's in this study are based on highly prospective reservoir seal intervals, and calculation of theoretical storage volumes is based on site specific data. The Surat Basin forms a wide structural depression, this will favour long range migration of injected CO2 along the gently dipping basin sides. </t>
  </si>
  <si>
    <t>Surat (Precipice Sandstone)</t>
  </si>
  <si>
    <t xml:space="preserve">Area-1 seal is: the Evergreen Formation (marine-lacustrine shale &amp; siltstone) All of the site's theoretical storage area's in this study are based on highly prospective reservoir seal intervals, and calculation of theoretical storage volumes is based on site specific data. The Surat Basin forms a wide structural depression, this will favour long range migration of injected CO2 along the gently dipping basin sides. </t>
  </si>
  <si>
    <t>Undiscovered: Sequence. Glencore are exploring this sequence in North and South Surat as part of their CTSCo pilot project - which is planned to upscale to the commercial market by mid 2020's. They have panned monitoring well located 200m from west Moonie-1 well. There are many oil and gas fields in the region, which also contain even more production and exploration wells. However due to the large size of the storage resources presented here,  only a very small percentage of these sites would count as discovered due to the occurrence of wells. Additionally, none of these site studies define specific boundaries and well numbers and locations are not given which makes it difficult calculate percent discovered. The storage resource presented here is a singular value representing  "a maximum theoretical CO2 storage volume within the selected storage fairway".</t>
  </si>
  <si>
    <t>Otway (Sequence)</t>
  </si>
  <si>
    <t>Paaratte Formation</t>
  </si>
  <si>
    <t xml:space="preserve">Late Cretaceous </t>
  </si>
  <si>
    <t>Hortle, A., Michael, K., &amp; Azizi, E. (2014). Assessment of CO2 Capacity and injectivity in saline aquifers - comparison of results from numerical flow simulations, analyitcal and generic models. Energy Procedia, 63, 3553-3562</t>
  </si>
  <si>
    <t>The only (known) previous study in this area was a basin wide probabilistic assessment carried out by the Australian government as part of their National Carbon Mapping and Infrastructure Plan in 2009. The storage resources from this study are listed above as part of the 2019 GSRA and were split into east and west Otway basin entries.</t>
  </si>
  <si>
    <t>The seal is provided by either intraformational shales or the Pebble Point Formation.</t>
  </si>
  <si>
    <t>Only one value of 1200Mt was given for resource based on simulations injecting through 6 wells over 30 years. Undiscovered. There are many oil and gas fields in the region, which also contain even more production and exploration wells. However due to the large size of the storage resources presented here,  only a very small percentage of these sites would count as discovered due to the occurrence of wells. Additionally, none of these site studies define specific boundaries and well numbers and locations are not given which makes it difficult calculate percent discovered.</t>
  </si>
  <si>
    <t>simulation (Analytical and generic models, and Numerical flow simulations)</t>
  </si>
  <si>
    <t>Site 2 (Halibut)</t>
  </si>
  <si>
    <t xml:space="preserve">Halibut </t>
  </si>
  <si>
    <t xml:space="preserve">The only previous assessment in this area was a basin wide probabilistic assessment carried out by the Australian government as part of their National Carbon Mapping and Infrastructure Plan in 2009. In the current study the Gippsland basin is screened for industrial scale (&gt;1Mt/a) CO2 storage. Subsequently, 3 "Large scale storage sites" are picked from the basin, the study indicates the main uncertainties from these sites and creates a work program to help reduce them. The bulk of this study focuses on probabilistic modelling that is used to give uncertainty, and what these impacts have on the assessments. </t>
  </si>
  <si>
    <t xml:space="preserve">No development plan specified. The simulations give high confidence that "industrial scale" injection (&gt;1Mt/a &amp; storage resource of 40-200Mt) can be achieved by using a combination of injection horizons. This combination is not stated and it is noted that a second appraisal is needed in order to select the optimum injection horizons. The injection pressure in area's 2 &amp; 3 is 70% of the fracture gradient, while with area 1 it is 90% of the fracture gradient. </t>
  </si>
  <si>
    <t xml:space="preserve">Partly discovered. High medium and low values represent: L90, Mean and L10 of data, respectively.  This site has 6 wells that are distributed only on the western portion of the sight area -  however, there are ~7 offset wells located a few Km's to the east of the site perimeter. The furthest southeast portion of this area has a small overlap with the site boundary from a site study of the Gippsland Southern Platform by Australian Government: Geoscience Australia. 2016. “Carbon dioxide storage potential of the Gippsland Basin.” This site is in the 2019 update above. After having reviewed this study, it shows in 3D seismic that the Halibut subgroup (reservoir) has a series of large faults that cross it (east-West) in the same area where these two sites intersect. If these faults have sealing properties then they would stop migration between sites - as both sites use the same subgroup for their injection reservoir. 
</t>
  </si>
  <si>
    <t>simulation (Monte Carlo)</t>
  </si>
  <si>
    <t>Site 3 (Halibut)</t>
  </si>
  <si>
    <t xml:space="preserve">Partly discovered. This site has 4 wells in a line to the northwest of the site, and two wells to the southeast. This site also has many offset wells within a few km of it's site perimeter. High medium and low values represent: L90, Mean and L10 of data, respectively. </t>
  </si>
  <si>
    <t xml:space="preserve">Western Australia </t>
  </si>
  <si>
    <t>Dongara</t>
  </si>
  <si>
    <t xml:space="preserve">Discovered </t>
  </si>
  <si>
    <t>Changhsingian</t>
  </si>
  <si>
    <t>The assessment is based around depleted oil and gas reservoirs, but their surrounding DSA systems are also assessed and added to the storage resource.</t>
  </si>
  <si>
    <t>The field area is bound by large regional scale faults (Mountain Bridge Fault &amp; Allanooka Fault), these are presumed to have sealing properties i.e. confining the volume. Potential injection well sites are marked out on the map.</t>
  </si>
  <si>
    <t xml:space="preserve">SW Hub </t>
  </si>
  <si>
    <t>Leseuer Sandstone Formation</t>
  </si>
  <si>
    <t>open, no identified structural/ stratigraphic confinement</t>
  </si>
  <si>
    <t>Triassic</t>
  </si>
  <si>
    <t>S Sharma, D Van Gent, M Burke &amp; L Stelfox. 2017.  The Australian South West Hub Project: Developing a Storage Project in Unconventional Geology, Energy Procedia, Volume 114, Pages 4524-4536</t>
  </si>
  <si>
    <t xml:space="preserve">The SW Hub site has had 3 previous studies done on it. Study 1: Based on 2D seismic &amp; logs from 1960-70's, models were created from these which supported Migration assisted trapping for CO2 storage. Study 2: More 2D seismic acquired &amp; Harvey 1 well was drilled deep down to the Sabina Sandstone, this study raised injectivity uncertainty concerns. Study 3: Uncertainty management plan (UMP) created, They acquired 3D seismic covering the study area and drilled 3 new wells (Harvey 2, 3 &amp; 4). This new data was used to get a better understanding of interbedding of sand and minor paleosol layers and containment of shallower horizons </t>
  </si>
  <si>
    <t xml:space="preserve">The results of all static and dynamic models are consistent with injecting 800,000 t/a over 30 years in the Wonnerup member, this would require injecting over 9 separate wells. The CO2 emissions sources would be the industrial hubs of Kwinana, Kemerton and Collie. </t>
  </si>
  <si>
    <t xml:space="preserve">The following has been modelling using both static and dynamic modelling. The CO2 is to be injected into the bottom of the Wonnerup member, part of  the Leseuer sandstone. From here it is predicted to be held by migration assisted trapping MAT (combination of dissolution and residual trapping) as it rises up through the Wonnerup member and into the Yalgorup member (upper Leseuer). The Yalgorup member consisted of  sandstone with minor interbeds of paleosols with limited lateral continuity (point bar deposits), these will help trapping by MAT. Above the Yalgorup member is the Eneaba formation which has a basal shale which will act as the upper confining layers. however the Eneaba formation is not continuous over the entire Yolgorup member, therefore leaks could be possible. This is why plume migration modelling is so important here. </t>
  </si>
  <si>
    <t xml:space="preserve">Discovered: There is a lot of data for this sight: 3 generations of seismic data acquisition (2D and 3D), and 4 wells drilled into the storage formation (1 deep and 3 shallow). </t>
  </si>
  <si>
    <t>Woodada</t>
  </si>
  <si>
    <t xml:space="preserve">Beekeeper </t>
  </si>
  <si>
    <t xml:space="preserve">Top Permian </t>
  </si>
  <si>
    <t>CO2 is to be injected down-dip of the Woodada gas field, it will migrate up-dip through the deep saline formation towards the depleted gas field. While migrating it will be stored by dissolution and residual trapping mechanisms, eventually it will percolate into the depleted gas field where it will be trapped within the structural closure</t>
  </si>
  <si>
    <t>Does not take into account the geomechanical constraints and the effects of water influx and compartmentalisation of the reservoirs that would tend to decrease the overall storage capacity. Potential injection well sites are marked out on the map.</t>
  </si>
  <si>
    <t>Coolimba &amp; Coomallo</t>
  </si>
  <si>
    <t>Beekeeper Formation</t>
  </si>
  <si>
    <t xml:space="preserve">Operational costs of CO2 storage at these sites will be higher due to the greater injection depths.  There is a lack of data at this site, so to get a better understanding of the prospectivity for CO2 storage, a new site study is needed. This will include 3D seismic surveys and data well drilling. Poor seal capacity: little obvious sealing structures in projected migration pathway. </t>
  </si>
  <si>
    <t>Mondarra</t>
  </si>
  <si>
    <t xml:space="preserve">Varma et al. has not described this site in detail as it is partly bounded by Major fault structures. These structures have been barriers for hydrocarbons in recent geological history, therefore it is thought that they might equally inhibit CO2 migration within the reservoir. Additionally, any stressed that the area may be subjected to will be accommodated along these structures which could lead to a seismic induced seal breach.  Lastly, the Mondarra field has been used for gas storage since 1998, therefore turning it CO2 storage site would put a stop to this. </t>
  </si>
  <si>
    <t>Denmark</t>
  </si>
  <si>
    <t>SNS1</t>
  </si>
  <si>
    <t>Northwest German</t>
  </si>
  <si>
    <t>Bunter Sandstone Formation</t>
  </si>
  <si>
    <t>Lower Triassic</t>
  </si>
  <si>
    <t>Anthonsen, K, C Bernstone, and H Feldrappe. 2014. “Screening for CO2 storage sites in Southeast North Sea and Southwest Baltic Sea.” Energy Procedia 5083-5092.</t>
  </si>
  <si>
    <t>Storage resource: 'Low' = 10% Seff, 'Mid' = 20% Seff, ''High' = 40% Seff</t>
  </si>
  <si>
    <t>Europe</t>
  </si>
  <si>
    <t>SNS2</t>
  </si>
  <si>
    <t>SNS3</t>
  </si>
  <si>
    <t>WBS1</t>
  </si>
  <si>
    <t>Germany</t>
  </si>
  <si>
    <t>WBS10</t>
  </si>
  <si>
    <t>WBS2</t>
  </si>
  <si>
    <t>WBS3</t>
  </si>
  <si>
    <t>WBS4</t>
  </si>
  <si>
    <t>WBS5</t>
  </si>
  <si>
    <t>WBS6</t>
  </si>
  <si>
    <t>WBS7</t>
  </si>
  <si>
    <t>WBS8</t>
  </si>
  <si>
    <t>WBS9</t>
  </si>
  <si>
    <t>Bangladesh</t>
  </si>
  <si>
    <t>Indian Subcontinent</t>
  </si>
  <si>
    <t>Bakhrabad</t>
  </si>
  <si>
    <t>Tripura - Cachar Foldbelt - Bengal</t>
  </si>
  <si>
    <t>Gas field</t>
  </si>
  <si>
    <t>British Geological Survey. 2008. A Regional Assessment of the Potential for the CO2 Storage in the Indian Subcontinent. IEAGHG.</t>
  </si>
  <si>
    <t>Research study undertaken by the British Geological Survey, comparing the CO2 sources and sinks in the Indian subcontinent to screen for CCS focus areas.</t>
  </si>
  <si>
    <t>None available.</t>
  </si>
  <si>
    <t>Structural/stratigraphic trapping within depleted hydrocarbon fields.</t>
  </si>
  <si>
    <t>Theoretical storage capacity evaluation based on the replacement methodology outlined by CSLF.</t>
  </si>
  <si>
    <t>Asia</t>
  </si>
  <si>
    <t>Beani Bazar</t>
  </si>
  <si>
    <t>Begumganj</t>
  </si>
  <si>
    <t>Bengal Basin</t>
  </si>
  <si>
    <t>Qualitative evaluation of the basins undertaken and ranking of the basins as follows: good potential, fair potential and limited potential. 'Good' basins contain hydrocarbon fields so it is assumed that a reservoir-seal pair exists.</t>
  </si>
  <si>
    <t>Assumed that the saline aquifers were present and suitable for CO2 storage over 50% of the basin. Of this area, it was assumed that 0.2x10^6 tonnes CO2 could be stored per km2. This calculation was applied only to the basins that were considered 'good' or 'fair' during the qualitative evaluation.</t>
  </si>
  <si>
    <t>Bibiyana</t>
  </si>
  <si>
    <t>Chattak</t>
  </si>
  <si>
    <t>Fenchuganj</t>
  </si>
  <si>
    <t>Feni</t>
  </si>
  <si>
    <t>Habiganj</t>
  </si>
  <si>
    <t>Jalalabad</t>
  </si>
  <si>
    <t>Kailashtila</t>
  </si>
  <si>
    <t>Kamta</t>
  </si>
  <si>
    <t>Kutubdia</t>
  </si>
  <si>
    <t>Meghna</t>
  </si>
  <si>
    <t>Moulavi Bazar</t>
  </si>
  <si>
    <t>Narshingdi</t>
  </si>
  <si>
    <t>Rashidpur</t>
  </si>
  <si>
    <t>Saldanadi</t>
  </si>
  <si>
    <t>Sangu</t>
  </si>
  <si>
    <t>Semutang</t>
  </si>
  <si>
    <t>Shabazpur</t>
  </si>
  <si>
    <t>Sylhet</t>
  </si>
  <si>
    <t>Titas</t>
  </si>
  <si>
    <t>Brazil</t>
  </si>
  <si>
    <t>Albacora Leste</t>
  </si>
  <si>
    <t>Campos</t>
  </si>
  <si>
    <t>Rockett, G. C. et al. 2013. “CO2 Storage Capacity of Campos Basin’s Oil Fields, Brazil.” Energy Procedia,, 1-10.</t>
  </si>
  <si>
    <t>Project undertaken by CEPAC and PUCRS to accelerate the development of CCS in Brazil. The Atlas provides a high-level overview of potential storage resource and links basins to emissions centres.</t>
  </si>
  <si>
    <t>Assumed structural/stratigraphic as theoretical storage estimated for hydrocarbon fields.</t>
  </si>
  <si>
    <t>Theoretical storage capacity estimated using the cumulative hydrocarbon production and the remaining field reserves. No estimation of when the storage capacity may become available.</t>
  </si>
  <si>
    <t>Americas</t>
  </si>
  <si>
    <t>Badejo</t>
  </si>
  <si>
    <t>Lagoa Feia Formation</t>
  </si>
  <si>
    <t>Bahia Sul</t>
  </si>
  <si>
    <t xml:space="preserve">Rockett, G. C., Machado, C. X., Ketzer, J. M. M., Centeno C. I. 2011. “The CARBMAP Project: Matching CO2 Sources and Geological Sinks in Brazil using Geographic Information System.” Energy Procedia. </t>
  </si>
  <si>
    <t>The CARBMAP Project is run by CEPAC and aims to support analysis of the CCS potential in Brazil by matching the CO2 sources and sinks in GIS.</t>
  </si>
  <si>
    <t>Barracuda</t>
  </si>
  <si>
    <t>Oligocene</t>
  </si>
  <si>
    <t xml:space="preserve">Assumed structural/stratigraphic as theoretical storage estimated for hydrocarbon fields. </t>
  </si>
  <si>
    <t>Theoretical storage capacity estimated using the cumulative hydrocarbon production and the remaining field reserves. No estimation of when the storage capacity may become available. Original 'Mid' storage capacity was 1767.5Mt, however 949Mt was subtracted to avoid double counting from Campos Basin fields within the Rockett et al (2013) paper. These evaluations adopt a similar methodology and have the same SRMS maturity classification, as such it was appropriate to account for this double counting.</t>
  </si>
  <si>
    <t>Carapeda</t>
  </si>
  <si>
    <t>Carapebus Member</t>
  </si>
  <si>
    <t>Caratinga</t>
  </si>
  <si>
    <t>Ceara</t>
  </si>
  <si>
    <t>Piaui - Ceara</t>
  </si>
  <si>
    <t>Corvina</t>
  </si>
  <si>
    <t>Eocene</t>
  </si>
  <si>
    <t>Enchova/Bonito</t>
  </si>
  <si>
    <t>Espirito-Santo</t>
  </si>
  <si>
    <t>Espirito Santo</t>
  </si>
  <si>
    <t>Garoupa</t>
  </si>
  <si>
    <t>Macae Formation</t>
  </si>
  <si>
    <t>Jubarte</t>
  </si>
  <si>
    <t>Linguado</t>
  </si>
  <si>
    <t>Lagoa Feia, Macae and Campos Formation</t>
  </si>
  <si>
    <t>Malhado</t>
  </si>
  <si>
    <t>Marimba</t>
  </si>
  <si>
    <t>Marlim</t>
  </si>
  <si>
    <t>Namorado</t>
  </si>
  <si>
    <t>Pampo</t>
  </si>
  <si>
    <t>Macae Formation, Lagoa Feia Formation</t>
  </si>
  <si>
    <t>Potiguar</t>
  </si>
  <si>
    <t>Roncador</t>
  </si>
  <si>
    <t>Carapebus Formation</t>
  </si>
  <si>
    <t>Santos</t>
  </si>
  <si>
    <t>Sergipe-Alagoas</t>
  </si>
  <si>
    <t>Sergipe - Alagoas</t>
  </si>
  <si>
    <t>Vermelho</t>
  </si>
  <si>
    <t>Buracica</t>
  </si>
  <si>
    <t>Reconcavo</t>
  </si>
  <si>
    <t>CEPAC. 2014. Brazilian Atlas of CO2 Capture and Geological Storage. EDIPURCS.</t>
  </si>
  <si>
    <t>CO2 was obtained from a nearby fertilization plant and injected, alternated with water through 7 wells to enhance oil recovery.</t>
  </si>
  <si>
    <t>No reference to the ultimate capacity. CO2 was injected during the lifespan of the oilfield, between 1991-2005 at 100 tonnes per day.</t>
  </si>
  <si>
    <t>Solimoes</t>
  </si>
  <si>
    <t>Tucano</t>
  </si>
  <si>
    <t>Canada</t>
  </si>
  <si>
    <t>Alberta</t>
  </si>
  <si>
    <t>Alberta - Depleted Field (Undifferentiated) Province</t>
  </si>
  <si>
    <t>West Canadian - Alberta</t>
  </si>
  <si>
    <t>Hydrocarbon unspecified</t>
  </si>
  <si>
    <t>DOE-NETL. (2015). Carbon Storage Atlas V. US Department of Energy.</t>
  </si>
  <si>
    <t>Both NASCA and DOE- NETL Atlas V report geological storage potential for oil and natural gas reservoirs in several Canadian provinces. Numbers reported in this database are derived from the DOE 2015 Atlas V as they are the most recent figures available. Only low-mid-high storage potential figures available with no location- or field-specific details. NOTE: NASCA reports a single figure: 12000 Mt for Alberta (derived from production data). UNDIFFERENTIATED PROVINCE estimate derived from reported Province-scale estimate minus site specific estimates in this database.</t>
  </si>
  <si>
    <t>Depleted or currently under production hydrocarbon fields.</t>
  </si>
  <si>
    <t xml:space="preserve">DISCOVERED: no details of field availability provided therefore INACCESSIBLE. Original Province-scale (DOE) estimate: 1490 Mt. (Identified Oil pools: 169 Mt. Gas pools: 923 Mt). MID UNDIFFERENTIATED PROVINCE estimate: 398 Mt. </t>
  </si>
  <si>
    <t>DOE-NETL Atlas V 2015</t>
  </si>
  <si>
    <t>VOLUMETRIC METHOD: Gco2 = Total Pore Space Volume (area x net thickness x average effective porosity) x Pore Volume Available for CO2 Storage (oil and gas saturation (1-Sw) x formation volume factor) x CO2 density x Efficiency Factor. Value of E derived from local experience or reservoir simulations. PRODUCTION METHOD: if good quality produced volumes are available (use decline curve analysis to get estimate for ultimate recovery if necessary). Use value for E if available, otherwise use volume replacement approach.</t>
  </si>
  <si>
    <t>Alberta - Saline aquifer (Undifferentiated)</t>
  </si>
  <si>
    <t xml:space="preserve">Province-wide (Undifferentiated) estimate of CO2 storage resource. Source document: DOE Atlas V (2015). 
</t>
  </si>
  <si>
    <t xml:space="preserve">
</t>
  </si>
  <si>
    <t xml:space="preserve">UNDISCOVERED: PROSPECTIVE - BASIN PLAY. DOE ATLAS V RESOURCE ESTIMATE: LOW: 38.17 GT; MID: 76.74 GT; HIGH: 140.30 GT. Storable quantity entry for 2019 assessment nulled as resource estimate accounted for by DOE Regional studies (COSS, WCSB, Viking Fm)
</t>
  </si>
  <si>
    <t>DOE Atlas III Gorecki et al 2009</t>
  </si>
  <si>
    <t>Efficiency factors: Low: 0.51%, Mid: 2.0%, High: 5.5%</t>
  </si>
  <si>
    <t>Athabasca area: Blueridge</t>
  </si>
  <si>
    <t>Blueridge</t>
  </si>
  <si>
    <t>Upper Devonian</t>
  </si>
  <si>
    <t>Bachu, S. M. (2014). Approach to evaluating the CO2 storage capacity in Devonian deep saline aquifers for emissions from oil sands operations in the Athabasca area, Canada. Energy Procedia(63), 5093-5102.</t>
  </si>
  <si>
    <t>Study of options for CO2 storage in Devonian saline aquifers west of shallow Athabasca oil sands deposits as an alternative to piping emitted CO2 hundreds of km south to Basal Cambrian injection projects, or further south via ACTL. Ten aquifers in total identified as having potential. Whole aquifer storage resource calculated, reduced by regulatory cut-offs (&gt;1000m depth) and resource protection (oil, gas, bitumen reservoirs), &gt;4% porosity (N:G calculated from aquifer volume available after depth/resource cut-offs). No active evaluation program on-going.</t>
  </si>
  <si>
    <t>10 Devonian aquifers included. Alberta regulatory frameworks restricts CO2 storage to depths &gt;1000m. NOTE: additional reduction of 'prospective' resource using permeability undertaken by study. No details of cut-off provided (permeability had to be 'high' to quality area). Blueridge contingent resource reduced by 62.7% (to 397.2 Mt).</t>
  </si>
  <si>
    <t>Saline aquifers. No structure described. Aquitards (shales, evaporites) described in Devonian sequence: Ireton shales, Duvernay, Cretaceous shales overlying Devonian, and bitumen-saturated oil sands .</t>
  </si>
  <si>
    <t>DISCOVERED: Geological mapping using &gt;34000 wells, Well logs from 8305 wells used to determine well-scale porosity, permeability distribution from 214,194 core analyses in 5242 wells and 4318 DST's in 3586 wells.  Whole gross storage resource: 1657.1 Mt, GROSS INACCESSIBLE (depth and resource protection cut-offs): 396.4 Mt. CONTINGENT (DEVELOPMENT NOT VIABLE): 1064.4 Mt</t>
  </si>
  <si>
    <t>Goodman et al 2011</t>
  </si>
  <si>
    <t>Volumetric calculation of whole aquifer storage volume: aquifer thickness x porosity x CO2 density x over aquifer area (x,y) x E (storage efficiency: 2.7% dolomite aquifers, 2% limestone aquifers, 2.4% sandstone aquifers.</t>
  </si>
  <si>
    <t>Athabasca area: Cooking Lake</t>
  </si>
  <si>
    <t>Cooking Lake</t>
  </si>
  <si>
    <t>10 Devonian aquifers included. Alberta regulatory frameworks restricts CO2 storage to depths &gt;1000m. NOTE: additional reduction of 'prospective' resource using permeability undertaken by study. No details of cut-off provided (permeability had to be 'high' to quality area). Cooking Lake contingent resource reduced by 16.7% (to 406.0 Mt).</t>
  </si>
  <si>
    <t>DISCOVERED: Geological mapping using &gt;34000 wells, Well logs from 8305 wells used to determine well-scale porosity, permeability distribution from 214,194 core analyses in 5242 wells and 4318 DST's in 3586 wells.  Whole GROSS storage resource: 579.7 Mt, GROSS INACCESSIBLE (depth and resource protection cut-offs): 92.4 Mt. CONTINGENT (DEVELOPMENT NOT VIABLE): 487.3 Mt</t>
  </si>
  <si>
    <t>Athabasca area: gas fields</t>
  </si>
  <si>
    <t>Mid Devonian</t>
  </si>
  <si>
    <t>Jafari, A. &amp; Bachu, S. (2014). Evaluation of CO2 storage capacity in Devonian hydrocarbon reservoirs for emissions from oil sands operations in the Athabasca area, Canada.</t>
  </si>
  <si>
    <t>Study of options for CO2 storage in Devonian oil and gas reservoirs to west of shallow Athabasca oil sands deposits as an alternative to piping emitted CO2 hundreds of km south to Basal Cambrian injection projects, or further south via ACTL. No break down of individual fields/pool. Numbers are cumulative for all described gas pools (exception: depth cut-off). No active evaluation program on-going.</t>
  </si>
  <si>
    <t>13 Devonian reservoirs examined. Alberta regulatory frameworks restricts CO2 storage to depths &gt;1000m and no interference with hydrocarbon resources.</t>
  </si>
  <si>
    <t>Depleted gas fields. Assumption that injection of CO2 until reservoir pressure = initial pressure. No well counts or field discovery dates available.</t>
  </si>
  <si>
    <t>DISCOVERED: INACCESSIBLE due to no abandonment date. Gas reservoirs (total): 466 Mt. Breakdown of Total Resource: Gas reservoirs &gt;1000m: 150.7 Mt. Gas reservoirs &lt;1000m: 315.3 Mt. Note: only 2 gas reservoirs sit at depths &gt;1000m and have storage resource &gt;5Mt.</t>
  </si>
  <si>
    <t>Bach &amp; Shaw 2005</t>
  </si>
  <si>
    <t>Volumetric replacement methodology: Co2 density x Rf x (1-FIG) x OGIP x (P/T/Z at surface and reservoir conditions). Impact of aquifer support: 30% reduction in reservoirs with strong aquifer support.</t>
  </si>
  <si>
    <t>Athabasca area: Gilwood</t>
  </si>
  <si>
    <t>Slave Point</t>
  </si>
  <si>
    <t>10 Devonian aquifers included. Alberta regulatory frameworks restricts CO2 storage to depths &gt;1000m. NOTE: additional reduction of 'prospective' resource using permeability undertaken by study. No details of cut-off provided (permeability had to be 'high' to quality area). Gilwood contingent resource reduced by 77.7% (to 100.1Mt).</t>
  </si>
  <si>
    <t>DISCOVERED: Geological mapping using &gt;34000 wells, Well logs from 8305 wells used to determine well-scale porosity, permeability distribution from 214,194 core analyses in 5242 wells and 4318 DST's in 3586 wells.  Whole GROSS storage resource: 488 Mt, GROSS INACCESSIBLE (depth and resource protection cut-offs): 39 Mt. CONTINGENT (DEVELOPMENT NOT VIABLE): 448.9 Mt</t>
  </si>
  <si>
    <t>Athabasca area: Granite Wash</t>
  </si>
  <si>
    <t>Granite Wash</t>
  </si>
  <si>
    <t>Lower Devonian</t>
  </si>
  <si>
    <t>10 Devonian aquifers included. Alberta regulatory frameworks restricts CO2 storage to depths &gt;1000m. NOTE: additional reduction of 'prospective' resource using permeability undertaken by study. No details of cut-off provided (permeability had to be 'high' to quality area). Granite Wash contingent resource reduced by 70.2% (to 150.4 Mt).</t>
  </si>
  <si>
    <t>DISCOVERED: Geological mapping using &gt;34000 wells, Well logs from 8305 wells used to determine well-scale porosity, permeability distribution from 214,194 core analyses in 5242 wells and 4318 DST's in 3586 wells.  Whole GROSS storage resource: 533.3 Mt, GROSS INACCESSIBLE (depth and resource protection cut-offs): 15855.7 Mt. CONTINGENT (DEVELOPMENT NOT VIABLE): 504.3 Mt</t>
  </si>
  <si>
    <t>Athabasca area: Grosmont</t>
  </si>
  <si>
    <t>Grosmont</t>
  </si>
  <si>
    <t>10 Devonian aquifers included. Alberta regulatory frameworks restricts CO2 storage to depths &gt;1000m. NOTE: additional reduction of 'prospective' resource using permeability undertaken by study. No details of cut-off provided (permeability had to be 'high' to quality area). Grosmont contingent resource reduced by 67.3% (to 115.2 Mt).</t>
  </si>
  <si>
    <t>DISCOVERED: Geological mapping using &gt;34000 wells, Well logs from 8305 wells used to determine well-scale porosity, permeability distribution from 214,194 core analyses in 5242 wells and 4318 DST's in 3586 wells.  Whole gross storage resource: 1721.1 Mt, GROSS INACCESSIBLE (depth and resource protection cut-offs): 1354.9 Mt. CONTINGENT (DEVELOPMENT NOT VIABLE): 352 Mt</t>
  </si>
  <si>
    <t>Athabasca area: Keg River</t>
  </si>
  <si>
    <t>Keg River</t>
  </si>
  <si>
    <t>10 Devonian aquifers included. Alberta regulatory frameworks restricts CO2 storage to depths &gt;1000m. NOTE: additional reduction of 'prospective' resource using permeability undertaken by study. No details of cut-off provided (permeability had to be 'high' to quality area). Keg River contingent resource reduced by 79.2% (to 1587.1 Mt).</t>
  </si>
  <si>
    <t>DISCOVERED: Geological mapping using &gt;34000 wells, Well logs from 8305 wells used to determine well-scale porosity, permeability distribution from 214,194 core analyses in 5242 wells and 4318 DST's in 3586 wells.  Whole GROSS storage resource: 10734.9 Mt, GROSS INACCESSIBLE (depth and resource protection cut-offs): 3060.5 Mt. CONTINGENT (DEVELOPMENT NOT VIABLE): 7620.5 Mt</t>
  </si>
  <si>
    <t>Athabasca area: Leduc</t>
  </si>
  <si>
    <t>Leduc</t>
  </si>
  <si>
    <t>10 Devonian aquifers included. Alberta regulatory frameworks restricts CO2 storage to depths &gt;1000m. NOTE: additional reduction of 'prospective' resource using permeability undertaken by study. No details of cut-off provided (permeability had to be 'high' to quality area). Leduco contingent resource reduced by 8.4% (to 263.4 Mt).</t>
  </si>
  <si>
    <t>DISCOVERED: Geological mapping using &gt;34000 wells, Well logs from 8305 wells used to determine well-scale porosity, permeability distribution from 214,194 core analyses in 5242 wells and 4318 DST's in 3586 wells.  Whole GROSS storage resource: 434 Mt, GROSS INACCESSIBLE (depth and resource protection cut-offs): 146.4 Mt. CONTINGENT: DEVELOPMENT NOT VIABLE: 287.6 Mt</t>
  </si>
  <si>
    <t>Athabasca area: Nisku</t>
  </si>
  <si>
    <t>Nisku</t>
  </si>
  <si>
    <t>10 Devonian aquifers included. Alberta regulatory frameworks restricts CO2 storage to depths &gt;1000m. NOTE: additional reduction of 'prospective' resource using permeability undertaken by study. No details of cut-off provided (permeability had to be 'high' to quality area). Nisku contingent resource reduced by 91% (to 200.5 Mt).</t>
  </si>
  <si>
    <t>DISCOVERED: Geological mapping using &gt;34000 wells, Well logs from 8305 wells used to determine well-scale porosity, permeability distribution from 214,194 core analyses in 5242 wells and 4318 DST's in 3586 wells.  Whole gross storage resource: 3130.9 Mt, GROSS INACCESSIBLE (depth and resource protection cut-offs): 856.1 Mt. CONTINGENT (DEVELOPMENT NOT VIABLE): 2217.3 Mt</t>
  </si>
  <si>
    <t>Athabasca area: oil fields</t>
  </si>
  <si>
    <t>Oilfield</t>
  </si>
  <si>
    <t>Jafari, A. &amp; Bachu, S. (2014). Evaluation of CO2 Storage Capacity in Devonian hydrocarbon reservoirs for emissions from oil sands operations in the Athabasca area, Canada. Energy Procedia 63, 5222-5230.</t>
  </si>
  <si>
    <t xml:space="preserve">Study of options for CO2 storage in Devonian oil and gas reservoirs to west of shallow Athabasca oil sands deposits as an alternative to piping emitted CO2 hundreds of km south to Basal Cambrian injection projects, or further south via ACTL. No break down of individual fields/pool. Numbers are cumulative for all described oil pools (exception: depth cut-off). </t>
  </si>
  <si>
    <t>DISCOVERED: Total = Oil (non-associated) reservoirs (&gt;1000m) under primary recovery (total): 119 Mt. Inaccessible (&lt;1000m): &lt;1Mt. Note: only 7 oil reservoirs sit at depths&gt;1000m and have storage resource &gt;5Mt. Oil reservoirs under secondary (waterflood) recovery (&gt;1000m): 30.9 Mt. Oil reservoirs under tertiary (natural gas injection) recovery: 64.4 Mt. Total resource lost to  depth cut-off and recovery mechanism: 95.3 Mt</t>
  </si>
  <si>
    <t>Volumetric replacement methodology: Co2 density x [Rf x OOIP x Bf - Vol injected water + Vol produced water]. Impact of aquifer support: 60% reduction in reservoirs with strong aquifer support.</t>
  </si>
  <si>
    <t>Athabasca area: Slave Point</t>
  </si>
  <si>
    <t>10 Devonian aquifers included. Alberta regulatory frameworks restricts CO2 storage to depths &gt;1000m. NOTE: additional reduction of 'prospective' resource using permeability undertaken by study. No details of cut-off provided (permeability had to be 'high' to quality area). Slave Point contingent resource reduced by 85.6% (to 13.3 Mt).</t>
  </si>
  <si>
    <t>DISCOVERED: Geological mapping using &gt;34000 wells, Well logs from 8305 wells used to determine well-scale porosity, permeability distribution from 214,194 core analyses in 5242 wells and 4318 DST's in 3586 wells.  Whole GROSS storage resource: 159.4 Mt, GROSS INACCESSIBLE (depth and resource protection cut-offs): 14 Mt. CONTINGENT (DEVEOPMENT NOT VIABLE): 92.6 Mt</t>
  </si>
  <si>
    <t>Athabasca area: Wabamun</t>
  </si>
  <si>
    <t>Wabamun</t>
  </si>
  <si>
    <t>10 Devonian aquifers included. Alberta regulatory frameworks restricts CO2 storage to depths &gt;1000m. NOTE: additional reduction of 'prospective' resource using permeability undertaken by study. No details of cut-off provided (permeability had to be 'high' to quality area). Wabamun contingent resource reduced by 73% (to 499.7 Mt).</t>
  </si>
  <si>
    <t>DISCOVERED: Geological mapping using &gt;34000 wells, Well logs from 8305 wells used to determine well-scale porosity, permeability distribution from 214,194 core analyses in 5242 wells and 4318 DST's in 3586 wells.  Whole gross storage resource: 4330.9 Mt, GROSS INACCESSIBLE  (depth and resource protection cut-offs): 1830.9 Mt. CONTINGENT (DEVELOPMENT NOT VIABLE): 1851.4 Mt</t>
  </si>
  <si>
    <t>Bonneyville CO2 Point Source</t>
  </si>
  <si>
    <t>Williston</t>
  </si>
  <si>
    <t>Basal Sand</t>
  </si>
  <si>
    <t>Cambrian</t>
  </si>
  <si>
    <t>Huang, X., Bandilla, K.W., Celia, M.A. and Bachu, S. (2014). Basin-scale modelling of CO2 storage using models of varying complexity. International Journal of Greenhouse Gas Control 20, 73-86.</t>
  </si>
  <si>
    <t>Part of a study by Huang et al. 2014 which assessed 4 categories of simulation on their ability to predict the basin-scale pressure response to injection of CO2 at 9 separate sites. Review of the simulation results led to 5 sites being identified as having potential for injection of significant volumes of CO2 (Total injected volume 3.14 Gt).  Total project area: 810,000 sq.km with 128 wells and 40 DST's. No site specific details. Note: study used Basal Sand model with simple BHP max. pressure to allow simulation comparison. This study was NOT designed to assess storage potential at specific locations. Associated database entries derived from this project: Regina Point Source, Lloydminster Point Source, 120KM E of Forestburg Point Source. Also included Shell Quest site in simulation. No known active project evaluation.</t>
  </si>
  <si>
    <t>Total project (5 sites) aimed to inject 63 Mt CO2 for 50 years. Bonneyville contribution: 18.0 Mt/year. Total simulated injected volume: 900 Mt. Number of wells: equiv. of 25 injection wells evenly distributed across injection site grid cell (injection rate evenly distributed across grid cell in numerical simulators).</t>
  </si>
  <si>
    <t>Cambrian shales, Icebox Member shales and tight Devonian carbonates overlie Basal Sand.</t>
  </si>
  <si>
    <t>DISCOVERED: CONTINGENT (DEVELOPMENT NOT VIABLE): 900 Mt</t>
  </si>
  <si>
    <t>Dynamic simulation. Grid of 10km x 10 km cells with assigned values for porosity, permeability, depth and thickness.</t>
  </si>
  <si>
    <t>Brazeau River - Elkton-Shunda B</t>
  </si>
  <si>
    <t>Turner Valley Fm / Shunda Fm</t>
  </si>
  <si>
    <t>Upper Carboniferous</t>
  </si>
  <si>
    <t>Bachu, S. (2004). Evaluation of CO2 Sequestration Capacity in Oil and Gas Reservoirs in the Western Canada Sedimentary Basin</t>
  </si>
  <si>
    <t>Storage resource calculation based on replacement method, with an efficiency factor based on an assessment of aquifer strength. Report uses depth cut-off (900m - 3500m) and a capacity cut-off of 1Mt. Only fields reported as having storage potential &gt;20Mt have been extracted from this report. Field/reserves data from: https://www.aer.ca/providing-information/data-and-reports/statistical-reports/st98/reserves/data</t>
  </si>
  <si>
    <t>None available. No abandonment date available. Last reserves update: 08/2012 .</t>
  </si>
  <si>
    <t>Depleted gas field. Discovery date: 1959. Well count: unknown</t>
  </si>
  <si>
    <t>A single value of 30.4 Mt was quoted in the 2004 report. No production history modelling available. No abandonment date provided. Report contains 2 separate entries for the Brazeau River field: Elkton-Shunda B pool. These have been entered as separate entities in this database.</t>
  </si>
  <si>
    <t>Bachu 2004</t>
  </si>
  <si>
    <t xml:space="preserve">Capacity reduction coefficient applied to theoretical capacity (estimated from CO2 density, recovery factor (minus injected gas), OGIP and surface/reservoir conditions) based on assessment of aquifer support: strong aquifer support E = 0.70, weak aquifer support E = 0.97. Effective capacity uses 0.9 applied to theoretical capacity. </t>
  </si>
  <si>
    <t>Crossfield - Rundle B</t>
  </si>
  <si>
    <t>Rundle Group</t>
  </si>
  <si>
    <t>Lower Carboniferous</t>
  </si>
  <si>
    <t>None available. No abandonment date available. Last reserves update: 12/2011 .</t>
  </si>
  <si>
    <t>Depleted gas field. Discovery date: 1957. Well count: unknown</t>
  </si>
  <si>
    <t xml:space="preserve">A single value of 80.9 Mt was quoted in the 2004 report. No production history modelling available. No abandonment date provided. </t>
  </si>
  <si>
    <t>Crossfield - Wabamun A</t>
  </si>
  <si>
    <t>Storage resource calculation based on replacement method, with an efficiency factor based on an assessment of aquifer strength. Report uses depth cut-off (900m - 3500m) and a capacity cut-off of 1Mt. Only fields reported as having storage potential &gt;20Mt have been extracted from this report. Field/reserves data: https://www.aer.ca/providing-information/data-and-reports/statistical-reports/st98/reserves/data</t>
  </si>
  <si>
    <t>None available. No abandonment date available. Last reserves update: 09/2017.</t>
  </si>
  <si>
    <t>Depleted gas field. Discovery date: 1954. Well count: unknown</t>
  </si>
  <si>
    <t xml:space="preserve">A single value of 69.3 Mt was quoted in the 2004 report. No production history modelling available. No abandonment date provided. </t>
  </si>
  <si>
    <t>Crossfield East - Wabamun A</t>
  </si>
  <si>
    <t>None available. No abandonment date available. Last reserves update: 12/2018.</t>
  </si>
  <si>
    <t xml:space="preserve">A single value of 59.9 Mt was quoted in the 2004 report. No production history modelling available. No abandonment date provided. </t>
  </si>
  <si>
    <t>Duffield-Warburg CO2 Point Source</t>
  </si>
  <si>
    <t>Deadwood &amp; Black Island Formations</t>
  </si>
  <si>
    <t>Liu, G., Peck, W.D., Braunberger, J.R., Klenner, R.C., Gorecki, C.D., Steadman, E.N. and Harju, J.A. (2014). Evaluation of large-scale carbon dioxide storage potential in the basal saline system in the Alberta and Williston Basins in North America. Energy Procedia 63, 2911 - 2920.</t>
  </si>
  <si>
    <t xml:space="preserve">PCOR project aimed at determining storage potential of lowermost aquifer system in the Alberta and Williston Basins covering Alberta, Saskatchewan and SW Manitoba in Canada (plus Montana and N &amp; S Dakota in USA). 3D geocellular model developed for basal sand. Numerical simulation derived from static model. Aim was to compare volumetric methodology storage resource estimate with dynamic simulation estimate. Results reported in PCOR document (Liu et al 2013) and paper (Liu et al. 2014).  No known active evaluation program on-going.
</t>
  </si>
  <si>
    <t xml:space="preserve">Simulation of injection at Duffield-Warburg electricity generation plant. Project aim: Inject 94 Mt/year for either 36 or 50 years. Report and paper give different results for apparently similar cases. 2 Scenarios modelled: Scenario 1 (injection at 16 CO2 point source locations):  Best case scenario: 48 injectors and 20 water extraction wells (on 5-spot pattern). Injection over 50 year period with 36 year post-injection period. Step-wise injection/extraction strategy. Maximum injection volume: 298 Mt (Lui et al., 2013) or 1280 Mt (Liu et al., 2014). Scenario 2: injection at 25 locations selected from static model optimising for best permeability (&gt;50mD). Maximum injected volume: 2823 Mt. </t>
  </si>
  <si>
    <t xml:space="preserve">COSS overlain by Cambrian shales in Alberta Basin and by Ordovician shales or Mid Devonian tight shaley carbonates in the Williston Basin
</t>
  </si>
  <si>
    <t xml:space="preserve">DISCOVERED: CONTINGENT (DEVELOPMENT NOT VIABLE): Scenario 1: Mid: 298 Mt, High: 1280 Mt. Scenario 2: Mid: 2823 Mt. 2019 Assessment entry given Scenario 1 estimate as this location is not affected by Huang et al. (2015) study (later study avoids Warburg site due to higher injection volumes simulated: 23 Mt/yr compared to 5 Mt achieved by Liu et al). This avoids double counting with the 5 Basal Sand injection projects in Huang et al. - Quest, Regina, Bonneyville, Lloydminster, 120E of Forestburg -which total 3.1 GT resource potential. Location of Scenario 2 injection points in Liu et al 2014 study unknown so no comparison with Huang et al 2015 study can be made.
</t>
  </si>
  <si>
    <t>Numerical simulation</t>
  </si>
  <si>
    <t>Hamburg - Slave Point A</t>
  </si>
  <si>
    <t>None available. No abandonment date available. Last reserves update: 11/2017.</t>
  </si>
  <si>
    <t>Depleted gas field. Discovery date: 1983. Well count: unknown</t>
  </si>
  <si>
    <t xml:space="preserve">A single value of 28.0 Mt was quoted in the 2004 report. No production history modelling available. No abandonment date provided. </t>
  </si>
  <si>
    <t>Heartland Area Redwater Project (HARP)</t>
  </si>
  <si>
    <t>Leduc Formation</t>
  </si>
  <si>
    <t>Gunter, W. B. (2009). Heartland Area Redwater reef saline aquifer CO2 storage project. Energy Procedia, 1, 3943-3950.</t>
  </si>
  <si>
    <t>Staged project aimed at storing CO2 from range of sources in the Redwater-Leduc Fm carbonate reef. Phase I feasibility (subsurface characterisation) study completed.  Well count: 1280 wells used in subsurface characterisation, but only 43 wells penetrate reef complex outside the oil pools. 400 km 2D lines tied to wells. Reef pore volume 2 billion cubic metres. Storage resource: saline aquifer = 1Gt (http://www.zeroco2.no/projects/heartland-area-redwater-storage-project-harp); Redwater-Leduc oilfield: 50Mt Discovered-Inaccessible</t>
  </si>
  <si>
    <t xml:space="preserve">Staged project development plan. Phase I: subsurface characterisation; Phase II: pilot project (planned date was 2011) injecting 200-300t CO2/day. 1 injection and 2 monitoring wells planned. Phase III: plan to scale-up to 1 Mt/year. Target of 50,000t CO2/day for 30 years. Currently ON-HOLD: no injection into saline aquifer has taken place, pending funding/CCS legislation. As of 2011 CO2-EOR pilot operation set-up in Redwater oil field. </t>
  </si>
  <si>
    <t>Redwater-Leduc oilfield: depleted field, proven seal. Saline aquifer: caprock equivalent to oilfield caprock. Also overlying aquifers not in hydrodynamic communication with Leduc Fm, nor with each other.</t>
  </si>
  <si>
    <t>Saline aquifer storage - DISCOVERED AWAITING ASSESSMENT(1Gt) due to existing well penetrations, subsurface characterisation but project-specific data wells not drilled/not reported. also numerical simulation modelling of saline storage undertaken but reports (2010) are 'Client Confidential'. DEVELOPMENT NOT VIABLE due to project being placed ON-HOLD. NOTE: risk of double counting with Leduc Fm in Athabasca area but published data are not detailed enough to identify geographic overlap.</t>
  </si>
  <si>
    <t>Kaybob South - Beaverhill Lake A</t>
  </si>
  <si>
    <t>Swan Hills Formation</t>
  </si>
  <si>
    <t xml:space="preserve">None available. No abandonment date available. Last reserves update: 12/2015. Note N:G not calculated as quoted pay thickness (28.91m) &gt; reservoir thickness (15.9m). </t>
  </si>
  <si>
    <t>Depleted gas field. Discovery date: 1961. Well count: unavailable.</t>
  </si>
  <si>
    <t xml:space="preserve">A single value of 100.7 Mt was quoted in the 2004 report. No production history modelling available. No abandonment date provided. </t>
  </si>
  <si>
    <t>Lloydminster CO2 Point Source</t>
  </si>
  <si>
    <t>Part of a study by Huang et al. 2014 which assessed 4 categories of model on their ability to predict the basin-scale pressure response to injection of CO2 at 9 separate sites. Review of the simulation results led to 5 sites being identified as having potential for injection of significant volumes of CO2 (Total injected volume 3.14 Gt). Total project area: 810,000 sq.km with 128 wells and 40 DST's. No site specific details. Note: study used Basal Sand model with simple BHP max. pressure to allow simulation comparison. This study was NOT designed to assess storage potential at specific locations. Associated database entries derived from this project: Regina Point Source, Lloydminster Point Source, 120KM E of Forestburg Point Source. Also included Shell Quest site in simulation.  No known active project evaluation.</t>
  </si>
  <si>
    <t>Total project (5 sites) aimed to inject 63 Mt CO2 for 50 years. Lloydminster contribution: 25.1Mt/year. Total simulated injected volume: 1255 Mt. Number of wells: equiv. of 25 injection wells evenly distributed across injection site grid cell (injection rate evenly distributed across grid cell in numerical simulators).</t>
  </si>
  <si>
    <t>DISCOVERED: CONTINGENT (DEVELOPMENT NOT VIABLE): 1255 Mt</t>
  </si>
  <si>
    <t>Lone Pine Creek - Wabamun A</t>
  </si>
  <si>
    <t xml:space="preserve">None available. No abandonment date available. Last reserves update: 12/2017. Note N:G not calculated as quoted pay thickness (10.23m) &gt; reservoir thickness (5.4m). </t>
  </si>
  <si>
    <t>Depleted gas field. Discovery date: 1955. Well count: unavailable.</t>
  </si>
  <si>
    <t xml:space="preserve">A single value of 38.2 Mt was quoted in the 2004 report. No production history modelling available. No abandonment date provided. </t>
  </si>
  <si>
    <t>Okotoks - Wabamun B</t>
  </si>
  <si>
    <t xml:space="preserve">No publicly available plan available. No abandonment date available. Last reserves update: 12/2018. </t>
  </si>
  <si>
    <t>Depleted gas field. Discovery date: 1951. Well count: unavailable.</t>
  </si>
  <si>
    <t xml:space="preserve">A single value of 22.9 Mt was quoted in the 2004 report. No production history modelling available. No abandonment date provided. </t>
  </si>
  <si>
    <t>Paddle River - Jurassic Detr-Rund</t>
  </si>
  <si>
    <t>Detrital</t>
  </si>
  <si>
    <t xml:space="preserve">No publicly available plan available. No abandonment date available. Last reserves update: 10/2008. </t>
  </si>
  <si>
    <t>Depleted gas field. Discovery date: 1957. Well count: unavailable.</t>
  </si>
  <si>
    <t xml:space="preserve">A single value of 22.6 Mt was quoted in the 2004 report. No production history modelling available. No abandonment date provided. </t>
  </si>
  <si>
    <t>Quest CCS Project</t>
  </si>
  <si>
    <t>Crouch, S. (2011). Quest CCS Project: Storage Development Plan. Government of Alberta. Retrieved from https://open.alberta.ca/dataset/46ddba1a-7b86-4d7c-b8b6-8fe33a60fada/resource/5555eb2e-6d86-4419-97a3-8d3de7c5b702/download/storagedevelopmentplan.pdf.  Cycle 5 citation used to update  injected CO2:  Gao, X., &amp; Krevor, S. (2024). The London Register of Subsurface CO₂ Storage: 2024 Annual Report. Imperial College London. https://imperialcollegelondon.github.io/The-London-Register-of-Subsurface-CO2-Storage/</t>
  </si>
  <si>
    <t>Shell Quest CCS captures CO2 from Scotford Upgrader Facility and injects it into Basal Cambrian Sandstone. Project lifetime: 25 years. Injection volume: 1 Mt/year of 98% CO2 (non-sour). Dataset includes: 3 appraisal wells, 2D &amp; 3D seismic and modelling work. Well logs from 19 wells available, core data from 8 wells. Reservoir properties from injection well (Radway 8-19) well logs). Directive 65 (permit application): https://open.alberta.ca/dataset/7fc3495c-4659-4712-9ee4-8fe7e39f03b8/resource/146b7b7c-cd43-4e05-933a-933b7c52b206/download/D65-Main-Report-and-App-A-to-I.pdf</t>
  </si>
  <si>
    <t>3 injection wells. Injection into 8-19 and 7-11 wells started in Aug 2015. Well 5-35 brought online in Oct 2018. Av. flow rate approx. 70000kg/hr. Project designed: max. 150t/hr into 3 wells. Currently (Dec 2018) demonstrating 85t/hr within all safety limits. Performance vs. model prediction holding up well. Base case pore volume 14.3 billion m3 in SLA has ability to store 27 Mt at 70% of potential storage capacity. BHP limit: 28MPA; modelling work indicates full 27 Mt can be stored and keep reservoir pressure below 23 MPa.</t>
  </si>
  <si>
    <t>Storage Complex includes 3 seals - all regionally extensive (where shale is eroded, the overlying halite units thicken). Overall sequence above injection target = 350m thick (sealing units plus baffle units). Primary seal proven (at play level). Geological: 3D seismic supports absence of faults in AOI. Structural features mapped/reactivation pressures calculated. Legacy wells: status and condition known and supports non-leakage. Impact from 3rd Party injection  mitigated through regulatory agreements. Plume mapping using well rates, pressures and VSP data.</t>
  </si>
  <si>
    <t>DISCOVERED-COMMERCIAL-STORED: 7.7 Mt (as of 31/12/2022). TOTAL PERMITTED PROJECT VOLUME: 27 Mt (No indication of maximum storage potential in Sequestration Lease Area). Update 2025: latest press release reports injection of 1mtpa:https://www.shell.com/news-and-insights/newsroom/news-and-media-releases/2024/shell-to-build-carbon-capture-and-storage-projects-in-canada.html#:~:text=Polaris%20and%20Atlas%20will%20build%20on%20the,otherwise%20have%20been%20released%20into%20the%20atmosphere.&amp;text=Since%202015%2C%20Quest%20has%20captured%20and%20stored,year%20of%20CO2%20from%20the%20Scotford%20upgrader. Estimate is therefore now 10Mt based on 1mtpa since 2015.</t>
  </si>
  <si>
    <t>Frailey 2008</t>
  </si>
  <si>
    <t>Maximum storage capacity = available connected pore volume (area, thickness, av. porosity) x CO2 density x rock &amp; water compressibility x fracture pressure constraint.</t>
  </si>
  <si>
    <t>Redwater - D3</t>
  </si>
  <si>
    <t>D3 - Leduc Fm equivalent</t>
  </si>
  <si>
    <t>GUNTER et al (2009) calculates a storage resource based on original oil in place and a CO2 FVF and assumes a 60% efficiency. BACHU (2004) gives a Storage resource calculation based on replacement method, with an efficiency factor based on an assessment of aquifer strength. Report uses depth cut-off (900m - 3500m) and a capacity cut-off of 1Mt. Only fields reported as having storage potential &gt;20Mt have been extracted from this report. Field/reserves data: https://www.aer.ca/providing-information/data-and-reports/statistical-reports/st98/reserves/data. Oilfields with EOR potential are not included in this database.</t>
  </si>
  <si>
    <t xml:space="preserve">No publicly available plan available. No abandonment date available. Last reserves update: 12/2011. </t>
  </si>
  <si>
    <t>Depleted oilfield. Discovery date: 1948. Well count: unavailable.</t>
  </si>
  <si>
    <t>GUNTER et al gives a storage capacity of the  oil pool as 50 Mt. BACHU gives a single value of 20.5 Mt was quoted in the 2004 report. No production history modelling available. No abandonment date provided. Higher value from GUNTER et al used as P50 estimate. OOIP: 1.3BBbl. Status: DISCOVERED, INACCESSIBLE due to no abandonment date available and 2011 CO2-EOR pilot project.</t>
  </si>
  <si>
    <t xml:space="preserve">Capacity reduction coefficient applied to theoretical capacity (estimated from CO2 density, rock volume, recovery factor, water saturation and an estimate on injected or invading water) based on assessment of aquifer support: strong aquifer support E = 0.70, weak aquifer support E = 0.97. Effective capacity uses 0.9 applied to theoretical capacity. </t>
  </si>
  <si>
    <t>Viking: L. Cretaceous Aquifer</t>
  </si>
  <si>
    <t>Viking Formation</t>
  </si>
  <si>
    <t>Glazewski, K.A., Grove, M.M, Peck, W.D., Gorecki, C.D., Steadman, E.N. &amp; Harju, J.A. 2015. Characterisation of the PCOR partnership Region. Plains CO2 Reduction (PCOR) Partnership Phase III Value-Added Report. Prepared for NETL. Retrieved from: DOE-NETL. (2015). Carbon Storage Atlas V. US Department of Energy.</t>
  </si>
  <si>
    <t>PCOR Phase 1 study. Regional 2D model identifying potential storage resource in aquifers within PCOR study area. Viking Fm is a L Cretaceous aquifer located within Alberta Basin. Resource estimate appears in 2 PCOR reports. This is derived from 2D static model (from mapping in ArcGIS). 2005 estimate (E=): 100 GT, 2015 (E= 2%): 37.8 GT. The most recent (2015) resource estimate is used.</t>
  </si>
  <si>
    <t>Not explicitly described.</t>
  </si>
  <si>
    <t>Prospective: Play Sequence. 37800 Mt (37.8 GT)</t>
  </si>
  <si>
    <t>2D static using DOE Atlas III/IV approach</t>
  </si>
  <si>
    <t>Volumetric methodology (pore volume: A,h,phie) x CO2 density x E. E factors:  Low: 0.51%, E Mid: 2.0%, E High: 5.5%</t>
  </si>
  <si>
    <t>Wabamun Area CO2 Sequestration Project (WASP)</t>
  </si>
  <si>
    <t>Lavoie, R. a. (2010). Wabamun Area CO2 Sequestration Project (WASP): Final Report. University of Calgary, Energy and Environmental Systems Group.</t>
  </si>
  <si>
    <t>Feasibility study of storage potential within 30km of Wabamun. Target capacity 1Gt Aquifers with highest potential: Nisku, Wabamun &amp; Basal Sand Formations. Nisku aquifer selected for further study. Basal Sands may also have potential but limited data available. Data issues: variable vintage seismic, well and core (covering 10% of study area) data. Generally poor quality DST's (22 total). Approach to calculating storage potential based on maximum amount which can be injected over 50 year time period within localised area (30km x 90 km)</t>
  </si>
  <si>
    <t>Benchmark: 20Mt CO2/year for 50 years. large-scale 3D numerical model assessing benchmark target: no interference between injection wells assuming injection rates of 0.25 to 0.5Mt/yr but only up to a maximum of 20 injection wells; horizontal injection wells  and controlled stimulation can increase storage potential by 50%. Primary limiter to storage volume is pressure build-up. Over 50 years injection entire study area is pressurized.</t>
  </si>
  <si>
    <t>Caprock: Calmar Fm (shale) plus secondary seal: Graminia Fm</t>
  </si>
  <si>
    <t>DISCOVERED AWAITING ASSESSMENT: low case - 0.25 Gt, mid-case 0.4 Gt, high-case 1.2 Gt if injection with pressure management. DEVELOPMENT NOT VIABLE due to no reported, current project evaluation plans.</t>
  </si>
  <si>
    <t>Numerical Simulation study carried out</t>
  </si>
  <si>
    <t>WCSB: Devonian Aquifers</t>
  </si>
  <si>
    <t>Review of DOE-funded projects undertaken by PCOR. Devonian-Carboniferous (Mississippian) units mapped during DOE Phase 1 research. Limited detail available. Units evaluated grouped under 'Western Canadian Sedimentary Basin' or WCSB. High level estimates: volumetric methodology to calculate storage resource estimate, however, efficiency factor used is unclear (Low-Mid-High: possibly 7.4%-14%-24% but no detail/explanation given). Geological units (Mid. Devonian - Mississippian) within WCSB: Beaverhill Lake Group (2 GT), Elk Point Group (4.7 GT), Rundle Group (3 GT), Winterburn Group (2.2 GT) &amp; Woodbend Group (2.3 GT).</t>
  </si>
  <si>
    <t>Not explicit, however, local projects describe hydraulically-isolated aquifers and multiple, stacked aquifer-sealing unit pairs.</t>
  </si>
  <si>
    <t>Undiscovered. Prospective: Basin Play. As geographic distribution of each unit within the WCSB is currently unknown, the Basin Play resource estimate must be viewed as an over-estimate of potential. Contingent: Development Not Viable project entries in the 2019 Assessment (Fort Nelson, HARP, WASP, Athabasca Area aquifers) also target reservoirs within the WCSB study area but these cannot be subtracted as they sit within a different SRMS maturity class.</t>
  </si>
  <si>
    <t>unknown</t>
  </si>
  <si>
    <t>Data provided by Geological Survey of Canada to the  POR study but no details of storage resource calculation methodology provided to PCOR.</t>
  </si>
  <si>
    <t>British Columbia</t>
  </si>
  <si>
    <t>British Columbia - Saline aquifer (Undifferentiated) Province</t>
  </si>
  <si>
    <t xml:space="preserve">Province-wide (Undifferentiated) estimate of CO2 storage resource. No regulatory or economic constraints applied. Physical constraints to define accessible part of subsurface applied. Storage resource estimate derived from DOE Atlas V (2015). </t>
  </si>
  <si>
    <t>UNDISCOVERED resource at the BASIN PLAY level as no detail of each resource provided. Numbers represent a high level  overview of potential. Original (DOE) Province-scale estimate = 1870 Mt.  Note: high potential for some element of double counting as some proportion of BC storage resource accounted for by DOE Regional Studies (WCSB) and the Fort Nelson project, however no detail provided on fraction of WCSB resource held in BC.</t>
  </si>
  <si>
    <t>US DOE 2010 (Atlas V) and Goodman et al 2011</t>
  </si>
  <si>
    <t>Volumetric methodology (pore volume: A,h,phie) x CO2 density x E. E P10: 0.51%, E P50: 2%, E P90: 5.5%</t>
  </si>
  <si>
    <t>British Columbia- Depleted Field (Undifferentiated) Province</t>
  </si>
  <si>
    <t>NACSA. (2012). Retrieved from Natural Resources Canada: https://www.nrcan.gc.ca/energy/publications/16461</t>
  </si>
  <si>
    <t>The DOE- NETL Atlas V does not report geological storage potential for oil and natural gas reservoirs in British Columbia. Numbers reported in this database are therefore derived from the 2012 NASCA as they are the most recent figures available. Only 1 reported number for storage potential is available with no location- or field-specific details. UNDIFFERENTIATED PROVINCE estimate derived from reported Province-scale estimate minus site specific estimates in this database.</t>
  </si>
  <si>
    <t>DISCOVERED: no details of field availability provided therefore INACCESSIBLE. Reported storage potential numbers assumed to be mid-case. Original Province-scale (NASCA value) = 3000 Mt. Project resource estimates subtracted to avoid double counting. MID UNDIFFERENTIATED PROVINCE-SCALE = 2701 Mt</t>
  </si>
  <si>
    <t>CSLF</t>
  </si>
  <si>
    <t>PRODUCTION METHOD: In the NASCA assessment, OGIP or OOIP and recovery factors were used  due to data availability. An E factor was derived from local experience/reservoir simulations but is not reported.</t>
  </si>
  <si>
    <t>Fort Nelson CCS Project</t>
  </si>
  <si>
    <t>L.Keg River - Sulphur Point - Slave Point</t>
  </si>
  <si>
    <t>Sorensen, J. B. (2014). Fort Nelson Carbon Capture and Storage Feasibility Study – A Best Practices Manual for Storage in a Deep Carbonate Saline Formation. Plains CO2 Reduction (PCOR) Partnership. Retrieved from https://undeerc.org/PCOR/technicalpublications/pdf/TR-2014-Fort-Nelson-CCS-Feasibility-Study-Best-Practices-Manual-for-Storage-in-Deep-Carbonate-Saline-Formation.pdf</t>
  </si>
  <si>
    <t>PCOR Phase III site study assessing feasibility of large-scale storage facility at Fort Nelson Gas Plant (waste stream: 95% CO2, 4% H2S + 1% CH4). Design: 2.2 Mt/yr CO2 injected into Elk Point Gp saline aquifers for 50 years (100Mt total). Site characterisation: 2D &amp; 3D seismic, test well. N:G averaged over 3 aquifers (range 9.5 - 53%). : Exploratory well drilled (c-61-E), logged, cored, side-tracked and tested (LOT, water injection tests). Plus 4 additional water wells used for characterisation. Two 3D seismic surveys acquired. ACCESSIBLE: Remote location, low population density. BC Provincial support.  Program suspended in Spring 2015 due to combination of commercial factors). No known active evaluation program on-going.</t>
  </si>
  <si>
    <t>All 3 aquifers likely to be in hydrodynamic communication. Dynamic model based on static model. History-matched model with 3 well injection pattern injecting 2Mt/year for 50 years. 100 Mt stored with increase of reservoir pressure of 2000kPa above initial pressure.</t>
  </si>
  <si>
    <t>Storage reservoir overlain by laterally continuous, 550m thick, geomechanically competent cap rocks (Muskwa &amp; Fort Simpson shales). Secondary seals in L. Carb Banff and Cret. Buckinghorse Formations. Hydrocarbon gas pools in Slave Point Fm (Clarke Lake pools) approx. 5km to NE of proposed injector location. Dynamic modelling suggests injected CO2 will not contact hydrocarbon pools within 100 year simulation period. BHP in history matched cases &lt;23000kPa.</t>
  </si>
  <si>
    <t>DISCOVERED. Static volumetric method: E=1%: 122.2 Mt, E=2%: 244.4 Mt. CONTINGENT: DEVELOPEMNT NOT VIABLE: 100 Mt</t>
  </si>
  <si>
    <t>US DOE 2010 (Atlas III)</t>
  </si>
  <si>
    <t>E factors of 1% and 2% used in pore volume methodology for resource estimate. Final storage resource derived from numerical simulation.</t>
  </si>
  <si>
    <t>Ladyfern - Slave Point A</t>
  </si>
  <si>
    <t>Slave Point Formation</t>
  </si>
  <si>
    <t>Storage resource calculation based on replacement method, with an efficiency factor based on an assessment of aquifer strength. Report uses depth cut-off (900m - 3500m) and a capacity cut-off of 1Mt. Only fields reported as having storage potential &gt;20Mt have been extracted from this report. Field/Reserves data from: https://www.bcogc.ca/industry-zone/documentation/reserves</t>
  </si>
  <si>
    <t>No publicly available plan available. No abandonment date available. Last reserves update: 12/2010.</t>
  </si>
  <si>
    <t>Depleted gas field. Discovery date:  Well count: 39</t>
  </si>
  <si>
    <t>A single value of 33.1 Mt was quoted in the 2004 report. No production history modelling available. No abandonment date provided.</t>
  </si>
  <si>
    <t>Laprise Creek - Baldonnel/Upper Charlie Lake A</t>
  </si>
  <si>
    <t>Baldonnel</t>
  </si>
  <si>
    <t>Upper Triassic</t>
  </si>
  <si>
    <t>No publicly available plan available. No abandonment date available. Last reserves update: 10/2017.</t>
  </si>
  <si>
    <t>Depleted gas field. Discovery date:  Well count: 46</t>
  </si>
  <si>
    <t>A single value of 61.4 Mt was quoted in the 2004 report. No production history modelling available. No abandonment date provided.</t>
  </si>
  <si>
    <t>Maxhamish Lake - Chinkeh A</t>
  </si>
  <si>
    <t>Chinkeh</t>
  </si>
  <si>
    <t>No publicly available plan available. No abandonment date available. Last reserves update: 12/2017.</t>
  </si>
  <si>
    <t>Depleted gas field. Discovery date: 1991 Well count: 129</t>
  </si>
  <si>
    <t>A single value of 23.0 Mt was quoted in the 2004 report. No production history modelling available. No abandonment date provided.</t>
  </si>
  <si>
    <t>Monias - Halfway</t>
  </si>
  <si>
    <t>Halfway</t>
  </si>
  <si>
    <t>Middle Triassic</t>
  </si>
  <si>
    <t>Depleted gas field. Discovery date: 1975. Well count: 68</t>
  </si>
  <si>
    <t>A single value of 54.0 Mt was quoted in the 2004 report. No production history modelling available. No abandonment date provided.</t>
  </si>
  <si>
    <t>Rigel - Dunlevy F</t>
  </si>
  <si>
    <t>Dunlevy</t>
  </si>
  <si>
    <t>No publicly available plan available. No abandonment date available. Last reserves update: 12/2007.</t>
  </si>
  <si>
    <t xml:space="preserve">Depleted gas field. Discovery date: 1955. Well count: </t>
  </si>
  <si>
    <t>A single value of 39.7 Mt was quoted in the 2004 report. No production history modelling available. No abandonment date provided.</t>
  </si>
  <si>
    <t>Sierra - Pine Point A</t>
  </si>
  <si>
    <t>Pine Point</t>
  </si>
  <si>
    <t>No publicly available plan available. No abandonment date available. Last reserves update: .</t>
  </si>
  <si>
    <t>Depleted gas field. Discovery date: 1965. Well count: 18</t>
  </si>
  <si>
    <t>A single value of 58.0 Mt was quoted in the 2004 report. No production history modelling available. No abandonment date provided.</t>
  </si>
  <si>
    <t>Stoddart - Belloy A</t>
  </si>
  <si>
    <t>Belloy</t>
  </si>
  <si>
    <t>Upper Permian</t>
  </si>
  <si>
    <t>Depleted gas field. Discovery date: 1957. Well count: 39</t>
  </si>
  <si>
    <t>A single value of 29.4 Mt was quoted in the 2004 report. No production history modelling available. No abandonment date provided. Report contains 2 separate entries for the Brazeau River field: Elkton-Shunda B pool. These have been entered as separate entities in this database.</t>
  </si>
  <si>
    <t>Canadian Federal Onshore</t>
  </si>
  <si>
    <t>Cambro-Ord Saline System (COSS)</t>
  </si>
  <si>
    <t>Cambrian and Ordovician Formations</t>
  </si>
  <si>
    <t>L. Chatelan, S. Thibeau, S. Frailey (2023). Application of the Storage Resources Management System to a regional open aquifer using a notional project. International Journal of Greenhouse Gas Control, IJGGC_103959.</t>
  </si>
  <si>
    <t xml:space="preserve">Notional project aimed at determining storage potential of lowermost aquifer system in Williston Basins covering Alberta, Saskatchewan and Manitoba in Canada. This aquifer consists mainly of Cambrian shallow-marine sandstones and an extension of Ordovician carbonates.
</t>
  </si>
  <si>
    <t xml:space="preserve">The notional project targets a regional pressurisation of 30% to be reached in 50 years. Three development plans are defined to inject 1U, 2U and 3U. These scenerios are defined by geological uncertainties which translates in varying porosity and permeability. The 1U scenario requires 825 wells to inject 18.6Gt, the 2U scenario requires 600 wells to inject 24.6Gt, the 3U scenario requires 422 wells to inject 32.0Gt. In all scenarios no extraction of water is considered. </t>
  </si>
  <si>
    <t xml:space="preserve">COSS is overlain  by a shaly caprock composed of fine-grained siliciclastic of the Deadwood formation. The
presence of salt formations in the overburden and the pressure disconnection to shallower aquifers leads to considering the cap rock as
impermeable.
</t>
  </si>
  <si>
    <t xml:space="preserve">In the article the authors consider the resources as Prospective within the SRMS framework. Capacities and contingent resources associated to the current CO2 storage projects are not reviewed in the publication. 
</t>
  </si>
  <si>
    <t>Cycle 4</t>
  </si>
  <si>
    <t>Evaluated from pressure response (Volumetric or/and dynamic model).</t>
  </si>
  <si>
    <t xml:space="preserve">The storage coefficients for the notional project are 0.46% (1U), 0.48% (2U), 0.52% (3U). </t>
  </si>
  <si>
    <t>5.4E-5 bar-1</t>
  </si>
  <si>
    <t>Variable with depth, estimated at 50% over initial pressure.</t>
  </si>
  <si>
    <t>Hydrostatic pressure (11.3 kPa/m)</t>
  </si>
  <si>
    <t>The petrophysical properties stated are not provided in the publications but are extracted from the simulation file.</t>
  </si>
  <si>
    <t>Manitoba</t>
  </si>
  <si>
    <t>Daly Oil field - Lodgepole Bakken</t>
  </si>
  <si>
    <t>Lodgepole Bakken</t>
  </si>
  <si>
    <t>Smith, S.A., Sorensen. J.A., Steadman, E.N. &amp; Harju, J.A. (2007). Estimates of CO2 Storage Capacity in Selected Oil Fields of the Northern Great Plains Region of North America. Report 2010-EERC-08-07 prepared for NETL.</t>
  </si>
  <si>
    <t>Storage resource derived from study of CO2 sequestration potential on selected oilfields (&gt;= 800,000 barrels cumulative production). Part of PCOR Partnership regional characterisation.  Max. theoretical resource calculated from available reserves data. Additional assessment of CO2-EOR storage potential not included in this database.</t>
  </si>
  <si>
    <t>No publicly available plan available. No abandonment date available. Last reserves update: Manitoba production Reports 2017-2019 http://www.manitoba.ca/iem/petroleum/reports/index.html</t>
  </si>
  <si>
    <t>Depleted oilfield. Discovery date: unavailable. Well count: unavailable.</t>
  </si>
  <si>
    <t xml:space="preserve">A single value of 158 Mt (max. theoretical storage volume) was quoted in the 2004 report. No production history modelling available. No abandonment date provided. </t>
  </si>
  <si>
    <t>Smith et al 2007</t>
  </si>
  <si>
    <t>Maximum theoretical value derived from volumetric method: Area x thickness x porosity x CO2 density x 1-Sw</t>
  </si>
  <si>
    <t>Manitoba - Depleted Fields (Undifferentiated)</t>
  </si>
  <si>
    <t xml:space="preserve">
Province-level (Undifferentiated) Resource estimate for oil and gas fields. Resource estimate derived from DOE Atlas V. No details on source of data available.</t>
  </si>
  <si>
    <t>DISCOVERED. SUB_COMMERCIAL: INACCESSIBLE. No COP dates available, no field names available. DOE estimates: Low: 10 Mt, Mid: 30 Mt, High: 70 Mt. 2019 Assessment estimate is a null value as summed) combined individual field entries &gt;&gt; province-level estimate.</t>
  </si>
  <si>
    <t>Manitoba - Saline Aquifer (Undifferentiated) Province</t>
  </si>
  <si>
    <t>NETL. (2015). Carbon Storage Atlas V. US Department of Energy.</t>
  </si>
  <si>
    <t xml:space="preserve">Province-wide estimate of CO2 storage resource. No regulatory or economic constraints applied. Physical constraints to define accessible part of subsurface applied. Storage resource estimate derived from DOE Atlas V (2015). </t>
  </si>
  <si>
    <t>Undiscovered: Prospective (Basin Play). DOE Atlas mid level resource estimate of 13140 Mt nulled to avoid double counting with regional COSS study.</t>
  </si>
  <si>
    <t>Tilston Oil field</t>
  </si>
  <si>
    <t>Mission Canyon</t>
  </si>
  <si>
    <t xml:space="preserve">A single value of 16 Mt (max. theoretical storage volume) was quoted in the 2004 report. No production history modelling available. No abandonment date provided. </t>
  </si>
  <si>
    <t>Virden Oil field</t>
  </si>
  <si>
    <t>Lodgepole</t>
  </si>
  <si>
    <t xml:space="preserve">A single value of 150 Mt (max. theoretical storage volume) was quoted in the 2004 report. No production history modelling available. No abandonment date provided. </t>
  </si>
  <si>
    <t>Lower Amaranth</t>
  </si>
  <si>
    <t xml:space="preserve">A single value of 86 Mt (max. theoretical storage volume) was quoted in the 2004 report. No production history modelling available. No abandonment date provided. </t>
  </si>
  <si>
    <t>Waskada Oil field</t>
  </si>
  <si>
    <t xml:space="preserve">A single value of 448 Mt (max. theoretical storage volume) was quoted in the 2004 report. No production history modelling available. No abandonment date provided. </t>
  </si>
  <si>
    <t>Northwest Territories</t>
  </si>
  <si>
    <t>Saline Aquifer (Undifferentiated) Province - NWT</t>
  </si>
  <si>
    <t xml:space="preserve">Province-wide (Undifferentiated) estimate of storage potential. Derived from 2012 NASCA report. No supporting data provided. Data from NASCA used as DOE Atlas V does not provide values for NWT. </t>
  </si>
  <si>
    <t>UNDISCOVERED. BASIN-scale estimate. Single value provided by report: documented in SRMS as a P50 estimate. No site-specific entries in 2019 Assessment. MID UNDIFFERENTIATED PROVINCE: 4000 Mt</t>
  </si>
  <si>
    <t>DOE-NETL Atlas III</t>
  </si>
  <si>
    <t>Ontario</t>
  </si>
  <si>
    <t>Ontario - Saline Aquifer (Undifferentiated) Province</t>
  </si>
  <si>
    <t>Michigan</t>
  </si>
  <si>
    <t xml:space="preserve">Province-wide (Undifferentiated) estimate of CO2 storage resource. Resource estimate derived from NASCA Atlas 2012. </t>
  </si>
  <si>
    <t>UNDISCOVERED resource at the BASIN level as no detail of each resource provided. Numbers represent a high level  overview of potential. NASCA Province-scale estimate = 1000 Mt. SW Ontario Sequence Play resource estimates subtracted to avoid double counting. MID UNDIFFERENTIATED PROVINCE= 269 Mt</t>
  </si>
  <si>
    <t>SW Ontario: Mt. Simon Sst</t>
  </si>
  <si>
    <t>Mt. Simon Sandstone</t>
  </si>
  <si>
    <t>Shafeen, A. C. (2004). CO2 Sequestration in Ontario, Canada. Part I: storage evaluation of potential reservoirs. Energy Conversion and Management(45), 2645-2659.</t>
  </si>
  <si>
    <t>Initial screening exercise for potential storage opportunities in SW Ontario. Saline aquifers considered only option in Ontario. Two reservoirs identified: Northern Zone (southern part of lake Huron), and Southern Zone (inside Lake Erie boundary. Limited well and core data available: 5-15% phie, no reliable perm data (20-30mD used for volumetric calculations)</t>
  </si>
  <si>
    <t>None available. Preliminary work suggests injection location for Northern Zone in Lake Erie. Issue with potential for plume migration over international border (based on assumption of plume migration distance of 25-50km). Hydrocarbon activity located approx. 50km away from theoretical injection point.</t>
  </si>
  <si>
    <t>Caprock: Shadow Lake Formation (2-15m thick), plus Eau Claire Fm (up to 80m thick) overlies Mt Simon Sandstone. Shallower carbonate sequence Kv = &lt;0.01mD. Distance (of theoretical injection point) from major faults: 50km. Issue with legacy wells: P&amp;A 20-90 years ago, no updated reports on cement status.</t>
  </si>
  <si>
    <t>UNDISCOVERED (limited well data, no flow tests described). PROSPECTIVE: SEQUENCE PLAY: Northern Zone: 289Mt; Southern Zone: 442Mt. Mid-case for SW Ontario: 731Mt. Resource estimate for SW Ontario sequence subtracted from Ontario Undifferentiated Saline Aquifer entry to avoid double counting.</t>
  </si>
  <si>
    <t>Tanaka et al (2011)</t>
  </si>
  <si>
    <t>Displaceable volume + dissolved vol of CO2 in water under reservoir conditions</t>
  </si>
  <si>
    <t>Quebec</t>
  </si>
  <si>
    <t>Becancour_ Upper Block</t>
  </si>
  <si>
    <t>Covey Hill &amp; Cairnside Formations</t>
  </si>
  <si>
    <t>Tran Ngoc, T. L. (2014). Characterization of deep saline aquifers in the Becancour area, St. Lawrence Lowlands, Quebec, Canada: implications for CO2 geological storage. Environ Earth Sci(72), 119-146.</t>
  </si>
  <si>
    <t>Cambro-Ord sequence in St Lawrence Platform identified as most prospective area for CO2 storage in Quebec. Saline aquifers in Becancour region considered most prospective based on subsurface studies and proximity to industrial emissions. Platform sediments split into N and S blocks by Yamaska fault. Data: 99 line-km 2D, 37 wells (logs, core, wells tests, petrophysical analysis). Reservoir property data averaged from both Upper and Lower Blocks. matrix permeability is very low (1mD) but formation scale permeability is in the 10-100mD range. Overall, study area sub-divided into 2 sub-reservoirs: NE, NW, SE. No known active evaluation program on-going.</t>
  </si>
  <si>
    <t xml:space="preserve">Information derived from Bedard et al 2013. Potential for faults to reactivate if pore pressure increase exceeds 10-20 MPa (2D radial numerical simulations assessed injectivity and potential storage resource (max. pressure limited to fracture pressure). Injection scenario from sensitivity analysis: 5 year injection periods (mass injection rate up to 20kg/s) alternating with 6 month no-injection periods. NE Block estimated resource: 10Mt CO2. </t>
  </si>
  <si>
    <t>Caprock sequences (Utica Shale and Lorraine Gp shales and silts) are at least 800m thick.</t>
  </si>
  <si>
    <t>DISCOVERED: AWAITING DETAILED ASSESSMENT (well data set available; 2D sensitivity analysis of injectivity, discussion of future pilot injection test). DEVELOPMENT NOT VIABLE: NE area: 10-21Mt; NW area: 7-20; SE area: 68-110. OVERALL: Low case: 85Mt; High case: 115Mt. Static methodology (from GOCAD 3D model) using E factors (0.51% -2.0%-5.4%) for uniform/faulted scenarios: P10= 0.7/0.81Gt; P50=2.76/3.18 Gt; P90= 7.43/8.58 Gt. Database uses simple, uniform values (Bedard et al. 2013) until further work undertaken.</t>
  </si>
  <si>
    <t>Volumetric methodology: pore space available (A*h*phie) x CO2 density. value of E: P10 - 1.2%, P90 - 4.2%</t>
  </si>
  <si>
    <t>Quebec - Saline Aquifer (Undifferentiated)</t>
  </si>
  <si>
    <t xml:space="preserve">Province-wide (Undifferentiated) estimate of storage potential. Resource estimate from 2012 NASCA report. No supporting data provided. Data from NASCA used as DOE Atlas V does not provide values for Quebec. </t>
  </si>
  <si>
    <t>UNDISCOVERED. BASIN PLAY. Single value provided by report: documented in SRMS as a Medium estimate. NASCA Province-scale estimate: 4000 Mt. Sub-commercial entries not subtracted to avoid aggregation across maturity classes therefore potential for double counting with Becancour project entry.</t>
  </si>
  <si>
    <t>Saskatchewan</t>
  </si>
  <si>
    <t>120km E of Forestburg CO2 Point Source</t>
  </si>
  <si>
    <t>Part of a study by Huang et al. 2014 which assessed 4 categories of model on their ability to predict the basin-scale pressure response to injection of CO2 at 9 separate sites. Review of the simulation results led to 5 sites being identified as having potential for injection of significant volumes of CO2 (Total injected volume 3.14 Gt). Total project area: 810,000 sq.km with 128 wells and 40 DST's. No site specific details. Note: study used Basal Sand model with simple BHP max. pressure to allow simulation comparison. This study was NOT designed to assess storage potential at specific locations. Associated database entries derived from this project: Regina Point Source, Lloydminster Point Source, 120KM E of Forestburg Point Source. Also included Shell Quest site in simulation. No known active project evaluation.</t>
  </si>
  <si>
    <t>Total project (5 sites) aimed to inject 63 Mt CO2 for 50 years. 120 km E of Foresburg site contribution: 16.7 Mt/year. Total simulated injected volume: 835 Mt. Number of wells: equiv. of 25 injection wells evenly distributed across injection site grid cell (injection rate evenly distributed across grid cell in numerical simulators).</t>
  </si>
  <si>
    <t>DISCOVERED: CONTINGENT (DEVELOPMENT NOT VIABLE): 835 Mt</t>
  </si>
  <si>
    <t>Aquistore</t>
  </si>
  <si>
    <t>Deadwood Fm &amp; Black Island Member</t>
  </si>
  <si>
    <t>Peck, W. B. (2014). Model development of the Aquistore CO2 storage project. Energy Procedia, 63, 3723-3734.</t>
  </si>
  <si>
    <t>Aquistore is a buffer storage site for the world's 1st commercial CCUS project at a coal-fired power station (Boundary Dam). Injection started in April 2015 and averages 400t/day (volumes vary depending on demand at Weyburn CO2-EOR operation. Storage reservoir is deep saline sandstones. Greater Aquistore Area (separate entry in database) Regional study area (9472 sqkm) P50 static potential: 3100Mt. Aquistore Local scale study area (33.9 sq. km): P50 static potential: 15.8Mt (50% less than dynamic simulation - value of E needs review).</t>
  </si>
  <si>
    <t>1 injection well and 1 observation well drilled and tested 152 m apart. System expected to behave as open system. Maximum BHP constraints is 42.75 MPa (90% fracture pressure). Expected injection rate: 0.3 Mt/yr. Simulation (using local scale static model as input) suggests up to 0.73Mt can be injected by 1 well. Simulated maximum storage potential after 50 years at 0.73 Mt/yr. with 1 well: 34 Mt. Updated simulation results reported by Jiang et al. 2017.</t>
  </si>
  <si>
    <t>Several low permeability regional seals overlying storage reservoirs. Primary seal: Ice Box Member of Winnipeg Fm plus overlying thick Prairie Evaporite Fm.</t>
  </si>
  <si>
    <t>DISCOVERED COMMERCIAL: ON INJECTION: = 33.86 Mt ; DISCOVERED STORED: = 140kt (0.14Mt, as of March 2018); 2021 resource taken from Chalaturnyk 2021. Part I: Field-Based Observations for CO2 Geological Storage from 6 Years of CO2 Injection at Aquistore: https://ptrc.ca/media/whats-new/presentations-ptrc-cmc-webinar-on-intermediate-and-deep-subsurface-c02-containment-are-now-available</t>
  </si>
  <si>
    <t>Benson oil pool</t>
  </si>
  <si>
    <t>Frobisher-Midale-Winnipegosis</t>
  </si>
  <si>
    <t>Storage resource derived from study of CO2 sequestration potential on selected oilfields (&gt;= 800,000 barrels cumulative production). Part of PCOR Partnership regional characterisation.  Max. theoretical resource calculated from available reserves data. Additional assessment of CO2-EOR storage potential not included in this database. Oil pools may also have potential for CO2-EOR.</t>
  </si>
  <si>
    <t>No publicly available plan available. No abandonment date available. Last reserves update: current production 09/2019 https://publications.saskatchewan.ca/#/products/103143</t>
  </si>
  <si>
    <t>Depleted oilfield. Discovery date: 1956. Well count: unavailable.</t>
  </si>
  <si>
    <t>A single value of 270 Mt (max. theoretical storage volume) was quoted in the 2004 report. No production history modelling available. No abandonment date provided. Weyburn currently undergoing CO2-EOR: inaccessible to CO2 injection for storage.</t>
  </si>
  <si>
    <t>Greater Aquistore</t>
  </si>
  <si>
    <t>Regional model for Aquistore project site. based on logs, core, mapping from 15 wells. Local, refined scale model (see: Aquistore site entry). Six sand units included in model. No known, currently active evaluation taking place.</t>
  </si>
  <si>
    <t>Not discussed</t>
  </si>
  <si>
    <t>DISCOVERED (SUB-COMMERCIAL): AWAITING DETAILED ASSESSMENT. DEVELOPMENT NOT VIABLE: 3066 Mt</t>
  </si>
  <si>
    <t>Efficiency factors: P10 = 7.4%, P50: 14%. P90: 24%</t>
  </si>
  <si>
    <t>Midale oil pool</t>
  </si>
  <si>
    <t>Frobisher-Midale-Red River</t>
  </si>
  <si>
    <t>Depleted oilfield. Discovery date: 1953. Well count: unavailable.</t>
  </si>
  <si>
    <t>A single value of 699 Mt (max. theoretical storage volume) was quoted in the 2004 report. No production history modelling available. No abandonment date provided. Weyburn currently undergoing CO2-EOR: inaccessible to CO2 injection for storage. Anticipated CO2 permanently sequestered at end of field-life: 10 Mt.</t>
  </si>
  <si>
    <t>Pinto oil pool</t>
  </si>
  <si>
    <t>Frobisher-Midale</t>
  </si>
  <si>
    <t>Depleted oilfield. Discovery date: 1957. Well count: unavailable.</t>
  </si>
  <si>
    <t>A single value of 99 Mt (max. theoretical storage volume) was quoted in the 2004 report. No production history modelling available. No abandonment date provided. Weyburn currently undergoing CO2-EOR: inaccessible to CO2 injection for storage.</t>
  </si>
  <si>
    <t>Regina CO2 Point Source</t>
  </si>
  <si>
    <t>Total project (5 sites) aimed to inject 63Mt CO2 for 50 years. Regina contribution: 1.7 Mt/year. Total simulated injected volume: 85 Mt. Number of wells: equiv. of 25 injection wells evenly distributed across injection site grid cell (injection rate evenly distributed across grid cell in numerical simulators).</t>
  </si>
  <si>
    <t>DISCOVERED: CONTINGENT (DEVELOPMENT NOT VIABLE): 85 Mt</t>
  </si>
  <si>
    <t>Saskatchewan - Depleted Field (Undifferentiated) Province</t>
  </si>
  <si>
    <t>Both NASCA and DOE- NETL Atlas V report geological storage potential for oil and natural gas reservoirs in several Canadian provinces. Numbers reported in this database are derived from the 2015 DOE Atlas V as they are the most recent figures available. Only low-mid-high storage potential figures available with no location- or field-specific details. UNDIFFERENTIATED PROVINCE estimate derived from reported Province-scale estimate minus site specific estimates in this database.</t>
  </si>
  <si>
    <t>None available. Flow tested by default. All SK depleted field opportunities are oil pools.</t>
  </si>
  <si>
    <t>DISCOVERED: no details of field availability provided therefore INACCESSIBLE. Original (DOE) Province-scale estimate = 960 Mt. Identified field resource estimates: 4857 Mt. UNDIFFERENTIATED PROVINCE-SCALE estimate: 0 Mt</t>
  </si>
  <si>
    <t>Saskatchewan - Saline Aquifer (Undifferentiated) Province</t>
  </si>
  <si>
    <t>Province-wide estimate of CO2 storage resource. No regulatory or economic constraints applied. Physical constraints to define accessible part of subsurface applied. Numbers derived from DOE Atlas V (2015).</t>
  </si>
  <si>
    <t>Undiscovered: Prospective (Basin Play): DOE Atlas V resource estimate: Low: 149.72 GT, Med: 285.22 GT, High: 492.63 GT . 2019 Assessment resource estimate based on regional studies (Sequence Play: COSS, WCSB). Resource estimate entered as a null value to avoid double counting.</t>
  </si>
  <si>
    <t>Steelman oil pool</t>
  </si>
  <si>
    <t>Winnipegosis-Frobisher-Midale</t>
  </si>
  <si>
    <t>Depleted oilfield. Discovery date: 1954. Well count: unavailable.</t>
  </si>
  <si>
    <t xml:space="preserve">A single value of 2101 Mt (max. theoretical storage volume) was quoted in the 2004 report. No production history modelling available. No abandonment date provided. </t>
  </si>
  <si>
    <t>Weyburn oil pool</t>
  </si>
  <si>
    <t>Storage resource derived from study of CO2 sequestration potential on selected oilfields (&gt;= 800,000 barrels cumulative production). Part of PCOR Partnership regional characterisation.  Max. theoretical resource calculated from available reserves data. Additional assessment of CO2-EOR storage potential not included in this database. Oil pools may also have potential for CO2-EOR. Weyburn was studied by Weyburn CO2 Monitoring Project: 2000-2012. CO2 injection for EOR continues with CO2 sourced from Great Plains Syn-fuels plant, ND and Boundary Dam CCS Facility (SK). No up to date sequestered CO2 volumes reported.</t>
  </si>
  <si>
    <t>A single value of 1597 Mt (max. theoretical storage volume) was quoted in the 2004 report. No production history modelling available. No abandonment date provided. Weyburn currently undergoing CO2-EOR: inaccessible to CO2 injection for storage. Note CO2-EOR at Weyburn anticipated to permanently sequester 30Mt over field life-cycle.</t>
  </si>
  <si>
    <t>Workman oil pool</t>
  </si>
  <si>
    <t>Storage resource derived from study of CO2 sequestration potential on selected oilfields (&gt;= 800,000 barrels cumulative production). Part of PCOR Partnership regional characterisation.  Max. theoretical resource calculated from available reserves data. Additional assessment of CO2-EOR storage potential not included in this database. Oil pools may also have potential for CO2-EOR. Note: exact location unclear. Generic location based on Estevan, SK.</t>
  </si>
  <si>
    <t>Depleted oilfield. Discovery date: 1959. Well count: unavailable.</t>
  </si>
  <si>
    <t>A single value of 91 Mt (max. theoretical storage volume) was quoted in the 2004 report. No production history modelling available. No abandonment date provided. Weyburn currently undergoing CO2-EOR: inaccessible to CO2 injection for storage.</t>
  </si>
  <si>
    <t>China</t>
  </si>
  <si>
    <t>Beibu Gulf Basin</t>
  </si>
  <si>
    <t>Beibu Gulf</t>
  </si>
  <si>
    <t>PNNL. 2009. Regional Opportunities for Carbon Dioxide Capture and Storage in China. US Department of Energy.</t>
  </si>
  <si>
    <t>Research study undertaken by the US-DOE and PNNL, comparing the CO2 sources and sinks in China to screen for CCS focus areas.</t>
  </si>
  <si>
    <t xml:space="preserve">PNNL evaluation methodology assumes 100% CO2 saturated brine with no free CO2 phase.  </t>
  </si>
  <si>
    <t>Basin-wide N:G and porosities assigned for basins at depths greater than 800-1000m.</t>
  </si>
  <si>
    <t>Beibu Gulf Basin Oilfield</t>
  </si>
  <si>
    <t>The PNNL (2009) evaluation for oilfields was estimated using only EOR techniques, using a methodology presented by IEAGHG (2000). As EOR is included in the current Chinese petroleum regulation but no evaluation of the resource for CO2 storage is currently active, the oilfield resource in the evaluation was classified as Discovered Not Viable. A recovery coefficient of 0.6 was used.</t>
  </si>
  <si>
    <t>Bohai Bay Gas field Offshore</t>
  </si>
  <si>
    <t>North China</t>
  </si>
  <si>
    <t>Theoretical storage capacity estimated using the cumulative hydrocarbon production and the remaining field reserves. No estimation of when the storage capacity may become available, so classified as Discovered Inaccessible. Used the equation from Liu et al (2006b)</t>
  </si>
  <si>
    <t>Bohai Bay Oilfield Offshore</t>
  </si>
  <si>
    <t>Bohai Wan Basin</t>
  </si>
  <si>
    <t>East China Sea Basin</t>
  </si>
  <si>
    <t>East China Sea</t>
  </si>
  <si>
    <t>East China Sea Basin Gas field</t>
  </si>
  <si>
    <t>Luzhoudao Basin</t>
  </si>
  <si>
    <t>Northern Yellow Sea Basin</t>
  </si>
  <si>
    <t>Subei - Yellow Sea</t>
  </si>
  <si>
    <t>Pearl River Mouth Basin</t>
  </si>
  <si>
    <t>Pearl River Mouth</t>
  </si>
  <si>
    <t>Pearl River Mouth Basin Gas field</t>
  </si>
  <si>
    <t>Pearl River Mouth Basin Oilfield</t>
  </si>
  <si>
    <t>Southern Yellow Sea Basin</t>
  </si>
  <si>
    <t>Western Taiwan Basin</t>
  </si>
  <si>
    <t>Taiwan</t>
  </si>
  <si>
    <t>Yinggehai Basin</t>
  </si>
  <si>
    <t>Qiongdongnan</t>
  </si>
  <si>
    <t>Yinggehai-South-eastern Hainan Gas field</t>
  </si>
  <si>
    <t>Bohai Bay</t>
  </si>
  <si>
    <t>Bohai Bay Gas field Onshore</t>
  </si>
  <si>
    <t>Bohai Bay Oilfield Onshore</t>
  </si>
  <si>
    <t>The PNNL (2009) evaluation for oilfields was estimated using only EOR techniques, using a methodology presented by IEAGHG (2000). As EOR is included in the current Chinese petroleum regulation but no evaluation of the resource for CO2 storage is currently active, the oilfield resource in the evaluation was classified as Discovered Not Viable.</t>
  </si>
  <si>
    <t>Bohai -Liaoning</t>
  </si>
  <si>
    <t>Erlian</t>
  </si>
  <si>
    <t>Erlian Oilfield</t>
  </si>
  <si>
    <t>Hailaer</t>
  </si>
  <si>
    <t>Hailar</t>
  </si>
  <si>
    <t>HeHuai</t>
  </si>
  <si>
    <t>Jianghan Oilfield</t>
  </si>
  <si>
    <t>Jianghan</t>
  </si>
  <si>
    <t>JiangHan-Dongting</t>
  </si>
  <si>
    <t>Jiuxi-Jiudong-Huahai Oilfield</t>
  </si>
  <si>
    <t>Hexi</t>
  </si>
  <si>
    <t>Jiuxi-Jiudong-Huahai-Minye Gas field</t>
  </si>
  <si>
    <t>Junggar</t>
  </si>
  <si>
    <t>Junggar Gas Field</t>
  </si>
  <si>
    <t>Junggar Oilfield</t>
  </si>
  <si>
    <t>Liaohe Depression Oilfield</t>
  </si>
  <si>
    <t>Liaohe Gas field</t>
  </si>
  <si>
    <t>Nanxiang</t>
  </si>
  <si>
    <t>Nanxiang Oilfield</t>
  </si>
  <si>
    <t>Ordos</t>
  </si>
  <si>
    <t>Ordos Gas field</t>
  </si>
  <si>
    <t>Ordos Oilfield</t>
  </si>
  <si>
    <t>Qaidam</t>
  </si>
  <si>
    <t>Qaidam Gas field</t>
  </si>
  <si>
    <t>Qaidam Oilfield</t>
  </si>
  <si>
    <t>Sanjiang</t>
  </si>
  <si>
    <t>Middle Amur</t>
  </si>
  <si>
    <t>Sichuan</t>
  </si>
  <si>
    <t>Sichuan Gas field</t>
  </si>
  <si>
    <t>Sichuan Oilfield</t>
  </si>
  <si>
    <t>Songliao</t>
  </si>
  <si>
    <t>Songliao Gas field</t>
  </si>
  <si>
    <t>Songliao Oilfield</t>
  </si>
  <si>
    <t>Subei</t>
  </si>
  <si>
    <t>Subei Gas field</t>
  </si>
  <si>
    <t>Subei Oilfield</t>
  </si>
  <si>
    <t>Tarim</t>
  </si>
  <si>
    <t>Tarim Gas field</t>
  </si>
  <si>
    <t>Tarim Oilfield</t>
  </si>
  <si>
    <t>Turpan-Hami</t>
  </si>
  <si>
    <t>Turfan</t>
  </si>
  <si>
    <t>Turpan-Hami Gas field</t>
  </si>
  <si>
    <t>Turpan-Hami Oilfield</t>
  </si>
  <si>
    <t>Yanqi Gas field</t>
  </si>
  <si>
    <t>Yanqi Oilfield</t>
  </si>
  <si>
    <t>Yianytong Gas field</t>
  </si>
  <si>
    <t>Yitong</t>
  </si>
  <si>
    <t>Yianytong Oilfield</t>
  </si>
  <si>
    <t>Shenhua Group Ordos CCS Demonstration</t>
  </si>
  <si>
    <t>Majiagou, Benxi, Taiyuan, Shanxi, Shihezi, Shiqianfeng, Liujiagou and Heshanggou Formations</t>
  </si>
  <si>
    <t>Mid Ordovician to Lower Triassic</t>
  </si>
  <si>
    <t>Diao, Y., Zhu, G., Li, X., Bai, B., Wang, Y., Zhang, B., Long, H. 2018. “An upgraded storage site model of the Shenhua CCS demonstration project.” Energy Procedia 154 94-99.  Cycle 5 citation used to update  injected CO2:  Gao, X., &amp; Krevor, S. (2024). The London Register of Subsurface CO₂ Storage: 2024 Annual Report. Imperial College London. https://imperialcollegelondon.github.io/The-London-Register-of-Subsurface-CO2-Storage/</t>
  </si>
  <si>
    <t>Shenhua Group CCS Demonstration project in the Ordos Basin. It was the first deep saline aquifer storage in China, injecting CO2 between 2011-2014. Referenced research project uses seismic inversion to build a geological model of the Shenhua injection site.</t>
  </si>
  <si>
    <t>A total of 0.302 Mt of CO2 was injected over a 3 year period, at 0.1 Mtpa. The project contains a total of 21 perforation layers.</t>
  </si>
  <si>
    <t>Saline aquifer storage into a low porosity and permeability reservoir. Fracking created secondary porosity. Intra- reservoir seals present in addition to a bauxite shale cap rock.</t>
  </si>
  <si>
    <t>Porosity of the Liujiagou, Shiqianfeng and Shihezi Formations ranges between 9-15%. The permeability of the reservoirs was generally low, ranging between 10-20 mD, with a high horizontal heterogeneity. Brine type is generally Cl-Ca.Na. Dissolved solids content range between 65.1 g per L and 7.1 g per L. Pressure in the database is from the top Liujiagou-Majiagou Formation. Geothermal gradient is 14.5 degC per 1 km.</t>
  </si>
  <si>
    <t>Shandong Province</t>
  </si>
  <si>
    <t>Linfanjia Oilfield</t>
  </si>
  <si>
    <t>Vincent, C., Dai, S., Wenying, C., Rongshu, Z., Guosheng, D., Xu, R., Vangkilde-Pedersen, T., Dalhoff, F. 2010. “Carbon dioxide storage options for the COACH project in the Bohai Basin, China.” Energy Procedia 2785-2792.</t>
  </si>
  <si>
    <t>Evaluation part of the Cooperation Action Carbon Capture and Storage China-EU project (COACH). 3-year project to evaluate the CO2 storage capacity of the Bohai Basin, China.</t>
  </si>
  <si>
    <t>Not specified. Containment within an oilfield.</t>
  </si>
  <si>
    <t>Porosity is average porosity in the oilfield. Formation unspecified. Date of access to capacity is unspecified so classified as Discovered Inaccessible. Theoretical storage capacity calculated using the CSLF equation to calculate saline aquifer storage, rather than an oilfield. Possibility that the resource estimates for this site may also be included in the Bohai Bay Oilfield Onshore site from the PNNL (2009) report, however this cannot be confirmed at this time.</t>
  </si>
  <si>
    <t>Results of EU GeoCapacity project</t>
  </si>
  <si>
    <t>Tianjin Municipality, Dagang Oilfield Complex</t>
  </si>
  <si>
    <t>Gangdong Oilfield</t>
  </si>
  <si>
    <t>Minghuazhen-Guantao Formation</t>
  </si>
  <si>
    <t>Date of access to capacity is unspecified so classified as Discovered Inaccessible. Units for CO2 density not provided, assumed to be g/cc. Theoretical storage capacity estimate using the CSLF (2007) method for calculating storage volume within depleted hydrocarbon fields.</t>
  </si>
  <si>
    <t>Gangxi Oilfield</t>
  </si>
  <si>
    <t>Minghuazhen-Guantao-Shahejie Formation</t>
  </si>
  <si>
    <t>Gangzhong Oilfield</t>
  </si>
  <si>
    <t>Dongying Formation</t>
  </si>
  <si>
    <t>Shahejie Formation</t>
  </si>
  <si>
    <t>Shenvshi Oilfield</t>
  </si>
  <si>
    <t>Kongdian Formation</t>
  </si>
  <si>
    <t>Wnagguantun Oilfield</t>
  </si>
  <si>
    <t>Shahejie-Kongdian Formation</t>
  </si>
  <si>
    <t>Xinjiang</t>
  </si>
  <si>
    <t>Zhundong Area</t>
  </si>
  <si>
    <t>Donggou Formation</t>
  </si>
  <si>
    <t>Wen, D., Ma, X., Wang, L., Li, X., Diao, Y., Zhang, H., Hu, L., Long, H., Shao, W. 2018. “Combined study of static and dynamic reservoir modelling for the CO2 storage project in deep saline aquifer in Zhundong, Xinjiang, China.” 14th International Conference on Greenhouse Gas Control Technologies (GHGT-14). Melbourne.</t>
  </si>
  <si>
    <t>Academic research.</t>
  </si>
  <si>
    <t>Notional development plan due to simulation modelling. Two scenarios were modelled. Case 1 has one injection well at the Dong-7 well location. Case 2 has five injection wells, one at Dong-7, spaced 3km apart. The perforation intervals were set in the middle and lower parts of the Donggou Formation. Maximum injection rate of 1.473 x 10^6 STGm3/day for 50 years.</t>
  </si>
  <si>
    <t xml:space="preserve">Open aquifer storage. After 300 years, dynamic modelling predicts 74% gaseous component, 28% residual trapping, 26% dissolution trapping. Simulation run for 50 years of injection, 250 years of post-injection. </t>
  </si>
  <si>
    <t>Depth was calculated by the assessor as the quoted mid-point depth, plus half the reservoir thickness (pg 2). Modelling conducted on three new 2D seismic surveys acquired for the study. Log-derived porosity range between 0.01-0.296 and log-derived permeability between 0.01-441mD (no average values provided). "Low" is taken from Case 1 total injection (simulation). "Mid" is Case 2 total injection (simulation). "High" is the static modelling result. Possibility that this resource may be accounting for in the Junggar Basin evaluation from the PNNL (2009) report, however any double counting would be minor due to the small volumes associated with this site.</t>
  </si>
  <si>
    <t>(P50) Bachu (2015)</t>
  </si>
  <si>
    <t>India</t>
  </si>
  <si>
    <t>Assam Basin</t>
  </si>
  <si>
    <t>Assam</t>
  </si>
  <si>
    <t>Assam Basin O&amp;G Fields</t>
  </si>
  <si>
    <t>Theoretical storage capacity evaluation based on the replacement methodology outlined by CSLF. Reference notes that very little information is available about the produced hydrocarbon of Indian fields.</t>
  </si>
  <si>
    <t>Assam-Arakan fold belt</t>
  </si>
  <si>
    <t>Barmer Basin</t>
  </si>
  <si>
    <t>Cambay</t>
  </si>
  <si>
    <t>Barmer Basin - Rajazsthan O&amp;G Fields</t>
  </si>
  <si>
    <t>Bikaner-Nagaur Basin</t>
  </si>
  <si>
    <t>Indus</t>
  </si>
  <si>
    <t>Cambay Basin</t>
  </si>
  <si>
    <t>Cambay Basin O&amp;G Fields</t>
  </si>
  <si>
    <t>Cauvery Basin</t>
  </si>
  <si>
    <t>Cauvery</t>
  </si>
  <si>
    <t>Jaisalmer Basin</t>
  </si>
  <si>
    <t>Krishna-Godavari Basin</t>
  </si>
  <si>
    <t>Krishna - Godavari</t>
  </si>
  <si>
    <t>Kutch Basin</t>
  </si>
  <si>
    <t>Kachchh - Mumbai Ultradeep</t>
  </si>
  <si>
    <t>Mahanadi Basin</t>
  </si>
  <si>
    <t>Mahanadi</t>
  </si>
  <si>
    <t>Mumbai Basin</t>
  </si>
  <si>
    <t>Mumbai - Saurashtra</t>
  </si>
  <si>
    <t>Mumbai Basin Offshore Mumbai and Gujarat O&amp;G Fields</t>
  </si>
  <si>
    <t>Indonesia</t>
  </si>
  <si>
    <t xml:space="preserve"> sites entries in catalogue</t>
  </si>
  <si>
    <t>Saline Aquifer in Greater Bintuni Area - under CO2-rich gas field (Lower Kembelangan Gp)</t>
  </si>
  <si>
    <t>Bintuni</t>
  </si>
  <si>
    <t>Lower Kembelangan Gp</t>
  </si>
  <si>
    <t>CO2CRC Technologies Pty Ltd, “Assessment of the capture and storage potential of CO2 co-produced with natural gas in South-East Asia,” Asia-Pacific Economic Cooperation, Sydney, Australia, 2010.</t>
  </si>
  <si>
    <t>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modeled was based on production modelling. The analyses implicitly assume injection sites with the reservoir properties assumed for the sedimentary basin where they are located. CO2 injected into saline formation underneath the CO2-rich gas field. Steel jacket, 4 deviated wells injecting a total of 2.9Mt/yr, 10km 150mm diameter pipeline with 2MW of compression</t>
  </si>
  <si>
    <t>The development plan proposes injection into the same unit (Lower Kembelangan Gp) as the high-CO2 gas field. Although a simple simulation has been conducted, no specific simulation modeling has been carried out to understand possible migration of injected CO2 into the structure as the gas field is produced. The permeability of 250mD, however, may provide a containment challenge, where injected CO2 migrates into the depleting field.</t>
  </si>
  <si>
    <t xml:space="preserve">Undiscovered, inaccessible. Inaccessible due to the lack of CCS regulatory framework in Indonesia. A simple simulation was conducted to determine the maximum rate of CO2 that can be injected over the injection period (20 years) without the pressure in the reservoir exceeding its fracture pressure. However, the reservoir properties are subject to large uncertainties and variations due to the lithology type, more work is needed to properly model CO2 storage in this saline aquifer. </t>
  </si>
  <si>
    <t>Central Sumatera</t>
  </si>
  <si>
    <t>Central Sumatra Basin Depleted Oil Fields: All</t>
  </si>
  <si>
    <t>Central Sumatra</t>
  </si>
  <si>
    <t>structural/Stratigraphic Trap</t>
  </si>
  <si>
    <t>U. P. Iksandar, Usman and S. Sofyan, “Ranking of Indonesia sedimentary basin and storage capacity estimates for CO2 geological storage,” Energy Procedia, vol. 37, pp. 5172-5180, 2013.</t>
  </si>
  <si>
    <t xml:space="preserve">There is no mention of previous Indonesia studies that Iskandar et al. build on in the introduction, only that the ranking method was based on Bachu et al. 2003. The only known previous study of CCS in Indonesia is the CO2CRC 2010 (APEC) study which focuses solely on storing CO2 from high CO2 gas fields.  The study recognises that Indonesia has excellent opportunities for deployment of CCS due to availability of sedimentary basins with oil and gas reservoirs (some nearing depletion) and existing infrastructure which can be used for transport of captured CO2. </t>
  </si>
  <si>
    <t xml:space="preserve">No specific development plan details are available. Accessibility (to CO2 source) and infrastructure (existing to be reused) are presented as part of the "ranking criteria" used in this paper. The Salawati basin ranks within the top 9th out of 60 basins considered in Indonesia. </t>
  </si>
  <si>
    <t>Discovered: Inaccessible. The storage resource was calculated using the CSLF methodology for depleted oil and gas reservoirs. It "assumes that the volume previously occupied by hydrocarbons becomes, by and large, available for CO2 storage. This method does not account for All depleted gas fields presented by Iskandar et al. have a Np/Ult ratio of greater than or equal to 55%.</t>
  </si>
  <si>
    <t>petroleum replacement volume</t>
  </si>
  <si>
    <t>East Kalimantan</t>
  </si>
  <si>
    <t>All East Kalimantan depleted oil fields</t>
  </si>
  <si>
    <t>Kutei</t>
  </si>
  <si>
    <t>oil &amp; Gas Fields</t>
  </si>
  <si>
    <t>Discovered: Inaccessible. The storage resource was calculated using the CSLF methodology for depleted oil and gas reservoirs. It "assumes that the volume previously occupied by hydrocarbons becomes, by and large, available for CO2 storage. This method does not account for All depleted gas fields presented by Iskandar et al. have a Np/Ult ratio of greater than or equal to 55%. It is not made clear whether this data is from the Tarakan Basin or the Kutai Basin.</t>
  </si>
  <si>
    <t>Saline Aquifer in Kutei - under CO2-rich gas field (Miocene Delta Sst)</t>
  </si>
  <si>
    <t>Miocene Delta Sst</t>
  </si>
  <si>
    <t>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modeled was based on production modelling. The analyses implicitly assume injection sites with the reservoir properties assumed for the sedimentary basin where they are located.CO2 injected into saline formation underneath the CO2-rich gas field. No platform, 9 deviated wells injecting a total of 1.7Mt/yr, 10km 100mm pipeline with 2MW compression</t>
  </si>
  <si>
    <t>The development plan proposes injection into the same unit (Miocene Delta Sst) as the high-CO2 gas field. Although a simple simulation has been conducted, no simulation modeling has been carried out to understand possible migration of injected CO2 into the structure as the gas field is produced. The permeability of 1000mD, however, may provide a containment challenge, where injected CO2 migrates into the depleting field.</t>
  </si>
  <si>
    <t xml:space="preserve">North East Java </t>
  </si>
  <si>
    <t xml:space="preserve">All North East Java Basin depleted gas fields </t>
  </si>
  <si>
    <t>East Java</t>
  </si>
  <si>
    <t>North Sumatra</t>
  </si>
  <si>
    <t>Saline Aquifer in North Sumatra - under CO2-rich gas field (Oligocene Sst)</t>
  </si>
  <si>
    <t>North Sumatra - Mergui</t>
  </si>
  <si>
    <t>Oligocene Sst</t>
  </si>
  <si>
    <t>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modeled was based on production modelling. The analyses implicitly assume injection sites with the reservoir properties assumed for the sedimentary basin where they are located.CO2 injected into saline formation underneath the CO2-rich gas field. Steel jacket, 3 deviated wells injecting a total of 7.1Mt/yr, 10km 300mm pipeline with 11MW of compression</t>
  </si>
  <si>
    <t>The development plan proposes injection into the same unit (Oligocene Sst) as the high-CO2 gas field. Although a simple simulation has been conducted, no simulation modeling has been carried out to understand possible migration of injected CO2 into the structure as the gas field is produced. The permeability of 400mD, however, may provide a containment challenge, where injected CO2 migrates into the depleting field.</t>
  </si>
  <si>
    <t>Saline Aquifer in North Sumatra - under CO2-rich gas field (Peutu Fm)</t>
  </si>
  <si>
    <t>Peutu Fm</t>
  </si>
  <si>
    <t>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modeled was based on production modelling. The analyses implicitly assume injection sites with the reservoir properties assumed for the sedimentary basin where they are located.CO2 injected into saline formation underneath the CO2-rich gas field. No platform, 3 deviated wells injecting a total of 1.9Mt/yr, 10km 150mm pipeline with 3MW of compression</t>
  </si>
  <si>
    <t>The development plan proposes injection into the same unit (Peutu Fm) as the high-CO2 gas field. Although a simple simulation has been conducted, no simulation modeling has been carried out to understand possible migration of injected CO2 into the structure as the gas field is produced. The permeability of 400mD, however, may provide a containment challenge, where injected CO2 migrates into the depleting field.</t>
  </si>
  <si>
    <t>Northeast of Great Natuna Island</t>
  </si>
  <si>
    <t>Saline Aquifer in Greater East Natuna Area - under CO2-rich gas field (Terumba Fm)</t>
  </si>
  <si>
    <t>Sarawak - Luconia - East Natuna</t>
  </si>
  <si>
    <t>Terumbu Formation</t>
  </si>
  <si>
    <t>Miocene to Lower Pliocene</t>
  </si>
  <si>
    <t xml:space="preserve">The Natuna Gas field was first discovered by the Italian company, Agip in 1973. The field is located in Indonesia's most northerly territory, in the South China Sea . The Natuna discovery is southeast Asia's largest undeveloped gas discovery, with estimated resource of 46 Tcf of recoverable methane.  The field has not been developed yet as the gas within is composed of ~80%  CO2 which is far greater than the specification for gas sales. Therefore to develop this field, a Carbon storage formation is needed. This study outlines the details of this potential project. </t>
  </si>
  <si>
    <t>A simple simulation was conducted to determine the maximum rate of CO2 that can be injected over the injection period without the pressure in the reservoir exceeding its fracture pressure. Sensitivities were carried out on the number of wells required. The volume of CO2 modeled was based on production modelling. The plan is for the cumulative gas stream to be piped to Great Natuna Island where the CO2 will be separated from the stream by membrane. The CO2 will then be piped 200km offshore near to the Natuna Gas field where it will be injected into the Terumbu formation which runs below the Gas discovery. There is no mention of exact injection sites. Injection depth is given. CO2 injected into saline formation underneath the CO2-rich gas field. Steel jacket, 81 deviated wells injecting a total of 205.7Mt/yr, 10km 950mm diameter pipeline with 529MW of compression</t>
  </si>
  <si>
    <t>No discussion. The reservoir rock is platform and reefal carbonate build-ups that are surrounded by tight fine grained carbonates and shales. These surrounding carbonates and shales will mean the reservoir is confined on either side and the lithology of the reservoir will give very low lateral continuity. There is no mention of the sealing formation. It is estimated that around 90 wells will be needed for injection due to complex geology of the reservoir. Although a simple simulation has been conducted, no simulation modeling has been carried out to understand possible migration of injected CO2 into the structure as the gas field is produced. The permeability of 250mD, however, may provide a containment challenge, where injected CO2 migrates up-dip into the depleting field.</t>
  </si>
  <si>
    <t xml:space="preserve">Undiscovered: Inaccessible. If  data becomes available from exploration wells in the area , then a portion of this site can be upgraded to Discovered: Inaccessible. If Indonesia develops new regulations and policies to allow CCS then this will be easily promoted to sequence play. There is good reservoir data, but no mention of where it came from, i.e. wells, also no mention of any seismic data, but it is assumed that this does exist as the gas field has shown potential for gas production since 1973.  Storage resource represents amount of CO2 stored over life of project. Project area lies close to China's Nine-dash line with claims issues in that area of the south China Sea. The reservoir properties are subject to large uncertainties and variations due to the lithology type, more work is needed to properly model CO2 storage in this aquifer. </t>
  </si>
  <si>
    <t>Raja Ampat Regency</t>
  </si>
  <si>
    <t>All Salawati Basin depleted gas fields</t>
  </si>
  <si>
    <t>Salawati</t>
  </si>
  <si>
    <t xml:space="preserve">South Kalimantan </t>
  </si>
  <si>
    <t>Barito Basin Depleted Oil Fields: All</t>
  </si>
  <si>
    <t>Barito</t>
  </si>
  <si>
    <t xml:space="preserve">South Sumatera </t>
  </si>
  <si>
    <t>Central Palembang Sub-basin</t>
  </si>
  <si>
    <t>South Sumatra</t>
  </si>
  <si>
    <t>Talang Akar, Baturaja, &amp; Lahat Formation</t>
  </si>
  <si>
    <t>Eocene - Miocene</t>
  </si>
  <si>
    <t>O. Hedriana, Sugihardjo and Usman, “Assessment of CO2-EOR and Storage Capacity in South Sumatera and West Java Basins,” Energy Procedia, vol. 114, pp. 4666-4678, 2017.</t>
  </si>
  <si>
    <t>It is believed that this study builds on the world bank 2015 (Takahashi et al.) paper. Other known studies of CCS in the Indonesia region include: Iskandar et al 2013, Asia development bank 2013 and Asia pacific economic corporation 2010 (CO2CRC).  The study is part of the research in CCS technologies enacted by the governments "National Action Plan on Greenhouse Gas emissions reduction. The study is based around finding storage sites to store CO2 from proposed "clean coal" power stations in South Sumatera and west Java.</t>
  </si>
  <si>
    <t xml:space="preserve">The study is based around finding storage sites to store CO2 emissions from proposed "clean coal" power stations in South Sumatera and west Java. The authors investigate the west java and South Sumatera basins which as well as having large saline aquifers, also have plenty of depleted petroleum fields which would support fast rollout of commercial CCS with less storage site studies needed. </t>
  </si>
  <si>
    <t>Across all sub-basins, the highest quality seal would be provided by the Early to middle Miocene open marine shale, this shale exists in the upper Talang Akar, Batu Raja and Gumai formations. The seal in the upper Talang Akar formation is most effective in the central part of the basin where it is draped over structural highs. This seal has been proven to seal gas columns of over 500m.</t>
  </si>
  <si>
    <t xml:space="preserve">Undiscovered: inaccessible. Most of the Carbonate Aquifers occur in the South Palembang sub-basin. All the sandstone aquifers (Except for North Palembang) increase steadily in volume from South to North. The total storage resource number for the south Sumatra basin is large enough to justify further quantification and refinement through future studies. </t>
  </si>
  <si>
    <t>volumetric analysis</t>
  </si>
  <si>
    <t>Jambi Sub-basin</t>
  </si>
  <si>
    <t>North Palembang Sub-basin</t>
  </si>
  <si>
    <t>South Palembang Sub-basin</t>
  </si>
  <si>
    <t>It is believed that this study builds on the world bank 2015 (Takahashi et al.) paper. Other known studies of CCS in the Indonesia region include: Iskandar et al 2013, Asia Development Bank 2013 and Asia pacific economic corporation 2010 (CO2CRC).  The study is part of the research in CCS technologies enacted by the governments "National Action Plan on Greenhouse Gas Emissions Reduction. The study is based around finding storage sites to store CO2 from proposed "clean coal" power stations in South Sumatera and West Java.</t>
  </si>
  <si>
    <t xml:space="preserve"> Saline Aquifer in South Sumatra - under CO2-rich gas field (Talang Akar Fm)</t>
  </si>
  <si>
    <t>Talang Akar Fm</t>
  </si>
  <si>
    <t>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modeled was based on production modelling. The analyses implicitly assume injection sites with the reservoir properties assumed for the sedimentary basin where they are located.CO2 injected into saline formation underneath the CO2-rich gas field. No platform, 4 deviated wells injecting a total of 0.5Mt/y, 10km 100mm pipeline with 1MW of compression</t>
  </si>
  <si>
    <t>The development plan proposes injection into the same unit (Talang Akar Fm) as the high-CO2 gas field. Although a simple simulation has been conducted, no simulation modeling has been carried out to understand possible migration of injected CO2 into the structure as the gas field is produced. The permeability of 1000mD, however, may provide a containment challenge, where injected CO2 migrates into the depleting field.</t>
  </si>
  <si>
    <t>West Java</t>
  </si>
  <si>
    <t>Greater West Java Basin: saline aquifers</t>
  </si>
  <si>
    <t>Java Sea</t>
  </si>
  <si>
    <t>Talang Akar Fm, Batu Raja Fm, Upper Cibulakan Group</t>
  </si>
  <si>
    <t>Late Oligocene - Miocene</t>
  </si>
  <si>
    <t>Part of a wider study on CCS in Indonesia covering CO2-EOR and depleted gas field storage resource, an evaluation of the theoretical storage in saline aquifers associated with hydrocarbon reservoirs used data from 15 fields representing one third of basin area. Storage resource from areas covered by data are reported as a separate site entry (West Java saline aquifers). An additional resource value is published to represent remaining two thirds of West java Basin (this entry).</t>
  </si>
  <si>
    <t>Proven seals  work in oil and gas province (Upper Oligocene to Miocene). West Java Basin considered relatively low seismicity over past 100 years (deep (300-650km) earthquakes occur below Java Sea).</t>
  </si>
  <si>
    <t>Storage resource is very high level estimate of additional resource in West Java basin away from hydrocarbon field data control. West Java saline aquifer resource (based on areas with field data) is subtracted from Greater West Java resource to avoid double accounting. Undiscovered: Inaccessible due to low confidence in resource estimate and lack of regulatory system for CCS.</t>
  </si>
  <si>
    <t>IEA GHG 2013</t>
  </si>
  <si>
    <t xml:space="preserve">Volumetric method for resource estimation using probabilistic storage efficiency range (carbonates)  P10: 3.5%, P50: 5.2%, P90: 7.3%. </t>
  </si>
  <si>
    <t>West Java Basin Saline Aquifers</t>
  </si>
  <si>
    <t>Northwest Java</t>
  </si>
  <si>
    <t>Review of data from 15 hydrocarbon fields to evaluate storage potential of main reservoir units in the basin. Several reservoir-seal pairs known from onshore and offshore. Most fields are in offshore area in Suna Asri, Central Arjuna, North Arjuna, and Jatibarang sub-basins. Two approaches to estimating resource potential applied: US DOE (2011) using a P50 probabilistic storage efficiency factor of 15%, and the IEAGHG (2013) probabilistic value of 5.2% (P50). The IEAGHG estimate is used in this assessment.</t>
  </si>
  <si>
    <t>Multiple (small) oil and gas fields suggest presence of a working seal in part of the basin. No further details provided. Wets Java basin is considered to be relatively aseismic, particularly in the north part of the basin. Presence of oil and gas fields seen as a positive indicator for storage potential.</t>
  </si>
  <si>
    <t>Resource values assessed are based on volumetric estimates for 15 field area. Study uses a multiplier of 3 to extend data to full areal extent of basin. Estimates for wider area are provided in the 'Greater West Java Basin' site entry in the Catalogue: values are adjusted for local 15 field area (this site entry).</t>
  </si>
  <si>
    <t>Volumetric</t>
  </si>
  <si>
    <t>IEAGHG 2013</t>
  </si>
  <si>
    <t>GFSS-11</t>
  </si>
  <si>
    <t>World Bank, “The Indonesia Carbon Capture Storage (CCS) Capacity Building Program: CCS for Coal-fired Power Plants in Indonesia,” International Bank for Reconstruction and Development, Washington DC, 2015.</t>
  </si>
  <si>
    <t>Other known studies of CCS in the Indonesia region include: Iskandar et al 2013, Asia development bank 2013 and Asia pacific economic corporation 2010 (CO2CRC).  The study is based around finding storage sites to store CO2 from proposed "clean coal" power stations in South Sumatera and west Java.</t>
  </si>
  <si>
    <t>The study is based around finding storage sites to store CO2 emissions from the proposed "clean coal" power stations: Sumsel and Bojonegara in South Sumatera and west Java respectively.</t>
  </si>
  <si>
    <t>Discovered: Inaccessible. Year available for CO2 storage:2024.  Storage resources along with other data is available for 6 "GFSS" fields in table 5-3. Locations for these fields is included on a map within LEMIGAS: CCS and implementation in Indonesia (slide 8). Available here: http://www.ccop.or.th/ccsm/data/28/docs/CCS%20Lemigas-ccop%202015-f%20submit.pdf. Some uncertainty as to whether there is double accounting with 1 GFSS field and field 7c from ADB - 2013 due to poor data quality. No lat/long data available and no lat/long markings on map (link above) so lat/long data highly estimated.</t>
  </si>
  <si>
    <t>GFSS-2</t>
  </si>
  <si>
    <t xml:space="preserve">Discovered: Inaccessible. Year available for CO2 storage: 2017. Storage resources along with other data is available for 6 "GFSS" fields in table 5-3. Locations for these fields is included on a map within LEMIGAS: CCS and implementation in Indonesia (slide 8). Available here: http://www.ccop.or.th/ccsm/data/28/docs/CCS%20Lemigas-ccop%202015-f%20submit.pdf. Some uncertainty as to whether there is double accounting with 1 GSSF field and field 7c from ADB - 2013. Due to poor data quality, uncertainties exist regarding double counting between this site and site 7b from ADB 2013 paper. No lat/long data available and no lat/long markings on map (link above) so lat/long data highly estimated.
</t>
  </si>
  <si>
    <t>GFSS-3</t>
  </si>
  <si>
    <t>GFSS-6</t>
  </si>
  <si>
    <t>GFSS-7</t>
  </si>
  <si>
    <t xml:space="preserve">Discovered: Inaccessible. Year available for CO2 storage: 2022. Storage resources along with other data is available for 6 "GFSS" fields in table 5-3. Locations for these fields is included on a map within LEMIGAS: CCS and implementation in Indonesia (slide 8). Available here: http://www.ccop.or.th/ccsm/data/28/docs/CCS%20Lemigas-ccop%202015-f%20submit.pdf. Some uncertainty as to whether there is double accounting with 1 GSSF field and field 7c from ADB - 2013 due to poor data quality. No lat/long data available and no lat/long markings on map (link above) so lat/long data highly estimated.
</t>
  </si>
  <si>
    <t>GFSS-9</t>
  </si>
  <si>
    <t xml:space="preserve">Discovered: Inaccessible. Year available for CO2 storage:  2014. Storage resources along with other data is available for 6 "GFSS" fields in table 5-3. Locations for these fields is included on a map within LEMIGAS: CCS and implementation in Indonesia (slide 8). Available here: http://www.ccop.or.th/ccsm/data/28/docs/CCS%20Lemigas-ccop%202015-f%20submit.pdf. Some uncertainty as to whether there is double accounting with 1 GSSF field and field 7c from ADB - 2013 due to poor data quality. No lat/long data available and no lat/long markings on map (link above) so lat/long data highly estimated.
</t>
  </si>
  <si>
    <t xml:space="preserve">South Sumatra Cumulative Depleted Gas Fields </t>
  </si>
  <si>
    <t>Data for cumulative gas field storage in the south Sumatera basin is given by ADB 2013 (831Mt over 35 fields), World bank 2015 (532Mt over 32-fields) &amp; Hedriana et al 2017 (537Mt over 45-fields) - for full references see 'Publication heading'. Individual gas field resources (with code name and rough location on map) totalling 875.3Mt (over 13 fields) will supersede this entry, therefore storage resource here is reported as a NULL.  These Individual gas field resources are given in World bank 2015 and ADB 2013</t>
  </si>
  <si>
    <t xml:space="preserve">2013, 2015 &amp; 2017. </t>
  </si>
  <si>
    <t>South Sumatra Depleted Oil Fields: All</t>
  </si>
  <si>
    <t>discovered. The storage resource was calculated using the CSLF methodology for depleted oil and gas reservoirs. It "assumes that the volume previously occupied by hydrocarbons becomes, by and large, available for CO2 storage. This method does not account for... All depleted gas fields presented by Iskandar et al. have a Np/Ult ratio of greater than or equal to 55%.</t>
  </si>
  <si>
    <t xml:space="preserve">West Java - All offshore depleted gas fields. </t>
  </si>
  <si>
    <t>Discovered: inaccessible.   28 fields.</t>
  </si>
  <si>
    <t xml:space="preserve">West Java - All onshore depleted gas fields. </t>
  </si>
  <si>
    <t>Discovered: inaccessible.   23 fields.</t>
  </si>
  <si>
    <t>Japan</t>
  </si>
  <si>
    <t>Akita</t>
  </si>
  <si>
    <t>Offshore Akita</t>
  </si>
  <si>
    <t>T. Ogawa, S. Nakanishi, T. Shidahara, T. Okumura and E. Hayashi, “Saline-aquifer CO2 Sequestration in Japan-Methodology of Storage Capacity Assessment,” International Journal of Greenhouse Gas Control, vol. 5, no. 2, p. 318–326, 2011.</t>
  </si>
  <si>
    <t>Mission 2' study. Storage capacity estimation for areas near major CO2 emissions. Study did not include 'Mission 1 areas (based on hydrocarbon exploration data). 14 potential resource areas with aquifers-seal pairs below 800m identified by study.</t>
  </si>
  <si>
    <t>None available</t>
  </si>
  <si>
    <t>Only published assessment based on published 'bubble plot' (Ogawa et al 2011). Accuracy of resource is too limited for database at this stage. See Global Catalogue Report for more details. Further details may be available in RITE/ENAA database (in Japanese). Site entry will be updated if original data can be accessed.</t>
  </si>
  <si>
    <t>Chiba</t>
  </si>
  <si>
    <t>Tokyo Bay: Boso Peninsula</t>
  </si>
  <si>
    <t>Kanto</t>
  </si>
  <si>
    <t>Umegase Formation</t>
  </si>
  <si>
    <t>Pleistocene</t>
  </si>
  <si>
    <t>T. Ishido, T. Tosha, C. Akasaka, Y. Nishi, M. Sugihara, Y. Kano and S. Nakanishi, “Changes in geophysical observables caused by CO2 injection into saline aquifers.,” Energy Procedia, vol. 4, pp. 3276-3283, 2011.</t>
  </si>
  <si>
    <t>Study developed series of numerical simulations as basis for testing range of geophysical monitoring techniques. 3D model of study area based on geological structure of Tokyo Bay area covering 2500m section of sandstone and mudstone units. Simulations limited in detail using simple, assumed values.</t>
  </si>
  <si>
    <t>Base case simulation: 10Mt CO2/year for 50 years (distributed volumetric sources). 40 discrete injection well scenario: 250,000 t CO2/year/well: 9.8 Mt total injected CO2</t>
  </si>
  <si>
    <t>At t=50, injected CO2 modeled to remain in Umegase and underlying Otadai formations. Post-injection phase, CO2 migrates into overlying Kokumoto Fm (Caprock: mud-rich unit)</t>
  </si>
  <si>
    <t>Note: simulations developed for testing monitoring techniques. More detailed evaluation is required. Assessed resource value based on 40 well discrete well scenario. No current appraisal plan. Undiscovered: Sequence Play as study area is not a defined project area (i.e. Lead).</t>
  </si>
  <si>
    <t>Fukouka</t>
  </si>
  <si>
    <t>Offshore Kokura/Ashiya</t>
  </si>
  <si>
    <t>Toyama</t>
  </si>
  <si>
    <t>Fukuoka</t>
  </si>
  <si>
    <t>Kitakyushu</t>
  </si>
  <si>
    <t>Palaeogene</t>
  </si>
  <si>
    <t>M. Abe, S. Saito, D. Tanase, Y. Sawada, Y. Hirama and Y. Motoyama, “CCS Large-scale Demonstration in Japan,” Energy Procedia, vol. 37, pp. 6326-6334, 2013.</t>
  </si>
  <si>
    <t>One of three candidate sites evaluated in 2008 for Japan's 1st Demonstration project. Subsurface data is very limited: 1 survey well, gravity anomaly data. 2D seismic data acquisition planned for 2012.</t>
  </si>
  <si>
    <t>Non-marine mudstones overlie Palaeogene sandstones and conglomerates. Survey well indicates low permeability with initial threshold pressure analysis indicating good sealing potential.</t>
  </si>
  <si>
    <t>No resource estimate provided by early evaluation. Awaiting update.</t>
  </si>
  <si>
    <t>n/a</t>
  </si>
  <si>
    <t>None attempted. Early stage of evaluation.</t>
  </si>
  <si>
    <t>Onshore Kokura/Ashiya</t>
  </si>
  <si>
    <t>Fukushima</t>
  </si>
  <si>
    <t>Nakoso Iwaki-Oki</t>
  </si>
  <si>
    <t>Miocene</t>
  </si>
  <si>
    <t>Iwaki-Oki deleted gas field was one of three candidates for a CCS demonstration project. The gas field produced 5.6 billion mcf between 1984 and 2007. Original plan was to capture CO2 at a 250MW IGCC demonstration plant with CO2 transported 80km to subsea completion facility.</t>
  </si>
  <si>
    <t>Existing reservoir model used to simulate injection via 1 well. Injection rate 1Mt/year for up to 20 years (20 Mt storage resource). Post-depletion reservoir pressure: 5MPa. Simulation included evaluation of Joule-Thompson effect from well head to bottom hole due to low pressure.</t>
  </si>
  <si>
    <t>Proven seal for gas -bearing reservoir in faulted domal anticline. Qualitative and quantitative assessment of gas production wells indicated low risk of leakage. Site evaluation abandoned following 2011 Great East Japan Earthquake.</t>
  </si>
  <si>
    <t>Discovered: Development Not Viable: 20Mt</t>
  </si>
  <si>
    <t>Dynamic simulation using existing reservoir model</t>
  </si>
  <si>
    <t>Hokkaido</t>
  </si>
  <si>
    <t>Greater Tomakomai - Moebetsu Formation</t>
  </si>
  <si>
    <t>Moebetsu Formation</t>
  </si>
  <si>
    <t>Quaternary</t>
  </si>
  <si>
    <t>Ministry of Economy, trade and Industry (METI), New Energy and Industrial technology Development Organization (NEDO) and Japan CCS Co. Ltd (JCCS), “Report of Tomakomai CCS Demonstration Project at 300 thousand tonnes cumulative injection (Summary report) - Overview,” 2020.</t>
  </si>
  <si>
    <t>Tomakomai is Japan's first CCS demonstration project. 300,012 t CO2 was injected into Moebetsu Fm between 2016 and 2019.  Tanaka (pers. comm., Oct 2020) indicates potential for additional CO2 to be directed to Tomakomai site from non-local sources.</t>
  </si>
  <si>
    <t>Upper Moebetsu mud-rich sediments provide seal to demonstration project, No details on sealing potential at regional scale</t>
  </si>
  <si>
    <t>Volumetric calculation of entire Moebetsu Formation sandstones estimates a resource potential of 486 Mt (Japan CCS Tomakomai Summary Report, 2020). 6 Mt already accounted for in Tomakomai (Moebetsu Fm) project entry. Considered Undiscovered due to distance from survey and injection wells at Tomakomai project.</t>
  </si>
  <si>
    <t>Not provided</t>
  </si>
  <si>
    <t>Hakodate Bay</t>
  </si>
  <si>
    <t>Mission 2' study. Storage capacity estimation for areas near major CO2 emissions. Study did not include 'Mission 1 areas (based on hydrocarbon exploration data). 14 potential resource areas with aquifers-seal pairs below 800m identified by study</t>
  </si>
  <si>
    <t>Assessment derived from tabulated entry in Ogawa et al 2011. No further details other than inputs for volumetric resource calculation.</t>
  </si>
  <si>
    <t>Calculation method outlined in Ogawa et al. 2011. Equivalent to CSLF (2009) approach. Data inputs tabulated in source reference. Storage factor considered too optimistic.</t>
  </si>
  <si>
    <t>Tomakomai - Moebetsu Formation</t>
  </si>
  <si>
    <t>1st large-scale demonstration project in Japan. Injection of 300,012 t CO2. Injection commenced April 2016 for 3 years until Nov 2019. Additional injection into deeper, lower permeability Takinoe Formation commenced February 2018 (via 2nd, reservoir-specific extended reach well; total injection 98 t).</t>
  </si>
  <si>
    <t>3 years of active CO2 injection into Moebetsu Formation via 1 well. Horizontal well drilled from onshore to offshore reservoir (maximum inclination 83 deg, drill depth: 3650m, vertical depth: 1188m, horizontal reach: 3058m). Additional injection well dedicated for injection into lower Takinoue Formation.</t>
  </si>
  <si>
    <t>Caprock: Upper Moebetsu Fm mudstones. 200m thick. Simulation using worst case capillary threshold and permeability measurements indicate caprock has sufficient sealing capability. Repeat seismic indicates no unexpected migration of injected CO2 following 2018 Hokkaido Eastern Iburi Earthquake (seismic intensity recorded at 5 at Tomakomai).</t>
  </si>
  <si>
    <t>Simulation study suggests current injection well could inject up to 5.73 Mt CO2 (P50 confidence) and keep injected CO2 within defined area. Additional resource potential in Greater Tomakomai - Moebetsu Formation entry. Takinoue Formation resource not included (injected volume - 98t -below cut-off for inclusion in Catalogue).</t>
  </si>
  <si>
    <t>Injection, monitoring and verification.</t>
  </si>
  <si>
    <t>Ibaraki</t>
  </si>
  <si>
    <t>Offshore Soma-Kashima</t>
  </si>
  <si>
    <t>Mie</t>
  </si>
  <si>
    <t>Ise Bay (Onshore)</t>
  </si>
  <si>
    <t>Mission 2' study. Storage capacity estimation for areas near major CO2 emissions. Study did not include 'Mission 1' areas (based on hydrocarbon exploration data). 14 potential resource areas with aquifers-seal pairs below 800m identified by study</t>
  </si>
  <si>
    <t>Ogawa et al 2011. Approach based on CSLF (2009) calculation. Storage factor considered too optimistic.</t>
  </si>
  <si>
    <t>Miyagi</t>
  </si>
  <si>
    <t>Sendai Bay</t>
  </si>
  <si>
    <t>Nagasaki</t>
  </si>
  <si>
    <t>Offshore Matsuura</t>
  </si>
  <si>
    <t>Onshore Matsuura</t>
  </si>
  <si>
    <t>Niigata</t>
  </si>
  <si>
    <t>Onshore Uchiura Bay</t>
  </si>
  <si>
    <t>Not Specified</t>
  </si>
  <si>
    <t>Dissolved Gas Fields: Stratigraphic Trap</t>
  </si>
  <si>
    <t>T. Takahashi, T. Ohsumi, K. Nakayama, K. Koide and H. Miida, “Estimation of CO2 Aquifer Storage Potential in Japan.,” Energy Procedia, vol. 1, no. 1, pp. 2631-2638, 2009.</t>
  </si>
  <si>
    <t>Mission 1' study. Data from RITE (2006) re-evaluation of sites where data from hydrocarbon exploration are available (update of new and original data of Tanaka et al. 1995). Category B1 sites (onshore dissolved gas fields). This evaluation comprises 3 onshore gas fields: Minami-Kanto, Niigata &amp; Miyazaki.</t>
  </si>
  <si>
    <t>No details of sealing capacity. No data available on legacy well issues.</t>
  </si>
  <si>
    <t xml:space="preserve">Assessment based on calculation for 3 dissolved gas fields: Category B1 (Takahashi et al. 2009). Discovered: Inaccessible as no COP date provided. </t>
  </si>
  <si>
    <t>Based on method published by Takahashi et al. 2009. For Category B (open aquifer) sites sweep efficiency (0.25) and CO2 saturation (0.5) inputs to calculation based on pilot CO2 flood test and local underground natural gas storage.</t>
  </si>
  <si>
    <t>Hydrocarbon Fields: Structural Trap</t>
  </si>
  <si>
    <t xml:space="preserve">Abandoned Oil &amp; Gas Fields </t>
  </si>
  <si>
    <t>Mission 1' study. Data from RITE (2006) update of 13 oil and gas fields and local aquifers where data are available (original data by Tanaka et al 1995). No breakout of oil versus gas fields. Evaluation based on data availability and trapping mechanism. Sites in study sub-divided by data availability. Category A1 sites clustered on west coast of Honshu.</t>
  </si>
  <si>
    <t>Existing oil and gas fields so geological containment constrained. No data available on legacy well issues.</t>
  </si>
  <si>
    <t>Assessment based on values for existing oil and gas fields and their aquifers with abundant well and seismic exploration data (structural traps): Category A1 (Takahaski et al. 2008). Discovered: Inaccessible due to absence of COP or Earliest Available Dates. Individual sites may be re-classified if data are made available.</t>
  </si>
  <si>
    <t>Based on method published by Tanaka et al. 1995. For Category A (structural traps) sites sweep efficiency (0.5) and CO2 saturation (0.5) inputs to calculation based on pilot CO2 flood test and local underground natural gas storage.</t>
  </si>
  <si>
    <t>Regional Aquifer: Undrilled Open Aquifer</t>
  </si>
  <si>
    <t>Mission 1' study. Data from RITE (2006) re-evaluation of sites where data from hydrocarbon exploration are available (update of new and original data of Tanaka et al. 1995). Category B2 sites (undrilled open aquifers). Sites clustered in coastal Hokkaido, Honshu and Kyushu.</t>
  </si>
  <si>
    <t>No data available.</t>
  </si>
  <si>
    <t>Assessment based on values for aquifers identified by regional seismic data: Category B2 (Takahashi et al., 2009)</t>
  </si>
  <si>
    <t>Regional Aquifers: Drilled Structural Trap</t>
  </si>
  <si>
    <t>Mission 1' study. Data from RITE (2006) re-evaluation of sites where data from hydrocarbon exploration are available (update of new and original data of Tanaka et al. 1995). Category A2 sites are structural traps tested by an exploration well. Site locations clustered on NW Hokkaido and west Honshu.</t>
  </si>
  <si>
    <t>Drilled structure but no details available. Assumed no economic hydrocarbons to prove seal.</t>
  </si>
  <si>
    <t>Assessment based on calculation for structures where exploration well and seismic data are available but not described as an existing field: Category A2. Partly discovered due to presence of discovery well.</t>
  </si>
  <si>
    <t>Based on method published by Takahashi et al. 2009. For Category A (structural traps) sites sweep efficiency (0.5) and CO2 saturation (0.5) inputs to calculation based on pilot CO2 flood test and local underground natural gas storage.</t>
  </si>
  <si>
    <t>Regional Aquifers: Undrilled Structural Trap</t>
  </si>
  <si>
    <t>Mission 1' study. Data from RITE (2006) re-evaluation of sites where data from hydrocarbon exploration are available (update of new and original data of Tanaka et al. 1995). Category A3 sites are undrilled structural traps. Site locations clustered on SE Hokkaido and coastal (west and east) Honshu.</t>
  </si>
  <si>
    <t>No details available. Untested structural traps.</t>
  </si>
  <si>
    <t xml:space="preserve">Assessment based on calculation for undrilled structures where only seismic data are available: Category A3 (Takahashi et al. 2009). Undiscovered. </t>
  </si>
  <si>
    <t>Okinawa</t>
  </si>
  <si>
    <t>Okinawa Island</t>
  </si>
  <si>
    <t>Tomigusuku Formation</t>
  </si>
  <si>
    <t>Upper Miocene</t>
  </si>
  <si>
    <t>Assessment based on tabulated data in Ogawa et al 2011. No further details provided (other than volumetric resource calculation inputs).</t>
  </si>
  <si>
    <t>Ooita</t>
  </si>
  <si>
    <t>Beppu Bay</t>
  </si>
  <si>
    <t>Osaka</t>
  </si>
  <si>
    <t>Osaka Bay</t>
  </si>
  <si>
    <t>Osaka Group</t>
  </si>
  <si>
    <t>Plio-Pleistocene</t>
  </si>
  <si>
    <t>Case study looking at storage opportunity in Osaka Bay. Seismic &amp; gravity data across bay area. Only 1 deep borehole located outside study area. Additional 6 shallow boreholes outside study area. Note: 2013 study  (Tosha et al) simulated CO2 injection into Plio-Pleistocene sediments but focussed on CO2 microbubble storage: currently considered an unconventional storage solution and not included in the Global Catalogue.</t>
  </si>
  <si>
    <t>None available. Simple volumetric resource calculation only.</t>
  </si>
  <si>
    <t>Study area based on area deeper than 800m where sealing formation is present. Caprock: Pleistocene marine clays and interbedded sands, silts, clays. Aquifer area bounded by active Osaka Bay Fault to west. No details of fault discussed but simple graphic suggests continuation to near-surface.</t>
  </si>
  <si>
    <t>No well within study area. Study area boundaries outside 200km2 'discovery' areal extent. No flow test. Limited evaluation.</t>
  </si>
  <si>
    <t xml:space="preserve">Takahashi et al 2008. </t>
  </si>
  <si>
    <t>Tokyo</t>
  </si>
  <si>
    <t>Tokyo Bay - Regional</t>
  </si>
  <si>
    <t>Umegase</t>
  </si>
  <si>
    <t>H. Yamamoto, K. Zhang, K. Karasaki, A. Marui, H. Uehara and N. Nishikawa, “Large-scale numerical simulation of CO2 geologic storage and its impact on regional groundwater flow: A hypothetical case study at Tokyo Bay, Japan,” Energy Procedia, vol. 1, pp. 1871-1878, 2009.</t>
  </si>
  <si>
    <t>Hypothetical study examining far field impact of large scale CO2 injection in Tokyo Bay (Kanto Plain) area. Looking at CO2 migration and impact on regional groundwater system. Data inputs from 'few dozen' (17 shown on map) deep boreholes and seismic surveys. Model run on Japan's 'Earth Simulator' supercomputer. Model includes CO2 reservoir up to surface.</t>
  </si>
  <si>
    <t>Large regional model (10 million grid blocks). 60kmx70km area. Hydraulically open lateral and top boundaries.  CO2 injection into mid-lower Kazusa Group sands and gravels. Injection into sediments under Tokyo Bay. Model: 10 injection wells. Annual rate: 1 Mt CO2/year/well. Total annual rate: 10 Mt/year. Simulated injection period: 100 years.</t>
  </si>
  <si>
    <t>The sand (Umegase Fm) and gravel-rich (Higashi-Higasa Fm) sediments (CO2 injection reservoir) are overlain by mud-dominated sediments of Kokumoto Fm (upper Kazusa Group) and the Shimosa Group. Weak hydraulic communication reported between Kazusa and Shimosa Group sediments. No overlap of CO2 plumes after 100 years injection. Seal permeability showed greatest impact on pressure build-up. Shallow layer build-up pressure observed in onshore urban areas. Increased groundwater discharge observed by model (up to 20mm/year).</t>
  </si>
  <si>
    <t>Assessment based on large-scale regional model for the Undiscovered Sequence Play. Base case modeled value used in assessment. Note issues with containment indicate significant technical work will be required to refine this figure. Potential for pressure space interference with modelled area of Tokyo Bay: Boso Peninsula site. Model does not indicate CO2 plume interference.</t>
  </si>
  <si>
    <t>Numerical simulation of hypothetical model.</t>
  </si>
  <si>
    <t>Offshore Toyama</t>
  </si>
  <si>
    <t>Malaysia</t>
  </si>
  <si>
    <t>East of peninsular Malaysia</t>
  </si>
  <si>
    <t>Malay basin (D Group)</t>
  </si>
  <si>
    <t>Malay</t>
  </si>
  <si>
    <t>D Group</t>
  </si>
  <si>
    <t xml:space="preserve">Not Specified </t>
  </si>
  <si>
    <t>Undiscovered: inaccessible. This site was picked specifically for storage of the free CO2 from D group gas reservoir - therefore it may not be the most suitable for storing CO2 from anthropogenic sources.  If  data becomes available from exploration wells in the area, then a portion of this site can be upgraded to discovered, Inaccessible. If Malaysia develops new regulations and policies to allow CCS then this will be easily promoted to sequence play. There is good reservoir data, but no mention of where it came from I.e. wells, also no mention of any seismic data.</t>
  </si>
  <si>
    <t>Malay Basin (H Group)</t>
  </si>
  <si>
    <t>H Group</t>
  </si>
  <si>
    <t>Undiscovered: inaccessible. This site was picked specifically for storage of the free CO2 from K group gas reservoir - therefore it may not be the most suitable for storing CO2 from anthropogenic sources.  If  data becomes available from exploration wells in the area, then a portion of this site can be upgraded to discovered, Inaccessible. If Malaysia develops new regulations and policies to allow CCS then this will be easily promoted to sequence play. There is good reservoir data, but no mention of where it came from I.e. wells, also no mention of any seismic data.</t>
  </si>
  <si>
    <t>Malay Basin (K Group)</t>
  </si>
  <si>
    <t>K Group</t>
  </si>
  <si>
    <t>Undiscovered: inaccessible. This site was picked specifically for storage of the free CO2 from H group gas reservoir - therefore it may not be the most suitable for storing CO2 from anthropogenic sources.  If  data becomes available from exploration wells in the area, then a portion of this site can be upgraded to discovered, Inaccessible. If Malaysia develops new regulations and policies to allow CCS then this will be easily promoted to sequence play. There is good reservoir data, but no mention of where it came from I.e. wells, also no mention of any seismic data.</t>
  </si>
  <si>
    <t>Tangga Barat</t>
  </si>
  <si>
    <t>E Group</t>
  </si>
  <si>
    <t>The fields that combine to create the Tangga Barat cluster were discovered in 1980 and 1993. The cluster is currently owned by Petronas Carigali and has an estimated recoverable natural gas resource of 1070 billion cubic feet, however it has never been developed as the CO2 content (34%) is higher than Malaysia's gas sales specification.</t>
  </si>
  <si>
    <t xml:space="preserve">The development is proposed to have 4 platforms with one central platform to be used for processing, including CO2 removal using a membrane. The injection site is located ~20km from the processing platform and the reservoir (group E) runs below the Tangga Barat gas field. No discussion on potential injection well sites. </t>
  </si>
  <si>
    <t xml:space="preserve">No discussion. Only mentioned that the reservoir rock was deposited in an estuarine environment - so lateral continuity will be low, no mention of the sealing formation. </t>
  </si>
  <si>
    <t>Undiscovered: inaccessible. This site was picked specifically for storage of the free CO2 from Tangga Barat gas reservoir - therefore it may not be the most suitable for storing CO2 from anthropogenic sources.  If  data becomes available from exploration wells in the area , then a portion of this site can be upgraded to discovered, Inaccessible. If Malaysia develops new regulations and policies to allow CCS then this will be easily promoted to sequence play. There is good reservoir data, but no mention of where it came from I.e. wells, also no mention of any seismic data, but it is assumed that this does exist as the cluster has showed potential for gas production since 1980.  Storage resource represents amount of CO2 stored over 15 year life of project.</t>
  </si>
  <si>
    <t>North of Sarawak</t>
  </si>
  <si>
    <t>Central Luconia Province.</t>
  </si>
  <si>
    <t>Cycle IV &amp; V (Limestone &amp; sandstone)</t>
  </si>
  <si>
    <t>Middle to late Miocene</t>
  </si>
  <si>
    <t>R. Junin and D. Z. Abang Hasbollah, “CO2 Storage Capacity Assessment of Deep saline Aquifers in Malaysia,” in World Academy of Science, Engineering and Technology, WASET 2016, London, U.K., 2016.</t>
  </si>
  <si>
    <t xml:space="preserve">This study builds on the work of Junin et al. (2016), where 14 sedimentary basins were filtered down to just two for which storage resource was calculated. This paper gives a more in-depth study of the central Lucania province, which was ranked second place by Junin et al. 2016 for it's geological qualities. </t>
  </si>
  <si>
    <t>Hasbollah gives potential injection well sites and depths to intercept key storage structures in a cross section (fig. 2). No project defined, but it is noted that any projected project would store CO2 emissions from nearby Sarawak.</t>
  </si>
  <si>
    <t xml:space="preserve">Cycle VII sediment consists of shale and sand and according Hasbollah, will act as a lateral seal for the area. The area has a limited number of faults, however it is noted that these faults have sealing properties and may cause compartmentalization which obstruct lateral migration and therefore the storage volume. </t>
  </si>
  <si>
    <t>Undiscovered: inaccessible. If more data becomes available for wells in shown in cross section figure, then a portion of this site can be upgraded to discovered, Inaccessible. If Malaysia develops new regulations and policies to allow CCS then this will be easily promoted to sequence play. there is porosity, permeability and formation thickness data etc even a cross section showing detailed strata, but there is no mention of any well data or seismic surveys for this basin.  The storage resource is given as one number but involves two separate lithologies (limestone and sandstone) assumed that CO2 will migrate in a consistent manner regardless of lithology. The two values for Storage resource were reached by using different calculation methods: CSLF (2007) - high value, and US-DOE (2012) - low value.</t>
  </si>
  <si>
    <t>Offshore peninsular Malaysia</t>
  </si>
  <si>
    <t>Malay Basin</t>
  </si>
  <si>
    <t>Group D &amp; E</t>
  </si>
  <si>
    <t xml:space="preserve">This paper realises that Malaysia is one of SE Asia's Largest oil and gas producers, and also one of the largest CO2 emitters. Malaysia's CO2 emissions have been increasing by 1.9% a year, from 20.9 Gt in 1990 to 32.3 Gt in 2013, and it is expected to keep rising as Malaysia undergoes rapid economic development. Malaysia has a good selection of sedimentary basins, some of which are already used for oil and gas production, therefore using these for CO2 geological storage could help Malaysia decrease their emissions. In this paper 14 papers are assessed and put through a spreadsheet which assesses them on several different qualities needed for CO2 storage. From this process only 2 basins are chosen for detailed assessment of storage resource. </t>
  </si>
  <si>
    <t xml:space="preserve"> Figure 7 gives injection sequence and shows potential injection wells (existing exploration wells) no aerial location is given for these wells however. It is noted that the area has existing infrastructure that is used for oil and gas but there is no mention of a potential source of CO2 for this storage site. It is also noted that there is a large amount of relevant data on the area, but no mention on specifically what type of data (well logs or seismic data), more of this may be needed before this storage resource can be developed. </t>
  </si>
  <si>
    <t>The late Miocene unconformity is the proposed lateral sealing formation, there is no mention of its lithology. From the Cross section this unconformity looks to be erosional and causes the group E &amp; D reservoir to pinch off to the SW and NE as shown in cross section, this may provide a degree lateral confinement. There is a large number of faults that are present throughout the basin, some cut through the unconformity. It is said that most of these have sealing properties, however there is no mention of the compartmentalization that these would cause in the reservoir - this would drastically inhibit lateral migration of CO2.</t>
  </si>
  <si>
    <t>Undiscovered: inaccessible. If more data becomes available for wells in Fig. 7, then a portion of this site can be upgraded to discovered, Inaccessible. If Malaysia develops new regulations and policies to allow CCS then this will be easily promoted to sequence play.   It is mentioned that lateral sealing formation and all infrastructure in the area is excluded from the overpressure zone. It is noted that this site has a warm geothermal gradient, and with a storage depth of 1000-1500 m the CO2 will be in dense phase, however the depth for dense phase co2 in a reservoir with normal geothermal gradient is 800m. Will 200m more be enough for CO2 to be in dense phase in this warm reservoir.</t>
  </si>
  <si>
    <t>Mexico</t>
  </si>
  <si>
    <t>Burgos</t>
  </si>
  <si>
    <t>Burgos B1A</t>
  </si>
  <si>
    <t>Sabinas - Rio Grande</t>
  </si>
  <si>
    <t>Natural Resources Canada, Mexican Ministry of Energy, U.S. Department of Energy, “The North American Carbon Storage Atlas,” 2012.</t>
  </si>
  <si>
    <t>Data for this site was taken from the North American Carbon Storage Atlas (NASCA, 2012) and Mota (2016). The Atlas was developed by Natural Resources Canada (NRCan), the Mexican Ministry of Energy (SENER), and the U.S. Department of Energy (USDOE) in 2012. It provides a high level overview of the CO2 emission sources and the CO2 storage potential of all basins in North America.</t>
  </si>
  <si>
    <t>Theoretical pore volume substitution using the CSLF equation for saline aquifers. Mineral and dissolution trapping not considered. A storage efficiency was not used in the calculation of potential storage resource.</t>
  </si>
  <si>
    <t>Information was gathered from both Mota (2016) and NASCA (2012), which reproduce the same storage resource estimates for 9 basins in Mexico. It is evident that well data was used in the evaluation of potential storage resource, however, limited information available on the dataset available and the data quality. Sites were defined at favourable areas within each basin and a theoretical storage resource was calculated through the CSLF formula for saline aquifer storage, which does not utilise a storage efficiency factor. This results in very high estimations of storage resource, which the authors recognise as a maximum value. This site is classified as DISCOVERED due to the proximity of the site to existing wells and INACCESSIBLE, as no CCS policy has been developed in Mexico to allow the storage resource to be developed. Should this change, the maturity of the site could increase.</t>
  </si>
  <si>
    <t>Burgos B1B</t>
  </si>
  <si>
    <t>Burgos B1C</t>
  </si>
  <si>
    <t>Burgos B1D</t>
  </si>
  <si>
    <t>Burgos B1E</t>
  </si>
  <si>
    <t>Burgos B2A</t>
  </si>
  <si>
    <t>Burgos B2B</t>
  </si>
  <si>
    <t>Burgos B2C</t>
  </si>
  <si>
    <t>Burgos B2D</t>
  </si>
  <si>
    <t>Burgos B2E</t>
  </si>
  <si>
    <t>Burgos B3A</t>
  </si>
  <si>
    <t>Burgos B3B</t>
  </si>
  <si>
    <t>Burgos B3C</t>
  </si>
  <si>
    <t>Central</t>
  </si>
  <si>
    <t>Central C1</t>
  </si>
  <si>
    <t>Chiapas</t>
  </si>
  <si>
    <t>Chiapas SCH1</t>
  </si>
  <si>
    <t>Chiapas SCH2</t>
  </si>
  <si>
    <t>Chiapas SCH3A</t>
  </si>
  <si>
    <t>Chiapas SCH3B</t>
  </si>
  <si>
    <t>Chiapas SCH3C</t>
  </si>
  <si>
    <t>Chihuahua</t>
  </si>
  <si>
    <t>Chihuahua CHIH1A</t>
  </si>
  <si>
    <t>Pedregosa - Chihuahua</t>
  </si>
  <si>
    <t>Information was gathered from both Mota (2016) and NASCA (2012), which reproduce the same storage resource estimates for 9 basins in Mexico. It is evident that well data was used in the evaluation of potential storage resource, however, limited information available on the dataset available and the data quality. Sites were defined at favourable areas within each basin and a theoretical storage resource was calculated through the CSLF formula for saline aquifer storage, which does not utilise a storage efficiency factor. This results in very high estimations of storage resource, which the authors recognise as a maximum value. This site is classified as UNDISCOVERED due to the distance of the site to existing wells and INACCESSIBLE, as no CCS policy has been developed in Mexico to allow the storage resource to be developed. Should this change, the maturity of the site could increase.</t>
  </si>
  <si>
    <t>Chihuahua CHIH1B</t>
  </si>
  <si>
    <t>Chihuahua CHIH2A</t>
  </si>
  <si>
    <t>Chihuahua CHIH5A</t>
  </si>
  <si>
    <t>Chihuahua CHIH5B</t>
  </si>
  <si>
    <t>Coahuila</t>
  </si>
  <si>
    <t>Coahuila COAH1A</t>
  </si>
  <si>
    <t>South Texas Salt Dome</t>
  </si>
  <si>
    <t>Coahuila COAH2A</t>
  </si>
  <si>
    <t>Coahuila COAH2B</t>
  </si>
  <si>
    <t>Coahuila COAH3A</t>
  </si>
  <si>
    <t>Coahuila COAH4A</t>
  </si>
  <si>
    <t>Coahuila COAH4B</t>
  </si>
  <si>
    <t>Coahuila COAH4C</t>
  </si>
  <si>
    <t>Coahuila COAH6</t>
  </si>
  <si>
    <t>Coahuila COAH8</t>
  </si>
  <si>
    <t>Coahuila COAH9</t>
  </si>
  <si>
    <t>Sureste</t>
  </si>
  <si>
    <t>Sureste A</t>
  </si>
  <si>
    <t>Salinas - Sureste</t>
  </si>
  <si>
    <t>Sureste SE1</t>
  </si>
  <si>
    <t>Sureste SE2</t>
  </si>
  <si>
    <t>Sureste SE3 A</t>
  </si>
  <si>
    <t>Sureste SE3 B</t>
  </si>
  <si>
    <t>Sureste SE4 A</t>
  </si>
  <si>
    <t>Sureste SE4 B</t>
  </si>
  <si>
    <t>Sureste SE5 A</t>
  </si>
  <si>
    <t>Sureste SE5 B</t>
  </si>
  <si>
    <t>Sureste SE5 C</t>
  </si>
  <si>
    <t>Sureste SE5 D</t>
  </si>
  <si>
    <t>Sureste SE5 E</t>
  </si>
  <si>
    <t>Tampico-Misantla</t>
  </si>
  <si>
    <t>Tampico-Misantla TM1A</t>
  </si>
  <si>
    <t>Tampico</t>
  </si>
  <si>
    <t>Tampico-Misantla TM1B</t>
  </si>
  <si>
    <t>Tampico-Misantla TM2A</t>
  </si>
  <si>
    <t>Tampico-Misantla TM2B</t>
  </si>
  <si>
    <t>Tampico-Misantla TM3</t>
  </si>
  <si>
    <t>Tampico-Misantla TM4</t>
  </si>
  <si>
    <t>Tampico-Misantla TM5A</t>
  </si>
  <si>
    <t>Tampico-Misantla TM5B</t>
  </si>
  <si>
    <t>Veracruz</t>
  </si>
  <si>
    <t>Veracruz V1A</t>
  </si>
  <si>
    <t>Veracruz V1B</t>
  </si>
  <si>
    <t>Veracruz V2A</t>
  </si>
  <si>
    <t>Veracruz V2B</t>
  </si>
  <si>
    <t>Veracruz V3A</t>
  </si>
  <si>
    <t>Veracruz V3B</t>
  </si>
  <si>
    <t>Veracruz V3C</t>
  </si>
  <si>
    <t>Veracruz V3D</t>
  </si>
  <si>
    <t>Veracruz V3E</t>
  </si>
  <si>
    <t>Veracruz V4A</t>
  </si>
  <si>
    <t>Veracruz V4B</t>
  </si>
  <si>
    <t>Veracruz V4C</t>
  </si>
  <si>
    <t>Veracruz V4D</t>
  </si>
  <si>
    <t>Veracruz VAA</t>
  </si>
  <si>
    <t>Veracruz VAB</t>
  </si>
  <si>
    <t>Yucatan</t>
  </si>
  <si>
    <t>Yucatan PY1A</t>
  </si>
  <si>
    <t>Yucatan Platform</t>
  </si>
  <si>
    <t>Yucatan PY1B</t>
  </si>
  <si>
    <t>Yucatan PY1C</t>
  </si>
  <si>
    <t>Yucatan PY1D</t>
  </si>
  <si>
    <t>Yucatan PY1E</t>
  </si>
  <si>
    <t>Yucatan PY3A</t>
  </si>
  <si>
    <t>Yucatan PY3B</t>
  </si>
  <si>
    <t>Norway</t>
  </si>
  <si>
    <t>Barents Sea</t>
  </si>
  <si>
    <t>Barents Sea, Fields in Production</t>
  </si>
  <si>
    <t>West Barents Sea</t>
  </si>
  <si>
    <t>Norwegian Petroleum Directorate. 2014. CO2 Storage Atlas - Norwegian Continental Shelf. NPD.</t>
  </si>
  <si>
    <t>Not specified, assumed structural/stratigraphic.</t>
  </si>
  <si>
    <t>No CoP date provided, as such classified as Discovered Inaccessible storage resource.</t>
  </si>
  <si>
    <t>Bjarmeland Platform</t>
  </si>
  <si>
    <t>Bjarmeland Platform Aquifer, Realgrunnen Subgroup</t>
  </si>
  <si>
    <t>Lower Jurassic</t>
  </si>
  <si>
    <t>P130-Huge area with only 10 wells in place so remains largely undiscovered - small area can be considered as discovered. Permeability range: 5-1000mD.</t>
  </si>
  <si>
    <t>Calculated from pore volume, stated capacity and CO2 density presented in primary source</t>
  </si>
  <si>
    <t>Hammerfest Basin Aquifer</t>
  </si>
  <si>
    <t>Sto, Nordmela and Tubaen Formations</t>
  </si>
  <si>
    <t>Mixture of structural closures and open aquifer storage.</t>
  </si>
  <si>
    <t>P128-Sizable area, but with almost 30 wells covering it so a proportion is discovered. Permeability range from 1-500mD. Stø, Tubaen and Nordmela formations modelled as one.</t>
  </si>
  <si>
    <t>Prospect B</t>
  </si>
  <si>
    <t>Sto Formation</t>
  </si>
  <si>
    <t>Structural trapping.</t>
  </si>
  <si>
    <t>P140 - No simulation model. Structure drilled by water-wet well 7124/4-1S. Well density is sufficient to classify Prospect B as Discovered Development Not Viable. Located in the Bjarmeland Platform.</t>
  </si>
  <si>
    <t>Prospect C</t>
  </si>
  <si>
    <t>Structural trapping. 4-way dip closure.</t>
  </si>
  <si>
    <t>P141. Drilled by 7122/4-1 Brine filled with hydrocarbon shows. Permeability 1-170mD. Located in the Hammerfest Basin.</t>
  </si>
  <si>
    <t>Prospect D</t>
  </si>
  <si>
    <t>P141. Undrilled but not drill ready - no evidence of plans to test. Permeability 1-150mD. Located in the Hammerfest Basin.</t>
  </si>
  <si>
    <t>Prospect E</t>
  </si>
  <si>
    <t>P142. Drilled by 7221/5-3. Brine filled with hydrocarbon shows. Permeability 2-500mD. Located in the Hammerfest Basin.</t>
  </si>
  <si>
    <t>Prospect F</t>
  </si>
  <si>
    <t>P142. Undrilled but not drill ready - no evidence of plans to test. Permeability 2-550mD. Located in the Hammerfest Basin.</t>
  </si>
  <si>
    <t>Prospect G</t>
  </si>
  <si>
    <t>Structural trapping. Large structural closure with several accumulations.</t>
  </si>
  <si>
    <t>P142. Drilled by 7120/12-3 and 7210/12-5,1 &amp; 2. Permeability 1-300mD. Located in the Hammerfest Basin.</t>
  </si>
  <si>
    <t>Prospect H</t>
  </si>
  <si>
    <t>Structural trapping. Complex fault block.</t>
  </si>
  <si>
    <t>P142 - Drilled by 7119/12-2, 7119/12-4 and 7120/10-1. Permeability 1-600mD. Two dry wells and one with shows only. Located in the Hammerfest Basin.</t>
  </si>
  <si>
    <t>Prospect I</t>
  </si>
  <si>
    <t>Fully Confined (closed box)</t>
  </si>
  <si>
    <t>Structural trapping. Structure mapped by 3D seismic.</t>
  </si>
  <si>
    <t xml:space="preserve">P143. Drilled by 7219/9-1. Located in the Bjørnøyrenna Fault Complex. </t>
  </si>
  <si>
    <t>Snohvit Central (Abandoned)</t>
  </si>
  <si>
    <t>Tubaen Formation</t>
  </si>
  <si>
    <t>CO2 storage in the Snøhvit field  started in 2008 in the Tubaen Fm. Injection until 2011 when the pressure built up faster than expected and injection ceased to prevent caprock breach. CO2 is separated from natural gas produced in the Albatross and Askeladd fields.</t>
  </si>
  <si>
    <t>Fault block, structural closure.</t>
  </si>
  <si>
    <t xml:space="preserve">Injection ceased due to failing injectivity and reservoir pressure increase.  </t>
  </si>
  <si>
    <t>Snohvit Central Sto and 2800m Aquifer</t>
  </si>
  <si>
    <t>Mid Jurassic</t>
  </si>
  <si>
    <t>Norwegian Petroleum Directorate. 2014. CO2 Storage Atlas - Norwegian Continental Shelf. NPD.  Cycle 5 citation used to update  injected CO2:  Gao, X., &amp; Krevor, S. (2024). The London Register of Subsurface CO₂ Storage: 2024 Annual Report. Imperial College London. https://imperialcollegelondon.github.io/The-London-Register-of-Subsurface-CO2-Storage/</t>
  </si>
  <si>
    <t>Project assesses injection into the Sto, Nordmela and Tubaen formations above the depth of 2800m. Permeability decreases significantly at depths greater than 2800m. The potential for a new CO2 injector at Snøhvit, downdip from the current injector was assessed (P50 volume), to minimise the likelihood of CO2 invasion during natural gas production.</t>
  </si>
  <si>
    <t>One injection well. Not clear if the same well will be used for future development.</t>
  </si>
  <si>
    <t>P136-Key wells are 7121/4-1,2 and 7120/6-1. The mid-case 'On Injection' represents the proposed new well location, accessing the Tubaen Formation which is thought to be better hydraulically connected than the Stø. Mid-case 'Pending' represents the storage capacity down to 2800m, which is the depth until which a good porosity is maintained.</t>
  </si>
  <si>
    <t>North Sea</t>
  </si>
  <si>
    <t>Bryne and Sandnes Aquifer, Southern Parts</t>
  </si>
  <si>
    <t>Northern North Sea</t>
  </si>
  <si>
    <t>Bryne and Sandnes Formations</t>
  </si>
  <si>
    <t xml:space="preserve">Difficult well count. </t>
  </si>
  <si>
    <t>Bryne/Sandnes1 Prospect</t>
  </si>
  <si>
    <t>Structural trapping, salt structure</t>
  </si>
  <si>
    <t>Undrilled but 10/8-1 is very close - P72-Undrilled but identified structure - no stated plans for testing it</t>
  </si>
  <si>
    <t>Bryne/Sandnes2 Prospect</t>
  </si>
  <si>
    <t>Termed Prospect in Atlas. Discovered by well 9/12-1?</t>
  </si>
  <si>
    <t>Farsund Basin</t>
  </si>
  <si>
    <t>Skagerrak - Kattegat</t>
  </si>
  <si>
    <t>Basin bound to the south by a basement high.</t>
  </si>
  <si>
    <t>Fiskebank Formation Aquifer (The Siri Trend)</t>
  </si>
  <si>
    <t>Norwegian - Danish</t>
  </si>
  <si>
    <t>Fiskebank Formation</t>
  </si>
  <si>
    <t>Palaeocene</t>
  </si>
  <si>
    <t>Single well only. Atlas notes that there is insufficient evidence to prove if the reservoir is capable of being used as a CO2 reservoir.</t>
  </si>
  <si>
    <t>Gassum Formation Aquifer</t>
  </si>
  <si>
    <t>Gassum Formation</t>
  </si>
  <si>
    <t>Atlas notes that more information is required to define the storage potential of the Gassum Formation. As such, classified as undiscovered.</t>
  </si>
  <si>
    <t>Hugin East Aquifer</t>
  </si>
  <si>
    <t>Hugin East Formation</t>
  </si>
  <si>
    <t>No model. One well drilled in the aquifer. Mapped on 2D seismic. Porosity assumed similar to the Sandnes Formation. Insufficient data available, as such classified as undiscovered sequence resource.</t>
  </si>
  <si>
    <t>Johansen and Cook Aquifer</t>
  </si>
  <si>
    <t>Johansen and Cook Formations</t>
  </si>
  <si>
    <t>Discovered resources but CO2 injection is likely to interact with the Troll prohibited area. As such, classified as Inaccessible. This is the storage site that has recently been tested by the 31/05-07 Northern Lights Eos well (Johansen Formation target).</t>
  </si>
  <si>
    <t>Aurora CCS Site</t>
  </si>
  <si>
    <t>Cycle 4 updates, Northern Lights project approved for 1.5Mt injection per year. Ready to receive end 2024.</t>
  </si>
  <si>
    <t xml:space="preserve"> The area south of Troll has three wells and is therefore partly discovered.   This area is under consideration by Northern Lights</t>
  </si>
  <si>
    <t>KE</t>
  </si>
  <si>
    <t xml:space="preserve">Norwegian North Sea, Abandoned Oil &amp; Gas Fields </t>
  </si>
  <si>
    <t>Simulation model completed for the Frigg Field. Results included within the group but no details provided of the model.</t>
  </si>
  <si>
    <t>Not specified, assumed structural/stratigraphic. Some fields have chalk reservoirs.</t>
  </si>
  <si>
    <t>Capacity from 12 abandoned hydrocarbon fields (as of 2013). Storage capacity calculated via the replacement methodology. Resource classified as Discovered Development Not Viable as no active appraisal is currently being undertaken.</t>
  </si>
  <si>
    <t>Norwegian North Sea, Oil &amp; Gas Fields closed by 2030</t>
  </si>
  <si>
    <t>Oil &amp; Gas Fields closed by 2030</t>
  </si>
  <si>
    <t>Moderate overpressure in Jurassic intervals. Chalk Group not evaluated for CO2 storage due to low permeabilities. Storage capacity calculated via the replacement methodology. Resource classified as Discovered Development Not Viable as no active appraisal is currently being undertaken.</t>
  </si>
  <si>
    <t>PARTIAL</t>
  </si>
  <si>
    <t>Norwegian North Sea, Oil &amp; Gas Fields closed by 2050</t>
  </si>
  <si>
    <t>Sleipner A Gas Platform - Utsira</t>
  </si>
  <si>
    <t>Utsira and Skade Formations</t>
  </si>
  <si>
    <t>Thibeau, S., Seldon, L., Masserano, F., Canal Vila, J., Ringrose, P. 2018. “Revisiting the Utsira Saline Aquifer CO2 Storage Resources using the SRMS Classification Framework.” 14th Greenhouse Gas Control Technologies Conference. Melbourne.  Cycle 5 citation used to update  injected CO2:  Gao, X., &amp; Krevor, S. (2024). The London Register of Subsurface CO₂ Storage: 2024 Annual Report. Imperial College London. https://imperialcollegelondon.github.io/The-London-Register-of-Subsurface-CO2-Storage/</t>
  </si>
  <si>
    <t>The Sleipner gas-field development project has been injecting and storing CO2 separated from natural gas into the aquifer since 1996.</t>
  </si>
  <si>
    <t>1 Mt per year has been injected at the Sleipner site since 1996.</t>
  </si>
  <si>
    <t>Mixture of structural closures and open aquifer storage. Intra-reservoir shales have helped to improve the storage efficiency.</t>
  </si>
  <si>
    <t xml:space="preserve">Sleipner injection of 17Mt from publication. At present, the current bibliography excludes any details of the remaining storage resource at the Sleipner A Platform area.  Nevertheless, the project continues to inject and therefore such storage resource must exist.  As a result of this situation, an assumption has been made that an additional 20Mt is approved for development with a plan to use 10Mt of this. Further definition of this resource level is required urgently for such a mature and industry leading project. </t>
  </si>
  <si>
    <t>Calculated from historical monitoring observations.</t>
  </si>
  <si>
    <t>Sognefjord Delta West</t>
  </si>
  <si>
    <t>Krossfjord, Fensfjord and Sognefjord Formations</t>
  </si>
  <si>
    <t>Upper Jurassic</t>
  </si>
  <si>
    <t>The Troll Aquifer - Total - East P62. The western part of the delta has access restrictions due to hydrocarbon fields. This is the storage site that has recently been tested by the 31/05-07 Northern Lights Eos well (Johansen Formation target).</t>
  </si>
  <si>
    <t>Statfjord Formation Aquifer</t>
  </si>
  <si>
    <t>Statfjord Formation</t>
  </si>
  <si>
    <t>Difficult well count. Few wells drilled in the Stord Basin. Thickness, properties and distribution not well known, as such classified as undiscovered. Porosity-depth trend of the Bryne Formation applied.  Theoretical storage capacity calculated.</t>
  </si>
  <si>
    <t>Stord Basin</t>
  </si>
  <si>
    <t>Jurassic Delta</t>
  </si>
  <si>
    <t>Simulations run with 1, 3 and 5 injectors in high permeability areas. 1 water producer in the east. 50 years of injection, 10000 years of monitoring.</t>
  </si>
  <si>
    <t>Saline aquifer - long distance migration trapping.</t>
  </si>
  <si>
    <t>Permeability range from 0.14mD in bottom layer, 199mD in top layer.</t>
  </si>
  <si>
    <t>Stord Basin Mounds</t>
  </si>
  <si>
    <t>Seismic mapping suggests structural or stratigraphic trapping.</t>
  </si>
  <si>
    <t>Prospect with simulation model - P57. Sands not proven in this interval and few wells in the area.</t>
  </si>
  <si>
    <t>Trondelag Platform</t>
  </si>
  <si>
    <t>Voring</t>
  </si>
  <si>
    <t>Garn Formation</t>
  </si>
  <si>
    <t>Lothe, A. E., Emmel, B., Grøver, A., Bergmo, P. E. 2014. “CO2 storage and modelling and capacity estimation for the Trøndelag Platform, offshore Norway - using a basin modelling approach.” Energy Procedia 3648-3657.</t>
  </si>
  <si>
    <t>Research project to review the use of the basin modelling software SEMI to screen large areas for potential structural CO2 storage sites. The most prospective sites were then modelled using ECLIPSE.</t>
  </si>
  <si>
    <t>38 injection sites were spaced in an even grid (approx. 20km apart) across the platform. Simulation run until CO2 leaked from structural closures and no longer considered as 'safe' storage. Storage capacity in the simulation model does not appear to be pressure controlled.</t>
  </si>
  <si>
    <t>Predominantly structural trapping. 35% dissolution trapping after 3000 years.</t>
  </si>
  <si>
    <t>Permeability range from 0.5-10D based on log-linear relation to porosity. Porosity range from 15-41% dependent on depth. Thermal gradient set at 40degC/km. High-case 5.2 Gt of CO2 storage capacity is available if the faults are assumed to be sealing, and mid-case 2Gt modelled if that faults are not sealing. Well count not specified so cannot be classified as a discovered resource.</t>
  </si>
  <si>
    <t>Utsira &amp; Skade Aquifer</t>
  </si>
  <si>
    <t>Risk of double counting with entry 'Utsira Aquifer 2', however as they have different SRMS maturity classifications they cannot be adjusted. Theoretical storage assessment. High well count, therefore classified as a Discovered resource.</t>
  </si>
  <si>
    <t>Utsira &amp; Skade Prospect</t>
  </si>
  <si>
    <t>Four horizontal wells injecting over 50 years with a BHP change of 10 bars and no water production.</t>
  </si>
  <si>
    <t xml:space="preserve">After 8000 years, the dissolved component is 70%, residual trapping is less than 1% and mobile part is 29%. The residual saturation is set to 0.02. Mineral trapping not considered in the simulation. </t>
  </si>
  <si>
    <t>Simulation model of 1600km2 in the southern Utsira Formation, just north of the Sleipner injection site.</t>
  </si>
  <si>
    <t>Estimated from historical observations.</t>
  </si>
  <si>
    <t>Utsira Aquifer 2</t>
  </si>
  <si>
    <t>Utsira Formation</t>
  </si>
  <si>
    <t>Pliocene</t>
  </si>
  <si>
    <t>Nilsen, H. M., Lie, K-A., Andersen, O. 2015. “Analysis of CO2 trapping capacities and long-term migration for geological formations in the Norwegian North Sea using MRST-co2lab.” Computers &amp; Geosciences 15-26.</t>
  </si>
  <si>
    <t>Research project investigating an upscaled injection operation into the Utsira Formation (Sleipner area) at higher injection rates and well count, using publicly available data from the Norwegian CO2 Storage Atlas.</t>
  </si>
  <si>
    <t xml:space="preserve">Injection rate of 10Mt/y, for a period of 50 years. A period of 3000 years following injection modelled migration and trapping. 10 wells located on highs within the Utsira Formation (optimised and non-optimised). </t>
  </si>
  <si>
    <t>Structural, residual and subscale trapping. Dissolution trapping not considered.</t>
  </si>
  <si>
    <t>The 'High' is the optimised development plan and the 'Mid' is the non-optimised. Unknown how many wells lie within the study area, however optimal locations were selected for injection following simulation modelling, therefore is classified as an Undiscovered Lead resource.</t>
  </si>
  <si>
    <t>Norwegian Sea</t>
  </si>
  <si>
    <t>Ellingrasa Graben, Structure E</t>
  </si>
  <si>
    <t>Are-Tilje and Iie-Garn Formations</t>
  </si>
  <si>
    <t>Structure has no well control within closure and is not "drill ready" just yet</t>
  </si>
  <si>
    <t>Froan Basin - Garn</t>
  </si>
  <si>
    <t>Garn, Not and Ile Formations</t>
  </si>
  <si>
    <t>400 Mt CO2 stored by injection through 4 wells. 4Mtpa injection rate over 50 years. Model run for 10000 years in total.</t>
  </si>
  <si>
    <t>Long distance migration trapping in a saline aquifer. Residual and solution trapping considered within the model.</t>
  </si>
  <si>
    <t xml:space="preserve">Simulation Model -The western area is well explored, but large tracts in the east have no well data and remain play status. Model covers approx. 10% of basin and the results were upscaled to get a basin-wide storage capacity. </t>
  </si>
  <si>
    <t>Froan Basin - Tilje</t>
  </si>
  <si>
    <t>Tilje and Are Formations</t>
  </si>
  <si>
    <t>Saline aquifer, closed system</t>
  </si>
  <si>
    <t>P102-The western area is well explored, but large tracts in the east and north have no well data and remain play status</t>
  </si>
  <si>
    <t>Nordland Ridge Structure D</t>
  </si>
  <si>
    <t>Are Formation</t>
  </si>
  <si>
    <t>Injection in one (?) well of 2mill SM3 CO2/day for 28 years with an acceptable pressure increase. Several models run.</t>
  </si>
  <si>
    <t>Structural trapping is the predominant mechanism. Dissolution and residual trapping also considered in the model.</t>
  </si>
  <si>
    <t>The structure has been discovered by 6507/6-1 - but the structure is very large and cannot be considered 100% discovered.</t>
  </si>
  <si>
    <t>Norwegian Sea, Oil &amp; Gas Fields closed by 2030</t>
  </si>
  <si>
    <t>Storage capacity calculated via the replacement methodology. Resource classified as Discovered Development Not Viable as no active appraisal is currently being undertaken.</t>
  </si>
  <si>
    <t>Norwegian Sea, Oil &amp; Gas Fields closed by 2050</t>
  </si>
  <si>
    <t>Pakistan</t>
  </si>
  <si>
    <t>35 Small Gas fields (&lt;10Mt storage capacity)</t>
  </si>
  <si>
    <t>56 Small Oilfields (&lt;5Mt storage capacity)</t>
  </si>
  <si>
    <t>Balochistan Basin</t>
  </si>
  <si>
    <t>Baluchistan - Urgun Foldbelt</t>
  </si>
  <si>
    <t>Dakhni</t>
  </si>
  <si>
    <t>Dhodak</t>
  </si>
  <si>
    <t>Indus Basin</t>
  </si>
  <si>
    <t>No evaluation was presented for the Indus Basin. While the evaluator recognises good potential in the Indus Basin, and proven hydrocarbon fields, many of the aquifers in the basin are used for agriculture so note a potential conflict of interest.</t>
  </si>
  <si>
    <t>Kadanwari</t>
  </si>
  <si>
    <t>Kandhkot</t>
  </si>
  <si>
    <t>Khairpur</t>
  </si>
  <si>
    <t>Loti</t>
  </si>
  <si>
    <t>Mari</t>
  </si>
  <si>
    <t>Nandpur</t>
  </si>
  <si>
    <t>Pirkoh</t>
  </si>
  <si>
    <t>Qadirpur</t>
  </si>
  <si>
    <t>Ratana</t>
  </si>
  <si>
    <t>Sui</t>
  </si>
  <si>
    <t>Uch</t>
  </si>
  <si>
    <t>South Korea</t>
  </si>
  <si>
    <t>Gangwon-do</t>
  </si>
  <si>
    <t>Bukpyeong Basin (Onshore)</t>
  </si>
  <si>
    <t>A.-R. Kim, G.-C. Cho and T.-H. Kwon, “Site characterization and geotechnical aspects on geological storage of CO2 in Korea,” Geosciences Journal, vol. 18, no. 2, pp. 167-179, 2014.</t>
  </si>
  <si>
    <t xml:space="preserve">Resource estimate taken from Kim et al 2011 (and re-published in a table in Kim et al 2013; 2014). Original source reference is in Korean but indicates resource derived from 3D modelling and thermal-hydrological simulation. </t>
  </si>
  <si>
    <t>No details available</t>
  </si>
  <si>
    <t>Assessed resource is assigned an Undiscovered Basin Play maturity, but placed in Inaccessible due to lack of CCS-specific regulatory system. Re-assessment may increase commercial maturity if original dataset/publication becomes available.</t>
  </si>
  <si>
    <t>No details available. Publication suggests some simulation work undertaken (in Korean)</t>
  </si>
  <si>
    <t>Gyeongsangbuk-do</t>
  </si>
  <si>
    <t xml:space="preserve">Gyeongsang Basin: Hasandong Formation (Onshore) </t>
  </si>
  <si>
    <t>Hasandong Formation</t>
  </si>
  <si>
    <t>K. Egawa, S. Hong, H. Lee, T. Choi, M. Lee, J. Kang, K. Yoo, J. Kim, Y. Lee, J. Kihm and J. Kim, “Preliminary evaluation of geological storage capacity of carbon dioxide in sandstones of the Sindong Group, Gyeongsang Basin (Cretaceous).,” Journal of the Geological Society of Korea, vol. 45, pp. 463-472, 2009.</t>
  </si>
  <si>
    <t>Limited details. Published literature in Korean. Field-based study of sandstones of Sindong Group (separating channel sands out from gross section for resource calculations). Resource calculations based on 3 study sites: Gunwi, Goryeong &amp; Jinju areas. Very high level storage resource estimate based on field descriptions, mapping and porosity measurements.</t>
  </si>
  <si>
    <t>No details provided but thickening mudstone sections overlie the target sandstones section of the  Sindong Group.</t>
  </si>
  <si>
    <t xml:space="preserve">Sequence Play (Inaccessible due to lack of regulatory system). Average storage potential in Hasandong Fm: 356 Mt; Resource in channel sands: mid value = 166 Mt. NOTE: combined resource estimates from the 3 separate study areas. </t>
  </si>
  <si>
    <t>NETL 2007</t>
  </si>
  <si>
    <t>Volumetric analysis based on calculation of E(saline) using NETL (2007) approach. Value of Esaline used uncertain (in Korean)</t>
  </si>
  <si>
    <t xml:space="preserve">Gyeongsang Basin: Jinju Formation (Onshore) </t>
  </si>
  <si>
    <t>Jinju Formation</t>
  </si>
  <si>
    <t xml:space="preserve">Sequence Play (Inaccessible due to lack of regulatory system). Average storage potential in Jinju Fm: 301 Mt; Resource in channel sands: mid value = 45 Mt. NOTE: combined resource estimates from the 3 separate study areas. </t>
  </si>
  <si>
    <t>Volumetric analysis based on calculation of E(saline) using NETL (2007) approach. Value of Esaline uncertain (in Korean)</t>
  </si>
  <si>
    <t xml:space="preserve">Gyeongsang Basin: Nakdong Formation (Onshore) </t>
  </si>
  <si>
    <t>Nakdong Formation</t>
  </si>
  <si>
    <t>Limited details available in English language published literature. Field-based study of sandstones of Sindong Group (separating channel sands out from gross section for resource calculations). Resource calculations based on 3 study sites: Gunwi, Goryeong &amp; Jinju areas. Very high level storage resource estimate based on field descriptions, mapping and porosity measurements.</t>
  </si>
  <si>
    <t xml:space="preserve">Sequence Play (Inaccessible due to lack of regulatory system). Average storage potential in Nakdong Fm: 347 Mt; Total resource (channel sands): mid value = 324 Mt. NOTE: combined resource estimates from the 3 separate study areas. </t>
  </si>
  <si>
    <t>Bukpyeong Basin (Offshore)</t>
  </si>
  <si>
    <t>Resource estimate taken from Kim et al 2011 (and re-published in a table in Kim et al 2013; 2014). Original source reference is in Korean but indicates resource derived from 3D modelling and thermal-hydrological simulation.</t>
  </si>
  <si>
    <t>None available. Original source reference suggests some level of simulation work undertaken (in Korean).</t>
  </si>
  <si>
    <t>Donghae-1</t>
  </si>
  <si>
    <t>B2-B5 layers</t>
  </si>
  <si>
    <t>Gas field closed by 2030</t>
  </si>
  <si>
    <t>Y. C. Park, Y. J. Shinn, Y. S. Lee and B. I. Choi, “Estimation of CO2 Storage Capacity in a Depleted Gas Field on the Korean Continental Shelf.,” in 14th International Conference on Greenhouse Gas Control Technologies, GHGT-14., Melbourne, Australia, 2018.</t>
  </si>
  <si>
    <t>Donghae-1 gas field is located in the in southern Ulleung basin in the East Sea (58km from Ulsan coast). Production between 2004 and end-2016 the field has produced 169 BCF gas and 3.2 MMbbl ultra-light crude. Several adjacent structures also contain small volumes of natural gas. Donghae-2 (50.8 BCF recoverable reserves) started production in 2015. Previous studies appear to over-estimate storage resource for the Donghae-1 field.</t>
  </si>
  <si>
    <t>End of field life unknown but is considered to be 'soon' (2018). Static geological model built using publicly-available data (OGIP in model 10-20% lower than value confirmed by KNOC - operator). Simulation using CMG-GEM. GWC placed at 2489m. Three injection scenarios modeled: 1) 2 injection wells into depleted gas reservoir. 2) 2 wells into undepleted gas reservoir. 3) 3 injection wells into depleted gas reservoir with 1 brine production well. Storage efficiency in Scenario 2 closed system = 1%. Scenario 3: brine production well too proximal to injection well causing early breakthrough.</t>
  </si>
  <si>
    <t>No discussion.</t>
  </si>
  <si>
    <t>Scenario 1 (2 injection wells/depleted reservoir: 20.9 Mt. Scenario 2 (2 injection wells, undepleted reservoir): 3.6 Mt. Scenario 3 (3 injection wells / 1 brine production well): 24.3 Mt. Resource located in same area (different SRMS maturity) as the Ulleung Basin: SW Margin site.</t>
  </si>
  <si>
    <t>Dynamic simulation</t>
  </si>
  <si>
    <t>Jeju Basin</t>
  </si>
  <si>
    <t>Late Oligocene</t>
  </si>
  <si>
    <t>G. Lee, B. Lee, H.-J. Kim, K. Lee and M. Park, “The geological CO2 storage capacity of the Jeju Basin, offshore southern Korea, estimated using the storage efficiency.,” International Journal of Greenhouse Gas Control, pp. 22-29, 2014.</t>
  </si>
  <si>
    <t>Analysis of storage resource in the non-marine sediments of the Jeju Basin, in the northern part of the East China Sea shelf basin to the south of the Korean Peninsula. More than 5000m of Late Cretaceous and younger sediments reported to be present in Jeju basin. Evaluation based on seismic (8200m)and well logs (8 wells). 14 structural traps previously identified in Jeju Basin (Lee et al. 2012). Lee et al 2014 study assumes open system.</t>
  </si>
  <si>
    <t>None available. Open system assumed for storage efficiency parameters.</t>
  </si>
  <si>
    <t>No information provided. Assumption that shallow marine sediments sitting above rift-related non-marine section may form a regional seal.</t>
  </si>
  <si>
    <t>Deterministic approach for resource evaluation using published storage efficiency parameters and a very simplistic sub-division of subsurface section. Resource calculations derived from a series of horizontal layers which cut-across geology and use average values for input into volumetric analyses. NOTE: Kim et al (2014) quotes a EOR-related storage resource of 95,101Mt for the Jeju basin (value taken from   Egawa et al 2009) but in an earlier paper (Kim et al 2013 gives the same value for saline aquifer storage (value taken from MEST 2008 (in Korean)). Care should be taken when using these figures.</t>
  </si>
  <si>
    <t>Volumetric (Gorecki et al 2009)</t>
  </si>
  <si>
    <t>Volumetric analysis based on calculation of E(saline) using NETL (2010) approach. Inputs derived from seismic and well log data. E(saline) parameter values calculated for local conditions: min: 0.2%; mid: 2%, max: 8%</t>
  </si>
  <si>
    <t>Pohang Basin (Offshore)</t>
  </si>
  <si>
    <t>The Pohang Basin was evaluated for a pilot study in South Korea (the Yeong-Il Bay site; Park et al. 2016)  where simulation indicated injection of up to 40,000t. Kim et al 2013 &amp; 2014 published a suggested basin-level 38 Mt based on evaluation by MEST 2008 (in Korean).</t>
  </si>
  <si>
    <t>None provided. Note should be made of the Pohang City 5.4 magnitude earthquake in November 2017 which caused cessation of all fluid injection activities (CO2 and geothermal), although some subsequent publications infer the earthquake was caused by geothermal energy activities.</t>
  </si>
  <si>
    <t>Resource estimation assigned to Undiscovered: Basin Play but placed in Inaccessible category due to lack of CCS-Specific regulatory system in S Korea. The lack of accessible supporting data/information suggests the resource estimate should be considered 'low confidence'.</t>
  </si>
  <si>
    <t>Ulleung Basin: SW Margin</t>
  </si>
  <si>
    <t>C. Huh, S. Kang, M. Park, K. Lee, Y. Park, D. Min and J. Lee, “Latest CO2 Transport, Storage and Monitoring R&amp;D Progress in Republic of Korea: Offshore Geologic Storage,” Energy Procedia, pp. 6520-6526, 2013.</t>
  </si>
  <si>
    <t>Very high level estimation of potential storage resource. The Ulleung Basin in the East Sea contains &gt;11km Late Oligocene and younger predominantly marine sediments. Published studies focus on the SW Margin of the basin. The Ulleung Basin is the only active hydrocarbon-producing (mainly gas and light condensate) basin in S Korea. Available data: 8500km 2D, 2400 sqkm 3D. 23 wells. Further data (seismic/wells) collection planned 2009-2018. Two distinct regions: Gorae structure and Dolgorae structure.</t>
  </si>
  <si>
    <t>No discussion. 1 commercial producing field and other smaller gas accumulations indicate a working seal is present in part of basin.</t>
  </si>
  <si>
    <t>Very high level theoretical estimate of resource. No details on inputs into volumetric calculation provided. Storage resource for Donghae-1 Gas field resource subtracted to avoid double accounting.</t>
  </si>
  <si>
    <t>Volumetric analysis based on calculation of E(saline) using NETL (2010) approach (P10:2.2%, P50: 5.5%, P90: 13.7%). Inputs derived from seismic and well log data.</t>
  </si>
  <si>
    <t>Sri Lanka</t>
  </si>
  <si>
    <t>Sri Lanka Formations</t>
  </si>
  <si>
    <t xml:space="preserve">Noted that an estimated 10-20 MMbbls of oil may lie in the Cauvery Basin, and a further 100MMbbls of oil in the Mannar Basin, however no evaluation could be produced at the time of assessment. </t>
  </si>
  <si>
    <t>United Kingdom</t>
  </si>
  <si>
    <t>East Irish Sea</t>
  </si>
  <si>
    <t>Bains Gas Field</t>
  </si>
  <si>
    <t>Ormskirk Sandstone</t>
  </si>
  <si>
    <t>Energy Technologies Institute (ETI). 2015. “DECC Storage Appraisal: Strategic UK CO2 Storage Appraisal - Project - Addendum.”</t>
  </si>
  <si>
    <t>There is no project currently planned at the site and reported in the public domain.  The site is included in the CO2stored database and reported briefly in the Strategic UK CO2 Storage Appraisal Project - Addendum. At cycle 4 this site is reported as a potential gas storage site not CCS. A 10 year license has been offered by the NSTA to dCarbonX to store gas in the depleted Bains field (Offshore, 2023)</t>
  </si>
  <si>
    <t>Containment has been considered in CO2Stored</t>
  </si>
  <si>
    <t xml:space="preserve">Source document reports only P50 capacity estimate,  Normal CO2Stored methodologies apply (Volumetric method for saline aquifers and replacement methods for oil and gas fields).  The source documentation contains no further details, but these can be accessed at www.co2stored.co.uk. </t>
  </si>
  <si>
    <t>Calder Gas Field</t>
  </si>
  <si>
    <t>There is no project currently planned at the site and reported in the public domain.  The site is included in the CO2stored database and reported briefly in the Strategic UK CO2 Storage Appraisal Project - Addendum</t>
  </si>
  <si>
    <t>Dalton Gas Field</t>
  </si>
  <si>
    <t>Hamilton East Gas Field</t>
  </si>
  <si>
    <t>Hamilton Gas Field</t>
  </si>
  <si>
    <t>Oilfield closed by 2030</t>
  </si>
  <si>
    <t>HyNet North West, 2020, HyNet CCUS Pre-Feed Key Knowledge Deliverable, WP1: Full Chain Basis of Design</t>
  </si>
  <si>
    <t>This site was approved for Track 1 cluster funding by the UK Government. The project known as Hynet includes the Hamilton, Hamilton North and Lennox fields. The project is  now in the Pre-feed stage and agreement in principles with DESNZ (Department for Energy Security and Net Zero) UK. Hynet Northwest is a project to produce, transport and store low carbon hydrogen with a component to store CO2 from the industrial sources in the North west regions. ENI are the partner responsible for transport and storage of CO2. Timeline is as follows: • Pre-FEED: April 2019 to April 2020_x000D_
• FEED: April 2020 to April 2022_x000D_
• Onshore Pipeline Consent Determination (DCO): April 2022_x000D_
• Offshore Storage License: April 2022_x000D_
• Financial Investment Decision (FID): June 2022_x000D_
• Construction and Commissioning: June 2022 to June 2024_x000D_
• Capture Operations (Fertiliser Plant): June 2024 onwards_x000D_
• Capture Operations (Refinery): December 2024 onwards_x000D_
• Capture Operations (Hydrogen Production): June 2025 onwards</t>
  </si>
  <si>
    <t>Hynet will capture Co2 from a number of sources: Industrial and Hydrogen. Injection is planned in the gas phase and will turn to liquid phase when the reservoir pressures increase to the point that liquid phase is needed. A baseline configuration (gas phase) will include a newbuild pipeline capable of transporting up to 10MtCO2/yr to a cumulative storage of 70 Mt . Additional scenarios were set out (high, med &amp;  Low) with cumulative storage of 193, 128 and 28.7 MtCo2 respectively. Higher case assumes both Lennox and Hamilton East will be needed to increase the capacity. The baseline for Hamilton is reported in the CSRC.</t>
  </si>
  <si>
    <t>There is a high level of confidence that over 120Mt of CO2 can be_x000D_
_x000D_
contained within the Ormskirk Sandstone in the Hamilton structure_x000D_
_x000D_
• 1000 years after injection has ceased the CO2 plume is still_x000D_
_x000D_
contained within the Hamilton structure and the defined storage_x000D_
_x000D_
complex._x000D_
_x000D_
• The primary seal is provided by a 700m sequence of mudstones and_x000D_
_x000D_
halites of the Mercia Mudstone Group, specifically the Rossall Halite._x000D_
_x000D_
• Underlying the Sherwood Sandstone is approximately [1000ft] of the_x000D_
_x000D_
tight St Bees Sandstone which prevented aquifer ingress during_x000D_
_x000D_
hydrocarbon operations. The St Bees Sandstone is likely to be_x000D_
_x000D_
virtually impermeable to CO2 and provide a very effective_x000D_
_x000D_
containment feature at the floor of the store._x000D_
_x000D_
• Hamilton has minimal risk of caprock or fault failure for the modelled_x000D_
_x000D_
stress conditions, reservoir and overburden properties and fault_x000D_
_x000D_
properties.</t>
  </si>
  <si>
    <t xml:space="preserve">The source is a pre-feed document that outlines the full chain basis of design. Storage volumes are taken from the scenarios set out for the CO2 capture and storage phase of the project. </t>
  </si>
  <si>
    <t>Storage efficiency was reported from a range of simulation sensitivity runs</t>
  </si>
  <si>
    <t>Hamilton North Gas Field</t>
  </si>
  <si>
    <t>This site was approved for Track 1 cluster funding by the UK Government. The project known as Hynet includes the Hamilton, Hamilton North and Lennox fields. The project is  now in the Pre-feed stage and agreement in principles with DESNZ (Department for Energy Security and Net Zero) UK. Hynet NorthWest is a project to produce, transport and store low carbon hydrogen with a component to store CO2 from the industrial sources in the North west regions. ENI are the partner responsible for transport and storage of CO2. Timeline is as follows: • Pre-FEED: April 2019 to April 2020_x000D_
• FEED: April 2020 to April 2022_x000D_
• Onshore Pipeline Consent Determination (DCO): April 2022_x000D_
• Offshore Storage License: April 2022_x000D_
• Financial Investment Decision (FID): June 2022_x000D_
• Construction and Commissioning: June 2022 to June 2024_x000D_
• Capture Operations (Fertiliser Plant): June 2024 onwards_x000D_
• Capture Operations (Refinery): December 2024 onwards_x000D_
• Capture Operations (Hydrogen Production): June 2025 onwards</t>
  </si>
  <si>
    <t xml:space="preserve">Hynet will capture Co2 from a number of sources: Industrial and Hydrogen. Injection is planned in the gas phase and will turn to liquid phase when the reservoir pressures increase to the point that liquid phase is needed. A baseline configuration (gas phase) will include a newbuild pipeline capable of transporting up to 10MtCO2/yr to a cumulative storage of 70 Mt . Additional scenarios were set out (high, med &amp;  Low) with cumulative storage of 193, 128 and 28.7 MtCo2 respectively.  </t>
  </si>
  <si>
    <t xml:space="preserve">Source document reports only P50 capacity estimate,  Normal CO2Stored methodologies apply (Volumetric method for saline aquifers and replacement methods for oil and gas fields).  The source documentation contains no further details, but these can be accessed at www.co2stored.co.uk. Hamilton North is included in the assessment made by 'HyNet North West, 2020, HyNet CCUS Pre-Feed Key Knowledge Deliverable, WP1: Full Chain Basis of Design' . This document provides a high scenario of all Hamilton and Lennox field of 193Mt. The actual amount for Hamilton North is not reported and hence the volume remains as stated by the source document. </t>
  </si>
  <si>
    <t>Lennox Field</t>
  </si>
  <si>
    <t xml:space="preserve">Source document reports only P50 capacity estimate,  Normal CO2Stored methodologies apply (Volumetric method for saline aquifers and replacement methods for oil and gas fields).  The source documentation contains no further details, but these can be accessed at www.co2stored.co.uk. Lennox is included in the assessment made by 'HyNet North West, 2020, HyNet CCUS Pre-Feed Key Knowledge Deliverable, WP1: Full Chain Basis of Design' . This document provides a high scenario of all Hamilton and Lennox field of 193Mt. The actual amount for Lennox is not reported and hence the volume remains as stated by the source document. </t>
  </si>
  <si>
    <t>North Morcambe Gas Field</t>
  </si>
  <si>
    <t>Gas field closed by 2050</t>
  </si>
  <si>
    <t>Energy Technologies Institute (ETI). 2015. “DECC Storage Appraisal: Prospect Summary Sheets.”</t>
  </si>
  <si>
    <t xml:space="preserve">Cycle 4 update: This site sits in the licence block CS010 Awarded to Spirit Energy on 01/07/2023. No further details have been published on any plans. This site was assessed as Site No 10 in a portfolio of 20 which were documented as posters in the source study.  Further details are presented in the UK CO2Stored database at www.co2stored.co.uk. </t>
  </si>
  <si>
    <t>The development plan is assumed to commence with a normally unmanned installation comprising a jacket and topsides with 5 deviated wells each injecting 1Mt/yr totalling 100Mt over 20 years.  CO2 would be delivered through a new 20" pipeline from point of Ayr with a throughput capacity of 10Mt/yr.  Facilities will be controlled from the beach with the NUI providing its own power and controls.  Monitoring will include downhole pressure and DTS</t>
  </si>
  <si>
    <t>An overburden evaluation was reported both above and adjacent to the Ormskirk Sandstone to identify secondary containment horizons and potential migration pathways out of the storage complex.  The reservoir is overlain by almost 1000m of Mercia mudstones and evaporites forming an excellent and continuous caprock.  Key containment risk is associated with legacy wells although considered to be low.</t>
  </si>
  <si>
    <t>Source Poster contains development plan summary and cost estimate for the initial phase of a large project.  Calculation of storable volumes was based upon replacement of produced gas back to initial pressure and evaluated using a simple dynamic model. Probabilistic storable quantities were not reported.</t>
  </si>
  <si>
    <t>Calculated by material balance with voidage replacement back to initial pressure</t>
  </si>
  <si>
    <t>Ormskirk Closure 16</t>
  </si>
  <si>
    <t xml:space="preserve">None available.  Existing well count is reported in CO2Stored which supports the designation of discovery.  </t>
  </si>
  <si>
    <t>Ormskirk Closure 6</t>
  </si>
  <si>
    <t>Ormskirk Closure 7</t>
  </si>
  <si>
    <t>South Morcambe Gas Field</t>
  </si>
  <si>
    <t xml:space="preserve">Cycle 4 update: This site sits in the licence block CS010 Awarded to Spirit Energy on 01/07/2023. No further details have been published on any plans. This site was assessed as Site No 3 in a portfolio of 20 which were documented as posters in the source study.  Further details are presented in the UK CO2Stored database at www.co2stored.co.uk. </t>
  </si>
  <si>
    <t>The development plan is assumed to commence with a normally unmanned installation comprising a jacket and topsides with 5 deviated wells each injecting 1Mt/yr totalling 100Mt over 20 years.  CO2 would be delivered through a new 20" pipeline from point of Ayr with a throughput capacity of 10Mt/yr.  Facilities will be controlled from the beach with the NUI providing its own power and controls.  Monitoring will include downhole pressure and DTS.  Full development would incorporate 9 new platforms with 43 wells in total</t>
  </si>
  <si>
    <t>An overburden evaluation was reported both above and adjacent to the Ormskirk Sandstone to identify secondary containment horizons and potential migration pathways out of the storage complex.  Field data and published literature show a broad dome horst structure with a create at 914m fault bounded on the western margin. Extensional faults cut the reservoir .  The reservoir is overlain by almost 1000m of Mercia mudstones and evaporites forming an excellent and continuous caprock.  Key containment risk is associated with legacy wells.</t>
  </si>
  <si>
    <t>Source Poster contains development plan summary and cost estimate for the initial phase of a large project.  Calculation of storable volumes was based upon replacement of produced gas back to initial pressure and evaluated using a simple dynamic model.  Fracture pressure was quoted as 3265PSIG and report noted initial injectivity would be in gas phase.  Probabilistic storable quantities were not reported.</t>
  </si>
  <si>
    <t>ACT Acorn Storage Site</t>
  </si>
  <si>
    <t>Moray Firth</t>
  </si>
  <si>
    <t>Captain Sandstone</t>
  </si>
  <si>
    <t>Pale Blue Dot, 2021,Acorn CCS Project D08 Operations and Maintenance Philosophy ACCS-X-00-PB-PM-KK-000P</t>
  </si>
  <si>
    <t>This site sits in CS003 Licence block awarded 01/01/2018 to Pale Blue Dot. In 2023 Acorn received licences for Acorn East and East Mey - CS011 and CS012 respectively. Acorn was awarded Track 2 cluster funding in 2023. At 2021 the project was entering the Define phase</t>
  </si>
  <si>
    <t>The development plan envisaged in the primary source was a four well development from a subsea template.  A single brine production well was considered to assist with pressure management.  Injection rates of 5Mt/yr were assumed.  CO2 is sourced from the St Fergus gas terminal complex with an initial capture of 300ktCO2/yr. Project Duration was set to 35 years.  CO2 will be injected in dense phase through the Goldeneye pipeline. Once phase 1 infrastructure is established, Phase 2 will lead to drilling additional wells to inject 1.5-2.0Mt/yr in Acorn South and central  (CS011 and CS003 respectively). This development plan is under further evolution and further details have not yet been available in the public domain at cycle 4.</t>
  </si>
  <si>
    <t>The primary seal is provided by the marls and mudstones of the Rodby Formation, which is a proven seal for many hydrocarbon fields in the area. Over the Acorn storage site it is about 90-100m thick and in the ETI SSAP work it was mapped across the fairway. The base seal is provided by the Valhall Formation, which consists of shales and marls.</t>
  </si>
  <si>
    <t>The primary source is a detailed storage development plan which included an assessment against a prototype SRMS system.  A 35 year injection duration was modelled.  Low Case Estimate is based upon a partial development case limited to 64Mt (Scenario 2 P68 in source).  Mid estimate is based upon low simulation case (P71in source  run SR18) , High estimate is the base case from the published development plan (P73 in source). All estimates exclude any potential contribution from pore space use within the Goldeneye structure.  Area is licensed and resources assigned to the Development on hold category pending update of revised development currently being devised.</t>
  </si>
  <si>
    <t>Alison Gas Field Storage Site</t>
  </si>
  <si>
    <t>Southern North Sea - Anglo-Dutch</t>
  </si>
  <si>
    <t>Leman Sandstone</t>
  </si>
  <si>
    <t>Lower Permian</t>
  </si>
  <si>
    <t>This site sits within the NSTA license block CS005 awarded  to Chrysaor Production. The licenced started 15/10/21. No plans exist yet at the time of cycle 4.</t>
  </si>
  <si>
    <t>Ann Gas Field Storage Site</t>
  </si>
  <si>
    <t>Audrey Gas Field Storage Site</t>
  </si>
  <si>
    <t>This site sits within the NSTA license block CS024 awarded  to Chrysaor Production. The licenced started 01/09/2023. No plans exist yet at the time of cycle 4.</t>
  </si>
  <si>
    <t>Barque Gas Field Storage Site</t>
  </si>
  <si>
    <t>There is no project currently planned at the site and reported in the public domain.  The site has been the subject of a small number of research studies including the primary source which derived from a study commissioned by the Up Energy Technology Institute in 2015</t>
  </si>
  <si>
    <t xml:space="preserve">The development plan envisaged in the primary source was a five well development from a small unmanned platform.  No brine production or pressure management was designed.  Injection rates of 5Mt/yr were assumed.  No CO2 source is specified, but it was assumed that the CO2 supply was by new pipeline from the Humberside area.  CO2 will initially be injected in gas phase due to the very low depletion pressure expected.  </t>
  </si>
  <si>
    <t>The Barque field has been subjected to an overburden and containment review which has been reported in the source document. The structured are overlain by thick Zechstein evaporites between 152 and 1219m thick which provide an excellent seal.  Key containment risk is associated with legacy wells, although this is considered to be low.</t>
  </si>
  <si>
    <t xml:space="preserve">Source Poster contains development plan summary and cost estimate for the initial phase of a large project.  Calculation of storable volumes was based upon the replacement method.  Probabilistic storable quantities were not reported.  </t>
  </si>
  <si>
    <t>Storable quantities estimated using replacement methodology</t>
  </si>
  <si>
    <t>Boulton Gas Field Storage Site</t>
  </si>
  <si>
    <t>Westphalian Sandstones</t>
  </si>
  <si>
    <t>Cycle 4 update: This site sits within site CS007 of the UK NSTA license round for CO2 sites in 2023. BP and Equinor are the license holders and was awarded on 01/05/2022. No further details on plans exist at the time of Cycle 4.</t>
  </si>
  <si>
    <t>Bruce Gas Condensate Field</t>
  </si>
  <si>
    <t>East Shetland Platform</t>
  </si>
  <si>
    <t>Beryl Sandstone</t>
  </si>
  <si>
    <t xml:space="preserve">This site was assessed as Site No 8 in a portfolio of 20 which were documented as posters in the source study.  Further details are presented in the UK CO2Stored database at www.co2stored.co.uk. </t>
  </si>
  <si>
    <t>The source reports a proposed subsea development in the vicinity of the Bruce platform (assumed removed) with 5 deviated wells each injecting 1Mt/yr.  Assumed to be supplied by the re-use of the MGS pipeline system plus a new 148km 20" extension pipeline to Bruce.  Assumed that power and control will be from an existing neighbouring platform. Monitoring will be via downhole pressure gauges and DTS.  Project uses  2 subsea manifolds with 9 wells each.</t>
  </si>
  <si>
    <t>An overburden evaluation was reported both above and adjacent to the Ormskirk Sandstone to identify secondary containment horizons and potential migration pathways out of the storage complex.  Field data and published literature show three main reservoir blocks with a create at 3320m.  The field is faulted with a major structure controlling the west flank. Sufficient caprock seal is provided by the Heather formation which has enabled trapping of gas condensate and is expected to perform well for CO2 containment.  Key containment risk is associated with legacy wells.</t>
  </si>
  <si>
    <t>Source Poster contains development plan summary and cost estimate for the initial phase of a large project.  Calculation of storable volumes was based upon replacement of produced gas back to initial pressure and evaluated using a simple material balance model.   Probabilistic storable quantities were not reported.</t>
  </si>
  <si>
    <t>Bunter Closure 26</t>
  </si>
  <si>
    <t>Bunter Sandstone</t>
  </si>
  <si>
    <t>Bunter Closure 28</t>
  </si>
  <si>
    <t>Bunter Closure 3</t>
  </si>
  <si>
    <t>The development plan is includes a new normally unmanned installation comprising a jacket and topsides with 5 deviated wells.  CO2 delivery would require a ne 194km pipeline.  The site could be developed fully using a further 9 platforms each with 5 deviated wells</t>
  </si>
  <si>
    <t>An overburden evaluation is reported.  Primary seal is over 800m of Triassic mudstones and evaporites.  Key containment risk is associated with legacy wells.</t>
  </si>
  <si>
    <t xml:space="preserve">Source Poster contains development plan summary and cost estimate for the initial phase of a large project.  Calculation of storable volumes was based upon the volumetric method.  Probabilistic storable quantities were not reported.  </t>
  </si>
  <si>
    <t>CO2Stored database via Source</t>
  </si>
  <si>
    <t>Calculated by volumetric method.</t>
  </si>
  <si>
    <t>Bunter Closure 36</t>
  </si>
  <si>
    <t>BP Exploration Operating Company Limited, 2022, Multi-Store Development Philosophy Key Knowledge Document, NS051-SS-PHI-000-00010</t>
  </si>
  <si>
    <t>Cycle 4 update: This site sits within site CS007 of the UK NSTA license round for CO2 sites in 2023. BP and Equinor are the license holders and was awarded on 01/05/2022. Bunter Closure 36 has been identified as a structure suitable for storing CO2  due to proximity to Endurance. The site was assessed in  Key Knowledge Document (NS051-SS-PHI-000-00010) was generated as part of the pre-FEED project stage for Northern Endurance Partnership and Net Zero Teesside for application of licence CS006 &amp; CS007. It is proposed to use Bunter Closure 36 as an alternative expansion store to increase injection rates in Endurance and remove brine.</t>
  </si>
  <si>
    <t xml:space="preserve">The alternative expansion strategy for Endurance in order to achieve Phase 2 injection rates (10 MTPA average), is to inject into other nearby Bunter stores – the Bunter Closures  36, 37, 39 and 40. This is to remove the brine from Endurance and retain safe reservoir pressure.  </t>
  </si>
  <si>
    <t>There is a high level of confidence that over 280Mt of CO2 can be contained within the Bunter 36 structure. 1000 years after injection has ceased the CO2 plume is contained within the Bunter 36 structural closure and easily within the defined storage complex._x000D_
• The overlying Rot Halite formation forms the primary seal is 60m thick over the structure. Its' mobile nature means that it is resilient to fracturing and almost totally impermeable_x000D_
• There are multiple further secondary sealing intervals within the overlying Haisborough group which further secure the integrity of the site._x000D_
• Underlying the Bunter Sandstone is approximately 1000ft of Bunter Shale which comprises a series of shales and siltstones.</t>
  </si>
  <si>
    <t>Revised volumes have been assessed in in  Key Knowledge Document (NS051-SS-PHI-000-00010). Bunter closure 36 is expected to be analogous to Endurance. P50 Volumetrics indicate volume with brine pressure management of 271 MT and without brine pressure management of 74 MT. The revised volume of 74 MT is taken as P50 estimate to provide the more realistic volume based on the Endurance development plan.</t>
  </si>
  <si>
    <t>Bunter Closure 37</t>
  </si>
  <si>
    <t>Cycle 4 update: This site sits within site CS007 of the UK NSTA license round for CO2 sites in 2023. BP and Equinor are the license holders and was awarded on 01/05/2022. Bunter Closure 36 has been identified as a structure suitable for storing CO2  due to proximity to Endurance. The site was assessed in  Key Knowledge Document (NS051-SS-PHI-000-00010) was generated as part of the pre-FEED project stage for Northern Endurance Partnership and Net Zero Teesside for application of licence CS006 &amp; CS007. It is proposed to use Bunter Closure 37 as an alternative expansion store to increase injection rates in Endurance and remove brine.</t>
  </si>
  <si>
    <t>Revised volumes have been assessed in in  Key Knowledge Document (NS051-SS-PHI-000-00010). Bunter closure 37 is expected to be analogous to Endurance. P50 Volumetrics indicate volume with brine pressure management of 293 MT and without brine pressure management of 78 MT. The revised volume of 78 MT is taken as P50 estimate to provide the more realistic volume based on the Endurance development plan.</t>
  </si>
  <si>
    <t>Bunter Closure 38</t>
  </si>
  <si>
    <t xml:space="preserve">Cycle 4 update: This site sits within site CS020 of the UK NSTA license round for CO2 sites in 2023. Neptune Energy are the license holders and was awarded on 01/08/2023. No further details exist at cycle 4 in relation to development plans or assessments. </t>
  </si>
  <si>
    <t>Bunter Closure 4</t>
  </si>
  <si>
    <t>Bunter Closure 40</t>
  </si>
  <si>
    <t>Cycle 4 update: This site sits within site CS006 of the UK NSTA license round for CO2 sites in 2023. BP and Equinor are the license holders and was awarded on 01/05/2022. Bunter Closure 36 has been identified as a structure suitable for storing CO2  due to proximity to Endurance. The site was assessed in  Key Knowledge Document (NS051-SS-PHI-000-00010) was generated as part of the pre-FEED project stage for Northern Endurance Partnership and Net Zero Teesside for application of licence CS006 &amp; CS007. It is proposed to use Bunter Closure 40 as an alternative expansion store to increase injection rates in Endurance and remove brine.</t>
  </si>
  <si>
    <t>An overburden evaluation is reported.  The site is a simple 4 way dip closure. Primary seal is over 700m of Triassic mudstones and evaporites.  Key containment risk is associated with legacy wells.</t>
  </si>
  <si>
    <t>Revised volumes have been assessed in in  Key Knowledge Document (NS051-SS-PHI-000-00010). Bunter closure 40 lacks data to demonstrate injectivity and have slightly different reservoir properties from Endurance. P50 Volumetrics indicate volume with brine pressure management of 93 MT and without brine pressure management of 25 MT. The revised volume of 25 MT is taken as P50 estimate to provide the more realistic volume based on the Endurance development plan.</t>
  </si>
  <si>
    <t>Bunter Closure 41</t>
  </si>
  <si>
    <t xml:space="preserve">Cycle 4 update: This site sits within site CS025 of the UK NSTA license round for CO2 sites in 2023. BP and Equinor are the license holders and was awarded on 01/09/2023. No further details exist at cycle 4 in relation to development plans or assessments. </t>
  </si>
  <si>
    <t>Bunter Closure 42</t>
  </si>
  <si>
    <t xml:space="preserve">Cycle 4 update: This site sits within site CS025 of the UK NSTA license round for CO2 sites in 2023. BP and Equinor are the license holders and was awarded on 01/9/2023. No further details exist at cycle 4 in relation to development plans or assessments. </t>
  </si>
  <si>
    <t>Bunter Closure 46</t>
  </si>
  <si>
    <t>Bunter Closure 5</t>
  </si>
  <si>
    <t>Bunter Closure 7</t>
  </si>
  <si>
    <t>Bunter Closure 9</t>
  </si>
  <si>
    <t xml:space="preserve">Cycle 4 update: This site sits within site CS009 of the UK NSTA license round for CO2 sites in 2023. Perenco are the license holders. License awarded 01/07/2023. The adjacent Lemen site is designated a major reservoir the  Poseidon Project. Perenco appear to assess the capacity of both the Lemen and Bunter 9 together. This site was assessed as Site No 1 in a portfolio of 20 which were documented as posters in the Energy Technologies Institute (ETI). 2015. “DECC Storage Appraisal: Prospect Summary Sheets.” study.  Further details are presented in the UK CO2Stored database at www.co2stored.co.uk. </t>
  </si>
  <si>
    <t>This site is part of the Poseidon Project. Perenco UK and the partner Carbon Catalyst Ltd will operate the site. The project is planned to decarbonise the East Anglia, Greater London and Southeast England. Projected to be online by 2029 with initial injection rates of around 1.5 Mtpa, rising to 10Mtpa by 2030, peaking at 40 Mtpa over a 40 year period. Information relating to the development plan is sourced from the Poseidon Project website</t>
  </si>
  <si>
    <t xml:space="preserve">At cycle 4 there is limited data to update any assessment quantities. Development plans and injection rates are found on the Poseidon Project Website state that  ultimate storage capacity of the Lemen field including the bunter closure 9 aquifer is 1000 Mt. Methodology to define this is not documented in literature. It is assumed that capacity studies have been performed by the license holder. Due to high uncertainty of actual volumes, this site remains unchanged with respect to volume until further assessment become available in the development plans. </t>
  </si>
  <si>
    <t>Buzzard Oil Field</t>
  </si>
  <si>
    <t xml:space="preserve">Buzzard </t>
  </si>
  <si>
    <t>Oilfield closed by 2050</t>
  </si>
  <si>
    <t>Caister B Gas Field Storage Site</t>
  </si>
  <si>
    <t>Cycle 4 update: This site sits within site CS022 of the UK NSTA license round for CO2 sites in 2023. Neptune Energy CCS are the license holders and was awarded on 01/08/2023. No further details on plans exist at the time of Cycle 4.</t>
  </si>
  <si>
    <t>Caister C Gas Field Storage Site</t>
  </si>
  <si>
    <t>Camelot Central Gas Field Storage Site</t>
  </si>
  <si>
    <t>Gasfield closed by 2030</t>
  </si>
  <si>
    <t>Cycle 4 update: This site sits within site CS019 of the UK NSTA license round for CO2 sites in 2023. Synergia and Wintershall DEA are the license holders. The proposed project is named the Medway Hub (Camelot) CCS Project and includes the Bunter Closure 18 and Camelot Central South Fields. The work program initially will focus on technical and commercial evaluation following 1 appraisal well and a FEED study</t>
  </si>
  <si>
    <t>Limited plans exist, however the Medway Hub presentation outlines in injection rates of 5 Mtpa and transport from the National Grid LNG plant on the Isle of Grain via ship to the storage unit. HTTPs://www.synergiaenergy.com/sites/synergia-energy-ltd/files/Project%20Camelot%20Presentation%20August%202023.pdf</t>
  </si>
  <si>
    <t xml:space="preserve">Source document reports only P50 capacity estimate,  Normal CO2Stored methodologies apply (Volumetric method for saline aquifers and replacement methods for oil and gas fields).  The source documentation contains no further details, but these can be accessed at www.co2stored.co.uk. Since not updated volumes can be found for cycle 4 they remain the same. It is assumed that since the site is now licensed, assessments will be proprietary. </t>
  </si>
  <si>
    <t>Camelot North East Gas Field Storage Site</t>
  </si>
  <si>
    <t>Cycle 4 update: This site sits very close to the fields in block CS019 of the UK NSTA license round for CO2 sites in 2023, but is technically in block CS009. It is not mentioned as being included in any projects for either license block.</t>
  </si>
  <si>
    <t>Camelot North Gas Field Storage Site</t>
  </si>
  <si>
    <t>Captain Oilfield</t>
  </si>
  <si>
    <t xml:space="preserve">This site was assessed as Site No 24 in a portfolio of 20 which were documented as posters in the source study.  Further details are presented in the UK CO2Stored database at www.co2stored.co.uk. </t>
  </si>
  <si>
    <t>The development plan is assumed to commence with a new subsea installation with five deviated subsea wells with power and control supplied by a nearby existing facility.  CO2 delivered through a new pipeline.</t>
  </si>
  <si>
    <t>An overburden evaluation is reported.  Primary seal are the Sola and Rodby formation mudstones and the Chalk Group.    Legacy wells present a moderate containment risk.</t>
  </si>
  <si>
    <t xml:space="preserve">Source Poster contains development plan summary and cost estimate for the initial phase of a large project.  Calculation of storable volumes was based upon the replacement method/  Probabilistic storable quantities were not reported.  </t>
  </si>
  <si>
    <t>Calculated by replacement material balance method.</t>
  </si>
  <si>
    <t>Cleeton Gas Field Storage Site</t>
  </si>
  <si>
    <t>Coracle Aquifer</t>
  </si>
  <si>
    <t>Coracle Sandstone</t>
  </si>
  <si>
    <t xml:space="preserve">This site was assessed as Site No 27 in a portfolio of 20 which were documented as posters in the source study.  Further details are presented in the UK CO2Stored database at www.co2stored.co.uk. </t>
  </si>
  <si>
    <t>The development plan is assumed to commence with a new subsea installation with two deviated subsea wells with power and control supplied by a nearby existing facility.  CO2 delivered through reuse of Atlantic pipeline</t>
  </si>
  <si>
    <t>An overburden evaluation is reported.  Primary seal are the Cromer Knoll formation mudstones and the Chalk Group.    Legacy wells present a moderate containment risk.</t>
  </si>
  <si>
    <t>Calculated by volumetric method</t>
  </si>
  <si>
    <t>Dawn Gas Field Storage Site</t>
  </si>
  <si>
    <t>This site sits within site CS008 of the UK NSTA license round for CO2 sites in 2023. ENI are the license holders. License awarded 01/07/2023. No immediate projects have been documented to start in this field at the time of cycle 4.</t>
  </si>
  <si>
    <t>Deborah Gas Field Storage Site</t>
  </si>
  <si>
    <t>Delilah Gas Field Storage Site</t>
  </si>
  <si>
    <t>Della Gas Field Storage Site</t>
  </si>
  <si>
    <t>East Mey Storage Site</t>
  </si>
  <si>
    <t>Central Graben</t>
  </si>
  <si>
    <t>Mey Sandstone</t>
  </si>
  <si>
    <t>ACT Acorn, 2019, D20 Final Report, 10196ACTC-Rep-35-01</t>
  </si>
  <si>
    <t>This site sits in CS012 Licence block awarded 01/07/2023 to Pale Blue Dot and Shell. In 2023 Acorn received licences for Acorn East and East Mey. Acorn was awarded Track 2 cluster funding in 2023. At 2021 the project was entering the Define phase</t>
  </si>
  <si>
    <t>A detailed development plan was not available in the public domain for cycle 4, however, East Mey is planned as an expansion store for Acorn. No detailed development plan was available in the public domain at Cycle 4</t>
  </si>
  <si>
    <t>The site has a combined structural and residual trapping system.  Secure vertical containment is provided by the already extensive Lista Shales which are a proven seal for multiple Palaeocene hydrocarbon fields in the Central North Sea, including the Balmoral, MacCulloch, Brenda and Donan fields</t>
  </si>
  <si>
    <t>The model was run against three CO2 supply profiles.  These do not test the ultimate resource potential.  In Annex 2 of the Storage development plan, continued injection to over 500Mt was achieved in the model whilst retaining vertical and lateral integrity.  No probabilistic evaluation was conducted</t>
  </si>
  <si>
    <t>5.6427E-06</t>
  </si>
  <si>
    <t>Endurance Bunter Closure</t>
  </si>
  <si>
    <t>BP Exploration Operating Company Limited, 2022, Endurance Storage Development Plan, Key Knowledge Document, NS051-SS-REP-000-00010</t>
  </si>
  <si>
    <t>The site has been the subject of extensive studies by The Net Zero Teesside (NZT) project in association with the Northern Endurance Partnership_x000D_
project (NEP) intend to facilitate decarbonisation of the Humber and Teesside industrial_x000D_
clusters during the mid-2020s. The project will include pipelines from the Humber and Teesside region to the Endurance site. The project meets the Government plan for having at least 2 clusters storing up to 10Mtpa by 2030. The Hewett gas field was a contender for this project, however Endurance proved to be a significantly better option. First CO2 capture is planned for 2026.</t>
  </si>
  <si>
    <t xml:space="preserve">Phase 1 plan include 5 subsea wells to deliver a volume of 4 Mtpa over 25 years with peak injection rates of 5.6 Mtpa. Phase 2 plans to ramp up to 10 Mtpa with the addition of 6 Co2 injectors and 8 brine producers. The aim is to produce up to 160,000 bwpd of brine. Additional store sites are considered since the 450 Mt is not sufficient for the combined capacity of Humber and Teesside. The Bunter closures 36, 37, 39, and 40 are assessed for the expansion store. </t>
  </si>
  <si>
    <t>Containment has been considered in CO2Stored and reported in FEED deliverables published by UK Government. Endurance is a 4 way dip closure approx. 22 km long and 8 km wide. 3 wells penetrate the structure. Overburden consists of several sequences of shales and Halite with a thickness of around 100m. There is no evidence of faulting in the Bunter Aquifer of Endurance although they do exist in the overburden.</t>
  </si>
  <si>
    <t>According to the Northern Endurance Partnership, Endurance has the capacity to store 450 Mt. If additional sites are included surrounding Endurance then the capacity can increase to 1 billion tonnes (https://www.netzeroteesside.co.uk/northern-endurance-partnership/). Volumes in this assessment are provided by the source document which provides a detailed analysis and simulation. Core data was acquired to assess the reservoir properties. The maximum CO2 storage capacity of
Endurance is estimated to be circa 450 MT (25 years at 18 Mtpa or 30 years at 15 Mtpa). Phase 1 is documented as having 100Mt documented for development and therefore placed as justified for development. The remaining resources are placed in the contingent classes. corresponding to a static CO2 storage efficiency of 15%)</t>
  </si>
  <si>
    <t>Detailed reservoir assessment provided by source document which used core data and dynamic simulations to assess the site.</t>
  </si>
  <si>
    <t xml:space="preserve">Forties 5 </t>
  </si>
  <si>
    <t>Forties Sandstone</t>
  </si>
  <si>
    <t>Forties 5 Site 1</t>
  </si>
  <si>
    <t>Energy Technologies Institute ETI. 2015. “DECC Storage Appraisal: WP5B - Forties 5 Site 1 Storage Development Plan 10113ETIS-Rep-18-00.”</t>
  </si>
  <si>
    <t>There is no project currently planned at the site and reported in the public domain.  The site has been the subject of a small number of research studies including the primary source which derived from a study commissioned by the UK Energy Technology Institute in 2015</t>
  </si>
  <si>
    <t>The development plan envisaged in the primary source was a two phase development comprising a NUI platform in the southern part of the storage site followed some 10 years later by a subsea tie back to the north.  The injection plan uses a 9 well development and injection occurs over 40 years  at a rate which rises from 6Mt/yr to 8Mt/yr.</t>
  </si>
  <si>
    <t>The primary seal is provided by the mudstones of the Sele Formation which is 90 – 100m thick over the site._x000D_
_x000D_
• There is a high degree of confidence that over 300Mt of CO2 can be contained within the Forties Sandstone in Site 1 of the Forties 5 aquifer unit._x000D_
_x000D_
• 1000 years after the cessation of injection the CO2 plume is still contained within the Storage Complex._x000D_
_x000D_
• The initial Storage Complex boundary could be adjusted in subsequent studies to provide additional certainty around containment within the planned lease area._x000D_
_x000D_
• Underlying the Forties Sandstone are the claystones and mudstones of the Lista Formation._x000D_
_x000D_
• Site 1 also encompasses the Huntington and Everest hydrocarbon fields provide secondary containment._x000D_
_x000D_
• The nature and continuity of the high and low permeability intervals are likely to have a significant influence on the evolution of the CO2 plume.</t>
  </si>
  <si>
    <t xml:space="preserve">The primary source is a detailed storage development plan which included an assessment against a prototype SRMS system.  A 40 year injection duration was modelled, but further storage resource is available.  Low estimate is based upon P90 probabilistic evaluation calibrated to simulation work, Mid estimate is the base case from the development plan and the high estimate comes from an high permeability scenario with a 70 year injection duration. </t>
  </si>
  <si>
    <t>Forties Oil Field</t>
  </si>
  <si>
    <t>Borda, et al.,2017 Provide a simulation for the Forties and Nelson field to understand how capacity can be increased with a brine producers. The simulations used 8 injection wells and 5 production wells aimed at producing 2.2 MMtones/year over a 40 year period. Optimisation was preformed to assess pressure build up. Borda, E.S., Govindan, R., Elahi, N., Korre, A., Durucan, S., 2017, The development of dynamic CO2 injection strategy for the depleted Forties and Nelson oilfield using regression-based multi-objective programming, Energy Procedia, 114, 3335-3342</t>
  </si>
  <si>
    <t>Containment has been considered in CO2Stored. Borda et al., 2017 cite that the reservoir is capped by the Charlie Shale. The depositional environment of a submarine fan created some complex heterogeneities and potential barriers to CO2 movement.</t>
  </si>
  <si>
    <t xml:space="preserve">Source document reports only P50 capacity estimate,  Normal CO2Stored methodologies apply (Volumetric method for saline aquifers and replacement methods for oil and gas fields).  The source documentation contains no further details, but these can be accessed at www.co2stored.co.uk.A dynamic simulation  by Borda et al 2017 (see development plan for citation) is reported in the literature however the absolute volumes are not specified for each site and therefore the source volume is referenced as the storable quantities. The dynamic simulation models the Forties and Nelson Field for simultaneous injection of CO2 and brine production . Storage increased by 125% with brine production .  </t>
  </si>
  <si>
    <t>Assumed Oil and gas replacement</t>
  </si>
  <si>
    <t>Ganymede Gas Field Storage Site</t>
  </si>
  <si>
    <t>Goldeneye Gas Field</t>
  </si>
  <si>
    <t>Shell UK. 2015. “Peterhead CCS Project - Storage Development Plan.”</t>
  </si>
  <si>
    <t>The report documents a detailed FEED programme for a specific Co2 storage development at the Goldeneye depleted gas field.  The development plan was originally designed to support emissions reduction from the Longannet coal power plant,, but was subsequently revised to support a CCS project from the Peterhead power plant.  In 2015 the project was abandoned after the UK Government withdrew significant capital funding support.  The gas field is now undergoing decommissioning.</t>
  </si>
  <si>
    <t>Specific development plan is considered in detail.  This involved re-using the existing wells, platform and pipeline.  The details are documented within the source document.  The project was designed to inject between 10 and 20Mt at a rate of 1Mt per year.</t>
  </si>
  <si>
    <t>Containment has been considered in detail and verified by independent third party technical review.  The site represents one of the best characterised CO2 storage sites in the world.</t>
  </si>
  <si>
    <t>The Source document reports a range of CO2 storage resource estimates including a range which has been delivered from a series of multiple deterministic realisations and simulations runs.  Area is licensed and resources assigned to the Development on hold category pending update of revised development currently being devised.</t>
  </si>
  <si>
    <t>Full detailed simulation model results presented</t>
  </si>
  <si>
    <t>Grid Sandstone Member</t>
  </si>
  <si>
    <t>Grid Sandstone</t>
  </si>
  <si>
    <t xml:space="preserve">This site was assessed as Site No 11 in a portfolio of 20 which were documented as posters in the source study.  Further details are presented in the UK CO2Stored database at www.co2stored.co.uk. </t>
  </si>
  <si>
    <t>The development plan is assumed to commence with a new subsea installation in the vicinity of the Miller field and 5 deviated wells each injecting 1Mt/yr. CO2 would be delivered by the reuse of the MGS pipeline with power and controls supplied from an existing neighbouring platform.   Monitoring will include downhole pressure and DTS.  Full development would incorporate 10 drill centres each with 5 wells connected by 10km infield flowlines</t>
  </si>
  <si>
    <t>An overburden evaluation is reported.  The site is a large extensive deep sea clastic system with some elements of a combined stratigraphic and structural closure in places.   Eocene Horda mudstones.  Containment risk is elevated due to the presence of extensive polygonal faulting .  Key containment risk is associated with legacy well penetrations of which there are a very large number, however well density is relatively low</t>
  </si>
  <si>
    <t>Source Poster contains development plan summary and cost estimate for the initial phase of a large project.  Calculation of storable volumes was based upon the volumetric method/  Probabilistic storable quantities were not reported.</t>
  </si>
  <si>
    <t xml:space="preserve">Calculated by volumetric method using storage efficiency.   </t>
  </si>
  <si>
    <t>Harding Central Oilfield</t>
  </si>
  <si>
    <t>Balder Formation</t>
  </si>
  <si>
    <t xml:space="preserve">This site was assessed as Site No 28 in a portfolio of 20 which were documented as posters in the source study.  Further details are presented in the UK CO2Stored database at www.co2stored.co.uk. </t>
  </si>
  <si>
    <t>The development plan is assumed to commence with a new subsea installation with four deviated subsea wells with power and control supplied by a nearby existing facility.  CO2 delivered through reuse of the MGS pipeline.</t>
  </si>
  <si>
    <t>An overburden evaluation is reported.  Primary seal is the T60 mudstone, a proven seal for hydrocarbons, but with the complexity of sand injection features.    Legacy wells present a moderate containment risk.</t>
  </si>
  <si>
    <t>Hewett Gas Fields Storage Site - 6 Hewett sst</t>
  </si>
  <si>
    <t>BP Exploration Operating Company Limited, 2021, Hewett Conclusive Report, NS051-SS-REP-000-00024</t>
  </si>
  <si>
    <t>Cycle 4 update: This site sits within site CS008 of the UK NSTA license round for CO2 sites in 2023. ENI are the license holders. License awarded 01/07/2023. ENI have proposed a project to start at early as 2027 to help decarbonize the Bacton and Thames Estuary region. The Hewett field was initially assessed as a site for the Net Zero Teesside and Zero Carbon Humber Projects. Endurance was selected over Hewett due to larger capacity, less development cost and less risk of Joule-Thompson cooling effect.</t>
  </si>
  <si>
    <t>As outlined in the source document the following plan was proposed when Hewet was being considered against Endurance. It is not known if this plan still remains for the 2027 project ENI propose for the Bacton and Thames Estuary Region. Total Injection rate of 6Mpta of CO2 transported as liquid through a pipeline. The CO2 would be heated to avoid Joule Thompsons effect. Co2 would arrive at 81 bars to be transported to a reservoir of 4 bars. Four wells single completion type and one slot spare are considered.</t>
  </si>
  <si>
    <t>The Hewett field is an elongate dome overlain by Triassic shales and evaporites which form the primary seal.  With many well penetrations from the exploration and development of this large gas field legacy well risk is considered a key containment risk.  This site has a Lower Bunter Hewett Sandstone reservoir target which sites below and separated from the Upper Bunter Sandstone</t>
  </si>
  <si>
    <t xml:space="preserve">The Hewett Conclusive Report, NS051-SS-REP-000-00024, 2021 provides an update to the status of the Hewett Field as a consideration for part of the Northern Endurance Partnership. An integrated reservoir study by ENI in Annex 0 NS051-RE-STU-434-00001 - Integrated reservoir study report with preliminary screening for CO2, combined with geochemical and geomechanically assessments find this site suitable for CO2 storage and a field capacity evaluated at 180 Mt for the Lower Bunter or Hewett Sandstones. The NZT/NEP estimate this more conservatively at 150 Mt for this interval. </t>
  </si>
  <si>
    <t>Integrated reservoir study and simulation</t>
  </si>
  <si>
    <t>Hewett Gas Fields Storage Site - 9 Bunter sst</t>
  </si>
  <si>
    <t>The Hewett field is an elongate dome overlain by Triassic shales and evaporites which form the primary seal.  With many well penetrations from the exploration and development of this large gas field legacy well risk is considered a key containment risk.  This site has an Upper Bunter  Sandstone reservoir target which sites above  and separated from the Lower Hewett Bunter Sandstone</t>
  </si>
  <si>
    <t xml:space="preserve">The Hewett Conclusive Report, NS051-SS-REP-000-00024, 2021 provides an update to the status of the Hewett Field as a consideration for part of the Northern Endurance Partnership. An integrated reservoir study by ENI in Annex 0 NS051-RE-STU-434-00001 - Integrated reservoir study report with preliminary screening for CO2, combined with geochemical and geomechanical assessments find this site suitable for CO2 storage and a field capacity evaluated at 100 Mt for the Upper Bunter. The NZT/NEP (Net Zero Teesside and Northern Endurance Partnership) is discarding the Upper Bunter </t>
  </si>
  <si>
    <t>Hunter Gas Field Storage Site</t>
  </si>
  <si>
    <t>Hyde Gas Field Storage Site</t>
  </si>
  <si>
    <t>This site sits within the NSTA license block CS018 awarded  to Perenco Production and Carbon Catalyst. The licenced started 01/08/2023. No plans exist yet at the time of cycle 4.</t>
  </si>
  <si>
    <t>Johnston Gas Field Storage Site</t>
  </si>
  <si>
    <t>Leman Gas Field Storage Site</t>
  </si>
  <si>
    <t>Perenco, 2023, The Poseidon Project, https://perenco-ccs.com/the-poseidon-project/ (accessed 16/01/2024)</t>
  </si>
  <si>
    <t xml:space="preserve">This site sits within site CS009 of the UK NSTA license round for CO2 sites in 2023. Perenco UK are the license holders with partner Carbon Catalyst. License awarded 01/07/2023. </t>
  </si>
  <si>
    <t>At cycle 4 there is limited data to update any assessment quantities. Development plans and injection rates are found on the Poseidon Project Website state that state  ultimate storage capacity including the Bunter closure 9 aquifer and other depleted fields is 935 Mt (https://www.energyvoice.com/renewables-energy-transition/ccs/552064/perenco-poseidon-orion-ccs/). Methodology to define this is not documented in literature. It is assumed that capacity studies have been performed by the license holder and therefore remain proprietary.  The Bunter Closure 9 resource  remains unchanged from cycle 1 due to lack of information in the literature on revised estimates for this field in the Poseidon project . There may be a risk of double counting here but as yet there is insufficient  information to verify this. A value of 1.5Mt *25 yrs (37.5) is given as justitfied for development at this site based on initial injection volume plans.. The remaining 897.5 Mt is classed as development unclarified due to lack of a development plan for this volume  until further reporting is available.</t>
  </si>
  <si>
    <t>Little Dotty Bunter Gas Field Storage Site</t>
  </si>
  <si>
    <t>Little Dotty Leman Gas Field Storage Site</t>
  </si>
  <si>
    <t xml:space="preserve">Maureen 1 </t>
  </si>
  <si>
    <t>Maureen Sandstone</t>
  </si>
  <si>
    <t xml:space="preserve">This site was assessed as Site No 13 in a portfolio of 20 which were documented as posters in the source study.  Further details are presented in the UK CO2Stored database at www.co2stored.co.uk. </t>
  </si>
  <si>
    <t>The development plan is assumed to commence with a new subsea installation with five deviated subsea wells with power and control supplied by a nearby existing facility.  Injecting 5Mt/yr in total with CO2 delivered by a new pipeline   Growth potential beyond this includes the Mey and Forties formations.</t>
  </si>
  <si>
    <t>An overburden evaluation is reported.  Primary seal are the Lista formation mudstones.  Petroleum experience suggests that the Lista is not a regionally effective caprock, although may be effective in parts.  Legacy wells present a moderate containment risk.</t>
  </si>
  <si>
    <t>Source Poster contains development plan summary and cost estimate for the initial phase of a large project.  Calculation of storable volumes was based upon the volumetric method/  Probabilistic storable quantities were not reported.  Storable quantities significantly less than CO2 Stored due to thinner gross thickness in this specific area.</t>
  </si>
  <si>
    <t>Calculated by simple dynamic model</t>
  </si>
  <si>
    <t xml:space="preserve">Mey 1 </t>
  </si>
  <si>
    <t xml:space="preserve">This site was assessed as Site No 12 in a portfolio of 20 which were documented as posters in the source study.  Further details are presented in the UK CO2Stored database at www.co2stored.co.uk. </t>
  </si>
  <si>
    <t>The development plan is assumed to commence with a new subsea installation with a single subsea well with power and control supplied by a nearby existing facility.  Growth potential beyond this is limited within the Mey, but could be extended to Maureen and Forties formations.</t>
  </si>
  <si>
    <t>Montrose Oil Field</t>
  </si>
  <si>
    <t>Murdoch Gas Field Storage Site</t>
  </si>
  <si>
    <t>Source document reports only P50 capacity estimate,  Normal CO2Stored methodologies apply (Volumetric method for saline aquifers and replacement methods for oil and gas fields).  The source documentation contains no further details, but these can be accessed at www.co2stored.co.uk.</t>
  </si>
  <si>
    <t>Nelson Oil Field</t>
  </si>
  <si>
    <t xml:space="preserve">Source document reports only P50 capacity estimate,  Normal CO2Stored methodologies apply (Volumetric method for saline aquifers and replacement methods for oil and gas fields).  The source documentation contains no further details, but these can be accessed at www.co2stored.co.uk.A dynamic simulation  by Borda et al 2017 (see development plan for citation) is reported in the literature however the absolute volumes are not specified for each site and therefore the source volume is referenced as the storable quantities. The dynamic simulation models the Forties and Nelson Field model simultaneous injection of CO2 and brine production . Storage increased by 125% with brine production .  </t>
  </si>
  <si>
    <t>Neptune Gas Field Storage Site</t>
  </si>
  <si>
    <t>North Valiant Gas Field Storage Site</t>
  </si>
  <si>
    <t>This site sits within the NSTA license block CS023 awarded in 2023 to Chrysaor Production and BP Exploration. The licenced started 01/09/2023. No plans exist yet at the time of cycle 4.</t>
  </si>
  <si>
    <t>Other Offshore Gas Fields</t>
  </si>
  <si>
    <t>Bentham, M, T Mallows, J Lowndes, and A Green. 2014. “CO2 Storage Evaluation Database (CO2Stored). The UK's online storage atlas.” Energy Procedia 63 (BGS) 5103 - 5113.</t>
  </si>
  <si>
    <t xml:space="preserve">Gas field  storage resource - total 5,000Mt minus 4725Mt.  </t>
  </si>
  <si>
    <t>None Specified</t>
  </si>
  <si>
    <t>The source document provides a summation of storage resource in  the UKCS from CO2Stored from Saline aquifers, chalk, oil and gas fields.   This entry represents the CO2 Storage resource for this groups of sites after the specific sites detailed elsewhere in this listing are removed.  This residual resource is classified here as undiscovered Basin play resource.  This is a significant understatement of resource maturity</t>
  </si>
  <si>
    <t>Other Offshore Oil Fields</t>
  </si>
  <si>
    <t xml:space="preserve">Oilfield storage resource - total 3,000Mt minus 586Mt.  </t>
  </si>
  <si>
    <t>Other Offshore Saline Chalk Aquifers</t>
  </si>
  <si>
    <t xml:space="preserve">Saline clastic storage resource - total 60,000Mt minus 9435.  </t>
  </si>
  <si>
    <t>Other Offshore Saline Sandstone Aquifers</t>
  </si>
  <si>
    <t xml:space="preserve">Saline clastic storage resource - total 61,000Mt minus 9435.  </t>
  </si>
  <si>
    <t>Ravenspurn Gas Field Storage Site</t>
  </si>
  <si>
    <t>Schooner Gas Field Storage Site</t>
  </si>
  <si>
    <t>Trent Gas Field Storage Site</t>
  </si>
  <si>
    <t xml:space="preserve">Cycle 4 update: This site sits within site CS006 of the UK NSTA license round for CO2 sites in 2023. BP and Equinor are the license holders and was awarded on 01/05/2022. </t>
  </si>
  <si>
    <t>Valkyrie Gas Field Storage Site</t>
  </si>
  <si>
    <t>Vampire Gas Field Storage Site</t>
  </si>
  <si>
    <t>Vanguard Gas Field Storage Site</t>
  </si>
  <si>
    <t>Victor Gas Field Storage Site</t>
  </si>
  <si>
    <t>Viking A Storage Site</t>
  </si>
  <si>
    <t>Energy Technologies Institute ETI. 2015. “DECC Storage Appraisal: WP5E - Viking A Storage Development Plan 10113ETIS-Rep-21-03.”</t>
  </si>
  <si>
    <t>Awarded Track 2 Cluster funding by the UK government in 2023. Licensed held By Harbour Energy and BP. Expected to be operational from as early as 2027, assuming government sequencing through its Track 2 process in 2023 and on a Final Investment Decision in 2024</t>
  </si>
  <si>
    <t xml:space="preserve">Harbour expects Viking CCS to start operating in 2027. The company aims to transport and store 10 MM metric tons per year of CO2 by 2030 and up to 15 MM metric tons by 2035.  Viking CCS will reuse existing pipelines and utilise decommissioned gas fields in the Southern North Sea . Detailed development plans are not in the public domain . Further details  on Viking website https://www.vikingccs.co.uk/about_x000D_
</t>
  </si>
  <si>
    <t>There is a high level of confidence that over 130Mt of CO2 can be contained within the Leman Sandstone in the Viking A site._x000D_
_x000D_
• 1000 years after injection has ceased the CO2 plume is still contained within the Viking A structure and the defined storage complex._x000D_
_x000D_
• The primary top seal is provided by a 365m sequence of halites with interbedded anhydrites and carbonates of the Permian Zechstein_x000D_
_x000D_
Group._x000D_
_x000D_
• Underlying the Leman Sandstone is approximately 400 m (1200 ft) of Carboniferous sediments of Westphalian age. These are_x000D_
_x000D_
predominantly shales, clays and siltstone with low permeability. and provide an effective containment feature at the floor of the store._x000D_
_x000D_
• Viking has minimal risk of caprock or fault failure for the modelled stress conditions, reservoir and overburden properties and fault properties. No adverse geochemical reactions are anticipated with the reservoir or caprock that might reduce the formations strength and integrity.</t>
  </si>
  <si>
    <t xml:space="preserve">The primary source is a detailed storage development plan which included an assessment against a prototype SRMS system.  A 26 year injection duration was modelled.  Low estimate is based upon P90 probabilistic estimate from the source document. Mid estimate is the base case from the development plan and the high estimate comes from a calibrated probabilistic storage capacity estimate. Updated storage assessments are not available in the Public domain in Cycle 4. </t>
  </si>
  <si>
    <t>Viking Gas Fields Storage Site</t>
  </si>
  <si>
    <t>Harbour expects Viking CCS to start operating in 2027. The company aims to transport and store 10 MM metric tons per year of CO2 by 2030 and up to 15 MM metric tons by 2035.  Viking CCS will reuse existing pipelines and utilise decommissioned gas fields in the Southern North Sea . Detailed development plans are not in the public domain . Further details  on Viking website https://www.vikingccs.co.uk/about</t>
  </si>
  <si>
    <t>The Viking complex consists is a series of tilted fault blocks separated by large E-W trending normal faults.  The structured are overlain by thick Zechstein evaporites between 182 and 1372m thick which provide an excellent seal.  Key containment risk is associated with legacy wells.</t>
  </si>
  <si>
    <t>Source Poster contains development plan summary and cost estimate for the initial phase of a large project.  Calculation of storable volumes was based upon the replacement method.  Probabilistic storable quantities were not reported.  NOTE that this evaluation also includes Viking A. Updated and detailed storage assessments are not in the public domain for Cycle 4. However, ERCE has independently verified Harbour’s estimate of 300 million tonnes of contingent CO2 storage resources as detailed on the Viking Project website.</t>
  </si>
  <si>
    <t>Viscount Gas Field Storage Site</t>
  </si>
  <si>
    <t>Vixen Gas Field Storage Site</t>
  </si>
  <si>
    <t>Vulcan Gas Field Storage Site</t>
  </si>
  <si>
    <t>United States of America</t>
  </si>
  <si>
    <t>Alabama</t>
  </si>
  <si>
    <t>Alabama State-wide evaluation - Petroleum</t>
  </si>
  <si>
    <t>Resource estimates derived from US DOE Atlas V</t>
  </si>
  <si>
    <t>Not specified. Containment within a depleted field.</t>
  </si>
  <si>
    <t xml:space="preserve">DISCOVERED: INACCESSIBLE (no details of field availability). </t>
  </si>
  <si>
    <t>DOE-NETL Atlas V 2015 - From local knowledge or simulations OR Production method</t>
  </si>
  <si>
    <t>Alabama State-wide evaluation - Saline</t>
  </si>
  <si>
    <t>Undiscovered. Prospective Basin Play. DOE 2015 Resource estimates: Low: 120.22 GT, Mid: 307.34 GT, High: 689.67 GT. Values from Sequence Play (Black Warrior Basin) subtracted to avoid double counting at Undiscovered maturity class. Note Discovered: Sub-commercial storable quantities (e.g. Citronelle project) not subtracted to avoid aggregation across maturity classes.</t>
  </si>
  <si>
    <t>Black Warrior Basin</t>
  </si>
  <si>
    <t>Black Warrior</t>
  </si>
  <si>
    <t>Cambrian-Pennsylvanian (undifferentiated)</t>
  </si>
  <si>
    <t>Storage resource estimate from DOE Atlas V (2015). Site characterisation project of storage resource in Cambrian through Pennsylvanian age rocks (clastic and carbonate). Saline formations represent biggest opportunity with additional options existing in mature oil and gas fields.</t>
  </si>
  <si>
    <t>Not available.</t>
  </si>
  <si>
    <t>Undiscovered. Prospective: Sequence Play</t>
  </si>
  <si>
    <t>Citronelle Project</t>
  </si>
  <si>
    <t>Northeast Gulf Salt</t>
  </si>
  <si>
    <t>Paluxy Formation</t>
  </si>
  <si>
    <t>A SECARB demonstration project. Post-combustion capture at plant with transport to storage reservoir. Injection started Aug 2012. Currently in post-injection monitoring phase.</t>
  </si>
  <si>
    <t>Structural 4-way trap</t>
  </si>
  <si>
    <t>Discovered. Commercial. 114,104 metric tonnes stored.</t>
  </si>
  <si>
    <t>Alaska</t>
  </si>
  <si>
    <t>Alaska State-wide evaluation - Petroleum</t>
  </si>
  <si>
    <t>No storage resource available from DOE Atlas V (2015)</t>
  </si>
  <si>
    <t>DISCOVERED: INACCESSIBLE (no details of field availability): No resource estimate available.</t>
  </si>
  <si>
    <t>Alaska State-wide evaluation - Saline</t>
  </si>
  <si>
    <t>Undiscovered. No resource estimate available.</t>
  </si>
  <si>
    <t>Arizona</t>
  </si>
  <si>
    <t>Arizona State-wide evaluation - Petroleum</t>
  </si>
  <si>
    <t>Storage resource estimates derived from DOE Atlas V (2015)</t>
  </si>
  <si>
    <t>DISCOVERED: INACCESSIBLE (no details of field availability provided). Extremely limited resource. Maximum potential reported at High range: 10Mt</t>
  </si>
  <si>
    <t>Arizona State-wide evaluation - Saline</t>
  </si>
  <si>
    <t>Arkansas</t>
  </si>
  <si>
    <t>Arkansas State-wide evaluation - Petroleum</t>
  </si>
  <si>
    <t>Arkoma</t>
  </si>
  <si>
    <t>Storage resource estimate from DOE Atlas V (2015)</t>
  </si>
  <si>
    <t>DISCOVERED: INACCESSIBLE (no details of field availability provided).</t>
  </si>
  <si>
    <t>Arkansas State-wide evaluation - Saline</t>
  </si>
  <si>
    <t xml:space="preserve">Storage resource estimate from DOE Atlas V (2015). </t>
  </si>
  <si>
    <t>Undiscovered. Prospective: Basin Play.</t>
  </si>
  <si>
    <t>California</t>
  </si>
  <si>
    <t>California State-wide evaluation - Petroleum</t>
  </si>
  <si>
    <t>Discovered: Inaccessible (no field availability details provided).</t>
  </si>
  <si>
    <t>California State-wide evaluation - Saline</t>
  </si>
  <si>
    <t>Storage resource estimate from DOE Atlas V (2015). Basin Play is summed resource derived from regional evaluations by WESTCARB partnership.</t>
  </si>
  <si>
    <t>Undiscovered. Prospective: Basin Play</t>
  </si>
  <si>
    <t>Offshore: Wilmington Graben Project (Miocene)</t>
  </si>
  <si>
    <t>Los Angeles</t>
  </si>
  <si>
    <t>Miocene and Pliocene (un-differentiated)</t>
  </si>
  <si>
    <t>Dressel, B. (2015). Recent Site Characterisation Studies Being Investigated by the Department of Energy (DOE)/National Energy Technology Laboratory (NETL) for Potential Geological Storage of CO2. Retrieved from: http://www.searchanddiscovery.com/documents/2015/80496dressel/ndx_dressel.pdf</t>
  </si>
  <si>
    <t>Regionally-produced 5Mt CO2 emissions. SoCalCarb Research program evaluating Plio-Miocene sediments in Wilmington Graben (LA Basin offshore Long Beach Harbor area). Geomechanics Technologies study previously (?) estimated storage resource. New seismic data acquired plus 2 data wells drilled. No known current evaluation program.</t>
  </si>
  <si>
    <t>4 scenarios simulated based on static geomodel. Injection likely to only be successful into Miocene sands at 2160m depth. Shallow (1500m) Pliocene sands do not retain injected CO2 (where modelled). Single injection well modelled. Updated resource estimate derived from Dressel, B. 2015: http://www.searchanddiscovery.com/documents/2015/80496dressel/ndx_dressel</t>
  </si>
  <si>
    <t>Discovered (2 wells drilled plus existing hydrocarbon province). Dynamic simulation. Storage resource updated 2019 using data for Miocene derived from Dressel 2015. CONTINGENT: DEVELOPMENT NOT VIABLE</t>
  </si>
  <si>
    <t>Colorado</t>
  </si>
  <si>
    <t>Colorado State-wide evaluation - Petroleum</t>
  </si>
  <si>
    <t>Colorado State-wide evaluation - Saline</t>
  </si>
  <si>
    <t>Storage resource estimate from DOE Atlas V (2015). High level resource estimate based on regional evaluations by SWP group.</t>
  </si>
  <si>
    <t>Undiscovered. Prospective: Basin Play. No aggradation adjustments made in 2019 Assessment. Potential for breakdown in future assessments.</t>
  </si>
  <si>
    <t>RMCCS - Rocky Mountain Region</t>
  </si>
  <si>
    <t>Sand Wash - Piceance</t>
  </si>
  <si>
    <t>Entrada Fm</t>
  </si>
  <si>
    <t>Multiple formation evaluation on Colorado Plateau (nr. Craig, CO). Cretaceous Dakota Fm, Jurassic Entrada Fm, Pennsylvanian Weber sst. Potential for extending storage to other sites on CO Plateau. Deep characterisation well drilled: core and log data collected. No published, active evaluation program on-going.</t>
  </si>
  <si>
    <t>Detailed 3D model (based on 2d seismic, multiple well logs, lithological, petrophysical &amp; geochemical analyses) constructed. Injectivity, potential CO2 storage resource and  flow characteristics modelled. No details provided in DOE Atlas V.</t>
  </si>
  <si>
    <t>DISCOVERED. CONTINGENT: DEVELOPED NOT VIABLE</t>
  </si>
  <si>
    <t>Connecticut</t>
  </si>
  <si>
    <t>Connecticut State-wide evaluation - Petroleum</t>
  </si>
  <si>
    <t>DISCOVERED: INACCESSIBLE (no details of field availability provided)</t>
  </si>
  <si>
    <t>Connecticut State-wide evaluation - Saline</t>
  </si>
  <si>
    <t>Undiscovered. No storage resource estimate available for 2019 Assessment.</t>
  </si>
  <si>
    <t>Delaware</t>
  </si>
  <si>
    <t>Delaware State-wide evaluation - Petroleum</t>
  </si>
  <si>
    <t>DISCOVERED: INACCESSIBLE (no details of field availability provided). No storage resource estimate available for 2019 Assessment.</t>
  </si>
  <si>
    <t>Delaware State-wide evaluation - Saline</t>
  </si>
  <si>
    <t>District of Columbia</t>
  </si>
  <si>
    <t>District of Columbia State-wide evaluation - Petroleum</t>
  </si>
  <si>
    <t>District of Columbia State-wide evaluation - Saline</t>
  </si>
  <si>
    <t>Florida</t>
  </si>
  <si>
    <t>Florida State-wide evaluation - Petroleum</t>
  </si>
  <si>
    <t>Florida State-wide evaluation - Saline</t>
  </si>
  <si>
    <t>Storage resource estimate from DOE Atlas V (2015). Further breakdown of source of storage resource may be possible through DOE Regional Partnership SECARB studies.</t>
  </si>
  <si>
    <t>Georgia</t>
  </si>
  <si>
    <t>Georgia State-wide evaluation - Petroleum</t>
  </si>
  <si>
    <t>Undiscovered. No storage resource available for 2019 Assessment.</t>
  </si>
  <si>
    <t>Georgia State-wide evaluation - Saline</t>
  </si>
  <si>
    <t>Hawaii</t>
  </si>
  <si>
    <t>Hawaii State-wide evaluation - Petroleum</t>
  </si>
  <si>
    <t>Hawaii State-wide evaluation - Saline</t>
  </si>
  <si>
    <t>Idaho</t>
  </si>
  <si>
    <t>Idaho State-wide evaluation - Petroleum</t>
  </si>
  <si>
    <t>Idaho State-wide evaluation - Saline</t>
  </si>
  <si>
    <t>Illinois</t>
  </si>
  <si>
    <t>IBDP: Decatur Project</t>
  </si>
  <si>
    <t>Sarkus, T.A. (2015). Illinois Basin Decatur Project and ADM Industrial CCS Demonstration. Retrieved from: https://pubs.naruc.org/pub.cfm?id=4AE5E75F-2354-D714-51B7-59DE74C41F5E</t>
  </si>
  <si>
    <t>Illinois Basin Decatur Project (IBDP) sourced CO2 from an ethanol fermentation plant with injection at the same site. CO2 injection started in Nov 2011 (1000 metric tonnes /day). Goal of 1 Mt injected CO2 met Nov 2014. Up to 10 years post-injection monitoring commenced. Goal was to prove storage potential of Mt Simon sst. Follow-on ICCS project at same location aims to inject up to 5Mt over 3 years starting 2017.</t>
  </si>
  <si>
    <t>Discovered. Capacity: Stored: 1Mt CO2 stored. Note: Mt Simon Sst storage potential estimated at 12-172 Gt.</t>
  </si>
  <si>
    <t>IL ICCS</t>
  </si>
  <si>
    <t>Gollakota, S. &amp; McDonald, S. (2018). Successful demonstration of Illinois Industrial Carbon Capture and Storage in a saline reservoir. Proceedings 2018 AIChE Annual Meeting. Retrieved: https://www.aiche.org/conferences/aiche-annual-meeting/2018/proceeding/paper/329c-successful-demonstration-illinois-industrial-carbon-capture-and-storage-saline-reservoir.  Cycle 5 citation used to update  injected CO2:  Gao, X., &amp; Krevor, S. (2024). The London Register of Subsurface CO₂ Storage: 2024 Annual Report. Imperial College London. https://imperialcollegelondon.github.io/The-London-Register-of-Subsurface-CO2-Storage/</t>
  </si>
  <si>
    <t>DOE Phase 1 &amp; 2 Industrial CCS Program project. At same location as IBDP using CO2 from Archer Daniels ethanol plant and injecting into Mt Simon Sandstone. Currently (2019) the largest saline storage project in the USA. Key is aim is demonstrating cutting edge intelligent monitoring program.</t>
  </si>
  <si>
    <t>1 injection well, 1 monitoring well (plus shallow geophones). Injection well permitted as a UIC Class VI well. 3D geocellular model (48 km x 48 km) used to develop numerical model. History matched using IBDP data. Model used to evaluate plume development and pressure perturbation using planned injection schedule: Year 1: 730,000t, years 2,3 &amp; 4: 1000,000 t (running 52 year simulation period). Up to 5Mt injection over project life.  Plume interaction with IBDP expected.</t>
  </si>
  <si>
    <t>Eau Claire Fm acts as primary seal with secondary seals identified. 50 years of natural gas storage in Mt Simon Sst provides confidence for safe storage. No wells (other than CCS wells) penetrate primary seal.</t>
  </si>
  <si>
    <t>COMMERCIAL: Stored: 640,000t (0.64 Mt; March 2018). On-Injection: 4,360,000 t (4.3 Mt). 2019 value taken from: https://netl.doe.gov/sites/default/files/netl-file/1100-Greenberg-2019-Pittsburgh-MGSC.pdf</t>
  </si>
  <si>
    <t>History-matched model based on 3D geocellular model</t>
  </si>
  <si>
    <t>Illinois Basin (Cambro-Ord Knox Supergroup)</t>
  </si>
  <si>
    <t>Knox Supergroup</t>
  </si>
  <si>
    <t>DOE-funded project carried out by geological surveys in Illinois, Indiana, Michigan and Kentucky looking at storage options as alternatives to Mt Simon Sst. Regional study evaluating potential in Cambro-Ord geological units across Illinois Basin</t>
  </si>
  <si>
    <t>Illinois Basin (Cambro-Ord St Peters Sandstone)</t>
  </si>
  <si>
    <t>St Peters Sandstone</t>
  </si>
  <si>
    <t>Ordovician</t>
  </si>
  <si>
    <t>Illinois State-wide evaluation - Petroleum</t>
  </si>
  <si>
    <t>Illinois State-wide evaluation - Saline</t>
  </si>
  <si>
    <t>Storage resource estimate from DOE Atlas V (2015). Additional, regional, studies undertaken by DOE Midwest Geological Sequestration Consortium (MGSC) will reduce Basin Play resource estimate.</t>
  </si>
  <si>
    <t>Undiscovered. Prospective: Basin Play. Some level of double counting is an issue with the IL, IN, KY &amp; MI state-wide evaluations (summed resource: 239.4 GT) . The DOE-funded regional studies of the Cambro-Ord Knox Supergroup and St Peter's Sst (43 GT) are already included in the state evaluations but are not sub-divided at the state-level. In the  2019 Assessment the resource estimates have been entered without alteration but this should be addressed in future assessments.</t>
  </si>
  <si>
    <t>Indiana</t>
  </si>
  <si>
    <t>Indiana State-wide evaluation - Petroleum</t>
  </si>
  <si>
    <t>Indiana State-wide evaluation - Saline</t>
  </si>
  <si>
    <t>Iowa</t>
  </si>
  <si>
    <t>Iowa State-wide evaluation - Petroleum</t>
  </si>
  <si>
    <t>Forest City</t>
  </si>
  <si>
    <t>Undiscovered. No storage resource estimate available for the 2019 Assessment.</t>
  </si>
  <si>
    <t>Iowa State-wide evaluation - Saline</t>
  </si>
  <si>
    <t>Kansas</t>
  </si>
  <si>
    <t>Arbuckle Group Dual Injection Project</t>
  </si>
  <si>
    <t>Anadarko - Hugoton</t>
  </si>
  <si>
    <t>Arbuckle Group</t>
  </si>
  <si>
    <t>Storage resource estimate from DOE Atlas V (2015). Pilot injection into Arbuckle Gp sandstones and dolomites sitting below Mississippian oil reservoirs. Test of combined geological storage in saline aquifer and CO2-EOR in oil field. 26sqkm 3D seismic, 488m core plus wireline data from 2 characterisation wells available. Injection into saline aquifer did not take place (well permit denied). 20,000 t injected into oil field for EOR.</t>
  </si>
  <si>
    <t>1 injection well (Class VI) for injection into saline aquifer. I injection well (Class 2) for CO2-EOR in overlying oil reservoir. Project plan: 40,000 t CO2 injected into saline aquifer plus 30,000 t into overlying oil reservoir for EOR. Plume simulation model reported.</t>
  </si>
  <si>
    <t>Saline aquifer section sits below Mississippian oil reservoirs with proven seals.</t>
  </si>
  <si>
    <t>DISCOVERED: Inaccessible (no well permit)</t>
  </si>
  <si>
    <t>Kansas State-wide evaluation - Petroleum</t>
  </si>
  <si>
    <t>Kansas State-wide evaluation - Saline</t>
  </si>
  <si>
    <t>Kentucky</t>
  </si>
  <si>
    <t>Kentucky State-wide evaluation - Petroleum</t>
  </si>
  <si>
    <t>Kentucky State-wide evaluation - Saline</t>
  </si>
  <si>
    <t>Louisiana</t>
  </si>
  <si>
    <t>Louisiana State-wide evaluation - Petroleum</t>
  </si>
  <si>
    <t>Louisiana State-wide evaluation - Saline</t>
  </si>
  <si>
    <t>Storage resource estimate from DOE Atlas V (2015). Large resource potential estimate derived from DOE-funded studies by SECARB. More detailed breakdown in SECARB regional studies.</t>
  </si>
  <si>
    <t>Maine</t>
  </si>
  <si>
    <t>Maine State-wide evaluation - Petroleum</t>
  </si>
  <si>
    <t>Undiscovered. No resource estimate available for 2019 Assessment.</t>
  </si>
  <si>
    <t>Maine State-wide evaluation - Saline</t>
  </si>
  <si>
    <t>Maryland</t>
  </si>
  <si>
    <t>Maryland State-wide evaluation - Petroleum</t>
  </si>
  <si>
    <t>Storage resource estimate from DOE Atlas V (2015</t>
  </si>
  <si>
    <t>Maryland State-wide evaluation - Saline</t>
  </si>
  <si>
    <t>Storage resource estimate from DOE Atlas V (2015). Future assessment should update entries with data from DOE-funded studies.</t>
  </si>
  <si>
    <t>Massachusetts</t>
  </si>
  <si>
    <t>Massachusetts State-wide evaluation - Petroleum</t>
  </si>
  <si>
    <t>Massachusetts State-wide evaluation - Saline</t>
  </si>
  <si>
    <t>Michigan Basin (Cambro-Ord St Peters Sandstone)</t>
  </si>
  <si>
    <t>Michigan Basin Niagaran Pinnacle Reef Trend Project</t>
  </si>
  <si>
    <t>Niagaran Reef Trend</t>
  </si>
  <si>
    <t>Silurian</t>
  </si>
  <si>
    <t>Mawalkar, S., Burchwell, A., Gupta, N., Place, M., Kelley, M., Winecki, S., Mannes, R. and Pardini, R. 2018. “Achieving 1 million metric ton stored; measurement and accounting for net CO2 injection in a CO2-EOR complex.” 14th International Conference on Greenhouse Gas Control Technologies. Melbourne, Australia.</t>
  </si>
  <si>
    <t>Storage resource estimate from DOE Atlas V (2015). Project examining injection of CO2 into northern (Michigan) Pinnacle Reef Trend oilfields. Series of closely-spaced, high compartmentalised reef structures. Produced oil and gas since 1960's with most fields near economic limit for primary production. Project leverages existing EOR operations to assess CO2 storage potential. Estimated storage potential of reefs: several hundred million tonnes.</t>
  </si>
  <si>
    <t>Project tested injection into 8 field at varying stages of field life cycle: 1 late stage (highly depleted, 6 active EOR, 1 recently put under primary production. Late stage reef (Dover 33) : 1 injection well plus 2 MVA wells. Injection of 271,000 took place between 2013-2016. Rate dependent on CO2 supply. EOR on-going.</t>
  </si>
  <si>
    <t>Proven oil and gas fields.</t>
  </si>
  <si>
    <t>Commercial: Stored 0.27 Mt (271,000t); 2021 values from website: "stored 1,732,500 metric tonnes;" https://www.midwestccus.org/our-projects/ ; also cited in this paper: https://papers.ssrn.com/sol3/papers.cfm?abstract_id=3820174</t>
  </si>
  <si>
    <t>Michigan State-wide evaluation - Petroleum</t>
  </si>
  <si>
    <t xml:space="preserve">DISCOVERED: INACCESSIBLE (no details of field availability provided). </t>
  </si>
  <si>
    <t>Michigan State-wide evaluation - Saline</t>
  </si>
  <si>
    <t>Undiscovered. Prospective: Basin Play. DOE State-wide evaluation: Low: 31550 Mt, Mid: 45560 Mt, High: 66200 Mt. Michigan Basin Sequence Play: Cambro-Ord St Peters Sst (Mid range: 15400 Mt) subtracted from Basin Play estimate to avoid double counting within the same maturity class.</t>
  </si>
  <si>
    <t>Minnesota</t>
  </si>
  <si>
    <t>Minnesota State-wide evaluation - Petroleum</t>
  </si>
  <si>
    <t>Minnesota State-wide evaluation - Saline</t>
  </si>
  <si>
    <t>Mississippi</t>
  </si>
  <si>
    <t>Mississippi State-wide evaluation - Petroleum</t>
  </si>
  <si>
    <t>Mississippi State-wide evaluation - Saline</t>
  </si>
  <si>
    <t>Storage resource estimate from DOE Atlas V (2015). Large resource potential estimate is a high level summation derived from DOE-funded SECARB studies.</t>
  </si>
  <si>
    <t>Missouri</t>
  </si>
  <si>
    <t>Missouri State-wide evaluation - Petroleum</t>
  </si>
  <si>
    <t>Missouri State-wide evaluation - Saline</t>
  </si>
  <si>
    <t>Montana</t>
  </si>
  <si>
    <t>Bowdoin Dome</t>
  </si>
  <si>
    <t>Storage resource estimate from DOE Atlas V (2015). High level resource estimate. Potential storage in saline aquifer below hydrocarbon-producing dome.</t>
  </si>
  <si>
    <t>Duperow Fm, Williston Basin</t>
  </si>
  <si>
    <t>Duperow Formation</t>
  </si>
  <si>
    <t>Regional evaluation from DOE Atlas V. Part of DOE-funded BSCSP study.</t>
  </si>
  <si>
    <t>Duperow Fm: North-Central Montana</t>
  </si>
  <si>
    <t xml:space="preserve">DOE (BSCSP) funded study on storage resource potential in Duperow Formation. </t>
  </si>
  <si>
    <t>Kevin Dome</t>
  </si>
  <si>
    <t>Originally a BSCSP DOE Phase III project (North-Central Montana) aimed at extracting naturally-occurring CO2 from Duperow FM at top of dome and re-injecting in brine-filled lower reservoir (1Mt/year). 3D seismic acquired and two data wells drilled but project focus changed after formation water discovered to have &lt;10,000ppm TDS (also contains H2S). Updated (from 2014) dynamic simulation reduced max. mass of CO2 which can be injected over a 4 year period to be 1.2Mt (down from 5Mt).</t>
  </si>
  <si>
    <t xml:space="preserve">Discovered: 2 data wells drilled plus pre-existing wells down to injection zone depth. IRAP model using 1 injector built. Inaccessible due to low (&lt;10000 ppm TDS) brine salinity. </t>
  </si>
  <si>
    <t>Montana State-wide evaluation - Petroleum</t>
  </si>
  <si>
    <t>Montana State-wide evaluation - Saline</t>
  </si>
  <si>
    <t>Storage resource estimate from DOE Atlas V (2015). Montana has been heavily studied by the DOE-funded regional partnerships (BSCSP and PCOR) which have identified several potential storage resources recorded in the  SRMS database at the  Sequence Play level.</t>
  </si>
  <si>
    <t xml:space="preserve">Undiscovered. DOE state-wide resource estimates: Low: 98.21 GT, Mid: 335.74 GT, High: 856.92 GT. 2019 Assessment resource estimate entered as a null value to avoid double counting with DOE-funded regional studies (Sequence Plays) in the  same SRMS maturity classification. </t>
  </si>
  <si>
    <t>Porcupine Dome</t>
  </si>
  <si>
    <t>Colorado Group</t>
  </si>
  <si>
    <t>Storage resource estimate from DOE Atlas V (2015). No project details located for 2019 Assessment. One of several domes in Montana which have been investigated for CO2 storage potential in the saline aquifers below hydrocarbon-bearing domes.</t>
  </si>
  <si>
    <t xml:space="preserve">Undiscovered: Prospective: Sequence Play. </t>
  </si>
  <si>
    <t>Nebraska</t>
  </si>
  <si>
    <t>Maha Regional Aquifer</t>
  </si>
  <si>
    <t>Denver</t>
  </si>
  <si>
    <t>Maha Formation</t>
  </si>
  <si>
    <t>Glazewski, K.A., Grove, M.M, Peck, W.D., Gorecki, C.D., Steadman, E.N. &amp; Harju, J.A. (2015). Characterisation of the PCOR partnership Region. Plains CO2 Reduction (PCOR) Partnership Phase III Value-Added Report. Prepared for NETL. Retrieved from: DOE-NETL. (2015). Carbon Storage Atlas V. US Department of Energy.</t>
  </si>
  <si>
    <t>PCOR study (DOE-funded) reports on 2D geocellular model for several saline aquifers within PCOR area. Maha Formation is a L. Cretaceous aquifer and is the deepest aquifer present in NE Nebraska. Storage resource estimate derived from table of values in Glaweski et al paper.</t>
  </si>
  <si>
    <t>UNDISCOVERED: Prospective Sequence</t>
  </si>
  <si>
    <t>2D static</t>
  </si>
  <si>
    <t>Gorecki et al. (IEAGHG) volumetric method as reported in DOE Atlas III &amp; IV. Cut-offs: 'no 'unconfined' areas of saline system, CO2 in dense phase (&gt;800m depth), salinity &lt;10,000 mg/L TDS. Storage efficiency coefficients from DOE atlas applied(for clastic sediments). Low: 0.51%, Mid: 2.0%. High: 5.5%.</t>
  </si>
  <si>
    <t>Nebraska State-wide evaluation - Petroleum</t>
  </si>
  <si>
    <t>Nebraska State-wide evaluation - Saline</t>
  </si>
  <si>
    <t>Undiscovered. Prospective: Basin Play. DOR state-wide resource estimates: Low: 23.65 GT, Mid: 54.47 GT, High: 111.91 GT. Regional (Maha Fm, L.Cretaceous Aquifer; Mid: 39.5 GT) resource estimate to avoid double counting within the same SRMS maturity class.</t>
  </si>
  <si>
    <t>Nevada</t>
  </si>
  <si>
    <t>Nevada State-wide evaluation - Petroleum</t>
  </si>
  <si>
    <t>Undiscovered. No resource estimate available for the 2019 Assessment.</t>
  </si>
  <si>
    <t>Nevada State-wide evaluation - Saline</t>
  </si>
  <si>
    <t>New Hampshire</t>
  </si>
  <si>
    <t>New Hampshire State-wide evaluation - Petroleum</t>
  </si>
  <si>
    <t>New Hampshire State-wide evaluation - Saline</t>
  </si>
  <si>
    <t>New Jersey</t>
  </si>
  <si>
    <t>New Jersey State-wide evaluation - Petroleum</t>
  </si>
  <si>
    <t>New Jersey State-wide evaluation - Saline</t>
  </si>
  <si>
    <t>New Mexico</t>
  </si>
  <si>
    <t>New Mexico State-wide evaluation - Petroleum</t>
  </si>
  <si>
    <t>New Mexico State-wide evaluation - Saline</t>
  </si>
  <si>
    <t>New York</t>
  </si>
  <si>
    <t>New York State-wide evaluation - Petroleum</t>
  </si>
  <si>
    <t>New York State-wide evaluation - Saline</t>
  </si>
  <si>
    <t>North Carolina</t>
  </si>
  <si>
    <t>North Carolina State-wide evaluation - Petroleum</t>
  </si>
  <si>
    <t>North Carolina State-wide evaluation - Saline</t>
  </si>
  <si>
    <t>North Dakota</t>
  </si>
  <si>
    <t>North Dakota State-wide evaluation - Petroleum</t>
  </si>
  <si>
    <t>North Dakota State-wide evaluation - Saline</t>
  </si>
  <si>
    <t xml:space="preserve">Undiscovered. Prospective: Basin Play. DOE resource estimates: Low: 71.94 GT, Mid: 136.50 GT, High: 234.71 GT. 2019 Assessment resource estimate entered as a null value to avoid double counting with DOE-funded regional studies (Sequence Plays) in the  same SRMS maturity classification. </t>
  </si>
  <si>
    <t>Red River Regional Aquifer</t>
  </si>
  <si>
    <t>Red River Formation</t>
  </si>
  <si>
    <t>Upper Ordovician</t>
  </si>
  <si>
    <t>PCOR study (DOE-funded) reports on 3D geocellular model for several saline aquifers within PCOR area. Red River Formation is a Palaeozoic dolostone aquifer present in west-central North Dakota. The aquifer was studied as part of the  DOE-funded Washburn Study. Storage resource estimate derived from table of values in Glaweski et al paper.</t>
  </si>
  <si>
    <t>Ohio</t>
  </si>
  <si>
    <t>Ohio State-wide evaluation - Petroleum</t>
  </si>
  <si>
    <t>Ohio State-wide evaluation - Saline</t>
  </si>
  <si>
    <t>Oklahoma</t>
  </si>
  <si>
    <t>Oklahoma State-wide evaluation - Petroleum</t>
  </si>
  <si>
    <t>Oklahoma State-wide evaluation - Saline</t>
  </si>
  <si>
    <t>Oregon</t>
  </si>
  <si>
    <t>Oregon State-wide evaluation - Petroleum</t>
  </si>
  <si>
    <t>Oregon State-wide evaluation - Saline</t>
  </si>
  <si>
    <t>Storage resource estimate from DOE Atlas V (2015).</t>
  </si>
  <si>
    <t>Pennsylvania</t>
  </si>
  <si>
    <t>Pennsylvania State-wide evaluation - Petroleum</t>
  </si>
  <si>
    <t>Pennsylvania State-wide evaluation - Saline</t>
  </si>
  <si>
    <t>Puerto Rico</t>
  </si>
  <si>
    <t>Puerto Rico State-wide evaluation - Petroleum</t>
  </si>
  <si>
    <t>Puerto Rico State-wide evaluation - Saline</t>
  </si>
  <si>
    <t>Rhode Island</t>
  </si>
  <si>
    <t>Rhode Island State-wide evaluation - Petroleum</t>
  </si>
  <si>
    <t>Rhode Island State-wide evaluation - Saline</t>
  </si>
  <si>
    <t>South Carolina</t>
  </si>
  <si>
    <t>South Carolina State-wide evaluation - Petroleum</t>
  </si>
  <si>
    <t>South Carolina State-wide evaluation - Saline</t>
  </si>
  <si>
    <t>Undiscovered. Prospective: Basin Play. Sub-commercial storable quantities have been identified in the S. Georgia Rift Basin (30 Mt) but are not subtracted here. This may result in a small  double counting effect.</t>
  </si>
  <si>
    <t>South Georgia Rift Basin</t>
  </si>
  <si>
    <t>Unnamed</t>
  </si>
  <si>
    <t>Storage resource estimate from DOE Atlas V (2015). Study of Mesozoic S. Georgia Rift Basin (extends from South Carolina into Georgia). 325 km 2D seismic &amp; 1sq. mile 3D in SC. No known, active evaluation program.</t>
  </si>
  <si>
    <t>No details provided although DOE Atlas V mentions a numerical simulation model developed to investigate feasibility of injecting 30 Mt into Jurassic/Triassic sediments. Additional details provided by: http://www.searchanddiscovery.com/documents/2015/80496dressel/ndx_dressel</t>
  </si>
  <si>
    <t xml:space="preserve">Preliminary study indicates multiple horizons with areal extent to store CO2, including mafic diabase units. </t>
  </si>
  <si>
    <t>PARTLY DISCOVERED. Contingent: Development Not Viable.</t>
  </si>
  <si>
    <t>Not available</t>
  </si>
  <si>
    <t>South Dakota</t>
  </si>
  <si>
    <t>South Dakota State-wide evaluation - Petroleum</t>
  </si>
  <si>
    <t>South Dakota State-wide evaluation - Saline</t>
  </si>
  <si>
    <t>Undiscovered. Prospective Basin Play DOE resource estimates: Low: 3.70 GT, Mid: 7.04 GT, High: 12.75 GT. 2019 Assessment entered as a null value to avoid double counting in same SRMS maturity class with resource estimates from DOE-funded regional studies (Sequence Plays).</t>
  </si>
  <si>
    <t>Tennessee</t>
  </si>
  <si>
    <t>Tennessee State-wide evaluation - Petroleum</t>
  </si>
  <si>
    <t>Tennessee State-wide evaluation - Saline</t>
  </si>
  <si>
    <t>Texas</t>
  </si>
  <si>
    <t>Farnsworth Unit</t>
  </si>
  <si>
    <t>Upper Morrow Formation</t>
  </si>
  <si>
    <t>Pennsylvanian</t>
  </si>
  <si>
    <t>DOE Phase III project undertaken by SWP group. Investigation of a current EOR project. Aim: permanently sequester 1Mt CO2 in an active EOR project. Data available: 110 km2 (42 sq mile) 3D, repeat 3D VSP surveys in injection wells. Note: Quarterly reports state that as of September 2018 the Phase III CO2 storage project did not meet its target of 1Mt but that this goal was met over the course of CO2 injection since 2010 with over 2Mt CO2 injected into the  field. No indication of recycled volume.</t>
  </si>
  <si>
    <t>13 active CO2 injection wells. 3 additional site characterisation and monitoring wells. Primary objective: inject and monitor 1Mt CO2 over 5 years (190,000t/yr; equivalent: 10MMscf/day). Simulation model built. History-matched to primary and secondary production. project also developing fully coupled simulation with numerical-multifluid hydrologic-heat transport-reactive transport- geomechanical capabilities.</t>
  </si>
  <si>
    <t>Actively producing oil field (under tertiary recovery). Overlying seal: Morrow Shale. Some faults interpreted from 3D seismic but these are not expected to compromise sealing performance.</t>
  </si>
  <si>
    <t>Discovered: Commercial. Stored: 1Mt. Preliminary assessment indicates &gt;25 Mt storage capacity. Contingent: Development Not Viable: 24 Mt as no clear non-EOR related storage plan or dedicated permits for geological storage of CO2.</t>
  </si>
  <si>
    <t>Texas State-wide evaluation - Petroleum</t>
  </si>
  <si>
    <t>Texas State-wide evaluation - Saline</t>
  </si>
  <si>
    <t xml:space="preserve">Storage resource estimate from DOE Atlas V (2015). Very large, high level resource potential estimate derived from DOE-funded regional studies by SECARB and SWP. </t>
  </si>
  <si>
    <t>Undiscovered. Prospective Basin Play</t>
  </si>
  <si>
    <t>US Federal Offshore</t>
  </si>
  <si>
    <t>US Federal Offshore State-wide evaluation - Petroleum</t>
  </si>
  <si>
    <t>Storage resource estimate from DOE Atlas V (2015). No details of specific fields/projects provided. Fields located along Atlantic, Gulf and West coasts. Geographical location in database based on Washington D.C. location.</t>
  </si>
  <si>
    <t>US Federal Offshore State-wide evaluation - Saline</t>
  </si>
  <si>
    <t xml:space="preserve">Storage resource estimate from DOE Atlas V (2015). Study areas are located along Atlantic, Gulf and West coasts. </t>
  </si>
  <si>
    <t>Undiscovered. Prospective: Basin Plays</t>
  </si>
  <si>
    <t>US Federal Onshore</t>
  </si>
  <si>
    <t>Broom Creek Regional Aquifer</t>
  </si>
  <si>
    <t>Broom Creek Formation</t>
  </si>
  <si>
    <t>PCOR study (DOE-funded) reports on 3D geocellular model for several saline aquifers within PCOR area. Broom Creek is a Pennsylvanian-Permian, laterally-extensive sandstone sitting above the Minnelusa aquifer system in North and South Dakota. The aquifer was studied as part of the  DOE-funded Washburn Study. Storage resource estimate derived from table of values in Glaweski et al paper.</t>
  </si>
  <si>
    <t>Overlain by Opeche Formation - a thick anhydritic shale.</t>
  </si>
  <si>
    <t>UNDISCOVERED. Prospective: Sequence Play</t>
  </si>
  <si>
    <t>3D geocellular model</t>
  </si>
  <si>
    <t>Cambro-Ord Saline System: US Regional</t>
  </si>
  <si>
    <t>Liu, G., Peck, W.D., Braunberger, J.R., Klenner, R.C., Gorecki, C.D., Steadman, E.N. &amp; Harju, J.A. (2014). “Evaluation of large-scale carbon dioxide storage potential in the basal saline system in the Alberta and Williston Basins in North America.” Energy Procedia 63 2911-2920.</t>
  </si>
  <si>
    <t>Liu et al reports on results of COSS system-wide 3D geocellular model of Alberta and Williston basins. Total static resource estimate for USA/Canada (P50): 373 Gt. Estimated fraction of resource in USA: 24.78% (Peck et al, 2013). The Cambro-Ord Basal Sand is present in Montana, North &amp; South Dakota and NE Wyoming. Additional (2015) PCOR report gives P50 resource estimate of 420 GT but uses extremely high storage efficiency factors (P50: 14%) but provides no supporting information. In this Assessment the lower 9.1% value for E applied by Liu et al. (2014) is preferred.</t>
  </si>
  <si>
    <t>None reported for USA sector of COSS model.</t>
  </si>
  <si>
    <t>Note: Basal sand crops out in SD and Mt</t>
  </si>
  <si>
    <t>UNDISCOVERED: Prospective: Sequence Play</t>
  </si>
  <si>
    <t>Gorecki et al. (IEAGHG) volumetric method as reported in DOE Atlas III &amp; IV. Cut-offs: 'no 'unconfined' areas of saline system, CO2 in dense phase (&gt;800m depth), salinity &lt;10,000 mg/L, &gt;10 porosity. E factors applied: P10: 4.7%, P50: 9.1%, P90: 15.6%</t>
  </si>
  <si>
    <t>Inyan Kara Regional Aquifer</t>
  </si>
  <si>
    <t>Inyan Kara Formation</t>
  </si>
  <si>
    <t>PCOR study (DOE-funded) reports on 2D geocellular model for several saline aquifers within PCOR area. Inyan Kara Formation (part of Dakota Group) is a L. Cretaceous aquifer comprising marginal marine and non-marine clastics present in western North Dakota. The aquifer was studied as part of the  DOE-funded Washburn Study. Storage resource estimate derived from table of values in Glaweski et al paper.</t>
  </si>
  <si>
    <t>2D static model</t>
  </si>
  <si>
    <t>Mission Canyon Regional Aquifer</t>
  </si>
  <si>
    <t>Mission Canyon Formation</t>
  </si>
  <si>
    <t>Mississippian</t>
  </si>
  <si>
    <t>PCOR study (DOE-funded) reports on 3D geocellular model for several saline aquifers within PCOR area. Mission Canyon Formation (formerly Madison Limestone Formation) is an extensive Mississippian aquifer present in Montana, and North &amp; South Dakota. Storage resource estimate derived from table of values in Glaweski et al paper.</t>
  </si>
  <si>
    <t>3D geocellular</t>
  </si>
  <si>
    <t>Utah</t>
  </si>
  <si>
    <t>Utah State-wide evaluation - Petroleum</t>
  </si>
  <si>
    <t>Utah State-wide evaluation - Saline</t>
  </si>
  <si>
    <t>Vermont</t>
  </si>
  <si>
    <t>Vermont State-wide evaluation - Petroleum</t>
  </si>
  <si>
    <t>Vermont State-wide evaluation - Saline</t>
  </si>
  <si>
    <t>Virginia</t>
  </si>
  <si>
    <t>Virginia State-wide evaluation - Petroleum</t>
  </si>
  <si>
    <t>Virginia State-wide evaluation - Saline</t>
  </si>
  <si>
    <t>Washington</t>
  </si>
  <si>
    <t>Washington State-wide evaluation - Petroleum</t>
  </si>
  <si>
    <t>Washington State-wide evaluation - Saline</t>
  </si>
  <si>
    <t>Storage resource estimate from DOE Atlas V (2015). Large storage resource estimate should be investigated further in future assessments.</t>
  </si>
  <si>
    <t>West Virginia</t>
  </si>
  <si>
    <t>West Virginia State-wide evaluation - Petroleum</t>
  </si>
  <si>
    <t>West Virginia State-wide evaluation - Saline</t>
  </si>
  <si>
    <t>Wisconsin</t>
  </si>
  <si>
    <t>Wisconsin State-wide evaluation - Petroleum</t>
  </si>
  <si>
    <t>Wisconsin State-wide evaluation - Saline</t>
  </si>
  <si>
    <t>Wyoming</t>
  </si>
  <si>
    <t>Minnelusa Regional Aquifer</t>
  </si>
  <si>
    <t>Powder River</t>
  </si>
  <si>
    <t>Minnelusa Formation</t>
  </si>
  <si>
    <t>PCOR study (DOE-funded) reports on 3D geocellular model for several saline aquifers within PCOR area. Minnelusa Formation is a Permian aquifer in the Powder River Basin in NE Wyoming. Storage resource estimate derived from table of values in Glaweski et al paper.</t>
  </si>
  <si>
    <t>WY-CUSP</t>
  </si>
  <si>
    <t>Green River</t>
  </si>
  <si>
    <t>Weber Sst, Tensleep Sst, Madison Lst</t>
  </si>
  <si>
    <t>Surdam, R.C. (2013).The WY-CUSP Program: Working to deliver a certified commercial CO2 storage site to Wyoming. Carbon Management Institute. Retrieved from: https://www.netl.doe.gov/sites/default/files/event-proceedings/2013/carbon%20storage/4-20-WYCUSP_08-2013_Surdam.pdf</t>
  </si>
  <si>
    <t>Storage resource estimate from DOE Atlas V (2015). Evaluation of Pennsylvanian Weber and Tensleep Ssts and Mississippian Madison Lst at the Rock Springs Uplift (Greater Green River Basin in SW WY). Stratigraphic test and data well drilled plus 3D seismic acquired. No known, current evaluation program.</t>
  </si>
  <si>
    <t>3D static model developed of reservoir and seal units. Plume migration simulations undertaken. In-situ (small-scale) water injectivity measurements made.</t>
  </si>
  <si>
    <t>5 identified seals below potable water aquifer</t>
  </si>
  <si>
    <t>DISCOVERED. CONTINGENT DEVELOPMENT NOT VIABLE.</t>
  </si>
  <si>
    <t>Wyoming State-wide evaluation - Petroleum</t>
  </si>
  <si>
    <t>Wyoming State-wide evaluation - Saline</t>
  </si>
  <si>
    <t>Storage resource estimate from DOE Atlas V (2015). Very large storage resource estimates at the  Basin scale should be investigated and broken down further in future assessments.</t>
  </si>
  <si>
    <t>Undiscovered. Prospective: Basin Play. DOE resource estimates Low: 146.34 GT, Mid: 570.92 GT, High: 1539.56 GT. Storage resource estimate for regional (Sequence Play) Minnelusa Fm (Powder River Basin) are subtracted at the Mid range to avoid double counting.</t>
  </si>
  <si>
    <t>South Sumatra gas field no.3</t>
  </si>
  <si>
    <t>Asian Development Bank, “Prospects for Carbon Capture and Storage in Southeast Asia,” Mandaluyong City, Philippines, 2013.</t>
  </si>
  <si>
    <t>Discovered: inaccessible. Inaccessible due to lack of regulatory regime for CCS. Resource value taken from Figure A1.5 in Asian Development Bank, 2013. Details of field locations from Fig.5-1. Recovery factors used to estimate storage resource.</t>
  </si>
  <si>
    <t>South Sumatra gas field no.7c</t>
  </si>
  <si>
    <t>Gasfield</t>
  </si>
  <si>
    <t>South Sumatra gas field no.8</t>
  </si>
  <si>
    <t>South Sumatra gas field no.11</t>
  </si>
  <si>
    <t>South Sumatra gas field no.20</t>
  </si>
  <si>
    <t>South Sumatra gas field no.24</t>
  </si>
  <si>
    <t>Kazakhstan</t>
  </si>
  <si>
    <t>Precaspian Basin</t>
  </si>
  <si>
    <t>Precaspian Basin - oil reservoirs</t>
  </si>
  <si>
    <t>Precaspian</t>
  </si>
  <si>
    <t>Y. Abuov, N. Seisenbayev, and W. Lee, “CO2 storage potential in sedimentary basins of Kazakhstan,” Int. J. Greenh. Gas Control, vol. 103, no. May, p. 103186, 2020, doi: 10.1016/j.ijggc.2020.103186.</t>
  </si>
  <si>
    <t>None.</t>
  </si>
  <si>
    <t>Discovered: inaccessible. Theoretical volumetric calc from Bachu and Shaw, 2005</t>
  </si>
  <si>
    <t>Cycle 3</t>
  </si>
  <si>
    <t>JM</t>
  </si>
  <si>
    <t>Theoretical Volumetric</t>
  </si>
  <si>
    <t>Precaspian Basin - gas reservoirs</t>
  </si>
  <si>
    <t>Precaspian Basin - Cretaceous aquifers</t>
  </si>
  <si>
    <t>Mid Cretaceous</t>
  </si>
  <si>
    <t>Undiscovered: inaccessible. p10 storage efficiency values from US DOE Monte Carlo simulations for clastic / dolomite / limestone reservoirs</t>
  </si>
  <si>
    <t>Precaspian Basin - Jurassic aquifers</t>
  </si>
  <si>
    <t>Precaspian Basin - Triassic aquifers</t>
  </si>
  <si>
    <t>Precaspian Basin - Permian aquifers</t>
  </si>
  <si>
    <t>Precaspian Basin - Carboniferous aquifers</t>
  </si>
  <si>
    <t>Mangyshlak Basin</t>
  </si>
  <si>
    <t>Mangyshlak Basin - gas reservoirs</t>
  </si>
  <si>
    <t>Mangyshlak - Ustyurt</t>
  </si>
  <si>
    <t>Discovered: inaccessible. Theoretical volumetric calc from Bachu and Shaw, 2005; Porosity range 3-20%; Permeability range 200-300 mD</t>
  </si>
  <si>
    <t>Mangyshlak Basin - Lower-Middle Jurassic aquifers</t>
  </si>
  <si>
    <t>Mangyshlak Basin - Triassic aquifers</t>
  </si>
  <si>
    <t>South Torgay Basin</t>
  </si>
  <si>
    <t>South Torgay Basin - gas reservoirs</t>
  </si>
  <si>
    <t>Turgay</t>
  </si>
  <si>
    <t>Discovered: inaccessible. Theoretical volumetric calc from Bachu and Shaw, 2005; Porosity range 15-35%; Permeability range 20-850 mD</t>
  </si>
  <si>
    <t>South Torgay Basin - Middle Upper Jurassic aquifers</t>
  </si>
  <si>
    <t>Ustyurt Basin</t>
  </si>
  <si>
    <t>Ustyurt Basin - gas reservoirs</t>
  </si>
  <si>
    <t>North Ustyurt</t>
  </si>
  <si>
    <t>Discovered: inaccessible. Theoretical volumetric calc from Bachu and Shaw, 2005; Porosity range 22-29%; Permeability range 10s-100s mD</t>
  </si>
  <si>
    <t>Ustyurt Basin - Jurassic (Buzachi) aquifers</t>
  </si>
  <si>
    <t>Ustyurt Basin - Middle Jurassic (area outside Buzachi)</t>
  </si>
  <si>
    <t>Cha-Sarysu Basin</t>
  </si>
  <si>
    <t>Cha-Sarysu Basin - gas reservoirs</t>
  </si>
  <si>
    <t>Chu Sarysu</t>
  </si>
  <si>
    <t>Discovered: inaccessible. Theoretical volumetric calc from Bachu and Shaw, 2005; Porosity range 3-21.6%; Permeability range 1-46 mD</t>
  </si>
  <si>
    <t>Cha-Sarysu Basin - Carboniferous aquifers</t>
  </si>
  <si>
    <t>Cha-Sarysu Basin - Upper Devonian aquifers</t>
  </si>
  <si>
    <t>Zaysan Basin</t>
  </si>
  <si>
    <t>Zaysan Basin - gas reservoirs</t>
  </si>
  <si>
    <t>Zaysan</t>
  </si>
  <si>
    <t>Discovered: inaccessible. Theoretical volumetric calc from Bachu and Shaw, 2005; Poorly suited for storage due to tectonic setting</t>
  </si>
  <si>
    <t>Zaysan Basin - Paleogene aquifers</t>
  </si>
  <si>
    <t>Kuwait</t>
  </si>
  <si>
    <t>Kra Al-Maru</t>
  </si>
  <si>
    <t>Kra Al-Maru Trend</t>
  </si>
  <si>
    <t>Widyan - North Arabian Gulf</t>
  </si>
  <si>
    <t>Wara/Burgan/Zubair</t>
  </si>
  <si>
    <t>F. Neele, V. Vandeweijer, H. Mayyan, S. R. K. Sharma, and D. Kamal, “Options for CO2 Sequestration in Kuwait,” Energy Procedia, vol. 114, 2017, pp. 2827–2835, 2017, doi: 10.1016/j.egypro.2017.03.1402.</t>
  </si>
  <si>
    <t>No development plan provided. No project. 3D model and simulation, but number of wells unspecified.</t>
  </si>
  <si>
    <t>3D static model with dynamic simulation</t>
  </si>
  <si>
    <t>Contained by Ahmadi Formation - regional shale ranging in thickness from 52m to 128 m.</t>
  </si>
  <si>
    <t xml:space="preserve">Undiscovered: inaccessible. Inaccessible due to lack of regulatory regime for CCS. </t>
  </si>
  <si>
    <t>3D dynamic simulation</t>
  </si>
  <si>
    <t>Not Applicable</t>
  </si>
  <si>
    <t>Middle East &amp; North Africa</t>
  </si>
  <si>
    <t>Mozambique</t>
  </si>
  <si>
    <t>Basin-wide evaluation</t>
  </si>
  <si>
    <t>Mozambique Basin</t>
  </si>
  <si>
    <t>DET NORSKE VERITAS. (2013). A Preliminary CO2Storage Atlas of Saline Aquifers in the Mozambique Basin. DET NORSKE VERITAS, OLJE-OGENERGIDEPARTEMENTET. DET NORSKE VERITAS.</t>
  </si>
  <si>
    <t>Storage resource potential based on DNV CO2 Storage Atlas of Mozambique Basin (2013). Using geological data (including cross-sections and log data) four saline reservoir -seal pairs identified: the Sena Formation, the Domo Sands, and the Upper and Lower Grudja Formation.19 well bores and 5 cross-sections used to delineate regional 'zones' suitable for CO2 storage based on aquifer presence and extent.</t>
  </si>
  <si>
    <t>All saline aquifers identified have a shale seal pair. Both stratigraphic and structural trapping styles identified in the Mozambique basin.</t>
  </si>
  <si>
    <t>Undiscovered: Inaccessible due to current lack of regulatory system. Basin-scale resource estimate comprises sum of estimates for four saline aquifers (Sena Fm, Domo sands, Lower and upper Grudja Formations). No value attached to this entry to avoid double accounting.</t>
  </si>
  <si>
    <t>DOE 2008</t>
  </si>
  <si>
    <t>Sub-Saharan Africa</t>
  </si>
  <si>
    <t>Sena Formation aquifer: Atlas Zone 1</t>
  </si>
  <si>
    <t>Sena Formation</t>
  </si>
  <si>
    <t>Sena Formation alluvial clastics (2000-2500m thick) are discordantly overlain by Lower domo Shale formation sediments (marine argillites with sand-prone lenses). Formation thickness at Pande gas field is 120m. Depth range for assessment (reservoir): 1894-3218m</t>
  </si>
  <si>
    <t>Partly Discovered - Awaiting detailed assessment (no simulation of site available): 4% of the site is 'Discovered' by the existing wells in the delineated zone. Discovered: 3.7 Mt, Undiscovered: Sequence Play: 89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</si>
  <si>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Domo Sands Aquifer: Atlas Zone 1</t>
  </si>
  <si>
    <t>Domo Sands</t>
  </si>
  <si>
    <t>Interbedded sands with shale interbeds (95m thick at Pande gas field) are overlain by Upper Domo shale formation  (675m thick at Pande gas field). Depth range for assessment (reservoir): 2005-2782m</t>
  </si>
  <si>
    <t>Partly Discovered - Awaiting detailed assessment (no simulation of site available): 4.7% of the site is 'Discovered' by the existing wells in the delineated zone. Discovered: 9.4 Mt, Undiscovered: Sequence Play: 190.6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</si>
  <si>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Lower Grudja Formation aquifer: Atlas Zone 1</t>
  </si>
  <si>
    <t>Lower Grudja Formation</t>
  </si>
  <si>
    <t>Lower Grudja is the primary gas-bearing formation in Mozambique (8 reservoir sand section 830m thick at Pande gas field). Shaley marls and thin limestones sequences (3-6m thick at the top of the formation). Depth range for assessment (reservoir: 1114-1263m)</t>
  </si>
  <si>
    <t>Partly Discovered - Awaiting detailed assessment (no simulation of site available): 1.7% of the site is 'Discovered' by the existing wells in the delineated zone. Discovered: 11.8 Mt, Undiscovered: Sequence Play: 688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</si>
  <si>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8.46358E-05</t>
  </si>
  <si>
    <t>Upper Grudja Formation aquifer: Atlas Zone 1</t>
  </si>
  <si>
    <t>Upper Grudja Formation</t>
  </si>
  <si>
    <t>Interbedded Upper Grudja clastics (sands and shales) and limestones (490 m thick) are overlain by Middle-Upper Eocene Cheringoma formation carbonates. Depth range for assessment (reservoir): 1103-1179m).</t>
  </si>
  <si>
    <t>Partly Discovered - Awaiting detailed assessment (no simulation of site available): 7% of the site is 'Discovered' by the existing wells in the delineated zone. Discovered:  Mt, Undiscovered: Sequence Play: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</si>
  <si>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Palma-Mocimba da Praia</t>
  </si>
  <si>
    <t>Palma-Mocimba da Praia Sector</t>
  </si>
  <si>
    <t>Alto Jingone/Quissanga and Mikindani Formations</t>
  </si>
  <si>
    <t>Júlio F. Carneiro, M. A. (2014). Preliminary assessment of CO2 storage potential in the Rovuma sedimentary basin, Mozambique. Energy Procedia , 63.</t>
  </si>
  <si>
    <t xml:space="preserve">Study by Carneiro and alberto (2014) evaluated storage potentail of the late Mesozoic-Cenozoic sedimentary basin-fill. Two sectors considered to have storage potential. </t>
  </si>
  <si>
    <t>Intraformational shales within the Mikindani. No details of seals to Alto Jingone/Quissanga formations, although offshore equivalents host M'nazi Bay gas field.</t>
  </si>
  <si>
    <t>Undiscovered: Sequence play. Assessed as Inaccessible due to lack of CCS specific regulatory framework. Inputs for volumetric resource estimate derived from offshore gas field (M'nazi Bay field). Porosity: 11-25%, NTG: 3-31%. Published values are given as low and high. In this assessment the low value is considered the mid-range value. Storage efficiency values 2-4% utilised.</t>
  </si>
  <si>
    <t>EU Geocapacity Vangkilde-Pederson et al 2009</t>
  </si>
  <si>
    <t>Sena Formation aquifer: Atlas Zone 2</t>
  </si>
  <si>
    <t>Partly Discovered - Awaiting detailed assessment (no simulation of site available): % of the site is 'Discovered' by the existing wells in the delineated zone. Discovered:  Mt, Undiscovered: Sequence Play: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</si>
  <si>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Sena Formation aquifer: Atlas Zone 3</t>
  </si>
  <si>
    <t>9.97407E-05</t>
  </si>
  <si>
    <t>Domo Sands Aquifer: Atlas Zone 2</t>
  </si>
  <si>
    <t>Partly Discovered - Awaiting detailed assessment (no simulation of site available):5.3 % of the site is 'Discovered' by the existing wells in the delineated zone. Discovered:  52.8Mt, Undiscovered: Sequence Play: 947.2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</si>
  <si>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Domo Sands Aquifer: Atlas Zone 3</t>
  </si>
  <si>
    <t>Partly Discovered - Awaiting detailed assessment (no simulation of site available): 3.6 % of the site is 'Discovered' by the existing wells in the delineated zone. Discovered:  7.2Mt, Undiscovered: Sequence Play: 192.8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</si>
  <si>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Domo Sands Aquifer: Atlas Zone 4</t>
  </si>
  <si>
    <t>Partly Discovered - Awaiting detailed assessment (no simulation of site available): 3.4 % of the site is 'Discovered' by the existing wells in the delineated zone. Discovered: 6.9 Mt, Undiscovered: Sequence Play: 193.1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</si>
  <si>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Lower Grudja Formation aquifer: Atlas Zone 2</t>
  </si>
  <si>
    <t>Partly Discovered - Awaiting detailed assessment (no simulation of site available): 7.3% of the site is 'Discovered' by the existing wells in the delineated zone. Discovered: 953.6 Mt, Undiscovered: Sequence Play: 12046.4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</si>
  <si>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Lower Grudja Formation aquifer: Atlas Zone 3</t>
  </si>
  <si>
    <t>Partly Discovered - Awaiting detailed assessment (no simulation of site available): 1.7% of the site is 'Discovered' by the existing wells in the delineated zone. Discovered:13.6 Mt, Undiscovered: Sequence Play: 786.4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</si>
  <si>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8.47386E-05</t>
  </si>
  <si>
    <t>Upper Grudja Formation aquifer: Atlas Zone 2</t>
  </si>
  <si>
    <t>Partly Discovered - Awaiting detailed assessment (no simulation of site available): 3% of the site is 'Discovered' by the existing wells in the delineated zone. Discovered:  1.1Mt, Undiscovered: Sequence Play:  35Mt. Lack of published regulations mean the site is Inaccessible at present. NOTE: no mid range storage resource published. value given as mid-point of low and high range.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</si>
  <si>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Macomia-North Pemba</t>
  </si>
  <si>
    <t>Macomia-North Pemba Sector</t>
  </si>
  <si>
    <t>Pemba Formation</t>
  </si>
  <si>
    <t>Overlying Mifume marls and carbonate mudstones considered to form a potential caprock.</t>
  </si>
  <si>
    <t>Undiscovered: Sequence play. Assessed as Inaccessible due to lack of CCS specific regulatory framework.  Published values are given as low and high. In this assessment the low value is considered the mid-range value. Storage efficiency values 0.5-1% utilised.</t>
  </si>
  <si>
    <t>Qatar</t>
  </si>
  <si>
    <t>Qatar Arch</t>
  </si>
  <si>
    <t>Aruma Aquifer</t>
  </si>
  <si>
    <t>Aruma</t>
  </si>
  <si>
    <t>Ahmed TK, Nasrabadi H. Case study on combined CO? sequestration and low-salinity water production potential in a shallow saline aquifer in Qatar. J Environ Manage. 2012 Oct 30;109:27-32. doi: 10.1016/j.jenvman.2012.04.043. Epub 2012 Jun 4. PMID: 22672956.</t>
  </si>
  <si>
    <t>Notional development plan with simulation</t>
  </si>
  <si>
    <t>Contained by lower Umm Er Radhuma (UER) Fm (above) and lower Aruma Fm. shales (below) – base containment up to 100 m thick; 15 wells in study area present containment risk; Storage depths of 380 m may be unviable.</t>
  </si>
  <si>
    <t>Discovered: inaccessible. Inaccessible due to lack of regulatory regime for CCS. Resource value estimated from Figure 8 in Ahmed and Nasrabadi (2012). See containment notes - issue regarding minimum depth.</t>
  </si>
  <si>
    <t>Saudi Arabia</t>
  </si>
  <si>
    <t>Central Arabian Platform</t>
  </si>
  <si>
    <t>Unayzah Formation</t>
  </si>
  <si>
    <t>S. M. Salas, A. Tasianas, M. Corrales, H. Hoteit, and A. Alafifi, “Quantifying Uncertainty through 3D Geological Modeling for Carbon Capture Storage in the Unayzah Formation in Saudi Arabia,” 2021.</t>
  </si>
  <si>
    <t>3D dynamic model</t>
  </si>
  <si>
    <t>Discovered: inaccessible. 4 methodologies were presented; p50 storage resources for DOE model were entered as the total storage resource (741.5 Mt).</t>
  </si>
  <si>
    <t>South Africa</t>
  </si>
  <si>
    <t>Onshore Zululand</t>
  </si>
  <si>
    <t>Viljoen, J., &amp; Cloete, F. S. (2010). TECHNICAL REPORTONTHE GEOLOGICAL STORAGEOF CARBON DIOXIDEIN SOUTH AFRICA. Council for Geoscience . Council for Geoscience .</t>
  </si>
  <si>
    <t>Overlying mudstone and siltstone &gt;100m of the Sundays River fmt. could act as caprocks and lateral seals.</t>
  </si>
  <si>
    <t xml:space="preserve">Undiscovered: Inaccessible. Range of depth 1254-1898m. Range of thickness 0-220m. </t>
  </si>
  <si>
    <t>RJ</t>
  </si>
  <si>
    <t>Onshore Algoa</t>
  </si>
  <si>
    <t>Outeniqua</t>
  </si>
  <si>
    <t>lower Kirkwood, upper Sundays River</t>
  </si>
  <si>
    <t>Overlying mudstone and siltstone &gt;100 of the Sundays River fmt. could act as caprocks and lateral seals.</t>
  </si>
  <si>
    <t>Undiscovered: Inaccessible. Depth range 800-2300m.</t>
  </si>
  <si>
    <t>Bredasdorp</t>
  </si>
  <si>
    <t>Undiscovered: Inaccessible. Depth range 1000-5000m. Permeability range 1-900. Brine salinity &gt;10.</t>
  </si>
  <si>
    <t>Pletmos and Infanta</t>
  </si>
  <si>
    <t>Undiscovered: Inaccessible. Depth range 1000-4000. Permeability range 1-400. Brine salinity &gt;100</t>
  </si>
  <si>
    <t>Algoa and Gamtoos</t>
  </si>
  <si>
    <t>Undiscovered: Inaccessible. Depth range 800-5000. Permeability up to 400. Brine salinity &gt;100</t>
  </si>
  <si>
    <t>Southern Outeniqua</t>
  </si>
  <si>
    <t>Undiscovered: Inaccessible. Depth range &gt;3000. Brine salinity &gt;100</t>
  </si>
  <si>
    <t>Outeniqua Basin</t>
  </si>
  <si>
    <t>Outeniqua Basin (Average)</t>
  </si>
  <si>
    <t>Claystones and siltstones more than 100m thick, lateral seal present, mainly synrift and transitional phases, minor intrusives</t>
  </si>
  <si>
    <t>Undiscovered: Inaccessible. Brine salinity &gt;10</t>
  </si>
  <si>
    <t>Orange Basin</t>
  </si>
  <si>
    <t>Southwest African Coastal</t>
  </si>
  <si>
    <t xml:space="preserve">Outeniqua offshore </t>
  </si>
  <si>
    <t>Outeniqua offshore (produced gasfield resource)</t>
  </si>
  <si>
    <t>Discovered: Inaccessible</t>
  </si>
  <si>
    <t>Outeniqua offshore</t>
  </si>
  <si>
    <t>Outeniqua offshore (reserves gasfield resource)</t>
  </si>
  <si>
    <t>Outeniqua offshore (contingent gasfield resource)</t>
  </si>
  <si>
    <t>Outeniqua offshore (prospective gasfield resource)</t>
  </si>
  <si>
    <t>Undiscovered: Inaccessible</t>
  </si>
  <si>
    <t>Outeniqua offshore (produced oilfield resource)</t>
  </si>
  <si>
    <t>Outeniqua offshore (reserves oilfield resource)</t>
  </si>
  <si>
    <t>Outeniqua offshore (contingent oilfield resource)</t>
  </si>
  <si>
    <t>Outeniqua offshore (prospective oilfield resource)</t>
  </si>
  <si>
    <t xml:space="preserve">Undiscovered: Inaccessible. </t>
  </si>
  <si>
    <t>Durban and Zululand Offshore Basins</t>
  </si>
  <si>
    <t xml:space="preserve">I </t>
  </si>
  <si>
    <t>Hicks, N. (2017). New projects in South Africa. 12th CO2 GeoNet Open Forum . Venice: Council for Geoscience .</t>
  </si>
  <si>
    <t>Seals - prominent marine claystone successions at varying intervals</t>
  </si>
  <si>
    <t>H</t>
  </si>
  <si>
    <t>G</t>
  </si>
  <si>
    <t>F</t>
  </si>
  <si>
    <t>E</t>
  </si>
  <si>
    <t>D</t>
  </si>
  <si>
    <t>C</t>
  </si>
  <si>
    <t>B</t>
  </si>
  <si>
    <t>A</t>
  </si>
  <si>
    <t xml:space="preserve">Orange Basin </t>
  </si>
  <si>
    <t>Orange Basin (reserves gasfield resource)</t>
  </si>
  <si>
    <t>Orange Basin (contingent gasfield resource)</t>
  </si>
  <si>
    <t>Orange basin</t>
  </si>
  <si>
    <t>Orange basin (prospective gasfield resource)</t>
  </si>
  <si>
    <t>Orange basin (prospective oilfield resource)</t>
  </si>
  <si>
    <t>Durban and Zululand Offshore Basins (prospective gasfield resource)</t>
  </si>
  <si>
    <t>Durban and Zululand Offshore Basins (prospective oilfield resource)</t>
  </si>
  <si>
    <t>Thailand</t>
  </si>
  <si>
    <t xml:space="preserve">Entire Region </t>
  </si>
  <si>
    <t>Gas Field 27 (score 55)</t>
  </si>
  <si>
    <t>Pattani</t>
  </si>
  <si>
    <t>Asian Development Bank. (2013). Prospects for Carbon Capture and Storage in Southeast Asia. Mandaluyong City, Philippines.</t>
  </si>
  <si>
    <t>The basis of this report was to assess south east asia for CO2 storage by source and sink matching, for Thailand, the best resources close to large emitters are in the gulf of Thailand. Note: due to a lack of geographic location data, the lat/long provided for this site is inaccurate. The majority of potential sites sit offshore within teh Gulf of Thailand however there are up to 5 onshore unidentified sites.</t>
  </si>
  <si>
    <t xml:space="preserve">None available </t>
  </si>
  <si>
    <t>Discovered: Inaccessible. Discovered because petroleum has been produced from each field therefore there must be one if not a cluster of wells. Inaccessible because Thailand does not have any specific CCS policies or regulations. Each field is accompanied by a suitability score which takes into account the following criteria: Capacity, injection rate (per well), seal thickness, number of abandoned wells and contamination of other reservoirs. it also accounts for some economic criteria: existing infrastructure, monitoring opportunities, availability and willingness of operator. the best storage candidates close to large emitters are located in the Gulf of Thailand. Cumulative production data for oil, gas and water (including injection) was used to calculate replacement volumes for these gas fields. Annual production and proven reserve was used to estimate when oil and gas fields would become available for CO2 storage, 90% of the resource here will be available for storage by 2020. Besides storage resources and suitability score however, data is quite poor for these fields, I.e there is no formation data and it is not possible to locate specific fields on the map figure. The 'Inaccessible' classification also applies to this lack of geographic locater. If updated information becomes available to refine the geographic identification Figure A3.5 in the ADB (2013) report should be evaluated to avoid new sites resulting in double accounting of resources.</t>
  </si>
  <si>
    <t>AW</t>
  </si>
  <si>
    <t>Unknown - calculated using replacment volume</t>
  </si>
  <si>
    <t xml:space="preserve">Not specified </t>
  </si>
  <si>
    <t>O&amp;G Replacement volume</t>
  </si>
  <si>
    <t>Gas Field 28 (score 52)</t>
  </si>
  <si>
    <t>Greater Thai</t>
  </si>
  <si>
    <t>Gas Field 29 (score 50)</t>
  </si>
  <si>
    <t>Gas Field 30 (score 48)</t>
  </si>
  <si>
    <t>UNKNOWN</t>
  </si>
  <si>
    <t>Northeast, Onshore</t>
  </si>
  <si>
    <t>Nam Phong</t>
  </si>
  <si>
    <t>Greater Khorat</t>
  </si>
  <si>
    <t>Apichat Choomkong, S. S. (2020, February ). 3D Modeling of CO2 Geological Storage of Songkhla Sub- Basins in the Lower Gulf of Thailand. INTERNATIONAL JOURNAL OF INTEGRATED ENGINEERING , 12.</t>
  </si>
  <si>
    <t xml:space="preserve">This paper recognises that Thailand needs to reduce it's emissions by 125Mt in the next 13 years in order stay inline with their UNFCC agreement. This study focusses in on the Power Development Plan (PDP) 2015, this plan was created by the Thai government in order to reduce CO2 emissions from the county's power sector. The paper is split into two parts. Part one: locate CO2 sources and determine their rates of emissions,  part two link these sources up to viable storage options in sedimentary basins that have petroleum activity and data. </t>
  </si>
  <si>
    <t>Not specified, but as all of these resources are based on produced and proven reserves of petroleum, we can deduce that there will be a trap for free phase CO2 and that the seal is proven to hold oil and gas in place.</t>
  </si>
  <si>
    <t>Discovered: Inaccessible. Discovered because these resource estimates were made using cumulative replacement volumes for both produced and proven reserves in the basin. Inaccessible because Thailand does not have any specific CCS policies or regulations. This site entry represents cumulative replacement volumes of produced and proven reserves from oil and gas fields in this basin - it does not account for any aquifer pore volumes. Specifically, these replacement volumes were calculated by converting Gas STP volumes to equivalent CO2 Tonnage stored (1Tcf = ~80Mt CO2), this result is then multiplied by density of CO2. To convert OIL STP volumes to equivalent CO2 tonnage stored, a pressure of 10.5 MPa/km and geothermal gradients of 30-35? C/km were used. The density of CO2 between 1,500-4,000 meters deep in the subsurface is about 700 kg/m3, and the FVF was assumed to be 1.2.</t>
  </si>
  <si>
    <t xml:space="preserve">North, Onshore </t>
  </si>
  <si>
    <t xml:space="preserve">Fang Oilfield </t>
  </si>
  <si>
    <t>Northern Thailand</t>
  </si>
  <si>
    <t>Kreangkrai Maneeintra, N. R. (2017). AssessmentofCO2Geological Storage Potential in a Depleted Oil. 4th International Conference on Power and Energy Systems Engineering. Berlin : Energy Procedia.</t>
  </si>
  <si>
    <t xml:space="preserve">This paper aimed to help kickstart CCS research in Thailand in order to reduce CO2 emissions to atmosphere. The CO2 to be stored in at this site would be captured from the Mae Moh coal fired powerplant , which emits 13Mt CO2 a year (as of 2013). The model created here is to be used as a fundamental example of CO2 storage in depleted petroleum fields in onshore Thailand. </t>
  </si>
  <si>
    <t xml:space="preserve">None available, dynamic simulation run using CMG (GEM) software, reservoir info for fang oilfield from Defense Energy Department. </t>
  </si>
  <si>
    <t xml:space="preserve">Not Specified, it is assumed to be an open formation, therefore after injection CO2 is shown to migrate laterally along the sand layer. </t>
  </si>
  <si>
    <t>Discovered: Inaccessible. Discovered because the storage simulation is within a depleted oil field, and Inaccessible because Thailand does not have any specific CCS policies or regulations. Three simple simulations (GEM) at rates of: 1000, 2000, &amp; 3000 Tons/day, without exceeding maximum working pressure of 32.29MPa, and 50 years of shut in for all.</t>
  </si>
  <si>
    <t>110-4000</t>
  </si>
  <si>
    <t>Na</t>
  </si>
  <si>
    <t xml:space="preserve">Clastic </t>
  </si>
  <si>
    <t xml:space="preserve">Gulf of Thailand </t>
  </si>
  <si>
    <t xml:space="preserve">Bua-Ban Field (Lower Oligocene </t>
  </si>
  <si>
    <t xml:space="preserve">Songkhla Lower Oligocene </t>
  </si>
  <si>
    <t xml:space="preserve">Oligocene </t>
  </si>
  <si>
    <t xml:space="preserve">This paper realises the problems of global warming and Thailand's commitment to reduce emissions by 140Mt by 2030. The country has increasing electricity demand to drive the growing economy (in 2014 70% electricity from fossil fuels ). The Power Development Plan (2015) mentions that the Songkhla province southern Thailand is forecast to experience a considerable increase in electricity demand. The Department of Mineral Fuels, under the Ministry of energy is the responsible government agency for CCS in Thailand. In this study, daily injection rates and volumes are based on that of the nearby Chana Powerplant (1500MW/Year Capacity) from 01 September 2014 - 01 August 2017. it is also noted that the reservoirs within this AOI can support a clean coal project with 200MW/year capacity in the near future. </t>
  </si>
  <si>
    <t xml:space="preserve">Daily injectivity dynamic simulations is based off that of the Chana power plant from 2014 - 2017. The formation pressure in the simulation has been set to not exceed the initial pressure of 224 Bar. Well A (an existing well) has been chosen for injection as it penetrates the area of highest porosity in the static model. Injection is simulated for  3 years.  the Bua-Ban field is 50km north of CO2 emissions from the Chana power plant. </t>
  </si>
  <si>
    <t xml:space="preserve">the static geo model accounts for primary porosity (deposition and lithification) and secondary porosity (fracturing &amp; jointing) based on geological setting and geophysical data. The simulation shows the  CO2 plume will migrate updip to the west after injection, the plume appears to cross a permeable  fault zone. No mention is given about the seal rock. </t>
  </si>
  <si>
    <t xml:space="preserve">Discovered: Inaccessible. Discovered as there are more wells than needed within the AOI in order for it to be 100% discovered, the Bua-Ban field which contains modelled blocks SLO and SLM, the AOI covers an area of  ~280km^2. The resource is inaccessible because Thailand does not have any specific CCS policies or regulations. A static model was created on Petrel using data from 164 well logs in the area and local geophysical data. The dynamic simulation was run in Eclipse Ver. 2017, injection rate matched the volumes emitted by the Chana powerplant (2014-2017) and the pressure limit was set at 224 Bar. </t>
  </si>
  <si>
    <t>Gas Field 1 (score 81)</t>
  </si>
  <si>
    <t>O&amp;G Field 2 (score 79)</t>
  </si>
  <si>
    <t>O&amp;GField 3 (score 75)</t>
  </si>
  <si>
    <t>O&amp;G Field 4 (score 65)</t>
  </si>
  <si>
    <t>Greater Chao Phraya</t>
  </si>
  <si>
    <t>Gas Field 5 (score 64 )</t>
  </si>
  <si>
    <t>O&amp;G Field 6 (score 60 )</t>
  </si>
  <si>
    <t>Gas field 7 (score 60 )</t>
  </si>
  <si>
    <t>Gas field 8 (score 59)</t>
  </si>
  <si>
    <t>Gas field 9 (score 58)</t>
  </si>
  <si>
    <t>Gas field 10 (score 57 )</t>
  </si>
  <si>
    <t>Gas field 11 (score 58 )</t>
  </si>
  <si>
    <t>Gas field 12 (score 58 )</t>
  </si>
  <si>
    <t>Gas field 13 (score 58 )</t>
  </si>
  <si>
    <t>Gas field 14 (score 58 )</t>
  </si>
  <si>
    <t>Gas field 15 (score 58 )</t>
  </si>
  <si>
    <t>Gas field 16 (score 58 )</t>
  </si>
  <si>
    <t>Gas field 17 (score 52 )</t>
  </si>
  <si>
    <t>Gas field 18 (score 50 )</t>
  </si>
  <si>
    <t>Gas field 19 (score 49 )</t>
  </si>
  <si>
    <t>Gas field 20 (score 46 )</t>
  </si>
  <si>
    <t>Gas field 21 (score 42 )</t>
  </si>
  <si>
    <t>Gas field 22 (score 33)</t>
  </si>
  <si>
    <t>Gas field 23 (score 30 )</t>
  </si>
  <si>
    <t>Gas field (score 29 )</t>
  </si>
  <si>
    <t>Gas field 25 (score 29 )</t>
  </si>
  <si>
    <t>Gas field 26 (score 28)</t>
  </si>
  <si>
    <t xml:space="preserve"> Saline Aquifer Gulf of Thailand  - under CO2-rich gas field (J Group)</t>
  </si>
  <si>
    <t>Pattani Trough</t>
  </si>
  <si>
    <t>CO2CRC Technologies Pty Ltd. (2010). Assessment of the capture and storage potential of CO2 co-produced with natural gas in South-East Asia. The University of New South Wales, School of Petroleum Engineering. Sydney, Australia: Asia-Pacific Economic Cooperation.</t>
  </si>
  <si>
    <t xml:space="preserve">One of the aims od this paper is to help facilitate production of south east Asia's high CO2 fields, some of these fields have a CO2 content of 70% and above, in order to legally produce these, the operator must store their CO2 in a subsea formation closely located to the production well. Therefore this paper presents storage options and development plans for the CO2 from these high CO2 fields. </t>
  </si>
  <si>
    <t>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modelled was based on production modelling. The analyses implicitly assume injection sites with the reservoir properties assumed for the sedimentary basin where they are located.CO2 injected into saline formation underneath the CO2-rich gas field. Steel Jacket platform, 3 deviated wells injecting a total of 3.5Mt/y, 10km 850mm pipeline with 3MW of compression.</t>
  </si>
  <si>
    <t>The development plan proposes injection into the same unit (L Group) as the high-CO2 gas field. Although a simple simulation has been conducted, no simulation modelling has been carried out to understand possible migration of injected CO2 into the structure as the gas field is produced. The permeability of 500mD, however, may provide a containment challenge, where injected CO2 migrates into the depleting field.</t>
  </si>
  <si>
    <t>Undiscovered, Inaccessible. Inaccessible due to the lack of CCS regulatory framework in Vietnam. A simple simulation was conducted to determine the maximum rate of CO2 that can be injected over the injection period (20 years) without the pressure in the reservoir exceeding its fracture pressure. However, the reservoir properties are subject to large uncertainties and variations due to the lithology type, more work is needed to properly model CO2 storage in this saline aquifer. Low confidence for coordinates given here.</t>
  </si>
  <si>
    <t xml:space="preserve">All Thailand Saline Aquifer resource </t>
  </si>
  <si>
    <t xml:space="preserve">Undiscovered: Inaccessible. Only aquifers below 1000m included in this resource calculation. And only 10 out of Thailand's 94 basins/ sub-basins had sufficient data available to calculate storage resource. Additional Saline aquifer screening work done in this report include the following attributes: coordinated of the basin, basin depth, percentage of permeable sediments, average pressure and temperature of each basin. One basin alone accounts for 65% of this storage resource - the report gives no mention of which basin. </t>
  </si>
  <si>
    <t>Gas Field 31 (score 45)</t>
  </si>
  <si>
    <t xml:space="preserve">The basis of this report was to assess south east asia for CO2 storage by source and sink matching, for Thailand, the best resources close to large emitters are in the gulf of Thailand. Note: due to a lack of geographic location data, the lat/long provided for this site is inaccurate. The majority of potential sites sit offshore within teh Gulf of Thailand however there are up to 5 onshore unidentified sites. </t>
  </si>
  <si>
    <t>Gas Field 32 (score 42)</t>
  </si>
  <si>
    <t>Gas Field 33 (score 40)</t>
  </si>
  <si>
    <t>Gas Field 34 (score 35)</t>
  </si>
  <si>
    <t>United Arab Emirates</t>
  </si>
  <si>
    <t>Abu Dhabi</t>
  </si>
  <si>
    <t xml:space="preserve">Shuaiba Aquifer </t>
  </si>
  <si>
    <t>Rub al Khali</t>
  </si>
  <si>
    <t xml:space="preserve">Shuaiba </t>
  </si>
  <si>
    <t>Ajayi Temitope, J. S., &amp; Jialiang Hu, A. (2016, November ). Characterization and Quantification of the CO2 Sequestration Potential of aCarbonate Aquifer in Falaha Syncline, Onshore Abu Dhabi. SPE-183442-MS.</t>
  </si>
  <si>
    <t>This study builds on some of Ajayi's work from 2016 where a site selection was done, and some simulation work was done for the Shuiaba aquifer - but none of the other more shallow aquifers that are also located in this AOI</t>
  </si>
  <si>
    <t xml:space="preserve">Simulations were run using GEM to account for structural (free phase trapping), solubility trapping and residual/ capillary trapping. Mineralisation was also taken into account. Simulations at a range of salinities, 50,000 to 300,000ppm. The simulation at 50,000ppm had the highest resource estimate. The fractured pressure of the rock was estimated using a fracture gradient of 0.8psi/ft. Simulations Did not allow the aquifer to exceed it's fracture pressure. 5 vertical wells were selected for injection in the models. In both cases the injection duration was 100 years. </t>
  </si>
  <si>
    <t xml:space="preserve">None specified, but the author did carry out similar containment studies as mentioned for the Simsima aquifer below, these were not presented in the results section. </t>
  </si>
  <si>
    <t>US-DOE, CSLF, Zhou</t>
  </si>
  <si>
    <t>Simsima Aquifer</t>
  </si>
  <si>
    <t>Simsima</t>
  </si>
  <si>
    <t xml:space="preserve">At end of injection 20% of gas is trapped by dissolution, 3% by residual and 77% remained in free phase. After 500 years, 28% pf gas is trapped in pores by residual trapping and 20% of the gas remains dissolved. It is noted the amount of residual trapped gas will further increase due to convection within the aquifer. </t>
  </si>
  <si>
    <t xml:space="preserve">Undiscovered in accessible. Undiscovered because even though there are wells that penetrate this aquifer, they have not technically discovered it as they were only running GR data acquisition and which can't give porosity values and no core or chipping analyses was done at these intervals.  The resource is inaccessible because Abu Dhabi does not possess the necessary legal and regulatory framework for ccs activities. If a regulatory framework was put in place for the UAE then this site would be promoted to undiscovered, Sequence as formation details are given. It is mentioned that the static models were created using data from 4768 wells from 10 most important fields of onshore Abu Dhabi, as well as regional seismic surfaces. Additional control wells were used from fields outside the area of interest. however as these wells can't be located on a map - we can't tell what proportion of this site is discovered. It is noted that for all but the Shuaiba aquifer, the penetrating wells don't posses desirable data as these upper intervals are not hydrocarbon targets therefore only gamma data was acquired at these depths. Given project status as it is clear that due diligence was done to find most effective locations for the 5 injection wells (Optimization algorithm). </t>
  </si>
  <si>
    <t xml:space="preserve">Umm Er Radhuma (UER) Aquifer </t>
  </si>
  <si>
    <t>Umm Er Radhuma</t>
  </si>
  <si>
    <t>Undiscovered in accessible. Undiscovered because even though there are wells that penetrate this aquifer, they have not technically discovered it as they were only running GR data acquisition and which can't give porosity values and no core or chipping analyses was done at these intervals.  The resource is  inaccessible because Abu Dhabi does not possess the necessary legal and regulatory framework for ccs activities. If a regulatory framework was put in place for the UAE then this site would be promoted to undiscovered, Sequence as formation details are given. It is mentioned that the static models were created using data from 4768 wells from 10 most important fields of onshore Abu Dhabi, as well as regional seismic surfaces. Additional control wells were used from fields outside the area of interest. however as these wells can't be located on a map - we can't tell what proportion of this site is discovered. Only the value using the DOE coefficient has been presented here. The other values calculated were both lower than the DOE method and were calculated using CSLF and Zhou (confined aquifer) coefficients with values of: 8455.16Mt and 1050Mt.</t>
  </si>
  <si>
    <t xml:space="preserve">Volumetric - from static model </t>
  </si>
  <si>
    <t xml:space="preserve">Dammam Aquifer </t>
  </si>
  <si>
    <t>Dammam</t>
  </si>
  <si>
    <t>Undiscovered in accessible. Undiscovered because even though there are wells that penetrate this aquifer, they have not technically discovered it as they were only running GR data acquisition and which can't give porosity values and no core or chipping analyses was done at these intervals.  The resource is  inaccessible because Abu Dhabi does not possess the necessary legal and regulatory framework for ccs activities. If a regulatory framework was put in place for the UAE then this site would be promoted to undiscovered, Sequence as formation details are given. It is mentioned that the static models were created using data from 4768 wells from 10 most important fields of onshore Abu Dhabi, as well as regional seismic surfaces. Additional control wells were used from fields outside the area of interest. however as these wells can't be located on a map - we can't tell what proportion of this site is discovered. Only the value using the DOE coefficient has been presented here. The other values calculated were both lower than the DOE method and were calculated using CSLF and Zhou (confined aquifer) coefficients with values of: 1737.25Mt and 128Mt.</t>
  </si>
  <si>
    <t>Vietnam</t>
  </si>
  <si>
    <t xml:space="preserve">South Vietnam </t>
  </si>
  <si>
    <t>Cuu Long</t>
  </si>
  <si>
    <t>Late Cenozoic</t>
  </si>
  <si>
    <t xml:space="preserve">The only previous work in this area is published in CO2 CRC, 2010   "Assessment of the capture and storage potential of CO2 co-produced with natural gas in South-East Asia" </t>
  </si>
  <si>
    <t xml:space="preserve">Only storage in structural/ stratigraphic traps was considered for these saline aquifer formations, if all containment options were considered then Vietnams cumulative storage resource estimate for saline aquifers would increase from 10Gt to 300Gt. </t>
  </si>
  <si>
    <t xml:space="preserve">Undiscovered: Inaccessible. Only saline aquifers with petroleum plays were considered, and not barren aquifers that have never held or transported petroleum. If these were considered it would also add the  resource estimate. </t>
  </si>
  <si>
    <t xml:space="preserve">Volumetric analysis, no Storage efficiency given </t>
  </si>
  <si>
    <t>Malay-Tho Chu</t>
  </si>
  <si>
    <t>Panjang</t>
  </si>
  <si>
    <t xml:space="preserve">Undiscovered: Inaccessible. Only saline aquifers with petroleum plays were considered, and not barren aquifers that have never held or transported petroleum. If these were considered, the resource here would be larger </t>
  </si>
  <si>
    <t xml:space="preserve">Volumetric analysis, no Storage efficinecy given </t>
  </si>
  <si>
    <t xml:space="preserve">Nam Con son </t>
  </si>
  <si>
    <t>Nam Con Son</t>
  </si>
  <si>
    <t>Tu Chinh - Vung May</t>
  </si>
  <si>
    <t>Dangerous Grounds</t>
  </si>
  <si>
    <t xml:space="preserve">Central Vietnam </t>
  </si>
  <si>
    <t>Phu Khanh</t>
  </si>
  <si>
    <t xml:space="preserve">North Vietnam </t>
  </si>
  <si>
    <t xml:space="preserve">Song Hong </t>
  </si>
  <si>
    <t>Bac Bo - Yinggehai</t>
  </si>
  <si>
    <t>Nam Vang</t>
  </si>
  <si>
    <t xml:space="preserve">Basement </t>
  </si>
  <si>
    <t xml:space="preserve">Pre-Tertiary </t>
  </si>
  <si>
    <t xml:space="preserve">H.Thanh, Y. Sugai, R.Nguele, K.Sasaki,  "Integrated workflow in 3D geological model construction for evaluation of CO2 storage capacity of a fractured basement reservoir in Cuu Long Basin, Vietnam. 2019.
</t>
  </si>
  <si>
    <t xml:space="preserve">Previous studies of the region that present resources include: CO2CRC, 2010 and Asian Development Bank 2013. </t>
  </si>
  <si>
    <t xml:space="preserve">This resource is based on combined CO2 storage and EOR plan where CO2 can be permanently stored in the lower fractured basement section of the reservoir </t>
  </si>
  <si>
    <t xml:space="preserve">CO2 will ultimately be contained by the Lacustrine Shale of sequences D &amp; E which act as the source rock for hydrocarbons and the seal. </t>
  </si>
  <si>
    <t xml:space="preserve">Discovered: inaccessible. This is because Vietnam has not developed any legal or regulatory frameworks to support CCS activity in the region. If such a framework was created then this sight could be promoted to Dev. Not Viable.      The majority of this study focuses on techniques used to create the static geological model of fractured basement reservoir from Seismic, drill log por and perm and flow test data. </t>
  </si>
  <si>
    <t xml:space="preserve">Cycle 3 </t>
  </si>
  <si>
    <t xml:space="preserve">Bradshaw et al. CO2 storage capacity estimation: Issues and development of standards. 2005, 2007. </t>
  </si>
  <si>
    <t xml:space="preserve">Granitoid </t>
  </si>
  <si>
    <t xml:space="preserve"> Saline Aquifer offshore Vietnam - under CO2-rich gas field (J Group)</t>
  </si>
  <si>
    <t>J Group</t>
  </si>
  <si>
    <t>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modelled was based on production modelling. The analyses implicitly assume injection sites with the reservoir properties assumed for the sedimentary basin where they are located.CO2 injected into saline formation underneath the CO2-rich gas field. Steel Jacket platform, 4 deviated wells injecting a total of 1.3Mt/y, 10km 150mm pipeline with 3MW of compression</t>
  </si>
  <si>
    <t>The development plan proposes injection into the same unit (J Group) as the high-CO2 gas field. Although a simple simulation has been conducted, no simulation modelling has been carried out to understand possible migration of injected CO2 into the structure as the gas field is produced. The permeability of 100mD, however, may provide a containment challenge, where injected CO2 migrates into the depleting field.</t>
  </si>
  <si>
    <t xml:space="preserve">Undiscovered, inaccessible. Inaccessible due to the lack of CCS regulatory framework in Vietnam. A simple simulation was conducted to determine the maximum rate of CO2 that can be injected over the injection period (20 years) without the pressure in the reservoir exceeding its fracture pressure. However, the reservoir properties are subject to large uncertainties and variations due to the lithology type, more work is needed to properly model CO2 storage in this saline aquifer. </t>
  </si>
  <si>
    <t>Volumetric  - unknown source</t>
  </si>
  <si>
    <t xml:space="preserve"> Saline Aquifer in Offshore Vietnam - under CO2-rich gas field (I Group)</t>
  </si>
  <si>
    <t>I Group</t>
  </si>
  <si>
    <t>The development plan proposes injection into the same unit (I Group) as the high-CO2 gas field. Although a simple simulation has been conducted, no simulation modelling has been carried out to understand possible migration of injected CO2 into the structure as the gas field is produced. The permeability of 100mD, however, may provide a containment challenge, where injected CO2 migrates into the depleting field.</t>
  </si>
  <si>
    <t xml:space="preserve"> Saline Aquifer in Offshore Vietnam - under CO2-rich gas field (L Group)</t>
  </si>
  <si>
    <t>L Group</t>
  </si>
  <si>
    <t>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modelled was based on production modelling. The analyses implicitly assume injection sites with the reservoir properties assumed for the sedimentary basin where they are located.CO2 injected into saline formation underneath the CO2-rich gas field. Steel Jacket platform, 4 deviated wells injecting a total of 1.2Mt/y, 10km 200mm pipeline with 3MW of compression</t>
  </si>
  <si>
    <t>The development plan proposes injection into the same unit (L Group) as the high-CO2 gas field. Although a simple simulation has been conducted, no simulation modelling has been carried out to understand possible migration of injected CO2 into the structure as the gas field is produced. The permeability of 400mD, however, may provide a containment challenge, where injected CO2 migrates into the depleting field.</t>
  </si>
  <si>
    <t>CL01</t>
  </si>
  <si>
    <t xml:space="preserve">The basis of this report was to assess south east asia for CO2 storage by source and sink matching, for Vietnam the  best storage resources for emitters lie in the Cuu Long basin. </t>
  </si>
  <si>
    <t xml:space="preserve">Discovered: Inaccessible. Discovered because petroleum has been produced from each field therefore there must be one if not a cluster of wells. Inaccessible because Vietnam does not have any specific CCS policies or regulations. The best storage targets are in the Cuu Long basin – this has been verified by a suitability score, calculated for each field. Besides storage resources and suitability score however, data is quite poor for these fields, I.e there is no formation data and it is not possible to locate specific fields on the map figure. Storage estimates were calculated by replacement volume. </t>
  </si>
  <si>
    <t>CL16</t>
  </si>
  <si>
    <t>CL05</t>
  </si>
  <si>
    <t>CL19</t>
  </si>
  <si>
    <t>NCS05</t>
  </si>
  <si>
    <t>CL11</t>
  </si>
  <si>
    <t>CL02</t>
  </si>
  <si>
    <t>CL03</t>
  </si>
  <si>
    <t>CL17</t>
  </si>
  <si>
    <t>CL07</t>
  </si>
  <si>
    <t>NCS03</t>
  </si>
  <si>
    <t>CL04</t>
  </si>
  <si>
    <t>CL012</t>
  </si>
  <si>
    <t>Claymore 014_18</t>
  </si>
  <si>
    <t>West Shetland</t>
  </si>
  <si>
    <t>Kimmeridge  Clay Fm</t>
  </si>
  <si>
    <t>Late Jurassic</t>
  </si>
  <si>
    <t>Bunter Sandstone 13</t>
  </si>
  <si>
    <t>There is no project currently planned at the site and reported in the public domain.  The site is included in the CO2stored database and reported briefly in the Strategic UK CO2 Storage Appraisal Project - Addendum. The site does sit in the licence block CS021 awarded to Neptune and Esso on 01/08/2023</t>
  </si>
  <si>
    <t>Bunter Closure 1</t>
  </si>
  <si>
    <t xml:space="preserve">There is no project currently planned at the site and reported in the public domain.  The site is included in the CO2stored database and reported briefly in the Strategic UK CO2 Storage Appraisal Project - Addendum. </t>
  </si>
  <si>
    <t>Containment has been considered in CO2Stored. Stated as large aquifer with Potential storage development</t>
  </si>
  <si>
    <t>Dornoch</t>
  </si>
  <si>
    <t>Paleogene - Paleocene</t>
  </si>
  <si>
    <t xml:space="preserve">Potential issues with secondary containment but assessed and ranked by source as favourable based on properties favourable for injectivity, cost, depth, capacity and water depth. </t>
  </si>
  <si>
    <t>Maureen 2</t>
  </si>
  <si>
    <t>Shallow target and potential extension to Goldeneye</t>
  </si>
  <si>
    <t>Source document reports only P50 capacity estimate,  Normal CO2Stored methodologies apply (Volumetric method for saline aquifers and replacement methods for oil and gas fields).  The source documentation contains no further details, but these can be accessed at www.co2stored.co.uk. The source document has three entries for the Fulmar Aquifer- these have been combined to one entry due to uncertainty surrounding specific locations.</t>
  </si>
  <si>
    <t>Fulmar</t>
  </si>
  <si>
    <t>Late Jurasic</t>
  </si>
  <si>
    <t>A small confined aquifer of bioturbated shallow shoreface  sands</t>
  </si>
  <si>
    <t>Auk</t>
  </si>
  <si>
    <t>Carboniferous - Mississippian</t>
  </si>
  <si>
    <t>A deep carboniferous target but noted as unlikely build out target by source document</t>
  </si>
  <si>
    <t>Bunter 39</t>
  </si>
  <si>
    <t>This site is part of the Northern Endurance plan</t>
  </si>
  <si>
    <t>Revised volumes have been assessed in in  Key Knowledge Document (NS051-SS-PHI-000-00010). Bunter closure 39 lacks data to demonstrate injectivity and have slightly differnet reservoir properties from Endurance. P50 Volumetrics indicate volume with brine pressure management of 376 MT and without brine pressure management of 83 MT. The revised volume of 83 MT is taken as P50 estimate to provide the more realistic volume based on the Endurance development plan.</t>
  </si>
  <si>
    <t xml:space="preserve">Calculated by volumetric method </t>
  </si>
  <si>
    <t>Indefatigable</t>
  </si>
  <si>
    <t>Rotliegendes</t>
  </si>
  <si>
    <t>Permian - Cisuralian</t>
  </si>
  <si>
    <t>UK Government, 2014, Carbon Capture Readiness – CO2 storage site: Galleon Gas Field, https://www.gov.uk/government/publications/carbon-capture-readiness-co2-storage-site-galleon-gas-field (accessed 18/01/23)</t>
  </si>
  <si>
    <t>There is no project specified, however this site sits in licence block CS027 awarded to Shell and partner Exxon on 01/09/23</t>
  </si>
  <si>
    <t>None available but it was stated that a  potential user is potential user is Sutton Bridge B CCGT, Eggborough CCGT</t>
  </si>
  <si>
    <t>Theis site was assessed by the UK government for Storage readiness in 2014. Estimated total CO2 storage capacity (tonnes): 357,000,000. Potential capacity identified in CCR reports (tonnes):131,000,000-223,000,000, “Remaining” CO2 storage capacity (tonnes): 3,000,000</t>
  </si>
  <si>
    <t>Assumed to be based on remaining volume post depletion. Not stated in source</t>
  </si>
  <si>
    <t>Pickerill</t>
  </si>
  <si>
    <t>Permian - Lopingian</t>
  </si>
  <si>
    <t>de Jonge-Anderson, I., Underhill, JR., 2022, Use of Subsurface Geology in Assessing the Optimal Co-Location of CO2 Storage and Wind Energy Sites, Earth Science, Systems and Society, 2:10055</t>
  </si>
  <si>
    <t>No project to date. Authors do site potential with adjacent satellite fields could provide up to 60Mt capacity. Malory 14 Mt, Galahad 12.4 Mt, Mordred 1.6 Mt.</t>
  </si>
  <si>
    <t>No project planned however any development plan could be challenged by the planned development of an offshore wind farm. Windfarm infrastructure  would restrict where new CO2 injection wells might be drilled and also affect and MMV strategy.</t>
  </si>
  <si>
    <t>Leman Sandstone Formation is a mixed aeolian/fluvial succession with variable thickness (25 m–80 m) which is sealed by l Zechstein Group evaporites. The structure is defined to the south by a WNW-ESE-striking faults and in the by mostly dip closure. NW-SE-striking faults transect the field and segment the structure into several compartments. The Pickerill field has quite varying reservoir quality with the best reservoir quality found in the south-west.</t>
  </si>
  <si>
    <t xml:space="preserve">Storage volumes and site properties taken from source document which used a simulation to calculate volumes based on injecting 3-5 Mt per well. The site is compartmentalised: 16 MtCO2 within the Central compartment, 10 MtCO2 within the West compartment and 6 MtCO2 within the East compartment. The full amount for the site is given against the SRMS for mid case.  </t>
  </si>
  <si>
    <t>Amethyst</t>
  </si>
  <si>
    <t>Energy Technologies Institute (ETI). 2016. “D04: Initial Screening &amp; Down-Select, 10113ETIS-Rep-03-2.0</t>
  </si>
  <si>
    <t>Amethyst is situated in license block CS017 which was awarded to Perenco on 01/8/23. The project planned is names Orion which aims to help decarbonise the Humber area&gt; existing pipelines are planned to be reused.</t>
  </si>
  <si>
    <t xml:space="preserve">The project encompasses both the decommissioned Amethyst field and currently producing West Sole field, utilising depleted gas reservoirs, in which to permanently store captured CO2 within geological formations. Initial injection capacity of 1 Mpta rising to 6 Mtpa with injection commencing 2031 of 30 years. </t>
  </si>
  <si>
    <t>The Orion project  is both the Amethyst and West Sole fields. Storage is volumetric and taken from the source document. Revised volumes likely in the future when as FEED and appraisal begin on the site. Initial capacity of 1 Mt and injection for 30 years is provided in the  source. This volume of 30 Mt is  placed as development pending. The full resource for Orion is cited as 126 Mt. The West Sole field has a reported capacity of 78Mt and hence the remaining volumes(126 - 78 - 30) = 17 Mt is addded to Amethyst as development unclarified dlack of development plan for those volumes yet.</t>
  </si>
  <si>
    <t>Magnus</t>
  </si>
  <si>
    <t>Magnus Sandstone</t>
  </si>
  <si>
    <t>EnQuest, EnQuest Annual Report 2023, https://www.enquest.com/fileadmin/content/Annual_Reports/Annual_Reports_2023/41076_EnQuest_AR22_SR_spreads.pdf (accessed 18/01/23)</t>
  </si>
  <si>
    <t>There is no project announced yet, however this site is in the licence block CS013 awarded to EnQuest on 1/08/23.</t>
  </si>
  <si>
    <t xml:space="preserve"> EnQuest plans to have CO2 shipped to Sullom Voe Terminal in liquid form and then  transported via the existing East of Shetland pipeline for injection and permanent storage offshore.</t>
  </si>
  <si>
    <t>None Available</t>
  </si>
  <si>
    <t>There is limited literature to define how much these fields can store. Enquest plan to inject 10Mpta and ultimately store more than 1 billion tonnes according to press released. The company state that studies have suggested storage in excess of 500 MT although these are not available. For this assessment 500MT has been split equally over the 4 fields licenced to Enquest for CO2 storage.</t>
  </si>
  <si>
    <t>Eider</t>
  </si>
  <si>
    <t>Brent Group</t>
  </si>
  <si>
    <t>Middle Jurassic</t>
  </si>
  <si>
    <t>There is no project announced yet, however this site is in the licence block CS016 awarded to EnQuest on 1/08/23</t>
  </si>
  <si>
    <t>Galleon</t>
  </si>
  <si>
    <t>There is no project specified</t>
  </si>
  <si>
    <t>None available but it was stated that a  potential user is North Killingholme CCGT/IGCC</t>
  </si>
  <si>
    <t>This site was assessed by the UK government for Storage readiness in 2014. Galleon was provided with a total capacity of 137 Mt and a Potential capacity identified in CCR reports (tonnes): 78,400,000 and “Remaining” CO2 storage capacity (tonnes): 58,600,000. Very limited literature is available on this field</t>
  </si>
  <si>
    <t>Tern</t>
  </si>
  <si>
    <t>There is no project announced yet, however this site is in the licence block CS015 awarded to EnQuest on 1/08/23</t>
  </si>
  <si>
    <t>None specified.</t>
  </si>
  <si>
    <t>Thistle</t>
  </si>
  <si>
    <t>There is no project announced yet, however this site is in the licence block CS013 awarded to EnQuest on 1/08/23</t>
  </si>
  <si>
    <t>Britannia</t>
  </si>
  <si>
    <t>Britannia Sandstone</t>
  </si>
  <si>
    <t>Gasfield closed by 2050</t>
  </si>
  <si>
    <t>Early Cretaceous</t>
  </si>
  <si>
    <t>Non Available. However source document stated and Engineering containment risk of 1.4 and geological risk of 10 based on their ranking criteria. The origin of data to define this is from CO2Stored database.</t>
  </si>
  <si>
    <t>Source document assess this field on an Initial screening and down select process. The Field exhibited potential development cost factor risk and moderate containment risk. Proximal upside storage was 10016Mt, P50 Theoretical Capacity is 130Mt</t>
  </si>
  <si>
    <t>Malory</t>
  </si>
  <si>
    <t>No project to date. Authors do site potential of Malory as a satellite field along with Mordred and Galahad to main site Pickerill</t>
  </si>
  <si>
    <t>Very limited data on these sites exist and they have been assessed as part of a CO2 storge and wind farm cluster project in the source document. The source used capacity assessment based on  Bachu, S., and Shaw, J. (2003). (Evaluation of the CO2 Sequestration Capacity in Alberta’s Oil and Gas Reservoirs at Depletion and the Effect of Underlying Aquifers. J. Can. Pet. Technol. 42. doi:10.2118/ 03-09-02). All are hydrocarbon field so assumed discovered.</t>
  </si>
  <si>
    <t>Galahad</t>
  </si>
  <si>
    <t>de Jonge-Anderson, I., Underhill, JR., 2022, Use of Subsurface Geology in Assessing the Optimal Co-Location of CO2 Storage and Wind Energy Sites, Earth Science, Systems and Society, 2:10057</t>
  </si>
  <si>
    <t>No project to date. Authors do site potential of Malory as a satellite field along with Mordred and Malory to main site Pickerill</t>
  </si>
  <si>
    <t>Sweden</t>
  </si>
  <si>
    <t>South East Baltic</t>
  </si>
  <si>
    <t>Viklau Member</t>
  </si>
  <si>
    <t>Baltic</t>
  </si>
  <si>
    <t>File Haidar</t>
  </si>
  <si>
    <t>Lower Cambrian</t>
  </si>
  <si>
    <t xml:space="preserve">NORDICCS, 2015, The Nordic CO2 Storage Atlas </t>
  </si>
  <si>
    <t>The Viklau Fm sits on crystalline basement and is overlain by the Nar shale Mbr. It is  a mix of quartz sandstone and bioturbated sand and shale and was deposited in a near shore environment. It is an open aquifer that gently dips to the south-east. The sandstone may occur as lenses. Limited data exits to  characterise this site.</t>
  </si>
  <si>
    <t>The assessment is based on using the U.S.DOE storage efficiency factor 2% for formations. Effective capacity is stated as per source. Wells are not evenly distributed neither is it possible to define how many wells reach storage site depth. Source indicates only a few drill cores. Site is therefore classified as undiscovered.</t>
  </si>
  <si>
    <t>Theoretical volumes based on DOE for formations. 2% efficiency applied</t>
  </si>
  <si>
    <t>Nar Member</t>
  </si>
  <si>
    <t xml:space="preserve">The När Sandstone was  deposited in a  lowstand period in a near shore environment. It is predominantly fine- and medium-grained quartz sandstone with  interbeds of clay- and siltstone. It is a regionally distributed open saline aquifer gently dipping &lt; 1° towards the east-south-east. It is overlain by the Alum shale. </t>
  </si>
  <si>
    <t>Faludden Member</t>
  </si>
  <si>
    <t>Borgholm Formation</t>
  </si>
  <si>
    <t>Middle Cambrian</t>
  </si>
  <si>
    <t>Mortensen, G.M., P.E.S. Bergmo and B.U. Emmel, 2016, Characterization and Estimation of CO2 Storage Capacity for the Most Prospective Aquifers in Sweden, 86, 352, 360</t>
  </si>
  <si>
    <t xml:space="preserve">No formal plan exists. However the dynamic simulations modelled injection based on six wells placed in the deepest part of the aquifer injecting 0.5Mt/yr in two wells and 1Mt/yr in 4 wells. Included in this were five water producer wells. </t>
  </si>
  <si>
    <t>A clean carbonate quartz arenite with thin scattered layers of shale and siltone that is in an open/semi closed aquifer. Trapping is mainly stratigraphic and the entire formation has a wedge shaped depositions that gently dips towards the south east and pinches out in the north west. This formation continues towards Lithuania and Poland. The Aquifer is capped by a multi seal of a thick sequence of Ordovician carbonates and a thin layer of Alum Shale with variable continuity. The Ordovian sequences are capped further by a thick layer of Silurian Marlstone.</t>
  </si>
  <si>
    <t xml:space="preserve">The dynamic simulations of both 500Mt over 100 years and 250Mt over 50 years showed containment within the aquifer however the area of this study did not include the eastern and south-easternmost parts and the Dalders Structure so this study may result in less than the Volumetric method  based on the DOE storage efficiency factor for formations of 745 Mt cited in the NORDICCS CO2 Atlas . Limitations in the dynamic study are from data sparsity which may increase the uncertainties in capacity. Only two wells exist in this formation. An area of approx. 300Km2 is therefore classified as partly discovered. The remaining area is covered by the dynamic simulation and hence this site is partially discovered.  Note: The area of this dynamic simulation does not cover the full Faludden Formation aquifer and neither does the source state the areal extent of the simulation therefore it is not possible to subtract this from the full aquifer site. Hence the full aquifer will continue to have some capacity although it is  not possible to calculate  from the data available. A ball park figure would estimate that around 245Mt may remain outside of  the dynamic simulation area based on the volumetric calculation of 745Mt for the full Faludden aquifer from the NORDICCS Storage Atlas assessment. Due to the simulations and injection strategy  an SRMS of Prospect has been assigned. </t>
  </si>
  <si>
    <t>Dynamic Simulation that includes residual and dissolution trapping</t>
  </si>
  <si>
    <t>S34 Faludden</t>
  </si>
  <si>
    <t>Sopher, D., Juhlin, C., &amp; Erlström, M. , 2014, A probabilistic assessment of the effective CO2 storage capacity within the Swedish sector of the Baltic Basin, International Journal of Greenhouse Gas Control, 30, 148, 170</t>
  </si>
  <si>
    <t>The structure  is capped by a multi seal of a thick sequence of Ordovician carbonates and a thin layer of Alum Shale with variable continuity. The Ordovian sequences are capped further by a thick layer of Silurian Marlstone.</t>
  </si>
  <si>
    <t>This site a defined closed trap identified by the source document. Probabilistic effective storage capacities were calculated using the DOE methodology. The site is classified at a lead based on clearly identified target.</t>
  </si>
  <si>
    <t>S34 Nar</t>
  </si>
  <si>
    <t xml:space="preserve">The När Sandstone was  deposited in a  lowstand period in a near shore environment. It is predominantly fine- and medium-grained quartz sandstone with  interbeds of clay- and siltstone. It is overlain by the Alum shale. </t>
  </si>
  <si>
    <t>South West Scania</t>
  </si>
  <si>
    <t xml:space="preserve">Ljunghusen and Hammer </t>
  </si>
  <si>
    <t>The Ljunghusen Sandstone and Hammer Fm are the equivalent of the Bunter sandstone. The Ljunghusen sediment is well sorted, medium -coarse grained and interbedded with siltstone. The Hammar Formation has a more clayey matrix and overlain by the Flommen Formation. The formations are within a semi-closed saline aquifer.</t>
  </si>
  <si>
    <t>The assessment is based on using the U.S.DOE storage efficiency factor 2% for formations. Effective capacity is stated as per source. Wells are not evenly distributed nor is it possible to define how many wells reach storage site depth. Source indicates only a few drill cores. Site is therefore classified as undiscovered.</t>
  </si>
  <si>
    <t>Hoganas - Rya</t>
  </si>
  <si>
    <t>Late Triassic</t>
  </si>
  <si>
    <t>The Hognas formation is a near shore deltaic deposit and is overlain by the Rya Formation, which is more marine in depositional environment. The seal is the Hollviken Formation comprised of a thick sequence of argillaceous limestone and chalk.</t>
  </si>
  <si>
    <t>Lower Cretaceous A</t>
  </si>
  <si>
    <t>Lower Cretaceous A consists of quartz sandstone interbedded with silt and claystone deposited in a shallow marine environment. It is an open, partly fault confined site . Thickness varies greatly from South West Scania to the Vomb trough. The caprock for this unit is the Vomb Formation and restricted to the Vomb Trough.</t>
  </si>
  <si>
    <t>Lower Cretaceous B</t>
  </si>
  <si>
    <t>Lower Cretaceous B consists of quartz sandstone interbedded with silt and claystone deposited in a shallow marine environment. This site  differs from Lower Cretaceous A  being a smaller and semi closed trap . Thickness varies greatly from South West Scania to the Vomb trough. The caprock for this unit is the Vomb Formation and restricted to the Vomb Trough.</t>
  </si>
  <si>
    <t>Arnager Greensand</t>
  </si>
  <si>
    <t>Late Cretaceous</t>
  </si>
  <si>
    <t xml:space="preserve">No formal plan exists. However the dynamic simulations modelled injection based on four wells placed in the deepest part of the aquifer injecting 0.25Mt/yr in  and 1Mt/yr. Included in this were five water producer wells. </t>
  </si>
  <si>
    <t>The Arnager Greensand was deposited in a marginal marine setting. It is an open and partly faulted aquifer with regional distribution and contains no traps or closures. The area suitable for CO2 storage is in the south-west from the Romeleasen Fault Zone. The seal is the Hollviken Formation comprised of a thick sequence of argillaceous limestone and chalk.</t>
  </si>
  <si>
    <t>The dynamic simulations in the source study, ran a maximum of  400Mt over 100 years with a rate of 1Mt/yr in each of the four wells. 14% of the CO2 migrated to depths less than 800M over a simulation of 6000 years.  Limited data reduces the accuracy of this study . There is some ambiguity over volumes from this source and the NORDICCS Atlas which also cites a modelled volume of 225 Mt.. Wells do exist on the site, and cover around 50%  and relatively evenly distributed. Neither is  possible to define how many wells penetrate the formations. 50% of The site is therefore classified as discovered due the dynamic simulation and well coverage and covered under  separate record. The remaining site (this record) remain partly discovered and classified at a sequence level.</t>
  </si>
  <si>
    <t>Kattegat Sea</t>
  </si>
  <si>
    <t>Skagerrak Formation</t>
  </si>
  <si>
    <t>Anthonsen, K.L., P. Aagaard, P.E.S. Bergmo, M. Erlstrom, J.I. Fareide, S.R. Gislason, G.M. Mortensen and S.O. Snæbjörnsdóttir, 2013, CO2 Storage Potential in the Nordic Region, Energy Procedia, 37, 5080, 5092</t>
  </si>
  <si>
    <t xml:space="preserve">Very limited data available. Source cites the occurrence of an anticline structure . The is an  reasonable layer of claystone on top of the Skagerrak Formation </t>
  </si>
  <si>
    <t xml:space="preserve">Very limited data available in the source document. Volumes likely to be based on the 2011 Geological Survey of Sweden. </t>
  </si>
  <si>
    <t>Greece</t>
  </si>
  <si>
    <t>Aegean  Sea</t>
  </si>
  <si>
    <t>Prinos CCS Project</t>
  </si>
  <si>
    <t>Northern Aegean</t>
  </si>
  <si>
    <t>Pre-Evaporite</t>
  </si>
  <si>
    <t>Neogene - Miocene</t>
  </si>
  <si>
    <t>Stefatos, A., Giakoumatou, E., (eds), (2023), CARBON CAPTURE &amp; STORAGE Regulatory Framework &amp; Overall Structure, HEREMA S.A. Dimitriou Margari 18, 11525, Athens, Greece</t>
  </si>
  <si>
    <t>The Prinos field has an active exploration license issued by HEREMA in 2022 to Energean for CO2 Storage. This includes the Prinos and Epsilon Fields and the underlying aquifer.  The project aims to contribute to local and regional decarbonisation with transport lines planned by both ship and pipeline.</t>
  </si>
  <si>
    <t xml:space="preserve">Internal and external studied have show the field can hold up to 3Mtpa of CO2 for 25 years. A phase 1 plan is to inject 1 Mt per year as compressed gas and then expand to liquid form by mid-2027. The second phase is to inject 3 Mt per year for 25 years. </t>
  </si>
  <si>
    <t>The Prinos field and Aquifer are overlain by a thick sequence of evaporites, clastics and marls up to 2300m thick. Overall thickness of sediment in the basin is over 6km. The sites are in a fault controlled rift basin and characterised by high strike-slip faults. The overall basin appears tectonically stable although the Aegean region has more than 60% of European seismicity released in the area. The existence of the oil fields and fault bound trips indicates that the Prinos area experiences very limited seismicity.</t>
  </si>
  <si>
    <t>Extensive work has been conducted on the area by Energean but not available in the public domain. Storage  volumes are published by Energeia and HEREMA. Reservoir properties and geology is limited to a few papers in the public domain: Koukouzas, N.,  Ziogou, F. and Gemini, V.; (2009):  Preliminary assessment of CO2 geological storage opportunities in Greece, International Journal of Greenhouse Gas Control, Volume 3, Issue 4, 2009, Pages 502-513. Accurate well count is not available. The literature clearly reports the Prinos aquifer and Prinos depleted oil field separately in terms of capacity estimates.</t>
  </si>
  <si>
    <t xml:space="preserve">Mesohellenic Trough </t>
  </si>
  <si>
    <t xml:space="preserve">Greneva sub-basin - Eptahori Fm </t>
  </si>
  <si>
    <t>Ionian Sea</t>
  </si>
  <si>
    <t xml:space="preserve">Pentalofos Fm </t>
  </si>
  <si>
    <t>Paleogene - Oligocene</t>
  </si>
  <si>
    <t xml:space="preserve">Koukouzas, N., Tyrologou, P., Karapanos, D., Carneiro, J., Pereira, P., de Mesquita Lobo Veloso, F., Koutsovitis, P., Karkalis, C., Manoukian, E., Karametou, R., (2021), Carbon Capture, Utilisation and Storage As a Defence Tool Against Climate Change: Current Developments in West Macedonia (Greece). Energies, 14, 3321. </t>
  </si>
  <si>
    <t>There is limited data available to understand the containment of this site. The Eptahori is overlain by the Pentaflos Fm and then a thick (1500m) layer of the Tsotyli and Ondria Fm. This is a molasse type basin that borders the Hellenic thrust belt. It has been classified as a cold basin with a geothermal gradient of 35 degrees C/km. There may be rollover anticlines that developed along the Theotokos thrust which can provide structural traps. In addition to this locations along the east margin of the trough and the Theotokos-Theopetra uplift  hold potential due to the potential for fault sealing along the structure. Between Krania and Theotokus uplift and erosion is likely to have removed the majority of the seal and hence the storage formation outcrops at surface.</t>
  </si>
  <si>
    <t>The initial assessment was based on a  static model project in 2016 by Tasianas, A. and  Koukouzas, N., (2016), ( CO2 Storage Capacity Estimate in the Lithology of the Mesohellenic Trough, Greece. Energy Procedia, Volume 86, 2016, 334-341). A later study by  Koukouzas, N., Tyrologou, P., Karapanos, D., Carneiro, J., Pereira, P., de Mesquita Lobo Veloso, F., Koutsovitis, P., Karkalis, C., Manoukian, E., Karametou, R., (2021),( Carbon Capture, Utilisation and Storage As a Defence Tool Against Climate Change: Current Developments in West Macedonia (Greece). Energies, 14, 3321) built on the 2016 study and refined the estimates based on the approach used by the DOE for formations and STRATEGY CCS project (Cavanagh, A.J, Wilkinson, M and Haszeldine, RS. 2020. Bridging the Gap, Storage Resource Assessment Methodologies, EU H2020 STRATEGY CCUS Project 837754, Report). The classification of storage resources via this approach first provided a qualitative assessment of suitability of the storge site quality and then provided a classification system based on a pyramid approach. It provided P10, P50 and P90 values to storage capacity</t>
  </si>
  <si>
    <t>Theoretical volumes based on DOE for formations. 1.5% efficiency applied</t>
  </si>
  <si>
    <t xml:space="preserve">Greneva sub-basin - Pentalofos Fm </t>
  </si>
  <si>
    <t>Eptahori</t>
  </si>
  <si>
    <t>Thessaloniki Basin</t>
  </si>
  <si>
    <t xml:space="preserve">W Thessaloniki sandstone </t>
  </si>
  <si>
    <t>Paleogene - Eocene</t>
  </si>
  <si>
    <t xml:space="preserve">Corless,V., Fjøsna, E., Havlik, J., Hoff, E., Taylor, D., Tjetland, G., and Vazaios,I., (2010) A bridge to a greener Greece A realistic assessment of CCS potential, The Bellona Foundation, Athens, Greece. </t>
  </si>
  <si>
    <t xml:space="preserve">Storage potential exists in structures such as the Alexandria Anticline and the Loudias and Agriossykia Synclines. The faults near the border are complex and seismic activity in 1978 contributed to a reactivation of faults in the Mygdonian Basin. E-W striking faults are currently most active. These are significant considerations to take in to account for containment in this site. The seal is composed of Oligocene flysch with a thickness of around 1200m. </t>
  </si>
  <si>
    <t>There is limited data on this site. The source document provides geological characteristics and derive the capacity estimations from work done by the GeoCapacity project.</t>
  </si>
  <si>
    <t xml:space="preserve">EU GeoCapacity  </t>
  </si>
  <si>
    <t xml:space="preserve">W Thessaloniki </t>
  </si>
  <si>
    <t>Alexandria Aquifer</t>
  </si>
  <si>
    <t xml:space="preserve"> The faults near the border are complex and seismic activity in 1978 contributed to a reactivation of faults in the Mygdonian Basin. E-W striking faults are currently most active. These are significant considerations to take in to account for containment in this site. The seal is composed of Oligocene flysch with a thickness of around 1200m. </t>
  </si>
  <si>
    <t xml:space="preserve">Ptolemais-Kozani Basin </t>
  </si>
  <si>
    <t>Ptolemais-Kozani</t>
  </si>
  <si>
    <t>Limestone &amp; Ptolemais Fm</t>
  </si>
  <si>
    <t>Neogene</t>
  </si>
  <si>
    <t>The limestone reservoir, although extensive, is highly fractured. Suitable caprocks are the lignite formations (Ptolmain and Ardassa) and have a thickness of around 150-200m. This site is close to the Proastio-Komnina-Mesovouni fault zone which may impact the tectonic safety of the basin.</t>
  </si>
  <si>
    <t>There is limited data on this site. The source document  derive the capacity estimations from work done by the GeoCapacity project.</t>
  </si>
  <si>
    <t>Austria</t>
  </si>
  <si>
    <t>Vienna Basin</t>
  </si>
  <si>
    <t xml:space="preserve">Schenkirchen Tief </t>
  </si>
  <si>
    <t>Vienna</t>
  </si>
  <si>
    <t>Cenozoic</t>
  </si>
  <si>
    <t>Welkenhuysen, K., Brüstle , A-K.,  Bottig, M., Andrea Ramírez, A., Swennen, R., 2 &amp;  Piessens, K., (2016), A techno-economic approach for capacity assessment and ranking of potential options for geological storage of CO2 in Austria, Geologica Belgica, 19/3-4: 237-249</t>
  </si>
  <si>
    <t>Due to a history of hydrocarbon production it is assumed that the containment is a limited risk with respect to trap and seal. The integrity of abandoned wells is not known and may be a leak risk.</t>
  </si>
  <si>
    <t>No CCS regulatory framework is in place as of Cycle 4, nor in the injection of CO2 for storage currently permitted - all sites considered Inaccessible. The assessment is based on a methodology for CO2 storage reservoir assessment, that uses the classification principle by Bachu et al. (2007). This methodology  enables making a realistic assessment of the practical and matched capacity in storage sites with large uncertainty ranges . It is based on the geo-economic evaluation of potential reservoirs with a calculation scheme called “PSS Explorer” as outlined in the source reference. , and a source-sink matching by a geo-techno-economic simulator called “PSS III”</t>
  </si>
  <si>
    <t>Match capacity estimate using a ranking criteria after Bachu et al.,  (2007)</t>
  </si>
  <si>
    <t xml:space="preserve">Schenkirchen Ubertief </t>
  </si>
  <si>
    <t>Welkenhuysen, K., Brüstle , A-K.,  Bottig, M., Andrea Ramírez, A., Swennen, R., 2 &amp;  Piessens, K., (2016), A techno-economic approach for capacity assessment and ranking of potential options for geological storage of CO2 in Austria, Geologica Belgica, 19/3-4: 237-250</t>
  </si>
  <si>
    <t xml:space="preserve">Aderklaa </t>
  </si>
  <si>
    <t>Gasfield closed</t>
  </si>
  <si>
    <t>Welkenhuysen, K., Brüstle , A-K.,  Bottig, M., Andrea Ramírez, A., Swennen, R., 2 &amp;  Piessens, K., (2016), A techno-economic approach for capacity assessment and ranking of potential options for geological storage of CO2 in Austria, Geologica Belgica, 19/3-4: 237-251</t>
  </si>
  <si>
    <t>Höflein</t>
  </si>
  <si>
    <t>Welkenhuysen, K., Brüstle , A-K.,  Bottig, M., Andrea Ramírez, A., Swennen, R., 2 &amp;  Piessens, K., (2016), A techno-economic approach for capacity assessment and ranking of potential options for geological storage of CO2 in Austria, Geologica Belgica, 19/3-4: 237-252</t>
  </si>
  <si>
    <t>Reyersdorfer</t>
  </si>
  <si>
    <t>Welkenhuysen, K., Brüstle , A-K.,  Bottig, M., Andrea Ramírez, A., Swennen, R., 2 &amp;  Piessens, K., (2016), A techno-economic approach for capacity assessment and ranking of potential options for geological storage of CO2 in Austria, Geologica Belgica, 19/3-4: 237-254</t>
  </si>
  <si>
    <t>Molasse Basin</t>
  </si>
  <si>
    <t>Voitsdorf</t>
  </si>
  <si>
    <t>Molasse</t>
  </si>
  <si>
    <t>Welkenhuysen, K., Brüstle , A-K.,  Bottig, M., Andrea Ramírez, A., Swennen, R., 2 &amp;  Piessens, K., (2016), A techno-economic approach for capacity assessment and ranking of potential options for geological storage of CO2 in Austria, Geologica Belgica, 19/3-4: 237-255</t>
  </si>
  <si>
    <t>Croatia</t>
  </si>
  <si>
    <t>Sava Depression</t>
  </si>
  <si>
    <t>Poljana</t>
  </si>
  <si>
    <t>Pannonian</t>
  </si>
  <si>
    <t>Kloštar Formation</t>
  </si>
  <si>
    <t>Veloso, F. M. L. 2021. Maturity level and confidence of storage capacities estimates in the promising regions. EU H2020 STRATEGY CCUS Project 837754, Report, pp 125.</t>
  </si>
  <si>
    <t>This site is reported as having in the region of 120 wells drilled in its vicinity which has helped define the base of the aquifer. Porosity has also been evaluated from 21 wells in the western part by the source document. The site can be assumed relatively well discovered. It is capped by a regional and laterally continuous cap rock of the Graber Marl and Kloštar Ivani? marl</t>
  </si>
  <si>
    <t>The source reference used Geocapacity estimates and then applied a formular based on Carbon Storage Atlas -(USDOE, 2014) which integrated a 2% efficiency factor and other reservoir properties. This in-fact increased capacity estimates (251.6 Mt v 310 Mt). Despite 120 wells drilled in this region, it has not been possible to determine from the literature how many provide any data for the Poljana aquifer. This site is classified as undiscovered due to the great uncertainty surrounding data availability for such a large area.</t>
  </si>
  <si>
    <t>US DOE and efficiency factor fo 2%</t>
  </si>
  <si>
    <t>clastic</t>
  </si>
  <si>
    <t>Okoli</t>
  </si>
  <si>
    <t xml:space="preserve">Ivani?  Formation </t>
  </si>
  <si>
    <t>This site is a daughter unit of Poljana. It is assumed to be capped by a similar regional and laterally continuous cap rock of the Graber Marl and Kloštar Ivani? marl. Porosities have been estimated from a porosity change with depth</t>
  </si>
  <si>
    <t>The source reference used Geocapacity estimates and then applied a formular based on Carbon Storage Atlas -(USDOE, 2014) which integrated a 2% efficiency factor and other reservoir properties. This in-fact increased capacity estimates (229 Mt v 269.7 Mt)</t>
  </si>
  <si>
    <t>Iva</t>
  </si>
  <si>
    <t>The source reference used Geocapacity estimates and then applied a formular based on Carbon Storage Atlas -(USDOE, 2014) which integrated a 2% efficiency factor and other reservoir properties. This in-fact increased capacity estimates (55.1 Mt v 281.7 Mt)</t>
  </si>
  <si>
    <t>Drava Depression</t>
  </si>
  <si>
    <t>Drava</t>
  </si>
  <si>
    <t xml:space="preserve">Ivani?, Kloštar Ivani?, Vinkovci Formations </t>
  </si>
  <si>
    <t>The Drava and Osijek situated in the Drava depression have very limited petrophysical properties. The lateral continuity of cap-rocks was assumed based on regional cross-sections. Cabuna Marl is primary seal in the western part of Drava depression and Borovo Marl in the eastern part. Seal thickness is based on data from 3 wells.</t>
  </si>
  <si>
    <t>The source reference used Geocapacity estimates and then applied a formular based on Carbon Storage Atlas -(USDOE, 2014) which integrated a 2% efficiency factor and other reservoir properties. This in-fact increased capacity estimates (1939 Mt v 3360.7 Mt)</t>
  </si>
  <si>
    <t>Osijek</t>
  </si>
  <si>
    <t>The source reference used Geocapacity estimates and then applied a formular based on Carbon Storage Atlas -(USDOE, 2014) which integrated a 2% efficiency factor and other reservoir properties. This in-fact increased capacity estimates (110 Mt v 143.1 Mt)</t>
  </si>
  <si>
    <t>Middle Adriatic Sea Basin</t>
  </si>
  <si>
    <t>Dugi Otok</t>
  </si>
  <si>
    <t>Adriatic - Dinaric</t>
  </si>
  <si>
    <t>Saftic, B., I.K. Mocilac, M. Cvetkovic, D. Vulin, J. Velic and B. Tomljenovic, 2019, Potential for the geological storage of CO2 in the Croatian part of the Adriatic offshore, Minerals, 9, 10</t>
  </si>
  <si>
    <t>This area is a depression  that sites adjacent to the outcropping Dugo Otok Island. With in the basin  is a thick succession of marls and sands with and  large  undeformed structures. The proportion of permeable layers is less with an estimated net pay of 0.2. Tectonically this area is relatively  quiet, although seismicity does occur through Croatia so needs to be a consideration.</t>
  </si>
  <si>
    <t>Source reference used a theoretical approach to calculate capacity using a compressibility method defined by van der Meer &amp; Egberts (2008) and a volumetric method by Goodman et al., (2011) which used the US DOE methodology. Wells do exist in this structure, however it is unclear if they  penetrate the formations or if they have data to characterise the site. The wells are not in the public domain to view. The Kate-1 well in close to the structure and may yield property values. The site is classified as undiscovered basin due to absence of defined units and limited information from any wells. However it is a large closed structure that could warrant further investigation.</t>
  </si>
  <si>
    <t>van der Meer &amp; Egberts (2008) and USDOE</t>
  </si>
  <si>
    <t>Žutica</t>
  </si>
  <si>
    <t>Vulin, D., Vodopi?, F., Arnaut, M., Safti?, B., Kolenkovi? Mo?ilac, I., Karasalihovi? Sedlar, D. and  Marko Cvetkovi?, M.;(2021). Assessment of current state, past experiences and potential for CCS deployment in the CEE region: Croatia. BUILDING MOMENTUM FOR THE LONG-TERM CCS DEPLOYMENT IN THE CEE REGION project. https://ccs4cee.eu/assessment-of-current-state-ccs-4-cee/ </t>
  </si>
  <si>
    <t>CO2 EOR project underway by INA/MOL. The injection of CO2 in Ivani? oilfield started in October 2014 and northern part of Žutica oilfields in October 2016</t>
  </si>
  <si>
    <t>A pilot, full chain CCS project is currently being conducted at the Petrokemija ammonia production plant at Kutina. The project intends to capture, transport and inject 190.000 tonnes of CO2 per year. MOLgroup are the operator and plan are to inject in 2026. https://iogpeurope.org/wp-content/uploads/2023/10/Map-CO2-Storage-Projects-in-Europe.pdf</t>
  </si>
  <si>
    <t>This is a producing field and assumed to be gas tight with respect to containment.</t>
  </si>
  <si>
    <t xml:space="preserve">Source reference used storage capacity estimates as reported in the EU GEOCAPACITY, 2009 AND STRATEGY CCUS, 2020 projects. </t>
  </si>
  <si>
    <t>EU Geocapacity</t>
  </si>
  <si>
    <t>Molve</t>
  </si>
  <si>
    <t>Kalinovac</t>
  </si>
  <si>
    <t>Boksi?</t>
  </si>
  <si>
    <t xml:space="preserve">Po Basin </t>
  </si>
  <si>
    <t>Ida</t>
  </si>
  <si>
    <t>Neogene - Pliocene</t>
  </si>
  <si>
    <t>This is a producing field and assumed to be gas tight with respect to containment. These fields are defined as small structural closures with numerous isolated sand bodies  in a progradational turbiditic sequence. Some of the fields may be too shallow (-500 to -1000m) for CO2 injection and data is not available to verify if this site is at the sufficient depth.</t>
  </si>
  <si>
    <t>Ika</t>
  </si>
  <si>
    <t>This is a producing field and assumed to be gas tight with respect to containment. These fields are defined as small structural closures with numerous isolated sand bodies  in a progradational turbiditic sequence. Some of the fields may be too shallow (-500 to -1000m) for CO2 injection</t>
  </si>
  <si>
    <t>Dugi Otok Basin</t>
  </si>
  <si>
    <t>Adriatic Offshore Structure 2</t>
  </si>
  <si>
    <t>Triassic - Cretaceous</t>
  </si>
  <si>
    <t>Saftic, B., I.K. Mocilac, M. Cvetkovic, D. Vulin, J. Velic and B. Tomljenovic, 2019, Potential for the geological storage of CO2 in the Croatian part of the Adriatic offshore, Minerals, 9, 11</t>
  </si>
  <si>
    <t>These anticlines are part of a carbonate complex. Structure 2  is a fault bound anticline that was active in the Pleistocene and Quaternary</t>
  </si>
  <si>
    <t>Source reference used a theoretical approach to calculate capacity using a compressibility method defined by van der meer &amp; Egberts (2008) and a volumetric method by Goodman et al., (2011) which used the US DOE methodology.  Wells do exist close to this structure, however it is unclear if they  penetrate the formations or if they have data to characterise the site. The wells are not in the public domain to view.</t>
  </si>
  <si>
    <t>Klara 1 - Discovered</t>
  </si>
  <si>
    <t>Unspecified: Rudist Limestone</t>
  </si>
  <si>
    <t>Cenomanian - Santonian</t>
  </si>
  <si>
    <t>Saftic, B.,  Bralic, N., ,Rukavina, D., Kolenkovic Mocilac, I., and Cvetkovic, M., 2024, Prospects for Geological Storage of CO2 in Carbonate Formations of the Adriatic Offshore, Minerals, 14, 409</t>
  </si>
  <si>
    <t xml:space="preserve"> Late Eocene - Oligocene shales up to 1500m thick. Structural closure is defined by a. spill point at a depth of ?2500 m. Structure is elongated in NW-SE direction with a length of 22 km
and a width of up to 4 km. limited faulting in the structure.</t>
  </si>
  <si>
    <t>Source reference used a theoretical approach to calculate capacity using a compressibility method defined by van der meer &amp; Egberts (2008) and a volumetric method by Goodman et al., (2011) which used the US DOE methodology.  Wells were used to provide porosity and density data. Structure maps were used to define the volume and storage efficiency was based on the GeoCapacity approach.</t>
  </si>
  <si>
    <t>Kate 1 - Discovered</t>
  </si>
  <si>
    <t>Unspecified: Eocene foraminiferal limestone and Upper Cretaceous rudist limestone</t>
  </si>
  <si>
    <t>Maastrichtian - Middle Eocene</t>
  </si>
  <si>
    <t xml:space="preserve"> Late Eocene - Oligocene shales up to 1500m thick. Structural closure is defined by a. spill point at a depth of ?2500 m.  The structure is elongated in the NW-SE direction with
a length of 11 km and width of up to 3 km</t>
  </si>
  <si>
    <t>Adriatic Offshore Structure 5</t>
  </si>
  <si>
    <t>Saftic, B., I.K. Mocilac, M. Cvetkovic, D. Vulin, J. Velic and B. Tomljenovic, 2019, Potential for the geological storage of CO2 in the Croatian part of the Adriatic offshore, Minerals, 9, 14</t>
  </si>
  <si>
    <t xml:space="preserve">Structure 5 is anticline within a  fault complex. This part of the Adriatic and is strongly affected  by salt tectonics. Seismic activity around major structures in this area is also  historically well known and could affect site seal integrity.  </t>
  </si>
  <si>
    <t xml:space="preserve">Source reference used a theoretical approach to calculate capacity using a compressibility method defined by van der meer &amp; Egberts (2008) and a volumetric method by Goodman et al., (2011) which used the US DOE methodology. </t>
  </si>
  <si>
    <t xml:space="preserve">Germany -National </t>
  </si>
  <si>
    <t>Knopf, S. and F. May, 2017, Comparing Methods for the Estimation of CO2 Storage Capacity in Saline Aquifers in Germany: Regional Aquifer Based vs. Structural Trap Based Assessments, Energy Procedia, 114, 4710, 4721</t>
  </si>
  <si>
    <t xml:space="preserve">Non available </t>
  </si>
  <si>
    <t xml:space="preserve">Knopf and May, (2017) assessed aquifers using a ‘regional aquifer based method’. This study built on results in previous studies by the   Storage Catalogue of Germany and GPDN using a volumetric approach but considered distinct reservoir- barrier units with capacity based on net thickness and porosity. They then ran Monte Carlo simulations with efficiency values between 0.9 and 4.6 to provide P10, P50 and P90 ranges. The study considered the capacity of structures within the units. This assessment has been favoured for the CRSC since it considers potential sites in Germany on a more containment basis (by considering both reservoir and barrier) and also refines the capacity estimates from previous studies. Despite the assessment reviewing 16 reservoir-barrier units and then subdividing them, the actual results for these are not reported. The reporting of the capacity by units is unclear and not well defined. In order to  maintain the capacity tied to distinct units/areas in Germany,  the breakdown of the results has been summarised to include The Bundastein (North German Basin), remaining units in the North German Basin and then the remaining units in all of Germany. </t>
  </si>
  <si>
    <t>Based on the Storage Catalogue of Germany and GPDN using a volumetric approach</t>
  </si>
  <si>
    <t xml:space="preserve">North German Basins </t>
  </si>
  <si>
    <t xml:space="preserve">Knopf and May, (2017) assessed aquifers using a ‘regional aquifer based method’. This study built on results in previous studies by the   Storage Catalogue of Germany and GPDN using a volumetric approach but considered distinct reservoir- barrier units with capacity based on net thickness and porosity. They then ran Monte Carlo simulations with efficiency values between 0.9 and 4.6 to provide P10, P50 and P90 ranges. The study considered the capacity of structures within the units. This assessment has been favoured for the CRSC since it considers potential sites in Germany on a more containment basis (by considering both reservoir and barrier) and also refines the capacity estimates from previous studies. Despite the assessment reviewing 16 reservoir units and then subdividing them, the actual results for these are not reported. The reporting of the capacity by units is unclear and not well defined. In order to  maintain the capacity tied to distinct units/areas in Germany,  the breakdown of the results has been summarised to include The Bundastein (North German Basin), remaining units in the North German Basin and then the remaining units in all of Germany. </t>
  </si>
  <si>
    <t>North German Buntsandstein</t>
  </si>
  <si>
    <t xml:space="preserve">Bundsandstein </t>
  </si>
  <si>
    <t xml:space="preserve">Germany Depleted Oil and Gas Fields </t>
  </si>
  <si>
    <t>Anthonsen, K.L., and Christensen, N.P.,(2021),  EU Geological CO? storage summary, DANMARKS OG GRØNLANDS GEOLOGISKE UNDERSØGELSE RAPPORT 2021/34</t>
  </si>
  <si>
    <t>There is very little information surrounding the potential for storage in German’s oil and gas fields. CO2Stop assessed the potential via reporting saline aquifer locations  with hydrocarbon fields but and reported an overall capacity of 2Gt. Due to a significant absence of reporting and literature on German potential in depleted hydrocarbon fields an overall countrywide capacity is added to the CSRC of 2Gt. This is classified as inaccessible due to regulations. Location is reported for Germany only - no sites are specified.</t>
  </si>
  <si>
    <t>Uncertain due to very limited studieson potential in depleted hydrocarbon fields</t>
  </si>
  <si>
    <t>Bulgaria</t>
  </si>
  <si>
    <t>Black Sea</t>
  </si>
  <si>
    <t>Galata</t>
  </si>
  <si>
    <t>Burgas</t>
  </si>
  <si>
    <t>Campanian</t>
  </si>
  <si>
    <t>Beumelburg, C., 2023, Pioneering CCUS in Bulgaria: HeidelbergCement’s ANRAV project selected by EU Innovation Fund</t>
  </si>
  <si>
    <t xml:space="preserve">Project ANARV - Project supported by EU innovation Fund. </t>
  </si>
  <si>
    <t xml:space="preserve">ANRAV aims to develop the first full CCS _x000D_
value chain project in Bulgaria and in _x000D_
Eastern Europe. The objective is to capture _x000D_
the CO2 streams at the Devnya cement plant _x000D_
in Varna (HeidelbergCement group) and _x000D_
though an onshore and offshore pipeline _x000D_
system to store them in a depleted gas _x000D_
field in the Black Sea. Subject to regulatory _x000D_
and permitting aspects, the full-chain CCS _x000D_
project could be operational on 2028. </t>
  </si>
  <si>
    <t>clay limestone as per CO2StoP Atlas</t>
  </si>
  <si>
    <t xml:space="preserve">This a depleted gas field. It was discovered in the Late Cretaceous / Late Paleocene calcarenite reservoir in 1993 by Texaco. Production ceased in 2015. It has been also considered as a gas storage site . The potential storage capacity of the Galata field after conversion is over to 2.0billion m3 (Levesley, G.; 2018) this is equivalent to a CO2 storage capacity in (STP) of  approximately 4 MT. This has been entered as a site despite the fact is below 10 MT storage capacity because there is a CCS project to develop the site for storage. 
</t>
  </si>
  <si>
    <t>MP</t>
  </si>
  <si>
    <t>Volumetrc storage capacity was calculated using reservoir known properties and the gas extracted... The potential storage capacity of the Galata field after conversion is over to 2.0billion_x000D_
m3 (Levesley, G.; 2018)</t>
  </si>
  <si>
    <t>Moesian Platform</t>
  </si>
  <si>
    <t>Pavlikeni zone</t>
  </si>
  <si>
    <t>Tithonian</t>
  </si>
  <si>
    <t>Georgiev, G., 2008, CO2 emissions and geological storage options in Bulgaria, Slovak Geological Magazine, 43, 52</t>
  </si>
  <si>
    <t>Assessed for the GeoCapacity project and data compilated to the CO2StoP</t>
  </si>
  <si>
    <t>Hauterivian marl</t>
  </si>
  <si>
    <t xml:space="preserve">This is a broad assessment done by the GeoCapacity project. It does not delineate specific sites, but rather provides an overarching of the CCUS capacity in Bulgaria. </t>
  </si>
  <si>
    <t>Volumetrc storage capacity was calculated using methodology of Brook at al., 2003 and Bachu et al., 2007, accepted in EU GeoCapacity project</t>
  </si>
  <si>
    <t>Pleven zone</t>
  </si>
  <si>
    <t>Georgiev, G., 2008, CO2 emissions and geological storage options in Bulgaria, Slovak Geological Magazine, 43, 53</t>
  </si>
  <si>
    <t>Marash</t>
  </si>
  <si>
    <t>Eifelian-Givetian</t>
  </si>
  <si>
    <t>Devonian</t>
  </si>
  <si>
    <t>Georgiev, G., 2008, CO2 emissions and geological storage options in Bulgaria, Slovak Geological Magazine, 43, 54</t>
  </si>
  <si>
    <t>Lower Carboniferous - Permian</t>
  </si>
  <si>
    <t>Popovo zone</t>
  </si>
  <si>
    <t>Bajocian</t>
  </si>
  <si>
    <t>Georgiev, G., 2008, CO2 emissions and geological storage options in Bulgaria, Slovak Geological Magazine, 43, 56</t>
  </si>
  <si>
    <t>Middle Jurassic - Bathonian</t>
  </si>
  <si>
    <t>Vardar - Balkans</t>
  </si>
  <si>
    <t>Yambol-south</t>
  </si>
  <si>
    <t>Coniancian</t>
  </si>
  <si>
    <t>Georgiev, G., 2008, CO2 emissions and geological storage options in Bulgaria, Slovak Geological Magazine, 43, 57</t>
  </si>
  <si>
    <t>marl &amp; flysch</t>
  </si>
  <si>
    <t>Cherkovo</t>
  </si>
  <si>
    <t>Georgiev, G., 2008, CO2 emissions and geological storage options in Bulgaria, Slovak Geological Magazine, 43, 58</t>
  </si>
  <si>
    <t>Dolna Kamchia</t>
  </si>
  <si>
    <t>Bartonian</t>
  </si>
  <si>
    <t>Paleogene</t>
  </si>
  <si>
    <t>Georgiev, G., 2008, CO2 emissions and geological storage options in Bulgaria, Slovak Geological Magazine, 43, 60</t>
  </si>
  <si>
    <t>Shale</t>
  </si>
  <si>
    <t>Galabovo</t>
  </si>
  <si>
    <t>Georgiev, G., 2008, CO2 emissions and geological storage options in Bulgaria, Slovak Geological Magazine, 43, 61</t>
  </si>
  <si>
    <t>Marl &amp; Shale</t>
  </si>
  <si>
    <t>clastics</t>
  </si>
  <si>
    <t>Marista</t>
  </si>
  <si>
    <t>Maritsa</t>
  </si>
  <si>
    <t>Martinez, R., Suárez, I., Carneiro, J., Le Nindre, Y.M. &amp; Boevida, D., 2013, Storage capacity evaluation for development of CO2 infrastructure in the west Mediterranean , Energy Procedia, 37, 5209, 5219</t>
  </si>
  <si>
    <t>The University of Sofia proposes development of a CCS pilot project at the onshore saline aquifer of Pavlikeni with support of the EU_x000D_
capture projects. The project got cancel due to lack of budget.</t>
  </si>
  <si>
    <t xml:space="preserve">The University of Sofia proposed development of a project at the onshore saline aquifer of Pavlikeni. The site is close to Maritsa East power plants and which could provide a potential source of CO2. The depth to top of the storage FM is 800 -1400 m deep. </t>
  </si>
  <si>
    <t>Spain</t>
  </si>
  <si>
    <t>Hydrocarbon fields</t>
  </si>
  <si>
    <t>Martinez, R., I. Suarez, M.A. Zapatero, B. Saftic, I. Kolenkovic, M. Car, S. Persoglia and F. Donda, 2009, The Eu Geocapacity Project - Saline aquifers storage capacity in group south countries, Energy Procedia, 1, 1, 2733, 2740</t>
  </si>
  <si>
    <t>Storage Identified during the GeoCapacity project (2006-2009) in the oil/gas fields in Spain, onshore and offshore</t>
  </si>
  <si>
    <t>No development plan as per January 2023</t>
  </si>
  <si>
    <t>Containment hasn't been considered for CO2 storage</t>
  </si>
  <si>
    <t xml:space="preserve">The depleted oil and gas fields in Spain are considered to be used as gas storage. </t>
  </si>
  <si>
    <t>Gulf of Cadiz</t>
  </si>
  <si>
    <t xml:space="preserve">Cadiz Dolomitico </t>
  </si>
  <si>
    <t>Martínez del Olmo, W. , 2019, Cambio climático, acuerdos de París y trampas geológicas donde secuestrar el CO2 en España, Revista de la Sociedad Geológica de España, 32, 2, 87, 106</t>
  </si>
  <si>
    <t>Storage Identified and characterized by Martinez Olmo at IGME.</t>
  </si>
  <si>
    <t>No development plan as per January 2024</t>
  </si>
  <si>
    <t>Regional seal and containment has been considered through  limited data and detailed in   Martinez del Olmo (2019)</t>
  </si>
  <si>
    <t>The storage  assessment data and the input data are not available. Hence it is classified as play Undiscovered, even thought there are wells drilled in the area and the site might have been discovered.</t>
  </si>
  <si>
    <t>Geocapacity volumetric calcuation</t>
  </si>
  <si>
    <t xml:space="preserve">Cadiz Arenoso </t>
  </si>
  <si>
    <t>Arenas del Guadiana</t>
  </si>
  <si>
    <t>Monoclinal</t>
  </si>
  <si>
    <t>Mioceno</t>
  </si>
  <si>
    <t>Martínez del Olmo, W. , 2019, Cambio climático, acuerdos de París y trampas geológicas donde secuestrar el CO2 en España, Revista de la Sociedad Geológica de España, 32, 2, 87, 107</t>
  </si>
  <si>
    <t>Mediterranean Sea</t>
  </si>
  <si>
    <t>Denia</t>
  </si>
  <si>
    <t>Valencia Trough</t>
  </si>
  <si>
    <t>Martínez del Olmo, W. , 2019, Cambio climático, acuerdos de París y trampas geológicas donde secuestrar el CO2 en España, Revista de la Sociedad Geológica de España, 32, 2, 87, 108</t>
  </si>
  <si>
    <t>Barcelona-A</t>
  </si>
  <si>
    <t>Martínez del Olmo, W. , 2019, Cambio climático, acuerdos de París y trampas geológicas donde secuestrar el CO2 en España, Revista de la Sociedad Geológica de España, 32, 2, 87, 109</t>
  </si>
  <si>
    <t>Cantábrico Sea</t>
  </si>
  <si>
    <t>Vizcaya-C2</t>
  </si>
  <si>
    <t>Cantabrian</t>
  </si>
  <si>
    <t>Gaviota</t>
  </si>
  <si>
    <t>Martínez del Olmo, W. , 2019, Cambio climático, acuerdos de París y trampas geológicas donde secuestrar el CO2 en España, Revista de la Sociedad Geológica de España, 32, 2, 87, 110</t>
  </si>
  <si>
    <t>Mar Cantábrico J-1 S</t>
  </si>
  <si>
    <t>Martínez del Olmo, W. , 2019, Cambio climático, acuerdos de París y trampas geológicas donde secuestrar el CO2 en España, Revista de la Sociedad Geológica de España, 32, 2, 87, 111</t>
  </si>
  <si>
    <t>Mar Cantábrico J-1 P</t>
  </si>
  <si>
    <t>Martínez del Olmo, W. , 2019, Cambio climático, acuerdos de París y trampas geológicas donde secuestrar el CO2 en España, Revista de la Sociedad Geológica de España, 32, 2, 87, 112</t>
  </si>
  <si>
    <t>Ibérica Chain and Southern Subplateau</t>
  </si>
  <si>
    <t>Salsadella A</t>
  </si>
  <si>
    <t>Iberian Range</t>
  </si>
  <si>
    <t>Buntsandstein</t>
  </si>
  <si>
    <t>IGME, 2010, Plan de Almacenamiento geológico de CO2 del IGME – Plan ALGECO2, Volumen II Pirineo– Ebro. Geología</t>
  </si>
  <si>
    <t>Storage Identified during the GeoCapacity project (2006-2009) and later The IGME carried out the project ALGECO2 to mature and characterization of the identified structures.</t>
  </si>
  <si>
    <t>Regional seal and containment have been considered in ALGECO0</t>
  </si>
  <si>
    <t>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5.04 Mt</t>
  </si>
  <si>
    <t>Storage efficiency factors are applied to each site and detailed in the site specific reports available from the IGME Storage Atlas website. Capacity estimates are based on GeoCapacity methodology</t>
  </si>
  <si>
    <t>Tres Cantos-U</t>
  </si>
  <si>
    <t>Madrid</t>
  </si>
  <si>
    <t>Torremocha-BeleÑa de Sorbe</t>
  </si>
  <si>
    <t>Tertiary</t>
  </si>
  <si>
    <t>Regional seal and containment have been considered in ALGECO1</t>
  </si>
  <si>
    <t>The results of the assessment and the input data can be found in the IGME atlas created for the ALGECO2 project, the  database is in: https://info.igme.es/almacenesco2/ (Accessed February 2024)). Because the area size of the discovered site the storage capacity is divided proportionally between Discovered and discovered.</t>
  </si>
  <si>
    <t>19-90000ppm</t>
  </si>
  <si>
    <t>Tres Cantos</t>
  </si>
  <si>
    <t>Regional seal and containment have been considered in ALGECO2</t>
  </si>
  <si>
    <t> Ebro Delta 1</t>
  </si>
  <si>
    <t>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19.34 Mt</t>
  </si>
  <si>
    <t>Almazán_U</t>
  </si>
  <si>
    <t>Almazán</t>
  </si>
  <si>
    <t>Baides 1A</t>
  </si>
  <si>
    <t>Muschelkalk - Buntsandstein</t>
  </si>
  <si>
    <t xml:space="preserve">The results of the assessment and the input data can be found in the IGME atlas created for the ALGECO2 project, the  database is in: https://info.igme.es/almacenesco2/ (Accessed February 2024)). </t>
  </si>
  <si>
    <t>Mixta</t>
  </si>
  <si>
    <t>Baides 1B</t>
  </si>
  <si>
    <t>Maestrazgo-1</t>
  </si>
  <si>
    <t>Imon</t>
  </si>
  <si>
    <t>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56.81 Mt</t>
  </si>
  <si>
    <t>Maestrazgo-2</t>
  </si>
  <si>
    <t>Muschelkalk</t>
  </si>
  <si>
    <t xml:space="preserve">
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123.47 Mt</t>
  </si>
  <si>
    <t>Tielmes 1</t>
  </si>
  <si>
    <t> Maestrazgo-3</t>
  </si>
  <si>
    <t>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83.38 Mt. Although the construction of a geological model results discard the site as a favourable CO2 storage unit (Bernat, M. et al. (2015))</t>
  </si>
  <si>
    <t>Tielmes 2-U</t>
  </si>
  <si>
    <t>KS: Tranquera, Somolinos, Cuenca &amp; Santa Barbara and KM: Chera, Ciudad encantada &amp; Alarcon</t>
  </si>
  <si>
    <t>Regional seal and containment are reported for sites in the ALGECO2 IGME Atlas (source reference for this site)</t>
  </si>
  <si>
    <t>Tielmes 2</t>
  </si>
  <si>
    <t> Tribaldos</t>
  </si>
  <si>
    <t>Gormaz</t>
  </si>
  <si>
    <t>Duero</t>
  </si>
  <si>
    <t>Burgo de Osma</t>
  </si>
  <si>
    <t>Mixed</t>
  </si>
  <si>
    <t>Belmontejo 1A</t>
  </si>
  <si>
    <t>Belmontejo 1B</t>
  </si>
  <si>
    <t>Gabaldón</t>
  </si>
  <si>
    <t>El Hito A</t>
  </si>
  <si>
    <t>El Hito B</t>
  </si>
  <si>
    <t>Cantabrian Chain and Douro Basin</t>
  </si>
  <si>
    <t>Cabuérniga Platform (Buntsandstein)</t>
  </si>
  <si>
    <t xml:space="preserve"> Triassic</t>
  </si>
  <si>
    <t>West of Polientes (Lías)</t>
  </si>
  <si>
    <t>Lias</t>
  </si>
  <si>
    <t>West of Polientes (Buntsandstein)</t>
  </si>
  <si>
    <t> Rioja Norte_U</t>
  </si>
  <si>
    <t>Ebro</t>
  </si>
  <si>
    <t> Rioja Norte</t>
  </si>
  <si>
    <t>Rioja Sur _U  (Late Cretaceous)</t>
  </si>
  <si>
    <t>Rioja Sur (Late Cretaceous)</t>
  </si>
  <si>
    <t>Iglesias_U (Late Cretaceous)</t>
  </si>
  <si>
    <t>Iglesias (Late Cretaceous)</t>
  </si>
  <si>
    <t>Iglesias (Utrillas)</t>
  </si>
  <si>
    <t>Utrillas</t>
  </si>
  <si>
    <t>Iglesias (Carbonated Jurassic)</t>
  </si>
  <si>
    <t>Iglesias (Buntsandstein</t>
  </si>
  <si>
    <t>Duero Central-South-U (Upper Cretaceous.</t>
  </si>
  <si>
    <t>Duero Central-South (Upper Cretaceous.</t>
  </si>
  <si>
    <t>Centre-South Duero-U (Utrillas)</t>
  </si>
  <si>
    <t>Centre-South Duero (Utrillas)</t>
  </si>
  <si>
    <t>Don Juan Este (Late Cretaceous)</t>
  </si>
  <si>
    <t>Don Juan Este (Utrillas)</t>
  </si>
  <si>
    <t>Don Juan Este (Carbonate Jurassic).</t>
  </si>
  <si>
    <t>Don Juan Este (Buntsandstein)</t>
  </si>
  <si>
    <t>Don Juan West (Late Cretaceous)</t>
  </si>
  <si>
    <t>Don Juan Oeste (Utrillas)</t>
  </si>
  <si>
    <t>Honrubia-Nieva (Late Cretaceous)</t>
  </si>
  <si>
    <t>Honrubia-Nieva (Utrillas</t>
  </si>
  <si>
    <t>San Pedro</t>
  </si>
  <si>
    <t>El Campillo</t>
  </si>
  <si>
    <t>Boñar</t>
  </si>
  <si>
    <t>Villameriel</t>
  </si>
  <si>
    <t>Hontomin</t>
  </si>
  <si>
    <t>Ribero</t>
  </si>
  <si>
    <t>Beticas Chain and Guadalquivir Basin</t>
  </si>
  <si>
    <t>Almonte</t>
  </si>
  <si>
    <t>Guadalquivir</t>
  </si>
  <si>
    <t>Gres de Silves</t>
  </si>
  <si>
    <t>Triasic</t>
  </si>
  <si>
    <t>Guadalquivir River N-1.</t>
  </si>
  <si>
    <t>Arenas del Guadalquivir</t>
  </si>
  <si>
    <t> Alto Guadalquivir.</t>
  </si>
  <si>
    <t>Lias -Dogger</t>
  </si>
  <si>
    <t>Mesozoic</t>
  </si>
  <si>
    <t>Campo de Gibraltar</t>
  </si>
  <si>
    <t>Betic Cordillera</t>
  </si>
  <si>
    <t>Guadiana Menor</t>
  </si>
  <si>
    <t>Petrola Syncline</t>
  </si>
  <si>
    <t>Manuel's Sandstone</t>
  </si>
  <si>
    <t xml:space="preserve">Hybrid </t>
  </si>
  <si>
    <t>Río Guadalquivir H-1.</t>
  </si>
  <si>
    <t>Sierra de Benejama (Manuel's Sandstone)</t>
  </si>
  <si>
    <t>Sierra de Benejama (Dogger)</t>
  </si>
  <si>
    <t>Sierra de Salinas (Dogger).</t>
  </si>
  <si>
    <t>Dogger</t>
  </si>
  <si>
    <t>Sierra de Salinas (Kimmeridggiense).</t>
  </si>
  <si>
    <t>Kimmeridggien</t>
  </si>
  <si>
    <t> Macaroba</t>
  </si>
  <si>
    <t>Murcia B-1</t>
  </si>
  <si>
    <t>1300 (net 90)</t>
  </si>
  <si>
    <t>Sierra Seca.</t>
  </si>
  <si>
    <t>La Mancha Tabular Cover (Buntsandst.)</t>
  </si>
  <si>
    <t>Pyrenees and Ebro Basin</t>
  </si>
  <si>
    <t>Zuera</t>
  </si>
  <si>
    <t>Arnedo</t>
  </si>
  <si>
    <t>Magallon</t>
  </si>
  <si>
    <t> Zona Enlace-M3</t>
  </si>
  <si>
    <t>Zona Enlace-U- Bun</t>
  </si>
  <si>
    <t>Zona Enlace- Bun</t>
  </si>
  <si>
    <t>Olsón</t>
  </si>
  <si>
    <t>South Pyrenean</t>
  </si>
  <si>
    <t>Aren sandstones</t>
  </si>
  <si>
    <t>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23.36 Mt</t>
  </si>
  <si>
    <t>Roncal-Illon-U</t>
  </si>
  <si>
    <t>Roncal-Illon</t>
  </si>
  <si>
    <t>Leyre-Berdun</t>
  </si>
  <si>
    <t>Early Eocene</t>
  </si>
  <si>
    <t>Lopin</t>
  </si>
  <si>
    <t>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109.33 Mt</t>
  </si>
  <si>
    <t>Monegrillo</t>
  </si>
  <si>
    <t>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3112.54 Mt</t>
  </si>
  <si>
    <t>Caspe - Mayals</t>
  </si>
  <si>
    <t>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105.98 Mt</t>
  </si>
  <si>
    <t>Reus</t>
  </si>
  <si>
    <t>Malm &amp; Dogger</t>
  </si>
  <si>
    <t>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82.99 Mt</t>
  </si>
  <si>
    <t>Centenera</t>
  </si>
  <si>
    <t xml:space="preserve">Senonense </t>
  </si>
  <si>
    <t xml:space="preserve">Storage Identified during the GeoCapacity project (2006-2009) </t>
  </si>
  <si>
    <t>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2.14 Mt</t>
  </si>
  <si>
    <t>France</t>
  </si>
  <si>
    <t>Paris Basin</t>
  </si>
  <si>
    <t>Dogger carbonate</t>
  </si>
  <si>
    <t>Paris</t>
  </si>
  <si>
    <t>Saline aquifer</t>
  </si>
  <si>
    <t>Veloso, F.M.L., I. Gravaud, F.A. Mathurin and S.B. Rhouma, 2022, Planning a notable CCS pilot-scale project: a case study in France, Paris Basin - Ile-de-France, Clean Technologies, 4, 2, 458, 476</t>
  </si>
  <si>
    <t>The Dogger has been a key oi target since the 1950's and a main geothermal aquifer since the 1970's. The Dogger is overlain by Jurassic marls and in places Cretaceous and Tertiary sediments. The Dogger outcrops at surface in some  areas of the Paris on both the east and west side. Faults do exist through the formation.</t>
  </si>
  <si>
    <t>Storage first assessed during the Joule II Project  (1996), with a estimated capacity of 189 Mt (E=0.18%). The GeoCapacity project (2006-2009) provides the most confident estimate and used in this assessment. According to Brosse et al, (2010), Oil &amp; Gas Science and Technology – Rev. IFP, Vol. 65 (2010), No. 3, pp. 375-403 the Dogger has a storage efficiency  of around 2%. This is based on 3D numerical modelling injecting 0.6 Mt CO2 over 4 years. The modelling was pilot scale only. Assessment by Bader et al  (2014) Energy Procedia 63 ( 2014 ) 2779 – 2788 did consider the Dogger for numerical  modelling to understand capacity, but was rejected due to risk of overpressure that would impact geothermal activity and high permeability. Veloso et al. estimates a small area of the Dogger around Grandpuis to have around 165 Mt CO2 based on theoretical capacity at  2% SE. The GeoCapacity estimates remain the most up to date capacity estimates at present for all the Dogger at a Basin scale, The smaller Veloso assessment is assigned to the sequence scale.</t>
  </si>
  <si>
    <t>GeoCapacity volumetric Calculation for basin. Effective capacity for sequence with 2% SE</t>
  </si>
  <si>
    <t>Keuper Sud</t>
  </si>
  <si>
    <t>Keuper</t>
  </si>
  <si>
    <t>Bader, A.G., Thibeau, S., Vincké, O., Delprat Jannaud, F., Saysset, S., Joffre, G.H., Giger, F.M., David, M. Gimenez, M., Dieulin, A. &amp; Copin, D. , 2014, CO2 storage capacity evaluation in deep saline aquifers for an industrial pilot selection. Methodology and results of the France Nord Project, Energy Procedia, 63, 2779, 2788</t>
  </si>
  <si>
    <t xml:space="preserve">The site is faulted which could pose containment issues, however the formation is overlain by extensive marls through the basin. </t>
  </si>
  <si>
    <t xml:space="preserve"> The GeoCapacity project (2006-2009) provided a value of 4311 for all the Keuper in the Paris Basin using an over estimated SE of 6%.  During the France Nord project the  Keuper was assessed on 2 sites: Keuper Nord and Keuper Sud along with the Buntsandstein over an area of 220,000 km2. Optimistic and pessimistic  cases were run with 15 injection wells.  The  results indicated a capacity of 140Mt in a homogenous reservoir and 40 Mt with heterogeneity. The results indicate that the high SE as reported in GESTCO and GeoCapacity do not apply and overpressure in the main issue with large injection volumes for saine aquifers. </t>
  </si>
  <si>
    <t>Dynamic simualtion. SE is 0.18% based on storage only in structural traps and only 3% of the aquifer pore volume is considered to be structural trap</t>
  </si>
  <si>
    <t>Keuper Nord</t>
  </si>
  <si>
    <t xml:space="preserve"> The GeoCapacity project (2006-2009) provided a value of 4311 for all the Keuper in the Paris Basin using an over estimated SE of 6%.  During the France Nord project the  Keuper was assessed on 2 sites: Keuper Nord and Keuper Sud along with the Buntsandstein over an area of 220,000 km2. Cases were run with 20 injection wells.  The  results indicated a capacity of 40 Mt. The results indicate that the high SE as reported in GESTCO and GeoCapacity do not apply and overpressure in the main issue with large injection volumes for saine aquifers. </t>
  </si>
  <si>
    <t>There is risk of migration to the drinking water component of the aquifer. Injection to the west of the Marne Fault  may avoid this but the reservoir properties start to become less favourable and hence injection volumes are less on the west side.</t>
  </si>
  <si>
    <t xml:space="preserve"> The GeoCapacity project (2006-2009) provided a value of 17640 for all the Bundsandstein in the Paris Basin using an over estimated SE of 6%.  During the France Nord project the  Keuper was assessed on 2 sites: Keuper Nord and Keuper Sud along with the Buntdsandstein over an area of 220,000 km2. Cases were run with 21 wells  and 23 wells to the east and wells of Faille de la Marne respectively.  The  results indicated a capacity of 157 Mt for  east and west of Faille de la Marne and 87 Mt for west of Faille de la Marne. The results indicate that the high SE as reported in GESTCO and GeoCapacity do not apply and overpressure in the main issue with large injection volumes for saine aquifers. </t>
  </si>
  <si>
    <t xml:space="preserve">Other </t>
  </si>
  <si>
    <t>Other Frm</t>
  </si>
  <si>
    <t>Data extracted from GeoCapacity / GETCO/ France North  projects and compiled in STRATEGY CCUS (2021)</t>
  </si>
  <si>
    <t>Storage first assessed during the Joule II Project  (1996), with a estimated capacity of 189 Mt (E=0.18%). The GeoCapacity project (2006-2009) provides the most confident estimate and used in this assessment. The value entered as a mean is using a efficiency of 6%. This is most probably a significant overestimation.</t>
  </si>
  <si>
    <t>GeoCapacity volumetric Calculation</t>
  </si>
  <si>
    <t>Coulommes</t>
  </si>
  <si>
    <t xml:space="preserve">Poulsen, N., Holloway, S., Kirk, K, Neele, F. and Smith, N.A,;  CO2StoP – a project mapping both reserves and resources for CO2 storage in Europe. </t>
  </si>
  <si>
    <t>Depleted O&amp;G field -assumed containment present</t>
  </si>
  <si>
    <t>Storage Identified during the hydrocarbon assessment. Limited data available on the site relating to CO2 storage properties</t>
  </si>
  <si>
    <t>Oil &amp; Gas replacement</t>
  </si>
  <si>
    <t>Donnemarie</t>
  </si>
  <si>
    <t>Veloso FML. 2021, Maturity level and confidence of storage capacities estimates in the promising regions. EU H2020 STRATEGY CCUS Project 837754, Report, 2021;125.</t>
  </si>
  <si>
    <t>Chailly</t>
  </si>
  <si>
    <t>undifferentiated</t>
  </si>
  <si>
    <t>Vilemer</t>
  </si>
  <si>
    <t>Depleted Fields</t>
  </si>
  <si>
    <t>Czernichowski-Lauriol , I., Czop,  V., Delprat-Jannaud , F., El Khamlichi, A., ,L., Lafortune, S., Nevicato, D. and Savary, D.; (2021): The Gradual Integration of CCUS into National and Regional Strategies for Climate Change Mitigation, Energy Transition, Ecological Transition, Research and Innovation: An Overview for France.  15th International Conference on Greenhouse Gas Control Technologies, GHGT-15. https://papers.ssrn.com/sol3/papers.cfm?abstract_id=3821671</t>
  </si>
  <si>
    <t>Aquitaine Basin</t>
  </si>
  <si>
    <t xml:space="preserve">Rousse </t>
  </si>
  <si>
    <t>Aquitaine</t>
  </si>
  <si>
    <t>Mano Formation</t>
  </si>
  <si>
    <t>D. Pourtoy, A. Onaisi, M. Lescanne, S. Thibeau, C. Viaud. Seal Integrity of the Rousse depleted gas field impacted by CO2 injection (Lacq industrial CCS reference project France),  Energy Procedia 37 ( 2013 ) 5480 – 5493</t>
  </si>
  <si>
    <t xml:space="preserve">The pilot project Lacq-Rousse took place from 2010-2013 injecting up to 51Kt of CO2. </t>
  </si>
  <si>
    <t>This was a pilot project involving the capture of CO2 from a gas boiler at Lacq with  transport via a 27 km pipeline and storage
in the Rousse depleted gas field at a depth of 4.5 km</t>
  </si>
  <si>
    <t>Upper Cretaceous seal units of Rousse Breccias, Calcareous turbidites and marly to siliciclastic turbiditic flysch. The Rousse reservoir is a compartmentalised horst structure.</t>
  </si>
  <si>
    <t>Total operated Europe's first integrated industrial CO2 capture-transport-storage chain, with a pilot project involving the capture of CO2 from a gas boiler at Lacq and storage in the Rousse depleted gas field.  More than 51,000 tonnes of CO2 were successfully stored from
2010 to 2013.  The total site capacity is taken from the Joule II project. Only a fraction of the site capacity was used for injection. Full project details can also be sourced from : https://www.globalccsinstitute.com/archive/hub/publications/194253/carbon-capture-storage-lacq-pilot.pdf</t>
  </si>
  <si>
    <t>St Marcet</t>
  </si>
  <si>
    <t>Upper Jurassic - Lower Cretaceous</t>
  </si>
  <si>
    <t>Holloway, Sam; Rochelle, Christopher; Bateman, Keith; Pearce, Jonathan; Baily, Heather; Metcalfe, Richard. 1996 The underground disposal of carbon dioxide : final report. Nottingham, UK, British Geological Survey, 355pp.</t>
  </si>
  <si>
    <t>A limestone and dolomite reservoir with low porosity. As this is a producing gas field it is assumed containment will be sufficient for holding CO2.</t>
  </si>
  <si>
    <t xml:space="preserve">Data is taken from the Joule II project and hence likely out of date. However, there is an absence of data in the public domain for the Aquitaine fields. Project feasibility considerations for any Aquitaine field is that they are remote from major industrial areas. These fields also have low porosity values and may not be suitable  for supercritical CO2 injection. The source paper does not clearly indicate how capacity was calculated and does not state a voidage replacement assessment was used. Instead it states the capacity was estimated using a CO2 density of 700 kg/m3.  </t>
  </si>
  <si>
    <t xml:space="preserve">Theoretical </t>
  </si>
  <si>
    <t>Lacq Profond</t>
  </si>
  <si>
    <t xml:space="preserve">Data is taken from the Joule II project and hence likely out of date. However, there is an absence of data in the public domain for the Aquitaine fields. Project feasibility considerations for any Aquitaine field is that they are remote from major industrial areas. These fields also have low porosity values and may not be suitable  for supercritical CO2 injection. The source paper does not clearly indicate how capacity was calculated and does not state a voidage replacement assessment was used. Instead it states the capacity was estimated using a CO2 density of 700 kg/m3. </t>
  </si>
  <si>
    <t>Meillon</t>
  </si>
  <si>
    <t>South Aquitanian Basin (Jurassic-Cretaceous)</t>
  </si>
  <si>
    <t>No specified but due to extensive hydrocarbon production in this basin, trapping and containment for CO2 could be comparable</t>
  </si>
  <si>
    <t>Storage Identified during the Joule II project. Source reference confirms that Aquitaine Aquifers have not been evaluated further at time of publication (2021). Theoretical capacity estimate from Joule II is used in this assessment  (https://nora.nerc.ac.uk/id/eprint/502763/1/Joule%20II%20final%20report.pdf)</t>
  </si>
  <si>
    <t>North Aquitanian Basin (Early Jurassic)</t>
  </si>
  <si>
    <t>North Aquitanian Basin (Triassic)</t>
  </si>
  <si>
    <t>Southeast France</t>
  </si>
  <si>
    <t>Alboran High</t>
  </si>
  <si>
    <t xml:space="preserve">Good seal. Shallow reservoir, mainly between 200 and 800 m depth. </t>
  </si>
  <si>
    <t>Wellbore data is very limited in the region. Some values were reported from core plugs and formation tests, but data is scarce.</t>
  </si>
  <si>
    <t>Volumetric Strategy CCUS (2021)</t>
  </si>
  <si>
    <t>Mas-de-Madame</t>
  </si>
  <si>
    <t>Good seal of 250m shales. Shallow reservoir, mainly between 200 and 800 m depth.</t>
  </si>
  <si>
    <t>Italy</t>
  </si>
  <si>
    <t>Padana Plain</t>
  </si>
  <si>
    <t>Casirate 1 - Lombardia 1</t>
  </si>
  <si>
    <t xml:space="preserve">Po </t>
  </si>
  <si>
    <t>Messinian</t>
  </si>
  <si>
    <t>Donda, F., V. Volpi, S. Persoglia and D. Paruschev, 2011, CO2 storage potential of deep saline aquifers: The case of Italy, International Journal of Greenhouse Gas Control, 5, 2, 327, 335</t>
  </si>
  <si>
    <t>Seal - Santerno Clay</t>
  </si>
  <si>
    <t>data extracted from the Geocapacity and the CO2StoP</t>
  </si>
  <si>
    <t>Geocapacity 2009. Calculated using replacment volume</t>
  </si>
  <si>
    <t>Poggio Rusco 1 - Lombardia 3</t>
  </si>
  <si>
    <t>Aquitanian</t>
  </si>
  <si>
    <t>Donda, F., V. Volpi, S. Persoglia and D. Paruschev, 2011, CO2 storage potential of deep saline aquifers: The case of Italy, International Journal of Greenhouse Gas Control, 5, 2, 327, 336</t>
  </si>
  <si>
    <t>S.Pietro in Casale 3 - Emilia 1</t>
  </si>
  <si>
    <t>Zanclean</t>
  </si>
  <si>
    <t>Donda, F., V. Volpi, S. Persoglia and D. Paruschev, 2011, CO2 storage potential of deep saline aquifers: The case of Italy, International Journal of Greenhouse Gas Control, 5, 2, 327, 337</t>
  </si>
  <si>
    <t>Primary seal has an absence of faulting</t>
  </si>
  <si>
    <t>Filetto1 - Emilia 2</t>
  </si>
  <si>
    <t>Gelasian</t>
  </si>
  <si>
    <t>Donda, F., V. Volpi, S. Persoglia and D. Paruschev, 2011, CO2 storage potential of deep saline aquifers: The case of Italy, International Journal of Greenhouse Gas Control, 5, 2, 327, 338</t>
  </si>
  <si>
    <t>Adriatic off-shore</t>
  </si>
  <si>
    <t>Serena Nord 1 - Emilia mare</t>
  </si>
  <si>
    <t xml:space="preserve">Porto Corsini </t>
  </si>
  <si>
    <t>Donda, F., V. Volpi, S. Persoglia and D. Paruschev, 2011, CO2 storage potential of deep saline aquifers: The case of Italy, International Journal of Greenhouse Gas Control, 5, 2, 327, 339</t>
  </si>
  <si>
    <t>Central Italy</t>
  </si>
  <si>
    <t>Jesi 6 - Marche 1</t>
  </si>
  <si>
    <t>Northern Apennines</t>
  </si>
  <si>
    <t>Teramo</t>
  </si>
  <si>
    <t>Donda, F., V. Volpi, S. Persoglia and D. Paruschev, 2011, CO2 storage potential of deep saline aquifers: The case of Italy, International Journal of Greenhouse Gas Control, 5, 2, 327, 340</t>
  </si>
  <si>
    <t>Notaresco 1 - Abruzzi 1</t>
  </si>
  <si>
    <t>Carassai sands</t>
  </si>
  <si>
    <t>Donda, F., V. Volpi, S. Persoglia and D. Paruschev, 2011, CO2 storage potential of deep saline aquifers: The case of Italy, International Journal of Greenhouse Gas Control, 5, 2, 327, 341</t>
  </si>
  <si>
    <t>conglomerates</t>
  </si>
  <si>
    <t>Southern Italy</t>
  </si>
  <si>
    <t>Pomarico 7 - Basilicata 1</t>
  </si>
  <si>
    <t>Southern Apennines</t>
  </si>
  <si>
    <t>Donda, F., V. Volpi, S. Persoglia and D. Paruschev, 2011, CO2 storage potential of deep saline aquifers: The case of Italy, International Journal of Greenhouse Gas Control, 5, 2, 327, 342</t>
  </si>
  <si>
    <t>Licia 1 - Calabria 1</t>
  </si>
  <si>
    <t>Pelagian</t>
  </si>
  <si>
    <t>Donda, F., V. Volpi, S. Persoglia and D. Paruschev, 2011, CO2 storage potential of deep saline aquifers: The case of Italy, International Journal of Greenhouse Gas Control, 5, 2, 327, 343</t>
  </si>
  <si>
    <t>Ionian off-shore</t>
  </si>
  <si>
    <t>Fosca 1 - Calabria mare 2</t>
  </si>
  <si>
    <t>Serravallian</t>
  </si>
  <si>
    <t>Donda, F., V. Volpi, S. Persoglia and D. Paruschev, 2011, CO2 storage potential of deep saline aquifers: The case of Italy, International Journal of Greenhouse Gas Control, 5, 2, 327, 344</t>
  </si>
  <si>
    <t>Sicily</t>
  </si>
  <si>
    <t>Biddusa 2 - Sicilia 1</t>
  </si>
  <si>
    <t>Terravecchia</t>
  </si>
  <si>
    <t>Tortonian</t>
  </si>
  <si>
    <t>Donda, F., V. Volpi, S. Persoglia and D. Paruschev, 2011, CO2 storage potential of deep saline aquifers: The case of Italy, International Journal of Greenhouse Gas Control, 5, 2, 327, 345</t>
  </si>
  <si>
    <t>Furci 9 - Abruzzi 2</t>
  </si>
  <si>
    <t>Piacenzian</t>
  </si>
  <si>
    <t>Donda, F., V. Volpi, S. Persoglia and D. Paruschev, 2011, CO2 storage potential of deep saline aquifers: The case of Italy, International Journal of Greenhouse Gas Control, 5, 2, 327, 346</t>
  </si>
  <si>
    <t>CUGNO LE MACINE oilfield</t>
  </si>
  <si>
    <t>Geological Survey of Denmark and Greenland. (2014). Assessment of the CO2 storage potential in Europe. CO2StoP Final Report.</t>
  </si>
  <si>
    <t>depleted field with EOR as per information from CO2_Stop</t>
  </si>
  <si>
    <t>Data extracted from the Geocapacity and the CO2StoP. Site is a depleted field with EOR</t>
  </si>
  <si>
    <t>SERRA PIZZUTA oilfield</t>
  </si>
  <si>
    <t>RAVENNA TERRA oilfield</t>
  </si>
  <si>
    <t>Porto Corsini Fm</t>
  </si>
  <si>
    <t>Italian first CCUS Hub, The capture CO2 at Ravenna will be injected in the depleted gas field Porto Corsini Mare Ovest</t>
  </si>
  <si>
    <t>The program entails a first phase (Phase 1) to create a capture and storage hub for 25 thousand tonnes of CO? per year, starting from 2024. Carbon dioxide will be captured by Eni’s natural gas treatment plant in Casalborsetti (Ravenna), conveyed toward the Porto Corsini Mare Ovest platform - which will be converted to this new use - and then injected into the Porto Corsini Mare Ovest depleted gas field.</t>
  </si>
  <si>
    <t xml:space="preserve">Development plan on place. ENI operator. </t>
  </si>
  <si>
    <t>GROTTOLE oilfield</t>
  </si>
  <si>
    <t>Grattole</t>
  </si>
  <si>
    <t>Site is depleted field with EOR</t>
  </si>
  <si>
    <t>PISTICCI oilfield</t>
  </si>
  <si>
    <t xml:space="preserve">Geocapacity 2009. </t>
  </si>
  <si>
    <t>Lombardia</t>
  </si>
  <si>
    <t>Structura Pesaro</t>
  </si>
  <si>
    <t>Moia, Fabio &amp; Fais, Silvana &amp; Pisanu, Fabrizio &amp; Sardu, Giorgio &amp; Casero, Piero &amp; Guandalini, Roberto &amp; Agate, Giordano &amp; Beretta, Silvia &amp; Cappelletti, Francesca &amp; Colucci, Francesca. (2012). La fattibilità dello stoccaggio geologico della CO2 negli acquiferi salini profondi nell'onshore e offshore italiano</t>
  </si>
  <si>
    <t xml:space="preserve">No plan for CO2 storage, but assessed in 2012. </t>
  </si>
  <si>
    <t>Location is approximate. Mix of a depleted and saline aquifer reservoir. Bulk storge assessment is provided in the source reference</t>
  </si>
  <si>
    <t>Structura Cornelia</t>
  </si>
  <si>
    <t xml:space="preserve">No plan for CO2 storage, but assessed on 2012. </t>
  </si>
  <si>
    <t>Offshore Adriatico</t>
  </si>
  <si>
    <t>Offshore Adriatico-Marchigino</t>
  </si>
  <si>
    <t>Pleistocene- Middle Miocene</t>
  </si>
  <si>
    <t>Mariani, M. (2020). North Italian CCS scenario for the cement industry. Thesis Roma.  https://www.researchgate.net/publication/345732397</t>
  </si>
  <si>
    <t>Offshore Calabria</t>
  </si>
  <si>
    <t>Offshore Calabria Ionica</t>
  </si>
  <si>
    <t>Beretta, S. et al. (2012): Geological characterization of Italian reservoirs and numerical 3D modelling of CO2 storage scenarios into saline aquifers. Geophysical Research Abstracts Vol. 14, EGU2012-10115, 2012 EGU General Assembly 2015</t>
  </si>
  <si>
    <t xml:space="preserve">Location is approximate. </t>
  </si>
  <si>
    <t>Offshore Alto Adriatico</t>
  </si>
  <si>
    <t>Porto Garibaldi</t>
  </si>
  <si>
    <t xml:space="preserve">Agreement with the ENEL project for its generation power plant </t>
  </si>
  <si>
    <t>3D  simulation model run for 30 yr, with injection of 1 Mt/yr. Simulation has shown overpressure values in reservoir after injection period &lt;7.75 bar. Location approximate.</t>
  </si>
  <si>
    <t xml:space="preserve">Central Italy </t>
  </si>
  <si>
    <t>Matilde 1</t>
  </si>
  <si>
    <t>Tyrrhenian Sea - Tuscany</t>
  </si>
  <si>
    <t xml:space="preserve">Procesi, M., Cantucci, B.,  Buttinelli, M.,  Armezzani, G. and Quattrocchi, F.(2012). Strategic use of the underground for an energy mix plan, synergies among CO2 and CH4 Geological Storage and Geothermal Energy: Italian Energy review and Latium case study. Applied Energy. 110. 12564-. </t>
  </si>
  <si>
    <t xml:space="preserve">Part of the strategic use of the underground for an energy mix plan, synergies among CO2 and CH4 Geological Storage and Geothermal Energy: Italian Energy review and La case study' </t>
  </si>
  <si>
    <t>A CO2 storage capacity assessed following Van deer Meer ((2005)material balance. Location approximate.</t>
  </si>
  <si>
    <t>Malossa-Lombardia</t>
  </si>
  <si>
    <t>Ghiaie di Sergano</t>
  </si>
  <si>
    <t>Mariani, M. (2020). North Italian CCS scenario for the cement industry. Thesis Roma. 10.13140/RG.2.2.22257.92007.  https://www.researchgate.net/publication/345732397</t>
  </si>
  <si>
    <t>In the Po Valley, the Malossa reservoir was identified in the 70's. Assessed for the Geocapacity both together saline and Petroleum storage capacity (storage capacity varies in function of the efficiency factor0, the value enter is the E-2 %.</t>
  </si>
  <si>
    <t xml:space="preserve">Caprock - Argile del Santerno (thickness 62- to 543m). </t>
  </si>
  <si>
    <t xml:space="preserve">The gas reservoir already used as gas storage  - 3D model built for the 3 reservoir units (saline and depleted reservoir) as part as a Horizon 2020 ENOS CLEANKER project. Storage capacity calculated for the  3 reservoir sections together </t>
  </si>
  <si>
    <t>3-1250</t>
  </si>
  <si>
    <t>NW Adriatic Sea</t>
  </si>
  <si>
    <t>Carlo</t>
  </si>
  <si>
    <t>Calcari a Briozoi e Litotamni</t>
  </si>
  <si>
    <t>Proietti, G., A., Conti, S. E. Beaubien and S. Bigi, 2023, Screening, classification, capacity estimation and reservoir modelling of potential CO2 geological storage sites in the NW Adriatic Sea, Italy, International Journal of Greenhouse Gas Control, 126</t>
  </si>
  <si>
    <t>Platform Carbonate Anticline. Seal Gessoso- Solfifera</t>
  </si>
  <si>
    <t>Location approximate. Storage Capacity given is the effective Capacity P50 calculated with a probabilistic approach. Storage Identified during the GeoCapacity project (2006-2009)</t>
  </si>
  <si>
    <t>1487–1605</t>
  </si>
  <si>
    <t>Cornelia</t>
  </si>
  <si>
    <t>Calcare Massiccio</t>
  </si>
  <si>
    <t>Proietti, G., A., Conti, S. E. Beaubien and S. Bigi, 2023, Screening, classification, capacity estimation and reservoir modelling of potential CO2 geological storage sites in the NW Adriatic Sea, Italy, International Journal of Greenhouse Gas Control, 127</t>
  </si>
  <si>
    <t>Platform Carbonate Anticline. Seal Marne a Fucoidi</t>
  </si>
  <si>
    <t>2500–3970</t>
  </si>
  <si>
    <t xml:space="preserve"> Sandstone / Carbonate</t>
  </si>
  <si>
    <t>Daniel</t>
  </si>
  <si>
    <t>Proietti, G., A., Conti, S. E. Beaubien and S. Bigi, 2023, Screening, classification, capacity estimation and reservoir modelling of potential CO2 geological storage sites in the NW Adriatic Sea, Italy, International Journal of Greenhouse Gas Control, 128</t>
  </si>
  <si>
    <t>Platform Carbonate Anticline. Seal Rosso Ammonitico</t>
  </si>
  <si>
    <t>1670–3431</t>
  </si>
  <si>
    <t>Ernesto</t>
  </si>
  <si>
    <t>Proietti, G., A., Conti, S. E. Beaubien and S. Bigi, 2023, Screening, classification, capacity estimation and reservoir modelling of potential CO2 geological storage sites in the NW Adriatic Sea, Italy, International Journal of Greenhouse Gas Control, 129</t>
  </si>
  <si>
    <t>Platform Carbonate Anticline. Seal Corniola</t>
  </si>
  <si>
    <t>1393–2500</t>
  </si>
  <si>
    <t>Pesaro</t>
  </si>
  <si>
    <t>Proietti, G., A., Conti, S. E. Beaubien and S. Bigi, 2023, Screening, classification, capacity estimation and reservoir modelling of potential CO2 geological storage sites in the NW Adriatic Sea, Italy, International Journal of Greenhouse Gas Control, 130</t>
  </si>
  <si>
    <t>2540–4273</t>
  </si>
  <si>
    <t>Elga</t>
  </si>
  <si>
    <t>Scaglia, Calcareous member</t>
  </si>
  <si>
    <t>Proietti, G., A., Conti, S. E. Beaubien and S. Bigi, 2023, Screening, classification, capacity estimation and reservoir modelling of potential CO2 geological storage sites in the NW Adriatic Sea, Italy, International Journal of Greenhouse Gas Control, 131</t>
  </si>
  <si>
    <t>Pelegic carbonate anticlines. Seal Scaglia Cinerea</t>
  </si>
  <si>
    <t>2080–2350</t>
  </si>
  <si>
    <t>Emma</t>
  </si>
  <si>
    <t>Proietti, G., A., Conti, S. E. Beaubien and S. Bigi, 2023, Screening, classification, capacity estimation and reservoir modelling of potential CO2 geological storage sites in the NW Adriatic Sea, Italy, International Journal of Greenhouse Gas Control, 132</t>
  </si>
  <si>
    <t>2420–3010</t>
  </si>
  <si>
    <t>Patrizia</t>
  </si>
  <si>
    <t>Proietti, G., A., Conti, S. E. Beaubien and S. Bigi, 2023, Screening, classification, capacity estimation and reservoir modelling of potential CO2 geological storage sites in the NW Adriatic Sea, Italy, International Journal of Greenhouse Gas Control, 133</t>
  </si>
  <si>
    <t>1558–1648</t>
  </si>
  <si>
    <t>Rosella</t>
  </si>
  <si>
    <t>Proietti, G., A., Conti, S. E. Beaubien and S. Bigi, 2023, Screening, classification, capacity estimation and reservoir modelling of potential CO2 geological storage sites in the NW Adriatic Sea, Italy, International Journal of Greenhouse Gas Control, 134</t>
  </si>
  <si>
    <t>805–1288</t>
  </si>
  <si>
    <t>Esmeralda</t>
  </si>
  <si>
    <t>Carassai Member</t>
  </si>
  <si>
    <t>Proietti, G., A., Conti, S. E. Beaubien and S. Bigi, 2023, Screening, classification, capacity estimation and reservoir modelling of potential CO2 geological storage sites in the NW Adriatic Sea, Italy, International Journal of Greenhouse Gas Control, 135</t>
  </si>
  <si>
    <t>Sandstone pinch-out. Seal Argille del Santerno</t>
  </si>
  <si>
    <t>852–1125</t>
  </si>
  <si>
    <t>Silvana</t>
  </si>
  <si>
    <t>Proietti, G., A., Conti, S. E. Beaubien and S. Bigi, 2023, Screening, classification, capacity estimation and reservoir modelling of potential CO2 geological storage sites in the NW Adriatic Sea, Italy, International Journal of Greenhouse Gas Control, 136</t>
  </si>
  <si>
    <t>826–1863</t>
  </si>
  <si>
    <t>Vanessa</t>
  </si>
  <si>
    <t>Proietti, G., A., Conti, S. E. Beaubien and S. Bigi, 2023, Screening, classification, capacity estimation and reservoir modelling of potential CO2 geological storage sites in the NW Adriatic Sea, Italy, International Journal of Greenhouse Gas Control, 137</t>
  </si>
  <si>
    <t>945–1615</t>
  </si>
  <si>
    <t>Fiorella</t>
  </si>
  <si>
    <t>Proietti, G., A., Conti, S. E. Beaubien and S. Bigi, 2023, Screening, classification, capacity estimation and reservoir modelling of potential CO2 geological storage sites in the NW Adriatic Sea, Italy, International Journal of Greenhouse Gas Control, 138</t>
  </si>
  <si>
    <t>1092–1576</t>
  </si>
  <si>
    <t>Serena</t>
  </si>
  <si>
    <t>Proietti, G., A., Conti, S. E. Beaubien and S. Bigi, 2023, Screening, classification, capacity estimation and reservoir modelling of potential CO2 geological storage sites in the NW Adriatic Sea, Italy, International Journal of Greenhouse Gas Control, 139</t>
  </si>
  <si>
    <t>1084–1748</t>
  </si>
  <si>
    <t>Tamara</t>
  </si>
  <si>
    <t>Proietti, G., A., Conti, S. E. Beaubien and S. Bigi, 2023, Screening, classification, capacity estimation and reservoir modelling of potential CO2 geological storage sites in the NW Adriatic Sea, Italy, International Journal of Greenhouse Gas Control, 140</t>
  </si>
  <si>
    <t>1243–1480</t>
  </si>
  <si>
    <t>Poland</t>
  </si>
  <si>
    <t>Polish Lowland</t>
  </si>
  <si>
    <t>Bodzanow</t>
  </si>
  <si>
    <t>Central European</t>
  </si>
  <si>
    <t>J1</t>
  </si>
  <si>
    <t>Tarkowski, R., Uliasz-Misiak , B. and   Wójcicki A. , 2009, CO2 storage capacity of deep aquifers and hydrocarbon fields in Poland–EU GeoCapacity Project results, Energy Procedia, 1, 2671, 2676</t>
  </si>
  <si>
    <t>Capacity is assessed from the source of GeoCapacity</t>
  </si>
  <si>
    <t>KD</t>
  </si>
  <si>
    <t>Polish Mesozoic Aquifers - Cretaceous</t>
  </si>
  <si>
    <t>Cr1</t>
  </si>
  <si>
    <t>Tarkowski, R., Uliasz-Misiak , B. and   Wójcicki A. , 2009, CO2 storage capacity of deep aquifers and hydrocarbon fields in Poland–EU GeoCapacity Project results, Energy Procedia, 1, 2671, 2677</t>
  </si>
  <si>
    <t>Basin aquifer</t>
  </si>
  <si>
    <t>Dzierzanowo</t>
  </si>
  <si>
    <t>Tarkowski, R., Uliasz-Misiak , B. and   Wójcicki A. , 2009, CO2 storage capacity of deep aquifers and hydrocarbon fields in Poland–EU GeoCapacity Project results, Energy Procedia, 1, 2671, 2678</t>
  </si>
  <si>
    <t>Sierpc J</t>
  </si>
  <si>
    <t>Lubo?, K. , 2022, Influence of Injection Well Location on CO2 Geological Storage Efficiency, Energies, 14</t>
  </si>
  <si>
    <t>No available</t>
  </si>
  <si>
    <t>Capacity is assessed from the source simulation results 2022 K.Lubon.</t>
  </si>
  <si>
    <t>Sierpc Cr</t>
  </si>
  <si>
    <t>Suliszewo</t>
  </si>
  <si>
    <t>Konary</t>
  </si>
  <si>
    <t>Lubo?, K. , 2022, Influence of Injection Well Location on CO2 Geological Storage Efficiency, Energies, 15</t>
  </si>
  <si>
    <t>Update of storage resource estimate from EU GeoCapacity 2009.</t>
  </si>
  <si>
    <t>Strzelno</t>
  </si>
  <si>
    <t>Capacity is assessed from the methodology used in the GeoCapacity project</t>
  </si>
  <si>
    <t>Trzesniew</t>
  </si>
  <si>
    <t>Tarkowski, R., Uliasz-Misiak , B. and   Wójcicki A. , 2009, CO2 storage capacity of deep aquifers and hydrocarbon fields in Poland–EU GeoCapacity Project results, Energy Procedia, 1, 2671, 2679</t>
  </si>
  <si>
    <t>Turek</t>
  </si>
  <si>
    <t>Tarkowski, R., Uliasz-Misiak , B. and   Wójcicki A. , 2009, CO2 storage capacity of deep aquifers and hydrocarbon fields in Poland–EU GeoCapacity Project results, Energy Procedia, 1, 2671, 2680</t>
  </si>
  <si>
    <t>Tuszyn</t>
  </si>
  <si>
    <t>Tarkowski, R., Uliasz-Misiak , B. and   Wójcicki A. , 2009, CO2 storage capacity of deep aquifers and hydrocarbon fields in Poland–EU GeoCapacity Project results, Energy Procedia, 1, 2671, 2681</t>
  </si>
  <si>
    <t>Zyrow</t>
  </si>
  <si>
    <t>Tarkowski, R., Uliasz-Misiak , B. and   Wójcicki A. , 2009, CO2 storage capacity of deep aquifers and hydrocarbon fields in Poland–EU GeoCapacity Project results, Energy Procedia, 1, 2671, 2682</t>
  </si>
  <si>
    <t>Chabowo J</t>
  </si>
  <si>
    <t>Tarkowski, R., Uliasz-Misiak , B. and   Wójcicki A. , 2009, CO2 storage capacity of deep aquifers and hydrocarbon fields in Poland–EU GeoCapacity Project results, Energy Procedia, 1, 2671, 2683</t>
  </si>
  <si>
    <t>Chabowo T</t>
  </si>
  <si>
    <t>T3</t>
  </si>
  <si>
    <t>Tarkowski, R., Uliasz-Misiak , B. and   Wójcicki A. , 2009, CO2 storage capacity of deep aquifers and hydrocarbon fields in Poland–EU GeoCapacity Project results, Energy Procedia, 1, 2671, 2684</t>
  </si>
  <si>
    <t>Choszczno</t>
  </si>
  <si>
    <t>Tarkowski, R., Uliasz-Misiak , B. and   Wójcicki A. , 2009, CO2 storage capacity of deep aquifers and hydrocarbon fields in Poland–EU GeoCapacity Project results, Energy Procedia, 1, 2671, 2685</t>
  </si>
  <si>
    <t>Aleksandrow Lodzki</t>
  </si>
  <si>
    <t>Tarkowski, R., Uliasz-Misiak , B. and   Wójcicki A. , 2009, CO2 storage capacity of deep aquifers and hydrocarbon fields in Poland–EU GeoCapacity Project results, Energy Procedia, 1, 2671, 2686</t>
  </si>
  <si>
    <t>Marianowo J</t>
  </si>
  <si>
    <t>Tarkowski, R., Uliasz-Misiak , B. and   Wójcicki A. , 2009, CO2 storage capacity of deep aquifers and hydrocarbon fields in Poland–EU GeoCapacity Project results, Energy Procedia, 1, 2671, 2687</t>
  </si>
  <si>
    <t>Marianowo T</t>
  </si>
  <si>
    <t>Tarkowski, R., Uliasz-Misiak , B. and   Wójcicki A. , 2009, CO2 storage capacity of deep aquifers and hydrocarbon fields in Poland–EU GeoCapacity Project results, Energy Procedia, 1, 2671, 2688</t>
  </si>
  <si>
    <t>Nowa Wielka Wies</t>
  </si>
  <si>
    <t>Tarkowski, R., Uliasz-Misiak , B. and   Wójcicki A. , 2009, CO2 storage capacity of deep aquifers and hydrocarbon fields in Poland–EU GeoCapacity Project results, Energy Procedia, 1, 2671, 2689</t>
  </si>
  <si>
    <t>Trzebiez</t>
  </si>
  <si>
    <t>Tarkowski, R., Uliasz-Misiak , B. and   Wójcicki A. , 2009, CO2 storage capacity of deep aquifers and hydrocarbon fields in Poland–EU GeoCapacity Project results, Energy Procedia, 1, 2671, 2690</t>
  </si>
  <si>
    <t>Szubin</t>
  </si>
  <si>
    <t>Tarkowski, R., Uliasz-Misiak , B. and   Wójcicki A. , 2009, CO2 storage capacity of deep aquifers and hydrocarbon fields in Poland–EU GeoCapacity Project results, Energy Procedia, 1, 2671, 2691</t>
  </si>
  <si>
    <t>Kliczkow J</t>
  </si>
  <si>
    <t>Tarkowski, R., Uliasz-Misiak , B. and   Wójcicki A. , 2009, CO2 storage capacity of deep aquifers and hydrocarbon fields in Poland–EU GeoCapacity Project results, Energy Procedia, 1, 2671, 2692</t>
  </si>
  <si>
    <t>Kobylnica</t>
  </si>
  <si>
    <t>Tarkowski, R., Uliasz-Misiak , B. and   Wójcicki A. , 2009, CO2 storage capacity of deep aquifers and hydrocarbon fields in Poland–EU GeoCapacity Project results, Energy Procedia, 1, 2671, 2693</t>
  </si>
  <si>
    <t>Polish Mesozoic Aquifers - Jurassic</t>
  </si>
  <si>
    <t>Polish Mesozoic Aquifers - Triassic</t>
  </si>
  <si>
    <t xml:space="preserve">Czechia </t>
  </si>
  <si>
    <t>Bohemian Basins</t>
  </si>
  <si>
    <t>Zatec</t>
  </si>
  <si>
    <t>Carboniferous</t>
  </si>
  <si>
    <t>CO2StoP - a project mapping both reserves and resources for CO2 storage in Europe, https://setis.ec.europa.eu/european-CO2-storage-database_en</t>
  </si>
  <si>
    <t>Line Fm. mudstones</t>
  </si>
  <si>
    <t>Well numers are reported in CO2Stop, however, the distribution of the wells is not known, nor the formations they penetrate. The sites are not identified beyond thier basin location and no formations are listed. This site is therefore classed as an undicovered basin.</t>
  </si>
  <si>
    <t>CO2Stop</t>
  </si>
  <si>
    <t>Roudnice</t>
  </si>
  <si>
    <t>Msec claystone</t>
  </si>
  <si>
    <t>Slovakia</t>
  </si>
  <si>
    <t>Bratislava</t>
  </si>
  <si>
    <t>Vysoká – Zwendorf gas field</t>
  </si>
  <si>
    <t>Kuchari?, L., M. Radvanec, L. Tu?ek, Z. Németh, D. Bodiš, K. ?echovská, J. Derco, J. Michalko, J. Wallner, P. Liška and B. Antal, 2011, Preliminary results of the Slovakian national project regarding carbon dioxide storage in underground spaces, Energy Procedia, 4, 4921, 4931</t>
  </si>
  <si>
    <t>None</t>
  </si>
  <si>
    <t>Assessed resource as Discovered</t>
  </si>
  <si>
    <t>BP</t>
  </si>
  <si>
    <t>GeoCapacity (2009)</t>
  </si>
  <si>
    <t>Kosice</t>
  </si>
  <si>
    <t>Sarmatian sandstone</t>
  </si>
  <si>
    <t>Neogene-Miocene</t>
  </si>
  <si>
    <t>Kucharic, L., 2009, GEOCAPACITY project WP 2 country review Slovakia - geology, Geocapacity Results and the Future for Geological Storage of CO2, Copenhagen, 21-22 October 2009</t>
  </si>
  <si>
    <t>Assessed resource as Basin Undiscovered</t>
  </si>
  <si>
    <t>Pannonian sandstone</t>
  </si>
  <si>
    <t>Kucharic, L., 2009, GEOCAPACITY project WP 2 country review Slovakia - geology, Geocapacity Results and the Future for Geological Storage of CO2, Copenhagen, 21-22 October 2010</t>
  </si>
  <si>
    <t>Nitra</t>
  </si>
  <si>
    <t>Pannonian Aquifer</t>
  </si>
  <si>
    <t>Kucharic, L., 2009, GEOCAPACITY project WP 2 country review Slovakia - geology, Geocapacity Results and the Future for Geological Storage of CO2, Copenhagen, 21-22 October 2011</t>
  </si>
  <si>
    <t>Pontian Aquifer</t>
  </si>
  <si>
    <t>Pontian sandstone Aquifer</t>
  </si>
  <si>
    <t>Neogene-Pliocene</t>
  </si>
  <si>
    <t>Kucharic, L., 2009, GEOCAPACITY project WP 2 country review Slovakia - geology, Geocapacity Results and the Future for Geological Storage of CO2, Copenhagen, 21-22 October 2012</t>
  </si>
  <si>
    <t>Banska Bystrica</t>
  </si>
  <si>
    <t>Bzovík - Triassic Dolomites</t>
  </si>
  <si>
    <t>Triassic Dolomites</t>
  </si>
  <si>
    <t>Kucharic, L., 2009, GEOCAPACITY project WP 2 country review Slovakia - geology, Geocapacity Results and the Future for Geological Storage of CO2, Copenhagen, 21-22 October 2013</t>
  </si>
  <si>
    <t>Bzovík</t>
  </si>
  <si>
    <t>Dolomites, limestone's, Sandy limestone's.</t>
  </si>
  <si>
    <t>Kucharic,L., 2008, Case for CO2 geological storage - site Bzovik Central Slovakia Volcanic Area, Slovak Geological Magazine, 73, 80</t>
  </si>
  <si>
    <t>Hungary</t>
  </si>
  <si>
    <t>Jasz-Nagykun-Szolnok</t>
  </si>
  <si>
    <t>Szolnok &amp; Algyo Fm (Saline)</t>
  </si>
  <si>
    <t>Szolnok &amp; Algyo Fm</t>
  </si>
  <si>
    <t>Berta, M., C. Király, G. Falus, J. Gy and C. Szabó, 2011, Preliminary physical and geochemical study on a sedimentary rock series of the Pannonian Basin for CCS (Hungary), 4, 4719, 4723</t>
  </si>
  <si>
    <t>The Szolnok Fm. is mainly formed by sandstone, its bottom is nearly 1000 to 3500 m deep under the surface, thus it would be used as a storage rock. Its cap rock (seal) is the Algyo Fm. with more than 1000 m thickness, and a clayey composition. System is not homogenous: there are siltstone beds both in the Algyo (clayey cover formation) and the Szolnok Formations (dominantly sandstone, turbidites). Siltstone in these formations does not have porosity high enough to be the storage rock, whereas the permeability is not low enough to be a good cap rock.</t>
  </si>
  <si>
    <t>Assessed as Sequence Play due to limited information beyond a geological sequence name.</t>
  </si>
  <si>
    <t>Szolnok &amp; Algyo Fm (Hydrocarbon)</t>
  </si>
  <si>
    <t>Szolnok &amp; Algyo Fm (Matra Power Plant)</t>
  </si>
  <si>
    <t>Szolnok Fm</t>
  </si>
  <si>
    <t>Kubus, P., 2010, CCS and CO2-Storage Possibilities in Hungary</t>
  </si>
  <si>
    <t>Resource assessed as Development Not Viable based in paper outlining CCS plan from power plant to subsurface.</t>
  </si>
  <si>
    <t xml:space="preserve">Based on the compressibility of the formation and the highest applicable overpressure, </t>
  </si>
  <si>
    <t>Hungary Country Level</t>
  </si>
  <si>
    <t>180 HC reservoirs (volumetric calc) - 430 Mt total, 155 Mt avail (2010-2020), further 16Mt avail (2020 - 2035). Assessed resource as Discovered, development not viable (No active appraisal plan, dormant since 2010)</t>
  </si>
  <si>
    <t>Ujfalu Fm</t>
  </si>
  <si>
    <t>Ujfalu Formation</t>
  </si>
  <si>
    <t>Sandstone Ujfalu Fm assessed as sequence play</t>
  </si>
  <si>
    <t>Szolnok Fm (Jászság Basin)</t>
  </si>
  <si>
    <t xml:space="preserve">Szolnok Fm </t>
  </si>
  <si>
    <t>sandstone Szolnok Fm assessed as sequence play based on table in source reference</t>
  </si>
  <si>
    <t>Bekes</t>
  </si>
  <si>
    <t>Szolnok Fm (Makó Trough)</t>
  </si>
  <si>
    <t>Sandstone Szolnok Fm assessed as sequence play based on table in source reference</t>
  </si>
  <si>
    <t>Szolnok Fm (Pusztaföldvár Horst)</t>
  </si>
  <si>
    <t>Szolnok Fm (Békés Basin)</t>
  </si>
  <si>
    <t>Fejer</t>
  </si>
  <si>
    <t>Szolnok Fm (Transdanubian)</t>
  </si>
  <si>
    <t>Lower Pannonian (Country Level)</t>
  </si>
  <si>
    <t>Azbej, T., V. Corless, J. Helseth, G. Falus, E. Fjona, J. Havlik, E. Hoff, G. Tjetland, 2011, The Power of Choice - A CCS Roadmap for Hungary, Bellona Environmental CCS Team (BEST)</t>
  </si>
  <si>
    <t>Assessed as Basin Play due to limited information and no geological sequence name.</t>
  </si>
  <si>
    <t>calculated by considering bulk volume, compressibility and overpressure of pore fluids</t>
  </si>
  <si>
    <t>Upper Pannonian (Country Level)</t>
  </si>
  <si>
    <t>Eszak-Alfold</t>
  </si>
  <si>
    <t>Assessed as Discovered, Not Viable as storage located depleted fields, yet no active plan to appraise or evaluate.</t>
  </si>
  <si>
    <t>Bacs-Kiskun</t>
  </si>
  <si>
    <t>Szolnok Fm (Bacs-Kiskun)</t>
  </si>
  <si>
    <t>Szolnok Fm (Fejer)</t>
  </si>
  <si>
    <t>Szolnok Fm (Jasz-Nagykun-Szolnok)</t>
  </si>
  <si>
    <t>Ireland</t>
  </si>
  <si>
    <t>Celtic Sea</t>
  </si>
  <si>
    <t>Kinsale Head &amp; Ballycotton structures single storage complex (PSE Kinsale Energy Ltd Assessment)</t>
  </si>
  <si>
    <t>North Celtic Sea</t>
  </si>
  <si>
    <t>A sand reservoirs</t>
  </si>
  <si>
    <t>Permo-Triassic</t>
  </si>
  <si>
    <t>Hladik, V., H. Rütters, F. May, A. Shogenova, R. Martinez, I. Czernichowski and B. Saftic, 2013, Mapping of CO2 Storage Achievements Across Europe, Second EAGE Sustainable Earth Sciences Conference and Exhibition</t>
  </si>
  <si>
    <t xml:space="preserve">Assessed as inaccessible due to Irish State law not permitting the geological storage of CO2 </t>
  </si>
  <si>
    <t>Irish Sea</t>
  </si>
  <si>
    <t>Portpatrick Basin Sherwood sandstone Structures</t>
  </si>
  <si>
    <t>Ulster</t>
  </si>
  <si>
    <t>Sherwood sandstone</t>
  </si>
  <si>
    <t>Lewis, D., Bentham, M., Cleary, T., Vernon, R., O’Neill, N., Kirk, K., Chadwick, A., Hilditch, D., Michael, K., Allinson, G., Neal, P. &amp; Ho, M. , 2009, Assessment of the potential for geological storage of carbon dioxide in Ireland and Northern Ireland, Energy Procedia, 1, 1, 2655, 2668</t>
  </si>
  <si>
    <t xml:space="preserve">Based on volume replacement (Bachu et al 2007) </t>
  </si>
  <si>
    <t>Celtic Sea-1 Structure in Cretaceous "A" Sand</t>
  </si>
  <si>
    <t>Peel Basin Sherwood sandstone whole Basin</t>
  </si>
  <si>
    <t>Peel</t>
  </si>
  <si>
    <t>Central Irish Sea whole basin</t>
  </si>
  <si>
    <t>Assessed as inaccessible due to Irish State law not permitting the geological storage of CO2. Total volume as reported by Lewis et al., (2009) is 17300 and  structures identified by Bentham et al. (2008)  in this area equate to around 627 Mt and are therefore removed from the full Central Irish sea Basin capacity.</t>
  </si>
  <si>
    <t>Kish Bank Basin</t>
  </si>
  <si>
    <t>Kish Bank</t>
  </si>
  <si>
    <t>Sherwood sandstone Gp/Ormskirk sandstone</t>
  </si>
  <si>
    <t>Bentham, M.S., Kirk, K.L. &amp; Williams, J. , 2008, Basin-by-Basin analysis of CO2 storage potential of all-island Ireland, British Geological Survey Internal Report CR/08/039</t>
  </si>
  <si>
    <t>Carboniferous sandstone/Permian Collyhurst sandstone, Triassic Sherwood sandstone Gp sealed by Zechstein salt equivalent for Carboniferous, then Mercia MDST for Triassic.</t>
  </si>
  <si>
    <t>CO2 storage capacity (tonnes) = 1total pore volume x 2density of CO2 x 0.43</t>
  </si>
  <si>
    <t>Larne Portpatrick Basin (Closed Structures)</t>
  </si>
  <si>
    <t>Bentham, M.S., Kirk, K.L. &amp; Williams, J. , 2008, Basin-by-Basin analysis of CO2 storage potential of all-island Ireland, British Geological Survey Internal Report CR/08/046</t>
  </si>
  <si>
    <t>CO2 storage capacity (tonnes) = 1total pore volume x 2density of CO2 x 0.46</t>
  </si>
  <si>
    <t>Lough Neagh (Onshore, N. Ireland)</t>
  </si>
  <si>
    <t>Enler Gp</t>
  </si>
  <si>
    <t>Bentham, M.S., Kirk, K.L. &amp; Williams, J. , 2008, Basin-by-Basin analysis of CO2 storage potential of all-island Ireland, British Geological Survey Internal Report CR/08/047</t>
  </si>
  <si>
    <t>Permian Enler Gp sealed by Evaporite Belfast Gp</t>
  </si>
  <si>
    <t>North West Carboniferous Basin (Onshore, central ireland)</t>
  </si>
  <si>
    <t>Dowra sandstone</t>
  </si>
  <si>
    <t>Bentham, M.S., Kirk, K.L. &amp; Williams, J. , 2008, Basin-by-Basin analysis of CO2 storage potential of all-island Ireland, British Geological Survey Internal Report CR/08/049</t>
  </si>
  <si>
    <t>Dowra sandstone and Mullaghmore sandstone sealed by Bundoran &amp; Benbulben Shale.</t>
  </si>
  <si>
    <t>Atlantic Sea</t>
  </si>
  <si>
    <t>Spanish Point Field</t>
  </si>
  <si>
    <t>Porcupine</t>
  </si>
  <si>
    <t>Bentham, M.S., Kirk, K.L. &amp; Williams, J. , 2008, Basin-by-Basin analysis of CO2 storage potential of all-island Ireland, British Geological Survey Internal Report CR/08/060</t>
  </si>
  <si>
    <t>Volgian sandstone reservoir sealed by Cret. Claystones.</t>
  </si>
  <si>
    <t>Based on volume replacement (Bachu &amp; Shaw 2003) "principle that a variable proportion of the pore space occupied by the recoverable reserves will be available for CO2 storage, depending mainly on the reservoir drive mechanism" MCO2 = (VGAS (stp) / Bg). ??CO2 (Equation 1)
Where:
MCO2 = CO2 storage capacity (106 tonnes)
Stp = standard temperature and pressure
VGAS (stp) = volume of ultimately recoverable gas at stp (109 m3)
Bg = gas expansion factor (from reservoir conditions to stp)
??CO2 = density of CO2 at reservoir conditions (kg m-3)
The density of CO2 at reservoir conditions was calculated from an equation-of-state [5].</t>
  </si>
  <si>
    <t>Closure ID #4</t>
  </si>
  <si>
    <t>Bentham, M.S., Kirk, K.L. &amp; Williams, J. , 2008, Basin-by-Basin analysis of CO2 storage potential of all-island Ireland, British Geological Survey Internal Report CR/08/061</t>
  </si>
  <si>
    <t>14-18</t>
  </si>
  <si>
    <t>Closure ID #6</t>
  </si>
  <si>
    <t>Bentham, M.S., Kirk, K.L. &amp; Williams, J. , 2008, Basin-by-Basin analysis of CO2 storage potential of all-island Ireland, British Geological Survey Internal Report CR/08/062</t>
  </si>
  <si>
    <t>CO2 storage capacity (tonnes) = 1total pore volume x 2density of CO2 x 0.47</t>
  </si>
  <si>
    <t>Closure ID #11</t>
  </si>
  <si>
    <t>Bentham, M.S., Kirk, K.L. &amp; Williams, J. , 2008, Basin-by-Basin analysis of CO2 storage potential of all-island Ireland, British Geological Survey Internal Report CR/08/063</t>
  </si>
  <si>
    <t>CO2 storage capacity (tonnes) = 1total pore volume x 2density of CO2 x 0.48</t>
  </si>
  <si>
    <t>Closure ID #14</t>
  </si>
  <si>
    <t>Bentham, M.S., Kirk, K.L. &amp; Williams, J. , 2008, Basin-by-Basin analysis of CO2 storage potential of all-island Ireland, British Geological Survey Internal Report CR/08/064</t>
  </si>
  <si>
    <t>CO2 storage capacity (tonnes) = 1total pore volume x 2density of CO2 x 0.49</t>
  </si>
  <si>
    <t>Closure ID #15</t>
  </si>
  <si>
    <t>Bentham, M.S., Kirk, K.L. &amp; Williams, J. , 2008, Basin-by-Basin analysis of CO2 storage potential of all-island Ireland, British Geological Survey Internal Report CR/08/065</t>
  </si>
  <si>
    <t>CO2 storage capacity (tonnes) = 1total pore volume x 2density of CO2 x 0.50</t>
  </si>
  <si>
    <t>Closure ID #18</t>
  </si>
  <si>
    <t>Bentham, M.S., Kirk, K.L. &amp; Williams, J. , 2008, Basin-by-Basin analysis of CO2 storage potential of all-island Ireland, British Geological Survey Internal Report CR/08/066</t>
  </si>
  <si>
    <t>CO2 storage capacity (tonnes) = 1total pore volume x 2density of CO2 x 0.51</t>
  </si>
  <si>
    <t>Closure 33/17-C</t>
  </si>
  <si>
    <t>Bentham, M.S., Kirk, K.L. &amp; Williams, J. , 2008, Basin-by-Basin analysis of CO2 storage potential of all-island Ireland, British Geological Survey Internal Report CR/08/067</t>
  </si>
  <si>
    <t>CO2 storage capacity (tonnes) = 1total pore volume x 2density of CO2 x 0.52</t>
  </si>
  <si>
    <t>Closure ID #1</t>
  </si>
  <si>
    <t>Bentham, M.S., Kirk, K.L. &amp; Williams, J. , 2008, Basin-by-Basin analysis of CO2 storage potential of all-island Ireland, British Geological Survey Internal Report CR/08/068</t>
  </si>
  <si>
    <t>CO2 storage capacity (tonnes) = 1total pore volume x 2density of CO2 x 0.53</t>
  </si>
  <si>
    <t>Closure ID #2</t>
  </si>
  <si>
    <t>Bentham, M.S., Kirk, K.L. &amp; Williams, J. , 2008, Basin-by-Basin analysis of CO2 storage potential of all-island Ireland, British Geological Survey Internal Report CR/08/069</t>
  </si>
  <si>
    <t>CO2 storage capacity (tonnes) = 1total pore volume x 2density of CO2 x 0.54</t>
  </si>
  <si>
    <t>Closure ID #3</t>
  </si>
  <si>
    <t>Bentham, M.S., Kirk, K.L. &amp; Williams, J. , 2008, Basin-by-Basin analysis of CO2 storage potential of all-island Ireland, British Geological Survey Internal Report CR/08/070</t>
  </si>
  <si>
    <t>CO2 storage capacity (tonnes) = 1total pore volume x 2density of CO2 x 0.55</t>
  </si>
  <si>
    <t>Bentham, M.S., Kirk, K.L. &amp; Williams, J. , 2008, Basin-by-Basin analysis of CO2 storage potential of all-island Ireland, British Geological Survey Internal Report CR/08/071</t>
  </si>
  <si>
    <t>CO2 storage capacity (tonnes) = 1total pore volume x 2density of CO2 x 0.56</t>
  </si>
  <si>
    <t>Closure ID #5</t>
  </si>
  <si>
    <t>Bentham, M.S., Kirk, K.L. &amp; Williams, J. , 2008, Basin-by-Basin analysis of CO2 storage potential of all-island Ireland, British Geological Survey Internal Report CR/08/072</t>
  </si>
  <si>
    <t>CO2 storage capacity (tonnes) = 1total pore volume x 2density of CO2 x 0.57</t>
  </si>
  <si>
    <t>Corrib Jurassic</t>
  </si>
  <si>
    <t>Slyne - Erris</t>
  </si>
  <si>
    <t>Corrib sandstone</t>
  </si>
  <si>
    <t>O'Sullivan, C., P. Rodriguez-Salgado, C. Childs and P. Shannon, 2023, Subsurface storage capacity in underexplored sedimentary basins: Hydrogen and carbon dioxide storage on the Irish Atlantic margin</t>
  </si>
  <si>
    <t>Corrib sandstone sealed by Uilleann Halite Member</t>
  </si>
  <si>
    <t>Assessed as inaccessible due to Irish State law not permitting the geological storage of CO2 . Seven wells (18/20-1, 18/20-3,18/20-4, 18/20-5, 18/20-6, 18/25-1, 18/25-3)</t>
  </si>
  <si>
    <t xml:space="preserve">The potential storage capacity of a structural trap can be calculated as Fluid In Place (FIP) </t>
  </si>
  <si>
    <t>Corrib Triassic (Gas Cap)</t>
  </si>
  <si>
    <t>Corrib Trassic (Full Closure)</t>
  </si>
  <si>
    <t>Irishmore Triassic</t>
  </si>
  <si>
    <t>sandstone</t>
  </si>
  <si>
    <t>Triassic sandstone sealed by Marine and Terrestrial MDST's.</t>
  </si>
  <si>
    <t>Irishmore Carboniferous 2</t>
  </si>
  <si>
    <t>Carboniferous - Pennsylvanian</t>
  </si>
  <si>
    <t>Inishbeg Carboniferous</t>
  </si>
  <si>
    <t>Carboniferous fluvial/deltaic sandstones sealed by Marine and Terrestrial MDST's.</t>
  </si>
  <si>
    <t>Kinsale Head</t>
  </si>
  <si>
    <t>Primary Reservoir = Agone sandstone Mbr (A Sand). Secondary  Reservoir  = Bream sandstone Mbr and Wealden Gp (B Sand)</t>
  </si>
  <si>
    <t>English, J.M. and English K.L., 2022, Carbon Capture and Storage Potential in Ireland — Returning Carbon Whence It Came, First Break, 40, 5, 35, 43</t>
  </si>
  <si>
    <t>E-Cret. Pri Res = Shallow Marine Agone sandstone Mbr (A Sand). Sec Res = Bream &amp; Fluvio-Deltaic Wealden Gp (B Sand). Both sealed by overlying Gault Fm.</t>
  </si>
  <si>
    <t>Assessed as inaccessible due to Irish State law not permitting the geological storage of CO2 . Two wells (48/20-1A, 48/25-3)</t>
  </si>
  <si>
    <t>methodology used here to calculate a preliminary estimate of the carbon storage potential follows that of Bachu and Shaw (2003), Lewis et al. (2009) and Ringrose (2020) for depleted gas fields. Mco2 = ((Vgas.(SC)/fvf)Pco2</t>
  </si>
  <si>
    <t>Corrib Gas Field</t>
  </si>
  <si>
    <t>Corrib sandstone (Fluvial)</t>
  </si>
  <si>
    <t>English, J.M. and English K.L., 2022, Carbon Capture and Storage Potential in Ireland — Returning Carbon Whence It Came, First Break, 40, 5, 35, 44</t>
  </si>
  <si>
    <t>Triassic fluvial Corrib sandstone Fm (Sherwood sandstone Gp) sealed by Triassic Uilleann Halite Mbr (Currach Fm - Mercia MDst).</t>
  </si>
  <si>
    <t>methodology used here to calculate a preliminary estimate of the carbon storage potential follows that of Bachu and Shaw (2003), Lewis et al. (2009) and Ringrose (2020) for depleted gas fields. Mco2 = ((Vgas.(SC)/fvf)Pco3</t>
  </si>
  <si>
    <t>Ross sandstone Fm (Entire Aquifer)</t>
  </si>
  <si>
    <t xml:space="preserve">Clare  </t>
  </si>
  <si>
    <t>Ross sandstone</t>
  </si>
  <si>
    <t>Farrelly, I., Loske, B., Neele, F. &amp; Holdstock, M., 2011, Assessment of the potential for geological storage of CO2 in the vicinity of Moneypoint, Co. Clare, Ireland, Energy Procedia, 4, 4754, 4761</t>
  </si>
  <si>
    <t>Ross turbidite sandstone sealed by Clare Shale Fm.</t>
  </si>
  <si>
    <t>Dinantian limestone (Entire Aquifer)</t>
  </si>
  <si>
    <t xml:space="preserve">Dinantian limestone </t>
  </si>
  <si>
    <t>Farrelly, I., Loske, B., Neele, F. &amp; Holdstock, M., 2011, Assessment of the potential for geological storage of CO2 in the vicinity of Moneypoint, Co. Clare, Ireland, Energy Procedia, 4, 4754, 4763</t>
  </si>
  <si>
    <t>Dinantian limestone sealed by Clare Shale Fm.</t>
  </si>
  <si>
    <t>Dinantian limestone (Trap Capacity)</t>
  </si>
  <si>
    <t>Farrelly, I., Loske, B., Neele, F. &amp; Holdstock, M., 2011, Assessment of the potential for geological storage of CO2 in the vicinity of Moneypoint, Co. Clare, Ireland, Energy Procedia, 4, 4754, 4764</t>
  </si>
  <si>
    <t>Project Greensand</t>
  </si>
  <si>
    <t>Sandstone (Marine)</t>
  </si>
  <si>
    <t>geos.ed.ac.uk/sccs/project-info/2730, https://www.projectgreensand.com/en/hvad-er-project-greensand, https://carbonherald.com/denmark-awards-first-co2-storage-permit-for-the-project-greensand/</t>
  </si>
  <si>
    <t>Possibility of storing up to 1,5 million tonnes of CO2 per year in 2025/2026 and up to 8 million tonnes of CO2 per year in 2030</t>
  </si>
  <si>
    <t>Nini-West Field. Palaeocene Marine sandstone's, Four-Way Dip closure.</t>
  </si>
  <si>
    <t>Assessed CAPACITY, Justified for development, injected 15 Mt as Pilot Project. No permits issued to continue injecting according to development plan as yet. Pilot Project - 4 months to inject 15 MT (Denmark has officially awarded its first CO2 storage permit for the offshore carbon capture and storage (CCS) Project Greensand. The permit was granted specifically to INEOS E&amp;P and Wintershall Dea, two of the companies involved in the project, and allows a time- and quantity-limited injection of carbon dioxide. Namely, the injection and storage limit is set to 15,000 metric tons of CO2 over the coming four months, with an expiry date of April 1, 2023. The captured CO2 emissions are set to be injected deep underground, into the decommissioned Nini West oil field off the coast of Denmark.). Now seeking to ramp up to 8 MT/Year.</t>
  </si>
  <si>
    <t>Tyra</t>
  </si>
  <si>
    <t>Bonto, M., Welch, M. J., Lüthje, M., Andersen, S. I., Veshareh, M. J., Amour, F., Afrough, A., Mokhtari, R., Hajiabadi, M. R., Alizadeh, M. R., Larsen, C. N., &amp; Nick, H. M. , 2021, Challenges and enablers for large-scale CO2 storage in Chalk Formations., Earth Science Reviews, 222</t>
  </si>
  <si>
    <t>Assessed as Development Not Viable due to lack of development or appraisal plan. Volumes calculated on a reserves replacement approach.</t>
  </si>
  <si>
    <t>A storage efficiency of 6% was assumed for the saline aquifers whereas for the O&amp;G fields a volumetric replacement ratio of the produced hydrocarbon with CO2 1:1 was considered.</t>
  </si>
  <si>
    <t>Hydrocarbon replacement calculation</t>
  </si>
  <si>
    <t>Dan</t>
  </si>
  <si>
    <t>Bonto, M., Welch, M. J., Lüthje, M., Andersen, S. I., Veshareh, M. J., Amour, F., Afrough, A., Mokhtari, R., Hajiabadi, M. R., Alizadeh, M. R., Larsen, C. N., &amp; Nick, H. M. , 2021, Challenges and enablers for large-scale CO2 storage in Chalk Formations., Earth Science Reviews, 223</t>
  </si>
  <si>
    <t>Assessed as Development Not Viable due  to lack of development or appraisal plan.. Volumes calculated on a reserves replacement approach.</t>
  </si>
  <si>
    <t>Halfdan</t>
  </si>
  <si>
    <t>Bonto, M., Welch, M. J., Lüthje, M., Andersen, S. I., Veshareh, M. J., Amour, F., Afrough, A., Mokhtari, R., Hajiabadi, M. R., Alizadeh, M. R., Larsen, C. N., &amp; Nick, H. M. , 2021, Challenges and enablers for large-scale CO2 storage in Chalk Formations., Earth Science Reviews, 224</t>
  </si>
  <si>
    <t>Assessed as Development Not Viable due to lack of development or appraisal plan.. Volumes calculated on a reserves replacement approach.</t>
  </si>
  <si>
    <t>Gorm</t>
  </si>
  <si>
    <t>Bonto, M., Welch, M. J., Lüthje, M., Andersen, S. I., Veshareh, M. J., Amour, F., Afrough, A., Mokhtari, R., Hajiabadi, M. R., Alizadeh, M. R., Larsen, C. N., &amp; Nick, H. M. , 2021, Challenges and enablers for large-scale CO2 storage in Chalk Formations., Earth Science Reviews, 225</t>
  </si>
  <si>
    <t>Harald East</t>
  </si>
  <si>
    <t>Bonto, M., Welch, M. J., Lüthje, M., Andersen, S. I., Veshareh, M. J., Amour, F., Afrough, A., Mokhtari, R., Hajiabadi, M. R., Alizadeh, M. R., Larsen, C. N., &amp; Nick, H. M. , 2021, Challenges and enablers for large-scale CO2 storage in Chalk Formations., Earth Science Reviews, 226</t>
  </si>
  <si>
    <t xml:space="preserve">Recent license awarded to Total Energies to evaluate and appraise this site for CO2 Storage </t>
  </si>
  <si>
    <t xml:space="preserve">Total Energies were awarded two licenses to explore for CO2 in the Harald field and an  adjacent saline aquifer. This field is being assessed by Total Energies within the framework of the Danish Bifrost Project. Total Energies will perform evaluation and appraisal with an aim to  store more than 5 Mt CO2/year. </t>
  </si>
  <si>
    <t>South Arne</t>
  </si>
  <si>
    <t>Bonto, M., Welch, M. J., Lüthje, M., Andersen, S. I., Veshareh, M. J., Amour, F., Afrough, A., Mokhtari, R., Hajiabadi, M. R., Alizadeh, M. R., Larsen, C. N., &amp; Nick, H. M. , 2021, Challenges and enablers for large-scale CO2 storage in Chalk Formations., Earth Science Reviews, 227</t>
  </si>
  <si>
    <t>Roar</t>
  </si>
  <si>
    <t>Bonto, M., Welch, M. J., Lüthje, M., Andersen, S. I., Veshareh, M. J., Amour, F., Afrough, A., Mokhtari, R., Hajiabadi, M. R., Alizadeh, M. R., Larsen, C. N., &amp; Nick, H. M. , 2021, Challenges and enablers for large-scale CO2 storage in Chalk Formations., Earth Science Reviews, 228</t>
  </si>
  <si>
    <t>Skjold</t>
  </si>
  <si>
    <t>Bonto, M., Welch, M. J., Lüthje, M., Andersen, S. I., Veshareh, M. J., Amour, F., Afrough, A., Mokhtari, R., Hajiabadi, M. R., Alizadeh, M. R., Larsen, C. N., &amp; Nick, H. M. , 2021, Challenges and enablers for large-scale CO2 storage in Chalk Formations., Earth Science Reviews, 229</t>
  </si>
  <si>
    <t>Valdemar</t>
  </si>
  <si>
    <t>Bonto, M., Welch, M. J., Lüthje, M., Andersen, S. I., Veshareh, M. J., Amour, F., Afrough, A., Mokhtari, R., Hajiabadi, M. R., Alizadeh, M. R., Larsen, C. N., &amp; Nick, H. M. , 2021, Challenges and enablers for large-scale CO2 storage in Chalk Formations., Earth Science Reviews, 230</t>
  </si>
  <si>
    <t>Kraka</t>
  </si>
  <si>
    <t>Bonto, M., Welch, M. J., Lüthje, M., Andersen, S. I., Veshareh, M. J., Amour, F., Afrough, A., Mokhtari, R., Hajiabadi, M. R., Alizadeh, M. R., Larsen, C. N., &amp; Nick, H. M. , 2021, Challenges and enablers for large-scale CO2 storage in Chalk Formations., Earth Science Reviews, 231</t>
  </si>
  <si>
    <t>Jutland</t>
  </si>
  <si>
    <t>Horsens Structure</t>
  </si>
  <si>
    <t>Discovered awaiting detailed assessment</t>
  </si>
  <si>
    <t>Larsen, M., N. Bech, T. Bidstrup, N.P. Christensen, O. Biede and T.G. Vangkilde-Pedersen, 2007, Kalundborg case study, a feasibility study of CO2 storage in onshore saline aquifers, Danmarks og Grønlands Geologiske Undersøgelse Rapport, 2007, 3, 1, 83</t>
  </si>
  <si>
    <t>Assessed as Partly Discovered. Development Not Viable and Undiscovered Lead due to structure defined with no published data to suggest commitment to drill. Horsens-1 Well.</t>
  </si>
  <si>
    <t>GESTCO study the storage capacity calculations were based on structural traps with well-defined spill points.</t>
  </si>
  <si>
    <t>Parup Structure</t>
  </si>
  <si>
    <t>Larsen, M., N. Bech, T. Bidstrup, N.P. Christensen, O. Biede and T.G. Vangkilde-Pedersen, 2007, Kalundborg case study, a feasibility study of CO2 storage in onshore saline aquifers, Danmarks og Grønlands Geologiske Undersøgelse Rapport, 2007, 3, 1, 84</t>
  </si>
  <si>
    <t>Assessed as Lead due to structure defined with no published data to suggest commitment to drill.</t>
  </si>
  <si>
    <t>Lolland</t>
  </si>
  <si>
    <t>Rodby Structure</t>
  </si>
  <si>
    <t>Bunter sandstone</t>
  </si>
  <si>
    <t>Larsen, M., N. Bech, T. Bidstrup, N.P. Christensen, O. Biede and T.G. Vangkilde-Pedersen, 2007, Kalundborg case study, a feasibility study of CO2 storage in onshore saline aquifers, Danmarks og Grønlands Geologiske Undersøgelse Rapport, 2007, 3, 1, 85</t>
  </si>
  <si>
    <t>Tønder Structure</t>
  </si>
  <si>
    <t>Larsen, M., N. Bech, T. Bidstrup, N.P. Christensen, O. Biede and T.G. Vangkilde-Pedersen, 2007, Kalundborg case study, a feasibility study of CO2 storage in onshore saline aquifers, Danmarks og Grønlands Geologiske Undersøgelse Rapport, 2007, 3, 1, 88</t>
  </si>
  <si>
    <t>Little Belt</t>
  </si>
  <si>
    <t>Røsnæs Structure</t>
  </si>
  <si>
    <t>Larsen, M., N. Bech, T. Bidstrup, N.P. Christensen, O. Biede and T.G. Vangkilde-Pedersen, 2007, Kalundborg case study, a feasibility study of CO2 storage in onshore saline aquifers, Danmarks og Grønlands Geologiske Undersøgelse Rapport, 2007, 3, 1, 91</t>
  </si>
  <si>
    <t>Gassum GF Structure</t>
  </si>
  <si>
    <t>Hjelm, L., K.L. Anthonsen, K. Dideriksen, C.M. Nielsen, L.H. Nielsen and A. Mathiesen, 2022, Capture, Storage and Use of CO2 (CCUS). Evaluation of the CO2 storage potential in Denmark, 2020</t>
  </si>
  <si>
    <t>Sandstone Reservoir, Delta/Shoreface. Structure = 4-way closure/domal. Top seal - L. Jurassic Fjerritslev Mudstone Fm. Trap Configuration = bove salt pillow. May spill into the Voldum structure at -2240m.</t>
  </si>
  <si>
    <t>Assessed as Discovered due to well count</t>
  </si>
  <si>
    <t>rule of thumb’ estimate of the storage efficiency for different structural
configuration. From Brennan et al (2010)</t>
  </si>
  <si>
    <t>storage capacity estimation of structures with buoyant trapping is estimated via this equation: SC = A x h x GCF x N:G x ?? X ??CO2R X s (Eff,).</t>
  </si>
  <si>
    <t>Zealand</t>
  </si>
  <si>
    <t>Havnsø GF Structure</t>
  </si>
  <si>
    <t>Thibeau, S. &amp; Adler, F. 2023. Pressure-derived storage efficiency for open saline aquifer CO2 storage. Geoenergy.</t>
  </si>
  <si>
    <t>Studied during the CO2Store R&amp;D project (Chadwick et al, 2007, and by a GEUS study (Hjelm et al., 2022). Pressure limited storage resource calculated utilizing an analytical approach by Thibeau &amp; Adler (2022; source reference for resource).</t>
  </si>
  <si>
    <t>Analytical storage resource calculated for 3 injection period cases: 15-25-40 years</t>
  </si>
  <si>
    <t>Gassum Sandstone Reservoir, Delta/Shoreface. Structure = 4-way closure/domal. Top seal - L. Jurassic Fjerritslev Mudstone Fm. Trap Configuration = bove salt pillow. . May spill forwards the Stenlille structure at -1625m (uncertain)</t>
  </si>
  <si>
    <t>Storage resource estimated using analytical aquifer approach assuming a closed regional aquifer</t>
  </si>
  <si>
    <t>Hanstholm GF Structure</t>
  </si>
  <si>
    <t>Hjelm, L., K.L. Anthonsen, K. Dideriksen, C.M. Nielsen, L.H. Nielsen and A. Mathiesen, 2022, Capture, Storage and Use of CO2 (CCUS). Evaluation of the CO2 storage potential in Denmark, 2022</t>
  </si>
  <si>
    <t>Gassum Sandstone Reservoir, Delta/Shoreface. Structure = 4-way closure/domal. Top seal - L. Jurassic Fjerritslev Mudstone Fm. Trap Configuration = 4-way closure domal structure</t>
  </si>
  <si>
    <t>Thisted SF Structure</t>
  </si>
  <si>
    <t>Skagerrak Fm sandstone</t>
  </si>
  <si>
    <t>Partly discovered</t>
  </si>
  <si>
    <t>Hjelm, L., K.L. Anthonsen, K. Dideriksen, C.M. Nielsen, L.H. Nielsen and A. Mathiesen, 2022, Capture, Storage and Use of CO2 (CCUS). Evaluation of the CO2 storage potential in Denmark, 2024</t>
  </si>
  <si>
    <t>Triassic Skagerrak Reservoir Formation, fluvial. Structure = 4-way closure domal structure. Top Seal =  L. Jurassic Fjerritslev Mudstone Fm.</t>
  </si>
  <si>
    <t>Assessed as Development Not Viable due to structure defined with no published data to suggest commitment to drill. Thisted-1 Well.</t>
  </si>
  <si>
    <t>Voldum GF Structure</t>
  </si>
  <si>
    <t>Hjelm, L., K.L. Anthonsen, K. Dideriksen, C.M. Nielsen, L.H. Nielsen and A. Mathiesen, 2022, Capture, Storage and Use of CO2 (CCUS). Evaluation of the CO2 storage potential in Denmark, 2025</t>
  </si>
  <si>
    <t>Gassum Sandstone Reservoir, Delta/Shoreface. Structure = 4-way closure/domal. Top seal - L. Jurassic Fjerritslev Mudstone Fm. Trap Configuration = bove salt pillow. . May spill -way anticline above salt pillow. May spill into the south at -2070m</t>
  </si>
  <si>
    <t>Tønder BF Structure</t>
  </si>
  <si>
    <t>Hjelm, L., K.L. Anthonsen, K. Dideriksen, C.M. Nielsen, L.H. Nielsen and A. Mathiesen, 2022, Capture, Storage and Use of CO2 (CCUS). Evaluation of the CO2 storage potential in Denmark, 2026</t>
  </si>
  <si>
    <t xml:space="preserve">Bunter Sandstone Reservoir, Aris continental playa facies. Structure = Salt pillow. Top seal - Triassic Ørslev mudstone Fm. Trap Configuration = Trap geometry is created from det development of the Tønder Salt pillow. </t>
  </si>
  <si>
    <t>Vedsted GF Structure</t>
  </si>
  <si>
    <t>Hjelm, L., K.L. Anthonsen, K. Dideriksen, C.M. Nielsen, L.H. Nielsen and A. Mathiesen, 2022, Capture, Storage and Use of CO2 (CCUS). Evaluation of the CO2 storage potential in Denmark, 2027</t>
  </si>
  <si>
    <t xml:space="preserve">Gassum Sandstone Reservoir, Delta/Shoreface. Structure = 4-way closure/domal. Top seal - L. Jurassic Fjerritslev Mudstone Fm. Trap Configuration = Anticline associated wrench tectonics. </t>
  </si>
  <si>
    <t>Thorning GF Structure</t>
  </si>
  <si>
    <t>Hjelm, L., K.L. Anthonsen, K. Dideriksen, C.M. Nielsen, L.H. Nielsen and A. Mathiesen, 2022, Capture, Storage and Use of CO2 (CCUS). Evaluation of the CO2 storage potential in Denmark, 2028</t>
  </si>
  <si>
    <t>Gassum Sandstone Reservoir, Delta/Shoreface. Structure = 4-way closure/domal. Top seal - L. Jurassic Fjerritslev Mudstone Fm. Trap Configuration = 4-way anticline above larger salt pillow</t>
  </si>
  <si>
    <t>Røsnæs GF Structure</t>
  </si>
  <si>
    <t>Hjelm, L., K.L. Anthonsen, K. Dideriksen, C.M. Nielsen, L.H. Nielsen and A. Mathiesen, 2022, Capture, Storage and Use of CO2 (CCUS). Evaluation of the CO2 storage potential in Denmark, 2029</t>
  </si>
  <si>
    <t>Gassum Sandstone Reservoir, Delta/Shoreface. Structure = 4-way closure/domal. Top seal - L. Jurassic Fjerritslev Mudstone Fm. Trap Configuration = Possible 4-way and associate fault supported 3-way anticline above salt pillow. Very uncertain 4-way part.</t>
  </si>
  <si>
    <t>Hanstholm SF Structure</t>
  </si>
  <si>
    <t>Hjelm, L., K.L. Anthonsen, K. Dideriksen, C.M. Nielsen, L.H. Nielsen and A. Mathiesen, 2022, Capture, Storage and Use of CO2 (CCUS). Evaluation of the CO2 storage potential in Denmark, 2030</t>
  </si>
  <si>
    <t>Legin SF Structure</t>
  </si>
  <si>
    <t>Hjelm, L., K.L. Anthonsen, K. Dideriksen, C.M. Nielsen, L.H. Nielsen and A. Mathiesen, 2022, Capture, Storage and Use of CO2 (CCUS). Evaluation of the CO2 storage potential in Denmark, 2031</t>
  </si>
  <si>
    <t>Triassic Skagerrak Reservoir Formation, fluvial. Structure = 4-way closure domal structure. Top Seal =  Triassic Oddesund Mudstone Fm.</t>
  </si>
  <si>
    <t>Skive BF Structure</t>
  </si>
  <si>
    <t>Hjelm, L., K.L. Anthonsen, K. Dideriksen, C.M. Nielsen, L.H. Nielsen and A. Mathiesen, 2022, Capture, Storage and Use of CO2 (CCUS). Evaluation of the CO2 storage potential in Denmark, 2032</t>
  </si>
  <si>
    <t>Bunter Sandstone Reservoir, Aris continental playa facies. Structure = Salt pillow. Top seal - Triassic Ørslev mudstone Fm. Trap Configuration = Rrap geometry is created from the development of the Skive Salt pillow/diapir?</t>
  </si>
  <si>
    <t>Helgenæs GF Structure</t>
  </si>
  <si>
    <t>Hjelm, L., K.L. Anthonsen, K. Dideriksen, C.M. Nielsen, L.H. Nielsen and A. Mathiesen, 2022, Capture, Storage and Use of CO2 (CCUS). Evaluation of the CO2 storage potential in Denmark, 2033</t>
  </si>
  <si>
    <t>Gassum Sandstone Reservoir, Delta/Shoreface. Structure = Unkown. Top seal - L. Jurassic Fjerritslev Mudstone Fm. Trap Configuration = Unknown.</t>
  </si>
  <si>
    <t>Haldager Fm</t>
  </si>
  <si>
    <t>Sandstone</t>
  </si>
  <si>
    <t>Baig, I., Aagaard, P., Sassier, C., Faleide, J. I., Jahren, J., Gabrielsen, R. H., Fawad, M., Nielsen, L. H., Kristensen, L., &amp; Bergmo, P. E. S. , 2013, Potential Triassic and Jurassic CO2 storage reservoirs in the skagerrak-kattegat area, Energy Procedia, 37, 5298, 5307</t>
  </si>
  <si>
    <t>Fluvial and shallow marine sandstones interbedded with thin mudstones.</t>
  </si>
  <si>
    <t>Assessed as Discovered due to well count. 9 Wells (13/1-U-1, 13/1-U-2, 13/2-U-1, 11/5-1, 11/9-1, 11/10-1, Inez-1, Felecia-1)</t>
  </si>
  <si>
    <t>Stenlille Gas Storage Facility</t>
  </si>
  <si>
    <t>https://gasandstoneorage.dk/CO2-storage/</t>
  </si>
  <si>
    <t>Aquifer gas storage facility which was under consideration as a CO2 storage demonstration site</t>
  </si>
  <si>
    <t>Assessed as development pending while operations seek to start up in 2026</t>
  </si>
  <si>
    <t>Polaris CCS</t>
  </si>
  <si>
    <t>East Barents Sea</t>
  </si>
  <si>
    <t>Horisont Energy, Polaris Project. https://horisontenergi.no/projects/polaris/</t>
  </si>
  <si>
    <t>Storage license awarded in 2022. . The reservoir is a key component for the planned Barents Blue Ammonia Plant, located in Hammerfest. Captured CO2 from the sequestration of natural gas and production of blue ammonia will be stored in the Polaris reservoir. PGNiG Upstream Norway and Horisont Energi are partners on the Polaris project whereas PGNiG is operator.</t>
  </si>
  <si>
    <t>Storage license awarded in 2022. Capacity cited as over 3MTPA</t>
  </si>
  <si>
    <t>Saline Aquifer across 350 Km2, 90m thick, with a structural high of 1400m TVDSS.</t>
  </si>
  <si>
    <t>Storage license awarded in 2022, Partly discovered due to proximity of two wells  gives a 40% discovery area from 1000km2</t>
  </si>
  <si>
    <t>Trudvang CCS</t>
  </si>
  <si>
    <t xml:space="preserve">Northern North Sea </t>
  </si>
  <si>
    <t>Utsira Fm</t>
  </si>
  <si>
    <t>Trudavang CCS, https://trudvang-ccs.com/</t>
  </si>
  <si>
    <t>License awarded in 2023. Undergoing Pre-FEED studies</t>
  </si>
  <si>
    <t>8-10 Mtpa. The Trudvang project involves capturing CO? from several industrial emission sources in Europe and transporting it, either via ships or pipeline. Project still in Pre-FEED</t>
  </si>
  <si>
    <t>Development unclarified as the project is undergoing pre-FEED at the time of Cycle 4</t>
  </si>
  <si>
    <t>Johansen Storage Complex</t>
  </si>
  <si>
    <t>Johansen</t>
  </si>
  <si>
    <t>Rørvik, K.L., L. Horntvedt, E. Erichsen, T. Ravn, P.O. Andfossen, H. Høydalsvik and E.H. Hansen, 2013, Challenges with Qualification of Storage Sites for CCS in Deep Aquifers Exemplified by the Johansen Storage Complex Study, Norway, 37, 5026, 5035</t>
  </si>
  <si>
    <t>3.2 mT/Year for 50 years</t>
  </si>
  <si>
    <t>Deltaic Johansen sands sealed by lower Drake shale formation</t>
  </si>
  <si>
    <t>Assessed as Lead  due to no evidence of a development programme to suggest any drilling targets.</t>
  </si>
  <si>
    <t>Alpha Structure, North Smeaheia Area</t>
  </si>
  <si>
    <t>Sognefjord Fm</t>
  </si>
  <si>
    <t xml:space="preserve">Lothe, A., Bergmo, P &amp; Grimstad, A. , 2019, Storage resources for future european CCS deployment; A roadmap for a Horda Co2 storage hub, Offshore Norway, TCCS-10 Trondheim CCS Conference CO2 Capture, Transport and Storage </t>
  </si>
  <si>
    <t>Sognefjord Fm sealed by Draupne Fm</t>
  </si>
  <si>
    <t>Assessed as lead play</t>
  </si>
  <si>
    <t>Simple mass-balance calculations based on recoverable gas reserves</t>
  </si>
  <si>
    <t>Gamma Structure, South Smeaheia Area</t>
  </si>
  <si>
    <t>Troll Field</t>
  </si>
  <si>
    <t>Troll is an active gas field on production until 2060. Storage volume estimated is after gas production cessation.</t>
  </si>
  <si>
    <t>Heimdal Fm</t>
  </si>
  <si>
    <t>Paleocene</t>
  </si>
  <si>
    <t>Anthonsen, K. L., Aagaard, P., Bergmo, P. E. S., Gislason, S. R., Lothe, A. E., Mortensen, G. M., &amp; Snæbjörnsdóttir, S. Ó. , 2014, Characterisation and selection of the most prospective CO2 storage sites in the Nordic region, Energy Procedia, 63, 4884, 4896</t>
  </si>
  <si>
    <t>Submarine fans (Heimdal Fm), sealed by Lista Fm.</t>
  </si>
  <si>
    <t>Assessed as Basin play due to lacking published data to mature assessment.</t>
  </si>
  <si>
    <t>Storage capacity is based on static capacity estimate methodology used in the EU GeoCapacity project, which is a slightly modified version of the methodology proposed by Bachu et al.</t>
  </si>
  <si>
    <t>Frigg Fm</t>
  </si>
  <si>
    <t>E Eocene</t>
  </si>
  <si>
    <t>Submarine fans with stacked channels, lobe and interchannels sandstone intervals with shales in between (Frigg Fm), Sealed by Hordland Gp</t>
  </si>
  <si>
    <t>Skade Fm</t>
  </si>
  <si>
    <t>Elenius, M., Skurtveit, E., Yarushina, V., Baig, I., Sundal, A., Wangen, M., Landschulze, K., Kaufmann, R., Choi, J. C., Hellevang, H., Podladchikov, Y., Aavatsmark, I., &amp; Gasda, S. E., 2018, Assessment of CO2 storage capacity based on sparse data: Skade Formation, International Journal of Greenhouse Gas Control, 79, 252, 271</t>
  </si>
  <si>
    <t>Thick sand package, sealed by the Nordland Gp.</t>
  </si>
  <si>
    <t>Constant</t>
  </si>
  <si>
    <t>Effective storage capacity [kg CO2] is: MCO2 = E nVf .</t>
  </si>
  <si>
    <t>Israel</t>
  </si>
  <si>
    <t>Southern Israel</t>
  </si>
  <si>
    <t>Negev Lower Aquifer - Yamin Fm</t>
  </si>
  <si>
    <t>Sinai - Levant</t>
  </si>
  <si>
    <t>Yamin</t>
  </si>
  <si>
    <t>Permian - Lopingian to Early Triassic</t>
  </si>
  <si>
    <t>Taragan, R. , 2018, Deep geological CO2 storage potential in the lower saline aquifer (Paleozoic - Triassic) in southern Israel, 1, 110</t>
  </si>
  <si>
    <t>No project has been defined.</t>
  </si>
  <si>
    <t>The "Lower Aquifer," A1, or "Permian Aquifer," is capped by the "Lower Aquitard." The Lower Aquitard comprises siltstones, shales, carbonates, and minor evaporites of the Triassic Ramon Gr. and the Jurassic Mishor Fm. Taragan (2018) determined the composite Permian Aquifer contains 3.3508 Gt of CO2 storage resources; however, when buffers are imposed on areas with less than 100 m of overlying seal or areas within 10 km of major faults, the CO2 storage resources decrease to only 1.53Gt.</t>
  </si>
  <si>
    <t>The authors evaluated four formations comprising the "Permian Aquifer" independently and then performed an evaluation on the aggregate of the four formations. Results reported here are for the individual formations and not for the aggregate. The aggregate "Permian Aquifer" evaluation is 3,350.8 Mt; however, when buffers are imposed on areas with less than 100 m of overlying seal or areas within 10 km of major faults, the CO2 storage resources decrease to only 1.53Gt.</t>
  </si>
  <si>
    <t>Theoretical Static</t>
  </si>
  <si>
    <t>Negev Lower Aquifer - Shezaf Fm</t>
  </si>
  <si>
    <t>Shezaf</t>
  </si>
  <si>
    <t>Negev Lower Aquifer - Arqov Fm</t>
  </si>
  <si>
    <t>Arqov</t>
  </si>
  <si>
    <t>Negev Lower Aquifer - Sa'ad Fm</t>
  </si>
  <si>
    <t>Sa'ad</t>
  </si>
  <si>
    <t>Permian - Guadalupian</t>
  </si>
  <si>
    <t>Negev Middle Aquifer Level I and II</t>
  </si>
  <si>
    <t>Middle Aquifer</t>
  </si>
  <si>
    <t>Early Jurassic to Late Jurassic</t>
  </si>
  <si>
    <t>Calvo, R., &amp; Gvirtzman, Z., 2013, Assessment of CO2 storage capacity in southern Israel, International Journal of Greenhouse Gas Control, 14, 25, 38</t>
  </si>
  <si>
    <t>The "Middle Aquifer" is capped by the "Middle Aquitard." The Middle Aquitard is Late Jurassic and comprises shales with a few carbonate layers. Permeability ranges from 0.01 to 0.1 mD. Calvo and Gvirtzman (2013) excluded areas &lt;800 depth, areas where seal (aquitard) is &lt;100 m, and areas &lt;10 km from fault traces or erosional formation outcrops.</t>
  </si>
  <si>
    <t>The authors also evaluate the "Lower Aquifer;" however, the evaluation was re-evaluated and updated by a more recent publication (Taragan, 2018). Portions of the Middle and Lower aquifer deeper than 2,500 m were assigned the label "Level II" in the resource estimate and are considered uneconomic by the authors.</t>
  </si>
  <si>
    <t>Morocco</t>
  </si>
  <si>
    <t>Doukkala basin</t>
  </si>
  <si>
    <t>Safi (Undifferentiated)</t>
  </si>
  <si>
    <t>Doukkala</t>
  </si>
  <si>
    <t>Boavida, D., Carneiro, J., Martinez, R., van den Broek, M., Ramirez, A., Rimi, A., Tosato, G., &amp; Gastine, M. , 2013, Planning CCS Development in the West Mediterranean, Energy Procedia, 37, 3212, 3220</t>
  </si>
  <si>
    <t>Basin-scale analysis did not provide containment formations.</t>
  </si>
  <si>
    <t>Basin wide gas fields values per formation within structure - Assessed development inaccessible due to gas field.</t>
  </si>
  <si>
    <t>Africa</t>
  </si>
  <si>
    <t>Essaouira (Undifferentiated)</t>
  </si>
  <si>
    <t>Essaouira</t>
  </si>
  <si>
    <t>This analysis considered storage resources in oil and gas fields and in saline formations, but was limited to onshore areas.</t>
  </si>
  <si>
    <t>Alboran (Undifferentiated)</t>
  </si>
  <si>
    <t>Alboran Sea</t>
  </si>
  <si>
    <t>Carneiro, J., Martínez, R., Suaréz, I., Zarhloule, Y. &amp; Rimi, A. (2015): Injection rates and cost estimates for CO2 storage in the west Mediterranean region. — Environmental Earth Sciences, 73, 2951- 2962</t>
  </si>
  <si>
    <t xml:space="preserve">This analysis considered storage resources in oil and gas fields and in saline formations, Location approximated. </t>
  </si>
  <si>
    <t>Algeria</t>
  </si>
  <si>
    <t xml:space="preserve">Southwest Algeria </t>
  </si>
  <si>
    <t>Alkablie 1</t>
  </si>
  <si>
    <t>Gourara</t>
  </si>
  <si>
    <t xml:space="preserve">Cambro–Ordovician and Devonian </t>
  </si>
  <si>
    <t>Aktouf, A. and A. Bentellis, 2016, CO2-storage assessment and effective capacity in Algeria, 5, 1, 1038</t>
  </si>
  <si>
    <t xml:space="preserve">The caprock has a minimum thickness of 200 m and is composed primarily of Silurian clay, which completely seals the potential reservoir. </t>
  </si>
  <si>
    <t>Undiscovered saline formation.
Well: The study makes use of data from 200 wells located around the area. However, the location and if it penetrates the formation are unknown. Storage Efficiency: This initial assessment of the GSC capacity in Algerian deep saline aquifers encountered difficulties related to the storage efficiency factor, Esalin, and the potential storage capacity was calculated assuming that 0.54 or 5.4 % of the total pore volume could be filled or saturated (NETL 2010). The calculations provide a very conservative estimation of the effective capacity of the determined areas’ pro-sequestration of CO2 of approximately 1 GT or 5 Gt (Esalin = 1 and 5 %, respectively)</t>
  </si>
  <si>
    <t>AH</t>
  </si>
  <si>
    <t>NETL 2010</t>
  </si>
  <si>
    <t>Alkablie 2</t>
  </si>
  <si>
    <t xml:space="preserve">Containment: Coverage of these reservoirs is provided by Silurian clays, which are regionally well developed and provide a good coverage of the Cambro–Ordovician reservoirs. The base of these clays is highly radioactive with abnormally high pressures, increasing their coverage effectiveness. The Tournai reservoir sandstones are covered by Tournaisian and Namurian clays, and the Middle and Upper Devonian clays provide a caprock for the Gedinnian and Siegenien sandstones_x000D_
</t>
  </si>
  <si>
    <t>Tindikelt Nord</t>
  </si>
  <si>
    <t xml:space="preserve">Containment: a thick, 1200-m sedimentary series of shales of Ordovician and, specifically, El Gassi Clay play the role of caprock in addition to the Silurian shales, which represent the regional coverage for the Cambro–Ordovician reservoirs._x000D_
</t>
  </si>
  <si>
    <t>Ahnet Centre</t>
  </si>
  <si>
    <t>Amsari</t>
  </si>
  <si>
    <t xml:space="preserve">The caprock has a minimum thickness of 200 m and is composed primarily of Silurian clay, which completely seals the potential reservoir. 
</t>
  </si>
  <si>
    <t>Idjarane West</t>
  </si>
  <si>
    <t>Timimoune 1</t>
  </si>
  <si>
    <t>Timimoune 2</t>
  </si>
  <si>
    <t>Timimoune South</t>
  </si>
  <si>
    <t>Gourara 1</t>
  </si>
  <si>
    <t>Gourara 2</t>
  </si>
  <si>
    <t>Gourara 3</t>
  </si>
  <si>
    <t xml:space="preserve">The caprock has a minimum thickness of 200 m and is composed primarily of Silurian clay, which completely seals the potential reservoir. _x000D_
</t>
  </si>
  <si>
    <t>Undiscovered saline formation._x000D_
Well: The study makes use of data from 200 wells located around the area. However, the location and if it penetrates the formation are unknown. Storage Efficiency: This initial assessment of the GSC capacity in Algerian deep saline aquifers encountered difficulties related to the storage efficiency factor, Esalin, and the potential storage capacity was calculated assuming that 0.54 or 5.4 % of the total pore volume could be filled or saturated (NETL 2010). The calculations provide a very conservative estimation of the effective capacity of the determined areas’ pro-sequestration of CO2 of approximately 1 GT or 5 Gt (Esalin = 1 and 5 %, respectively)</t>
  </si>
  <si>
    <t>Krechba Field</t>
  </si>
  <si>
    <t>Tournasian Formation</t>
  </si>
  <si>
    <t>Ringrose, P.S., A.S. Mathieson, I.W. Wright, F. Selama, O. Hansen, R. Bissell, N. Saoula and J. Midgley, 2013, The In Salah CO2 Storage Project: Lessons Learned and Knowledge Transfer, 37, 6226, 6236</t>
  </si>
  <si>
    <t>In Salah project operational between 2004 and 2011 successfully stored 3.8 Mt CO2 in Krechba field. The CO2 is injected into the aquifer leg of a 20m thick carboniferous sandstone reservoir with no leakage of CO2 was reported during the lifetime of the project. The injection was halted due to potential geophysical risks, specifically reservoir fluid pressures</t>
  </si>
  <si>
    <t xml:space="preserve">The In Salah CCS project involves a total of three horizontal injection wells for storing carbon dioxide in Krechba field. </t>
  </si>
  <si>
    <t xml:space="preserve">The containment of the Krechba field for the In Salah CCS project involves a Carboniferous saline seal, specifically consisting of 900 meters of Visean shale. This seal has successfully contained natural gas for approximately 200 million years, indicating its capability to securely store gases for extended periods. </t>
  </si>
  <si>
    <t>The In Salah CO2 Storage project has provided crucial insights into carbon storage processes, emphasizing the integration of monitoring into routine field operations and field development plans. The project highlighted the effectiveness of combining standard oilfield techniques with geotechnical and environmental monitoring practices, including the use of satellite InSAR data to understand geomechanical responses to CO2 injection. These methods, along with detailed reservoir and overburden data, are essential for assessing site-specific leakage risks and adapting operations as necessary. Additionally, managing legacy wellbore integrity and acquiring comprehensive baseline data are vital for ensuring the long-term integrity and understanding of CO2 plume behaviour within the storage reservoir.</t>
  </si>
  <si>
    <t>Romania</t>
  </si>
  <si>
    <t>Copsa Mica gas field</t>
  </si>
  <si>
    <t>Transylvanian</t>
  </si>
  <si>
    <t>Bossie-Codreanu, D.C. et al. 2009. WP2- Storage Capacity. EU GeoCapacity project. Assessing European Capacity for Geological Storage of Carbon Dioxide. Geological Survey of Denmark and Greenland, Project Np. SE56-518318, p. 73.</t>
  </si>
  <si>
    <t>Storage resource estimate derived from Eu GeoCapacity project as data were not available for re-evaluation by CO2StoP project. All Romanian data is copyright of the National Institute of Marine Geology and Geoecology.</t>
  </si>
  <si>
    <t>None provided</t>
  </si>
  <si>
    <t>Tuff seal reported</t>
  </si>
  <si>
    <t>Ghergheasa gas field</t>
  </si>
  <si>
    <t>Southern Carpathians</t>
  </si>
  <si>
    <t>Marl seal</t>
  </si>
  <si>
    <t>Targu Mures Dome gas field</t>
  </si>
  <si>
    <t>Sangeogiu de Padure gas field</t>
  </si>
  <si>
    <t>Stramba-Rogojelu</t>
  </si>
  <si>
    <t>Shales.</t>
  </si>
  <si>
    <t>Teis-Viforata gas field</t>
  </si>
  <si>
    <t>Burdigalian</t>
  </si>
  <si>
    <t>Iernut gas field</t>
  </si>
  <si>
    <t>Babeni oilfield</t>
  </si>
  <si>
    <t>Bibesti-Bulbuceni oilfield</t>
  </si>
  <si>
    <t>Targu Jiu oilfield</t>
  </si>
  <si>
    <t>Simnic oilfield</t>
  </si>
  <si>
    <t>Callovian</t>
  </si>
  <si>
    <t>Tataru oilfield</t>
  </si>
  <si>
    <t>Calinesti-Oarja oilfield</t>
  </si>
  <si>
    <t>Aricesti oilfield</t>
  </si>
  <si>
    <t xml:space="preserve">Meotian Formation:  Getic Depression </t>
  </si>
  <si>
    <t>CO2 Storage Potential in Europe (CO2StoP) https://ec.europa.eu/energy/studies/assessment-co2-storage-potential-europe-co2stop_en. Accessed 15 May 2024</t>
  </si>
  <si>
    <t>All Romanian data is copyright of the National Institute of Marine Geology and Geoecology.</t>
  </si>
  <si>
    <t>None stated</t>
  </si>
  <si>
    <t>Shales above injection formation act as seal.</t>
  </si>
  <si>
    <t>Meotian Formation: Mio-Pliocene Subzone (Muntenia)</t>
  </si>
  <si>
    <t>CO2 Storage Potential in Europe (CO2StoP) https://ec.europa.eu/energy/studies/assessment-co2-storage-potential-europe-co2stop_en. Accessed 15 May 2025</t>
  </si>
  <si>
    <t xml:space="preserve">Moesian Platform: Middle Devonian Formation  </t>
  </si>
  <si>
    <t>Givetian</t>
  </si>
  <si>
    <t>Middle Devonian</t>
  </si>
  <si>
    <t>CO2 Storage Potential in Europe (CO2StoP) https://ec.europa.eu/energy/studies/assessment-co2-storage-potential-europe-co2stop_en. Accessed 15 May 2026</t>
  </si>
  <si>
    <t xml:space="preserve"> Moesian Platform: Middle Jurassic Formation</t>
  </si>
  <si>
    <t>CO2 Storage Potential in Europe (CO2StoP) https://ec.europa.eu/energy/studies/assessment-co2-storage-potential-europe-co2stop_en. Accessed 15 May 2027</t>
  </si>
  <si>
    <t xml:space="preserve">Pannonian Depression: Miocene </t>
  </si>
  <si>
    <t>CO2 Storage Potential in Europe (CO2StoP) https://ec.europa.eu/energy/studies/assessment-co2-storage-potential-europe-co2stop_en. Accessed 15 May 2028</t>
  </si>
  <si>
    <t>Pliocene shales</t>
  </si>
  <si>
    <t>Pannonian Depression: Pliocene Formation</t>
  </si>
  <si>
    <t>CO2 Storage Potential in Europe (CO2StoP) https://ec.europa.eu/energy/studies/assessment-co2-storage-potential-europe-co2stop_en. Accessed 15 May 2029</t>
  </si>
  <si>
    <t>Marls act as sealing formation</t>
  </si>
  <si>
    <t>Moesian Platform: Pontian Formation</t>
  </si>
  <si>
    <t>CO2 Storage Potential in Europe (CO2StoP) https://ec.europa.eu/energy/studies/assessment-co2-storage-potential-europe-co2stop_en. Accessed 15 May 2030</t>
  </si>
  <si>
    <t xml:space="preserve">Moesian Platform: Sarmatian Formation </t>
  </si>
  <si>
    <t>CO2 Storage Potential in Europe (CO2StoP) https://ec.europa.eu/energy/studies/assessment-co2-storage-potential-europe-co2stop_en. Accessed 15 May 2031</t>
  </si>
  <si>
    <t>North-Dobroudjan Promontory: Sarmatian Formation</t>
  </si>
  <si>
    <t>CO2 Storage Potential in Europe (CO2StoP) https://ec.europa.eu/energy/studies/assessment-co2-storage-potential-europe-co2stop_en. Accessed 15 May 2032</t>
  </si>
  <si>
    <t>Limestones with pelitic intercalations</t>
  </si>
  <si>
    <t xml:space="preserve">Getic Depression: Sarmatian Formation </t>
  </si>
  <si>
    <t>CO2 Storage Potential in Europe (CO2StoP) https://ec.europa.eu/energy/studies/assessment-co2-storage-potential-europe-co2stop_en. Accessed 15 May 2033</t>
  </si>
  <si>
    <t xml:space="preserve">Transylvanian Depression: Sarmatian Formation </t>
  </si>
  <si>
    <t>CO2 Storage Potential in Europe (CO2StoP) https://ec.europa.eu/energy/studies/assessment-co2-storage-potential-europe-co2stop_en. Accessed 15 May 2034</t>
  </si>
  <si>
    <t>Upper Burdigalian: Mio-Pliocene Subzone (Muntenia)</t>
  </si>
  <si>
    <t>CO2 Storage Potential in Europe (CO2StoP) https://ec.europa.eu/energy/studies/assessment-co2-storage-potential-europe-co2stop_en. Accessed 15 May 2035</t>
  </si>
  <si>
    <t xml:space="preserve"> Moldavian Platform: Silurian Formation</t>
  </si>
  <si>
    <t>CO2 Storage Potential in Europe (CO2StoP) https://ec.europa.eu/energy/studies/assessment-co2-storage-potential-europe-co2stop_en. Accessed 15 May 2036</t>
  </si>
  <si>
    <t xml:space="preserve">Moldavian Platform: Sarmatian Formation </t>
  </si>
  <si>
    <t>CO2 Storage Potential in Europe (CO2StoP) https://ec.europa.eu/energy/studies/assessment-co2-storage-potential-europe-co2stop_en. Accessed 15 May 2037</t>
  </si>
  <si>
    <t>Tescani Beds</t>
  </si>
  <si>
    <t>CO2 Storage Potential in Europe (CO2StoP) https://ec.europa.eu/energy/studies/assessment-co2-storage-potential-europe-co2stop_en. Accessed 15 May 2038</t>
  </si>
  <si>
    <t>Klara 1 - Undiscovered</t>
  </si>
  <si>
    <t>Kate 1 - Undiscovered</t>
  </si>
  <si>
    <t>Netherlands</t>
  </si>
  <si>
    <t>Aramis</t>
  </si>
  <si>
    <t>Multiple geo intervals (pre-salt Permian Rotliegendes, post-salt Triassic Buntsandstein and Cretaceous Holland Greensand)</t>
  </si>
  <si>
    <t>https://www.aramis-ccs.com/</t>
  </si>
  <si>
    <t>&gt; Step 1 (2019 - 2021) = Feasibility study + Partnership Formalisation. &gt;Step 2 (2022 - 2024) = Design concept and CCS value chain parties agreement. &gt;Step 3 (2025/2026) = FID across value chain. &gt;Step 4 (2028/2029) = Project Start Up. &gt;Step 5 (2029&gt;) = Expansion from 7 Mtpa to 22 Mtpa.</t>
  </si>
  <si>
    <t>Assessed as development unclarified due to no storage licence held yet.</t>
  </si>
  <si>
    <t>Simulation assumed</t>
  </si>
  <si>
    <t>Porthos (P-18-2, P-18-4, P-18-6)</t>
  </si>
  <si>
    <t>https://www.porthosco2.nl/</t>
  </si>
  <si>
    <t>&gt; 04 '18 = Completed Feasibility Study. &gt;Spring '18/Jan '19 = Concept select phase. &gt; Early '19 = FEED Phase + Tech Dev for transports and storage infrastructure. &gt;02/03 '19 = Expression interest companies. &gt; 06 '19 = Memorandum on scope and detail. &gt; 07 '19 = Awarded 6.5 Million Euros CEF subsidy by EU Commission for prep studies. &gt;Autumn '19 = Joint Agreement Dev 1 Signed. &gt; 09 '20 = EIA Completed. &gt;Autumn '20 = Joint Agreement Dev 2 Signed. &gt; 02 '21 = Awarded 102 Million Euros CEF subsidy by EU Commission for construction works. &gt;Autumn '21 = Signing of transport and storage contracts. &gt; 09 ' 22 = Co2 Storage permits for P18-2 and P18-4 fields now irrevocable. &gt; 10 '23 = FID completed.</t>
  </si>
  <si>
    <t>Assessed as development pending following storage permits being issued in 2022 enabling construction (on-going) toward an operational opening in 2026.</t>
  </si>
  <si>
    <t xml:space="preserve"> ROAD project (P18-2)</t>
  </si>
  <si>
    <t>https://www.commissiemer.nl/projectdocumenten/00007538.pdf</t>
  </si>
  <si>
    <t>Phase 1 = Screening Study. Phase 2 = Site Selection, Data Gathering, Assess for shallow gas/faults/wells etc, then complete static and dynamic modelling. Then move into Site development plan. https://www.commissiemer.nl/projectdocumenten/00007538.pdf</t>
  </si>
  <si>
    <t>Decided economically not viable to pursue.</t>
  </si>
  <si>
    <t>Assessed development on hold due to storage permit being issued and the ROAD project being scrapped and integrated into PORTHOS project. Storage resource estimate assigned to Porthos.</t>
  </si>
  <si>
    <t>Permian Slochteren sandstone: gas fields</t>
  </si>
  <si>
    <t>Slochteren sandstone</t>
  </si>
  <si>
    <t xml:space="preserve">(Bert) van der Meer, L. G. H., &amp; Yavuz, F. (2009). CO2 storage capacity calculations for the Dutch subsurface. Energy Procedia, 1(1), 2615–2622. https://doi.org/10.1016/j.egypro.2009.02.028 </t>
  </si>
  <si>
    <t>Basin wide gas fields values per formation within structure - Assessed development inaccessible due to gas fields with undifferentiated/unknown COP..</t>
  </si>
  <si>
    <t>Triassic Bunter sandstone: gas fields</t>
  </si>
  <si>
    <t>(Bert) van der Meer, L. G. H., &amp; Yavuz, F. (2009). CO2 storage capacity calculations for the Dutch subsurface. Energy Procedia, 1(1), 2615–2622. https://doi.org/10.1016/j.egypro.2009.02.029</t>
  </si>
  <si>
    <t>Jurassic - Lower Cretaceous Schieland sandstone + Vlieland sandstone</t>
  </si>
  <si>
    <t>Schieland sandstone + Vlieland sandstone</t>
  </si>
  <si>
    <t>(Bert) van der Meer, L. G. H., &amp; Yavuz, F. (2009). CO2 storage capacity calculations for the Dutch subsurface. Energy Procedia, 1(1), 2615–2622. https://doi.org/10.1016/j.egypro.2009.02.030</t>
  </si>
  <si>
    <t>K-12B</t>
  </si>
  <si>
    <t>Upper Slochteren Member (Rotliegend)</t>
  </si>
  <si>
    <t xml:space="preserve">Vandeweijer, V., Hofstee, C., Pelt, van, W., &amp; Graven, H. (2020). CO2 injection at K12-B, the final story. SSRN Electronic Journal. https://doi.org/10.2139/ssrn.3820865 </t>
  </si>
  <si>
    <t>Demo project. Injection commenced 2004, halted 2017 when co2 separation at K12B field ceased.</t>
  </si>
  <si>
    <t xml:space="preserve">Consist of several tilted fault blocks, no pressure communication between one another. Reservoir = Rotliegands sandstone (Permian). Top and Side seal = Zechstein salt, 500 m thick. </t>
  </si>
  <si>
    <t>Demo Project Assessed as stored as injection took place over 13 years. Potential for a further 25 Mt assessed as Development not viable, due to no ongoing appraisal at present time. 9 wells (K12-B1, K12-B2, K12-B3, K12-B3ST2, K12-B4, K12-B5, K12-B6, K12-B7, K12-B8ST). Injected  water leg after 2004. Prospect Area void from publication, preventing discovered vs undiscovered calculation to be performed.</t>
  </si>
  <si>
    <t>Q1 - Lower Cretaceous</t>
  </si>
  <si>
    <t>Neele,F.,C.Hofstee,R.Arts,V.Vandeweijer,M.Nepveu,J. ten Veen and F.Wilschut, 2013, Offshore Storage Options for CO2 in the Netherlands, Energy Procedia, 37, 5220, 5229</t>
  </si>
  <si>
    <t>Part of the Independent CO2 Storage Assessment of offshore storage under the Dutch North Sea study.</t>
  </si>
  <si>
    <t>First order estimate of injectivity is considered to be Good with up to 10Mtpa potential.</t>
  </si>
  <si>
    <t>No caprock indicated but well integrity identified as a possible issue</t>
  </si>
  <si>
    <t>Assessed as sequence play due to storage site identified and modelled.</t>
  </si>
  <si>
    <t>Volumetric using pressurisation and compressibility approach</t>
  </si>
  <si>
    <t>P, Q - Lower Cretaceous</t>
  </si>
  <si>
    <t>Interference with hydrocarbon production may indicate concerns with pressure communication.</t>
  </si>
  <si>
    <t>F15, F18 – Triassic</t>
  </si>
  <si>
    <t>First order estimate of injectivity is considered to be 1 to 3 Mtpa potential.</t>
  </si>
  <si>
    <t>L10, L13 – Upper Rotliegend</t>
  </si>
  <si>
    <t>Upper Rotliegends</t>
  </si>
  <si>
    <t>First order estimate of injectivity is considered to be 5 Mtpa potential.</t>
  </si>
  <si>
    <t>Step graben – Triassic (Northern Offshore - Elbow Spit High)</t>
  </si>
  <si>
    <t>K14/15 Cluster (K14-FA, K14-FB, K15-FG, K15-FB, K15-FA, K15-FK)</t>
  </si>
  <si>
    <t>Rotliegendes sandstone</t>
  </si>
  <si>
    <t>Plateau injection rates estimated for different injection periods: 3Mtpa (15-20 years); 6Mtpa (5-10 years); 9 Mtpa (5 years)</t>
  </si>
  <si>
    <t>Aging infrastructure may be an issue but well integrity risk is considered to be low</t>
  </si>
  <si>
    <t>Assessed development on hold due to storage permit being issued on K14-FA from Shell International Exploration and Production B.V. and Shell Gas &amp; Power Developments B.V.</t>
  </si>
  <si>
    <t>Based on ISA study approach using exisitng production and resrevoir quality data</t>
  </si>
  <si>
    <t>K15-FB</t>
  </si>
  <si>
    <t>Assessed development inaccessible due to producing gas field. No COP date provided.</t>
  </si>
  <si>
    <t>K04/05 Cluster (K01-A-Unit, K05a-A, K05a-B, K05a-C/E, K05a-D, K04a-B, K04-E, K04-N, K04-A)</t>
  </si>
  <si>
    <t>Plateau injection rates estimated for different injection periods: 2Mtpa (19 years); 3Mtpa (12 years); 5 Mtpa (6 years)</t>
  </si>
  <si>
    <t>Low well leakage risk</t>
  </si>
  <si>
    <t>K05a-A</t>
  </si>
  <si>
    <t>K07/08/10 (K07-FA, K07-FB, K07-FC, K07-FD, K07-FE, K10-B)</t>
  </si>
  <si>
    <t>Plateau injection rates estimated for different injection periods: 3-6 Mtpa (20+ years); 6-12 Mtpa (10+ years); 9-18 Mtpa (5+ years)</t>
  </si>
  <si>
    <t>Aged legacy wells may increase loss of containment risk.</t>
  </si>
  <si>
    <t>K08-FA (North, Central, South)</t>
  </si>
  <si>
    <t>L10/K12 (K12-B, K12-D, K12-G, K12-S3)</t>
  </si>
  <si>
    <t>Plateau injection rates estimated for different injection periods: 6 Mtpa (17 years); 9 Mtpa (10 years); 12 Mtpa (4 years)</t>
  </si>
  <si>
    <t>High risk from legacy wells.</t>
  </si>
  <si>
    <t>L10-CD</t>
  </si>
  <si>
    <t>L10 (Neptune Energy)</t>
  </si>
  <si>
    <t>https://www.neptuneenergy.com/esg/l10-area-ccs-development</t>
  </si>
  <si>
    <t>https://www.neptuneenergy.com/esg/l10-area-ccs-development, https://www.neptuneenergy.com/sites/neptuneenergy-corp/files/esg/climate-change-and-environment/integrated%20energy%20hubs/L10%20CCS%20Final.pdf, https://www.offshore-energy.biz/oil-players-join-forces-to-develop-one-of-the-largest-ccs-facilities-in-the-north-sea/</t>
  </si>
  <si>
    <t>L10 area has been producing since 1975. Neptune Energy and its partners EBN Capital B.V., Rosewood 
Exploration Ltd. and ExxonMobil subsidiary XTO Netherlands Ltd. are progressing the studies required to 
submit a Storage Licence Application by Q1 2023. Feasibility study completed; targeting entry into FEED by YE 2022, FID by end of 2023 with first CO2 injection in 2026.</t>
  </si>
  <si>
    <t>Assessed development on hold due to storage permit being issued and awaiting further information in the public domain concerning the projects progress.</t>
  </si>
  <si>
    <t>Mnichovo Hradiste</t>
  </si>
  <si>
    <t>Hredle and Msec claystones</t>
  </si>
  <si>
    <t>Nova Paka</t>
  </si>
  <si>
    <t>Stephanian claystones</t>
  </si>
  <si>
    <t>Nosislav-Nikolcice</t>
  </si>
  <si>
    <t>Northern Carpathians</t>
  </si>
  <si>
    <t>Ivan</t>
  </si>
  <si>
    <t>Kobyli</t>
  </si>
  <si>
    <t>Vlkos-Lobodice</t>
  </si>
  <si>
    <t>Czechia</t>
  </si>
  <si>
    <t>Carpathian Foredeep</t>
  </si>
  <si>
    <t>Sliaupa, S., R. Lojka, Z. Tasaryova, V. Kolejka, V. Hladik, J. Kotulova, L. Kucharic, V. Fejdi, A. Wojcicki, R. Tarkowski, B. Uliasz-Misiak, R. Sliaupiene, I. Nulle, R. Pomeranceva, O. Ivanova, A. Shogenova and K. Shogenov, 2013, CO2 Storage Potential of sedimentary basins of Slovakia, the Czech Republic, Poland and Baltic States, Geological Quarterly, 57</t>
  </si>
  <si>
    <t xml:space="preserve">Capacity is assessed from the methodology used in the GeoCapacity project. The resource here is the remaining Carpathian basin aquifer minus the values reported in CO2Stop. CO2Stop reported a more defined areas in the Carpathain basin, so to provide a complete perspective on the full aquifer resources in the Carpathians then the reamining Carpathain aquifer is reported as a seperate site. </t>
  </si>
  <si>
    <t>Bohemia</t>
  </si>
  <si>
    <t>Sliaupa, S., R. Lojka, Z. Tasaryova, V. Kolejka, V. Hladik, J. Kotulova, L. Kucharic, V. Fejdi, A. Wojcicki, R. Tarkowski, B. Uliasz-Misiak, R. Sliaupiene, I. Nulle, R. Pomeranceva, O. Ivanova, A. Shogenova and K. Shogenov, 2013, CO2 Storage Potential of sedimentary basins of Slovakia, the Czech Republic, Poland and Baltic States, Geological Quarterly, 58</t>
  </si>
  <si>
    <t>Capacity is assessed from the methodology used in the GeoCapacity project.</t>
  </si>
  <si>
    <t>Hydrocarbon Fields</t>
  </si>
  <si>
    <t>Bartovic V., Hruby M., Visnerova A. Assessment of current state, past experiences and potential for CCS deployment in the CEE region Building momentum for the long-term CCS deployment in the CEE region, 2023, Prague Document Title Lorem ipsum doloris sunt est quidam. (ccs4cee.eu)</t>
  </si>
  <si>
    <t xml:space="preserve">Capacity is assessed from the methodology used in the GeoCapacity project. The resource here is the remaining Bohemian basin aquifer minus the values reported in CO2Stop. CO2Stop reported a more defined areas in the Bohemian  basin, so to provide a complete perspective on the full aquifer resources in the Bohemian region then the reamining Bohemian aquifer is reported as a seperate site. </t>
  </si>
  <si>
    <t xml:space="preserve">Brunei Darussalam </t>
  </si>
  <si>
    <t>Cycle V</t>
  </si>
  <si>
    <t>Sabah - Baram Delta</t>
  </si>
  <si>
    <t>A cost model exercise baased on looking at transport andstorage costs for CO2 derived from process gas from high CO2 gas fields. Injection into saline aquifers below the producing gas fields was assumed. Several assumptions made during study and so care should be taken with data usage. More work is required to confirm resource location and potential.</t>
  </si>
  <si>
    <t>High level development plan using assumed/calculated inputs. Injection from steel jacket platform via 36 deviated wells. Well number = 36 over 20 year injection period. Injection rate = 27.4 Mt/year. Total injected 548.9 Mt.</t>
  </si>
  <si>
    <t xml:space="preserve">No specific containment details published. </t>
  </si>
  <si>
    <t>Undiscovered: Inaccessible. No details of saline aquifer location or extent provided. No well data described. No regulatory system in place.</t>
  </si>
  <si>
    <t>CLASTIC</t>
  </si>
  <si>
    <t>N</t>
  </si>
  <si>
    <t>Latvia</t>
  </si>
  <si>
    <t>Aizpute</t>
  </si>
  <si>
    <t>N/A Assumed undiscovered</t>
  </si>
  <si>
    <t>Shogenova, A., Silaupa, S. and Shogenova, K. 2009. The Baltic Basin: Structure, properties of reservoir rocks, and capacity for geological storage of CO2, Estonian Journal of Earth Sciences, 58, 4, 259-267, doi: 10.3176/earth.2009.4.04</t>
  </si>
  <si>
    <t>The Cambrian aquifers are sealed by 500-900 m thick Ordovician -Silurian argillaceous carbonate cap rock</t>
  </si>
  <si>
    <t xml:space="preserve">Assessment is classified as inaccessible due to Latvian law not currently permitting CO2 storage. A storage efficiency of 40% is  reported to be used in the calculations after Vangkilde-Pedersen and Kirk 2009. This is an overly optimistic value and therefore reported resource is likely to be less. Data for petrophysical properties has been collected from wells -  poro-perm values are reported over a range of depths and the average for depth and petrophysical properties is used in the database.  The well locations are not reported  so discovery status is not able to be defined beyond undiscovered. It is likely that most Latvian structures are drilled.  </t>
  </si>
  <si>
    <t>Cycle 5</t>
  </si>
  <si>
    <t>Vangkilde-Pedersen &amp; Kirk 2009</t>
  </si>
  <si>
    <t>Blidene</t>
  </si>
  <si>
    <t>Diemena Formation</t>
  </si>
  <si>
    <t>Cambro-Ord</t>
  </si>
  <si>
    <t>Simmer, K. 2018. Estonian-Latvian Transboundary Carbon Dioxide Capture, Transport and Storage (CCS) Scenario for the Cement Industry, Masters Thesis, Tallinn University of Technology, https://www.bing.com/ck/a?!&amp;&amp;p=e5576b07089f6d3386c7fe6da75f458db3df83a111765d2c060af6bda2fd32beJmltdHM9MTczNjcyNjQwMA&amp;ptn=3&amp;ver=2&amp;hsh=4&amp;fclid=0ac464da-e8cf-6f2f-2869-772ce9f76e5c&amp;psq=Estonian-Latvian+Transboundary+Carbon+Dioxide+Capture%2c+Transport+and+Storage+(CCS)+Scenario+for+the+Cement+Industry&amp;u=a1aHR0cHM6Ly9kaWdpa29ndS50YWx0ZWNoLmVlL2V0L0Rvd25sb2FkL2ZmNGI5ODNhLTQ2NjMtNDU4MC05MWIwLTIwMzllOWY2MDRmYw&amp;ntb=7</t>
  </si>
  <si>
    <t>A conceptual plan has been proposed for transport from sources in Estonia and Latvia. The scenarios ranges from 1- 8 wells and  injection for 26 -30 years and is a combination of both Blidene and North Blidene.</t>
  </si>
  <si>
    <t>The Cambrian aquifers are sealed by 500-900 m thick Ordovician -Silurian argillaceous carbonate cap rock. The primary cap rock is the is the Ordovician Zebre Formation with a thickness of 44.5 m. The secondary caprock is around 1093 m thick and  composed of Ordovician clayey carbonate rocks, Silurian clayey carbonate rocks and Devonian mixed carbonate-siliciclastic rocks overlain by Permian limestone and by Quaternary sediments</t>
  </si>
  <si>
    <t xml:space="preserve">Two formations are assessed in the study; the Ordovician Zebre and the Cambrian Deimena. The total resource is reported to include both formations. The publication reports both a conservative and optimistic min, max and mean values for resource.  Conservative estimates use and SE of 4 % and optimistic  SE of 30%.  The SE of 4 % is favoured for the CRSC due to it being a more realistic value.  Classified as discovered  inaccessible due to regulatory constraints on permitting CO2 storage in Latvia. The structure is classified as discovered due to two wells that penetrate through both the formations. </t>
  </si>
  <si>
    <t>Volumetric from static model</t>
  </si>
  <si>
    <t>Degole</t>
  </si>
  <si>
    <t>Shogenova, A., Silaupa, S. and Shogenova, K. 2009. The Baltic Basin: Structure, properties of reservoir rocks, and capacity for geological storage of CO2, Estonian Journal of Earth Sciences, 58, 4, 259-267, doi: 10.3176/earth.2009.4.06</t>
  </si>
  <si>
    <t xml:space="preserve">Assessment is classified as inaccessible due to Latvian law not currently permitting CO2 storage. A storage efficiency of 40% is  reported to be used in the calculations after Vangkilde-Pedersen and Kirk 2009. This is likely an overly optimistic value and therefore reported resource is likely to be less. Data for petrophysical properties has been collected from wells but their location is not reported, so discovery status is not able to be defined beyond undiscovered. It is likely that most Latvian structures are drilled.  </t>
  </si>
  <si>
    <t>Dobele</t>
  </si>
  <si>
    <t xml:space="preserve">Discovered awaiting detailed assessment </t>
  </si>
  <si>
    <t>Krumin, Š, J., Klavin, Š, M., Delin, A., Damkevics, R. and Seglin, Š, V. 2021. Potential of the Middle Cambrian Aquifer for Carbon Dioxide Storage in the Baltic States, Energies, 14, 3681, https://doi.org/10.3390/en14123681</t>
  </si>
  <si>
    <t>The Dobele structure is sealed by Silurian and Ordovician clayey carbonate rocks</t>
  </si>
  <si>
    <t>Assessment based on GeoCapacity equation  for storage but with a more optimistic approach and also consideration of a larger area that is suitable for storage. SE set to 40% due to high porosity and homogenous nature of reservoir. This is an overly optimistic value and true resource is likely to be less for this structure. Property values taken from wells drilled in structure but location and number is unknown. . There are exploration well drilled in the structure, although these not able to be located. It is classified as discovered  inaccessible due to regulatory constraints on permitting CO2 storage in Latvia.</t>
  </si>
  <si>
    <t>Based of GeoCapacity methods and a refined equation for saline aquifers</t>
  </si>
  <si>
    <t>Kalvene</t>
  </si>
  <si>
    <t>Shogenova, A., Silaupa, S. and Shogenov, K. 2009. The Baltic Basin: Structure, properties of reservoir rocks, and capacity for geological storage of CO2, Estonian Journal of Earth Sciences, 58, 4, 259-267, doi: 10.3176/earth.2009.4.04</t>
  </si>
  <si>
    <t>Luku-Duku</t>
  </si>
  <si>
    <t>Shogenova, A., Shogenov, K., Pomeranceva, R., Nulle, I.,  Neele, F. and Hendriks, C. 2011. Economic modelling of the capture–transport–sink scenario of industrial CO2 emissions: the Estonian–Latvian cross-border case study, Energy Procedia, GHGT-10, 4, 2385–2392, https://doi.org/10.1016/j.egypro.2011.02.131, Economic modelling of the capture–transport–sink scenario of industrial CO2 emissions: The Estonian–Latvian cross-border case study - ScienceDirect</t>
  </si>
  <si>
    <t xml:space="preserve">This structure has been drilled,  however, it is also inaccessible due to Latvian law not currently permitting CO2 storage. Resource is therefore classified as discovered-inaccessible. An storage efficiency of 40% is reported in the publication but likely overly optimistic.  </t>
  </si>
  <si>
    <t>N. Kuldiga</t>
  </si>
  <si>
    <t>Shogenova, A., Silaupa, S. and Shogenov, K. 2009. The Baltic Basin: Structure, properties of reservoir rocks, and capacity for geological storage of CO2, Estonian Journal of Earth Sciences, 58, 4, 259-267, doi: 10.3176/earth.2009.4.06</t>
  </si>
  <si>
    <t>N. Ligantne</t>
  </si>
  <si>
    <t>Shogenova, A., Silaupa, S. and Shogenov, K. 2009. The Baltic Basin: Structure, properties of reservoir rocks, and capacity for geological storage of CO2, Estonian Journal of Earth Sciences, 58, 4, 259-267, doi: 10.3176/earth.2009.4.07</t>
  </si>
  <si>
    <t>N. Blidene</t>
  </si>
  <si>
    <t>S. Kandava</t>
  </si>
  <si>
    <t>Snepele</t>
  </si>
  <si>
    <t>Viesatu</t>
  </si>
  <si>
    <t>Baltic Sea</t>
  </si>
  <si>
    <t>E6-B</t>
  </si>
  <si>
    <t>Shogenov, K., Shogenova A. and Vizika-Kavvadias, O. 2013. Potential structures for CO2 geological storage in the Baltic Sea: case study offshore Latvia, Bulletin of the Geological Society of Finland,, 85, 65-81, 0.17741/bgsf/85.1.005, (PDF) Potential structures for CO2 geological storage in the Baltic Sea: Case study offshore Latvia</t>
  </si>
  <si>
    <t>Storage efficiency used in calculations reported as 10 for optimistic and 4 for conservative. The conservative value is used here as it is likely closer to realistic values. Classified as discovered - inaccessible due to regulatory constraints on permitting CO2 storage in Latvia.</t>
  </si>
  <si>
    <t>Bachu et al, 2007</t>
  </si>
  <si>
    <t>Albania</t>
  </si>
  <si>
    <t>Albaina Hydrocarbon Field Cluster</t>
  </si>
  <si>
    <t>Cretaceous - Tertiary</t>
  </si>
  <si>
    <t>Hatziyannis, G. 2009. Review of CO2 Storage capacity of Greece, Albania and FYROM. EU GeoCapacity open final conference. 21-22 October, 2009, Copenhagen, Denmark.</t>
  </si>
  <si>
    <t>Not specified. Assumed sealing caprock due to hydrocarbon containment</t>
  </si>
  <si>
    <t>Little information is published on Albania for CO2 storage. Reference does not detail origins of assessment details, nor methodology for calculation or other research relating to identifying the sites. Reference indicates a hypothetical case study for transport of CO2 from Fier to the Cakran-Mollaj field. The storage site is not specified. Classified as inaccessible due to very limited regulatory information on permitting CO2 storage.</t>
  </si>
  <si>
    <t>Drumrea Salt Dome</t>
  </si>
  <si>
    <t xml:space="preserve">Drumrea salt cavern as a salt formations should provide excellent seal capabilities. The dome extend to depths of 5000m. However is CO2 was stored above the supercritical threshold then the CO2 would be in gas phase. </t>
  </si>
  <si>
    <t>Little information is published on Albania for CO2 storage. The reference does not detail origins of assessment details, nor methodology for calculation or other research relating to identifying the sites. The Dumrea salt dome has been identified as a storage site for storing CO2 in underground salt caverns.  The dome extends from surface to  5000m and has also been identified for underground gas storage. Classified as inaccessible due to very limited regulatory information on permitting CO2 storage.</t>
  </si>
  <si>
    <t>Belgium</t>
  </si>
  <si>
    <t>Campine Basin</t>
  </si>
  <si>
    <t>Buntsandstein Sandstones</t>
  </si>
  <si>
    <t>European Commission, 2020. European CO₂ Storage Database. https://setis.ec.europa.eu/european-CO₂-storage-database_en. Accessed 23/04/2025</t>
  </si>
  <si>
    <t>Containment is provided by a thick sequence of Jurassic Shales and tightly packed Tertiary shales.  In the western area Cretaceous sediments  lie directly on top of the Buntsandstein and  may have  insufficient sealing properties.</t>
  </si>
  <si>
    <t xml:space="preserve">Injectivity is deemed to be low in this formation. The Buntsandstein sandstones  occur in the Campine Basin and Roer Valley Graben. Porosity and permeability vary with an average of 13.4% and 37mD. There is no further refinement for classification beyond a sequence level since Belgium has limited research beyond the pan-European studies. The country is favouring export options to countries with more advanced CO2 storage. </t>
  </si>
  <si>
    <t>Devonian North</t>
  </si>
  <si>
    <t>European Commission, 2020. European CO₂ Storage Database. https://setis.ec.europa.eu/european-CO₂-storage-database_en. Accessed 23/04/2026</t>
  </si>
  <si>
    <t>Mudstones and silicified limestones</t>
  </si>
  <si>
    <t xml:space="preserve">There is very limited property data provided for this formation and the storge efficient factor is not reported. Caution should be exercised when considering the resource in this aquifer. There is no further refinement for classification beyond a sequence level since Belgium has limited research beyond the pan-European studies. The country is favouring export options to countries with more advanced CO2 storage. </t>
  </si>
  <si>
    <t>Dinantian North (Carboniferous)</t>
  </si>
  <si>
    <t>Visean-Tournasian</t>
  </si>
  <si>
    <t>European Commission, 2020. European CO₂ Storage Database. https://setis.ec.europa.eu/european-CO₂-storage-database_en. Accessed 23/04/2027</t>
  </si>
  <si>
    <t xml:space="preserve"> Sealing is provided by Namurian and Westphalian shales in the Campine basin</t>
  </si>
  <si>
    <t xml:space="preserve">This formation  has low porosities but high fracture permeabilities. Injectivity is deemed to be high. There is no further refinement for classification beyond a sequence level since Belgium has limited research beyond the pan-European studies. The country is favouring export options to countries with more advanced CO2 storage. </t>
  </si>
  <si>
    <t>Namur Syclinorium &amp; Mons Basin</t>
  </si>
  <si>
    <t>Dinantian South (Carboniferous)</t>
  </si>
  <si>
    <t>Welkenhuysen, K., Piessens , K., Baele , J.-M., Laenen,  B. and Dusar, M. 2011. CO2 storage opportunities in Belgium , Energy Procedia, GHGT-10, 4, 4913–4920, https://doi.org/10.1016/j.egypro.2011.02.460, https://www.sciencedirect.com/science/article/pii/S1876610211007399</t>
  </si>
  <si>
    <t>The Dinantian aquifer in the Mons Basin is  covered by thick coal measures</t>
  </si>
  <si>
    <t xml:space="preserve">This reservoir consists of two structural parts: a dipping and a tabular compartment. The dipping compartment,  is more likely to leak towards the surface, and including only the area on Belgian territory, the storage capacity is estimated to be 180 to 270Mt. The authors do not use and efficiency factor so caution needed to be applied when comparing this resource with the other resources in Belgium which have been calculated with an efficiency factor. There is no further refinement for classification beyond a sequence level since Belgium has limited research beyond the pan-European studies. The country is favouring export options to countries with more advanced CO2 storage. </t>
  </si>
  <si>
    <t>Mons Basin</t>
  </si>
  <si>
    <t>Devonian South</t>
  </si>
  <si>
    <t>Neeroeteren Sandstone</t>
  </si>
  <si>
    <t>Neeroeteren</t>
  </si>
  <si>
    <t xml:space="preserve">Late Carboniferous  </t>
  </si>
  <si>
    <t>The Neeroeteren Formation is overlain by sealing Permian and Triassic sediments in the graben and by permeable
Cretaceous sediments outside the graben</t>
  </si>
  <si>
    <t xml:space="preserve">There is limited data on this aquifer. It is present in the northeastern Campine Basin and its occurrence in the Roar Valley graben is inferred as there are no deep boreholes. There is some degree of uncertainty by the authors of the publication on the resource of this aquifer due to the limited data on aquifer area.  Injectivity is deemed to be low. There is no further refinement for classification beyond a sequence level since Belgium has limited research beyond the pan-European studies. The country is favouring export options to countries with more advanced CO2 storage. </t>
  </si>
  <si>
    <t>Serbia</t>
  </si>
  <si>
    <t>Group I field cluster</t>
  </si>
  <si>
    <t>Nešic. S. and Karas, D. 2019. CO2 Sources, Transportation and Storage Possibilities in Serbian Oil and Gas Fields, 10th "Trondheim Conference on CO2 Capture, Transport and Storage, Trondheim, Norway, 17-19 June, https://www.sintef.no/globalassets/project/tccs-10/dokumenter/c4/tccs-10-nis-presentation-app.pptx.pdf</t>
  </si>
  <si>
    <t>This site is a cluster of very small oil and gas fields. The authors report storage resource for the cluster only. There is limited literature on Serbian CO2 storage. The main references have investigated CO2 storage options for potential EOR purposes and possibly storage. Oil and gas fields have been the main focus and are grouped in to 5 clusters of fields  that are located in the north of the country in the Pannonian Basin. Storage calculations are volumetric based on fluid replacement. Individual fields are likely to be very small and not make the CRSC cut-off. These groups are maybe suitable for a cluster approach to storage strategies. Classified as development not viable due to a positive regulatory position but nothing to indicate a progression of any site development.</t>
  </si>
  <si>
    <t>Voidage replacement</t>
  </si>
  <si>
    <t>Group II field cluster</t>
  </si>
  <si>
    <t>Group III field cluster</t>
  </si>
  <si>
    <t>Group IV field cluster</t>
  </si>
  <si>
    <t>Serbia saline aquifers (countrywide)</t>
  </si>
  <si>
    <t xml:space="preserve">Nešic. S. and Karas, D., Fominykh, S., 2023. CCCUS in Serbia - Ongoing Projects. 12th "Trondheim Conference on CO2 Capture, Transport and Storage, Trondheim, Norway,  21 June. </t>
  </si>
  <si>
    <t>There is information published on any Serbian aquifers. The authors report a resource of 250Mt, however, the origin of the estimate is not pubslihed. The value needs to be treated with caution. The value is reported for the country as a whole and classified as undiscoered basin due to Serbian law partially transposing the Directive 2009/31/EC .</t>
  </si>
  <si>
    <t>Carbonates</t>
  </si>
  <si>
    <t>Slovenia</t>
  </si>
  <si>
    <t xml:space="preserve">CO2STOP: Savci de (KRP-1) </t>
  </si>
  <si>
    <t>European Commission, 2020. European CO₂ Storage Database. https://setis.ec.europa.eu/european-CO₂-storage-database</t>
  </si>
  <si>
    <t>European Commission, 2020. European CO? Storage Database. https://setis.ec.europa.eu/european-CO?-storage-database_en</t>
  </si>
  <si>
    <t xml:space="preserve">The reported figures for Slovenian resources amongst literature are highly inconsistent and details of this are covered in the report. CO2STOP assessed 37 sites in Slovenia and all but three made the cut off for the CRSC. The total amount of all aquifers amounted to 154 Mt but this is not entered as a site since the individual sites are so small. Four sites made the CRSC cut-off of 10 Mt:KRP-1: 14.5,  VIP-4 = 15.12 Mt, VIP-5 = 34.02 Mt and ILB-1 = 11.95 Mt. The absence of data to support any resource calculations for Slovenia has made entries for the CSRC uncertain. CO2Stop is used since the methodology used to calculate the resource is consistent and therefore comparable with other European countries. A pre-fix of the site name in the CO2Stop GIS files is added to site names as its listed in the CO2Stop Database .  Slovenia does not currently permit geological CO2 storage, all sites are therefore classified as inaccessible. </t>
  </si>
  <si>
    <t>CO2Stop methodology</t>
  </si>
  <si>
    <t>CO2STOP: Lijak-NG-Rence (VIP-4 )</t>
  </si>
  <si>
    <t xml:space="preserve">The reported figures for Slovenian resources amongst literature are highly inconsistent and details of this are covered in the report. CO2STOP assessed 37 sites in Slovenia and all but three made the cut off for the CRSC. The total amount of all aquifers amounted to 154 Mt but this is not entered as a site since the individual sites are so small. Four sites made the CRSC cut-off of 10 Mt:KRP-1: 14.5,  VIP-4 = 15.12 Mt, VIP-5 = 34.02 Mt and ILB-1 = 11.95 Mt. The absence of data to support any resource calculations for Slovenia has made entries for the CSRC uncertain. CO2Stop is used since the methodology used to calculate the resource is consistent and therefore comparable with other European countries. A pre-fix of the site name in the CO2Stop GIS files is added to site names as its listed in the CO2Stop Database .  Slovenia does not currently permit geological CO2 storage, all sites are therefore classified as inaccessible. The storage efficiency of 15% is high and should be viewed with caution. More realistic values may well bring the resource estimate down. </t>
  </si>
  <si>
    <t>CO2STOP: A-VIP-5 (VIP-5)</t>
  </si>
  <si>
    <t>CO2STOP: Kranj (ILB-1)</t>
  </si>
  <si>
    <t>Lithuania</t>
  </si>
  <si>
    <t>Syderiai</t>
  </si>
  <si>
    <t>Deimena</t>
  </si>
  <si>
    <t>Malik, S., Makauskas, P., Karaliūtė, V., Pal, M. and Sharma, R. 2024. Assessing the Geological Storage Potential of CO2 In Baltic Basin: A Case Study of Lithuanian Hydrocarbon and Deep Saline Reservoirs, International Journal of Greenhouse Gas Control 133, 104095</t>
  </si>
  <si>
    <t>Simulation used 5 interconnected wells with an  injection to a pressure of 80 bars</t>
  </si>
  <si>
    <t>The Cambrian reservoir is overlain by thick Silurian shales with minor carbonates. A secondary cap rocks are represented by the Narva Fm which is 70–120 m thick and composed of dolomitic marlstones with subordinate dolostones</t>
  </si>
  <si>
    <t xml:space="preserve">This study estimated geological storage using uncertainty quantification principles supported by 3D numerical modelling. It also considered compressibility, mass transfer and CO2 solubility with the aim to gain a more true storage volume of the reservoirs.The site has a dynamic simulation so is catagorised as  partly discovered.  Classified as discovered-inaccesible due to regulatory contraints on permitting CO2 storage in Lithuania. This study did not consider leakage and whilst the study was pressure limited, it  did not report the value. Caution should be applied to the reporting for this site based on lack on containment study.  3 wells have been drilled and the location is found in Šliaupa, S., Michelevičius, D., Šliaupienė, R. and Liugas. J. 2024. Assessment of the Potential for CO2 Storage and Utilization in the Fractured and Porous Reservoir of the Cambrian Sandstones in West Lithuania’s Baltic Basin, Minerals, 14, 11. </t>
  </si>
  <si>
    <t>Multi-deterministic numerical models</t>
  </si>
  <si>
    <t>yes</t>
  </si>
  <si>
    <t>Vaskai</t>
  </si>
  <si>
    <t>Gege-Deimena</t>
  </si>
  <si>
    <t>Lower-Middle Cambrian</t>
  </si>
  <si>
    <t>Malik, S., Makauskas, P., Karaliūtė, V., Pal, M. and Sharma, R. 2024. Assessing the Geological Storage Potential of CO2 In Baltic Basin: A Case Study of Lithuanian Hydrocarbon and Deep Saline Reservoirs, International Journal of Greenhouse Gas Control 133, 104096</t>
  </si>
  <si>
    <t>This study estimated geological storage using uncertainty quantification principles supported by 3D numerical modelling. It also considered compressibility, mass transfer and CO2 solubility with the aim to gain a more true storage volume of the reservoirs. The site has a dynamic simulation so is categorised as  partly discovered.  Classified as discovered-inaccessible due to regulatory constraints on permitting CO2 storage in Lithuania. This study did not consider leakage and whilst the study was pressure limited, it  did not report the value. Caution should be applied to the reporting for this site based on lack on containment study.</t>
  </si>
  <si>
    <t>D11</t>
  </si>
  <si>
    <t>Malik, S., Makauskas, P., Karaliūtė, V., Pal, M. and Sharma, R. 2024. Assessing the Geological Storage Potential of CO2 In Baltic Basin: A Case Study of Lithuanian Hydrocarbon and Deep Saline Reservoirs, International Journal of Greenhouse Gas Control 133, 104097</t>
  </si>
  <si>
    <t>Injection was performed in 5 wells  until pressure limit is reached. Injection is carried out to 30 years. 3 cases were used (low, medium and high), The D11 reservoir reached maximum injection after 10 years in low to mid case scenarios.</t>
  </si>
  <si>
    <t>The Cambrian  reservoir is overlain by thick Silurian shales with minor carbonates. A secondary cap rocks are represented by the Narva Fm which is 70–120 m thick and composed of dolomitic marlstones with subordinate dolostones</t>
  </si>
  <si>
    <t>This study estimated geological storage using uncertainty quantification principles supported by 3D numerical modelling. It also considered compressibility, mass transfer and CO2 solubility with the aim to gain a more true storage volume of the reservoirs. The site has a dynamic simulation so is categorised as  partly discovered.  Classified as discovered-inaccessible due to regulatory constraints on permitting CO2 storage in Lithuania. This study did not consider leakage and whilst the study was pressure limited, it  did not report the value. Caution should be applied to the reporting for this site based on lack on containment study</t>
  </si>
  <si>
    <t>Gargzdai Residual Oil Zone</t>
  </si>
  <si>
    <t>Malik, S., Makauskas, P., Karaliūtė, V., Pal, M. and Sharma, R. 2024. Assessing the Geological Storage Potential of CO2 In Baltic Basin: A Case Study of Lithuanian Hydrocarbon and Deep Saline Reservoirs, International Journal of Greenhouse Gas Control 133, 104098</t>
  </si>
  <si>
    <t>Simulations use the following parameters: CO2 is injected in the depleted oil zone with a total of nine  injection wells with each well injecting around 11,000 m3/day of CO2 per day until the pressure limit is reached.</t>
  </si>
  <si>
    <t>The primary cap rock is composed of a layer of Ordovician carbonate and a layer of Silurian  shale, measuring 60–129 m and 430–710 m thick, respectively</t>
  </si>
  <si>
    <t xml:space="preserve">This study estimated geological storage using uncertainty quantification principles supported by 3D numerical modelling. It also considered compressibility, mass transfer and CO2 solubility with the aim to gain a more true storage volume of the reservoirs. The site has a dynamic simulation so is categorised as  partly discovered.  Classified as discovered-inaccessible due to regulatory constraints on permitting CO2 storage in Lithuania. This study did not consider leakage and whilst the study was pressure limited, it  did not report the value. The study also assumed the full oil zone is connected and all faults are sealing. Caution should be applied to the reporting for this site based on lack of containment study and potential for barriers to the full communication of all reservoirs in the zone. </t>
  </si>
  <si>
    <t>Portugal</t>
  </si>
  <si>
    <t>Porto Basin</t>
  </si>
  <si>
    <t>Q1-TV1</t>
  </si>
  <si>
    <t>Galicia</t>
  </si>
  <si>
    <t>Torres Vedras Group</t>
  </si>
  <si>
    <t>Pereira, P., Ribeiro, C. and Carneiro, J. 2021. Identification and characterization of geological formations with CO2 storage potential in Portugal, Petroleum Geoscience, 27, 3, Petgeo2020-123, https://doi.org/10.1144/petgeo2020-123, Identification and characterization of geological formations with CO2 storage potential in Portugal | Petroleum Geoscience | GeoScienceWorld</t>
  </si>
  <si>
    <t>Mainly sealed by the Cacém Formation - limestones, marly and argillaceous dolomites, and dolomitic limestones</t>
  </si>
  <si>
    <t>Sites are assessed as discovered, development not viable since formations are identified, drilled and structures delineated by the authors. No drilling target identified and no appraisal plan is indicated.  The resource volumes are theoretical calculations. The Torres Group is a better reservoir than the Silvas Group, however, there is  uncertainty about the quality of the seals for this formation.</t>
  </si>
  <si>
    <t>Q1-TV2</t>
  </si>
  <si>
    <t>Q1-TV3</t>
  </si>
  <si>
    <t>Sites are assessed at a lead level, with formations identified and structures delineated by the authors. No drilling target identified, nor any wells present in this structure, so advancement to prospect level is not yet possible.  The resource volumes are theoretical calculations. The Torres Group is a better reservoir than the Silvas Group, however,  there is  uncertainty about the quality of the seals for this formation.</t>
  </si>
  <si>
    <t>Q1-TV4</t>
  </si>
  <si>
    <t>Q2-TV1</t>
  </si>
  <si>
    <t>Q2-TV2</t>
  </si>
  <si>
    <t>Q2-TV3</t>
  </si>
  <si>
    <t>Sites are assessed at a lead level, with formations identified and structures delineated by the authors. No drilling target identified, so advancement to prospect level is not yet possible.  The resource volumes are theoretical calculations. The Torres Group is a better reservoir than the Silvas Group, however,  there is  uncertainty about the quality of the seals for this formation.</t>
  </si>
  <si>
    <t>Q2-TV4</t>
  </si>
  <si>
    <t>Q2-S1</t>
  </si>
  <si>
    <t>Silvas Group</t>
  </si>
  <si>
    <t xml:space="preserve">Shales of the Dagorda Formation  and is characterized by evaporitic sediments with intercalations of clays, limestones, mudstones and anhydrite. These shales provide a thicker caprock than the those shales that overly any sites with reservoirs from the Torres Group. </t>
  </si>
  <si>
    <t>Sites are assessed at a lead level, with formations identified and structures delineated by the authors. No drilling target identified, so advancement to prospect level is not yet possible.  The resource volumes are theoretical calculations. The Silvas  Group is of poorer reservoir quality than the Torres Group. However, the overlying seals are more favourable  (thicker).</t>
  </si>
  <si>
    <t>Lusitanian Basin (offshore)</t>
  </si>
  <si>
    <t>Q3-TV1</t>
  </si>
  <si>
    <t>Lusitanian</t>
  </si>
  <si>
    <t>Q3-TV2</t>
  </si>
  <si>
    <t>Q3-TV3</t>
  </si>
  <si>
    <t>Sites are assessed at discovered, development not viable.  with formations identified, drilled  and structures delineated by the authors. No drilling target identified and not appraisal plan is indicated.  The resource volumes are theoretical calculations. The Torres Group is a better reservoir than the Silvas Group, however,  there is  uncertainty about the quality of the seals for this formation.</t>
  </si>
  <si>
    <t>Q3-TV4</t>
  </si>
  <si>
    <t>Q4-TV1</t>
  </si>
  <si>
    <t>Pereira, P., Caeiro, M.H., Carneiro, J., Ribeiro, C., Casacão, J, Pina, B., Revaux, C., Findlay, R. Plougoule, A. and  Msika, C. 2023. Assessing Offshore Prospects for CO2 Storage in Portugal: From Pilot-Scale to Commercial Site, The Fourth EAGE Global Energy Transition Conference and Exhibition, , November, 45778, tps://doi.org/10.3997/2214-4609.202321027</t>
  </si>
  <si>
    <t>Three scenarios were modelled with injection rate varying from 1 Mt/yr to 100,000 t/3 yrs and with varying Net to Gross adjustments. Injection was performed over 30 years with an observation period of 10,000 years. One
injector well was used in the Q4-TV1 prospect, south to the existing Do-1C well</t>
  </si>
  <si>
    <t>Sites are assessed at discovered, development not viable.  with formations identified, drilled and structures delineated by the authors. No drilling target identified and not appraisal plan is indicated.  The resource volumes are calculated by a numerical simulation using Tough 2 software. The Torres Group is a better reservoir than the Silvas Group, however,  there is  uncertainty about the quality of the seals for this formation. A P50 Storage efficiency of 6.1 % is used. The 11 Mt was a calculation solely for structurally trapped CO2. The study continued to model both dissolution and mineral trapping and calculated the Q4-TVI prospect may be over 30 Mt when considering long term trapping mechanisms.</t>
  </si>
  <si>
    <t>Q6-TV1</t>
  </si>
  <si>
    <t>Sites are assessed at discovered, development not viable.  with formations, drilled  identified and structures delineated by the authors. No drilling target identified and not appraisal plan is indicated.  The resource volumes are theoretical calculations. The Torres Group is a better reservoir than the Silvas Group, however,  there is  uncertainty about the quality of the seals for this formation.</t>
  </si>
  <si>
    <t>Q3-S1</t>
  </si>
  <si>
    <t>Q4-S1</t>
  </si>
  <si>
    <t xml:space="preserve"> Lusitanian Basin (Onshore)</t>
  </si>
  <si>
    <t>Sao Mamede</t>
  </si>
  <si>
    <t>Salt, clay and marls of the Dagorda Formation  with thicknesses of 400-1500 m</t>
  </si>
  <si>
    <t>Sites are assessed at discovered, development not viable.  with formations identified, drilled  and structures delineated by the authors. No drilling target identified and not appraisal plan is indicated.  The resource volumes are theoretical calculations. The Silvas  Group is of poorer reservoir quality than the Torres Group. However, the overlying seals are more favourable  (thicker).</t>
  </si>
  <si>
    <t>Alcobaca</t>
  </si>
  <si>
    <t>Sites are assessed at discovered, development not viable.  with formations identified, drilled and structures delineated by the authors. No drilling target identified and not appraisal plan is indicated.  The resource volumes are theoretical calculations. The Silvas  Group is of poorer reservoir quality than the Torres Group. However, the overlying seals are more favourable  (thicker).</t>
  </si>
  <si>
    <t>Sao Pedro De Moel</t>
  </si>
  <si>
    <t>Alvorninha</t>
  </si>
  <si>
    <t>Salt, clay and marls of the Dagorda Formation  with thicknesses of 200m</t>
  </si>
  <si>
    <t>Sites are assessed at a lead level, with formations identified and structures delineated by the authors. No drilling target is identified, so advancement to prospect level is not yet possible.  The resource volumes are theoretical calculations. The Silvas  Group is of poorer reservoir quality than the Torres Group. However, the overlying seals are more favourable  (thicker).</t>
  </si>
  <si>
    <t>Alentejo Basin</t>
  </si>
  <si>
    <t>Q9-S1</t>
  </si>
  <si>
    <t>Q10-S1</t>
  </si>
  <si>
    <t>Sites are assessed at discovered, development not viable.  with formations identified and structures delineated by the authors. No drilling target identified and not appraisal plan is indicated.  The resource volumes are theoretical calculations. The Silvas  Group is of poorer reservoir quality than the Torres Group. However, the overlying seals are more favourable  (thicker).</t>
  </si>
  <si>
    <t>Q10-S2</t>
  </si>
  <si>
    <t>Q10-S3</t>
  </si>
  <si>
    <t>Algarve Basin</t>
  </si>
  <si>
    <t>Q15 -M1</t>
  </si>
  <si>
    <t>Miocene sands</t>
  </si>
  <si>
    <t>Cretaceous reservoir sands are capped by Paleogene marls, limestones and clays of varying porosity. Miocene reservoirs (if deep enough for CO2) have better seals</t>
  </si>
  <si>
    <t xml:space="preserve">Sites are assessed at discovered, development not viable.  with formations identified, drilled and structures delineated by the authors. No drilling target identified and not appraisal plan is indicated.  The resource volumes are theoretical calculations. </t>
  </si>
  <si>
    <t>Q15-TV1</t>
  </si>
  <si>
    <t>Q16-TV1</t>
  </si>
  <si>
    <t>Q16-TV2</t>
  </si>
  <si>
    <t>Q16-TV3</t>
  </si>
  <si>
    <t>Sites are assessed at discovered, development not viable.  with formations identified, drilled and structures delineated by the authors. No drilling target identified and not appraisal plan is indicated.  The resource volumes are theoretical calculations. The Torres Group is a better reservoir than the Silvas Group, however,  there is  uncertainty about the quality of the seals for this formation.</t>
  </si>
  <si>
    <t>Q16-TV4</t>
  </si>
  <si>
    <t>Switzerland</t>
  </si>
  <si>
    <t>Hauptrogenstein</t>
  </si>
  <si>
    <t>Bathonian</t>
  </si>
  <si>
    <t>Seal is provided by the Effingen Member</t>
  </si>
  <si>
    <t xml:space="preserve">Capacity is assessed based on the  detailed site characterisation methodology  used through all the CO2Stop assessments, The site is classified at an undiscovered sequence level. There  are 18 wells evident in the Swiss Molasse Basin that penetrate the to the Muschekalk and thereform also penetrate the overlyng Malm amd Molasse formations. More wells may exists but these are not able to be located. </t>
  </si>
  <si>
    <t>CO2Stop methadology</t>
  </si>
  <si>
    <t>Trigonodus Dolomite (Swiss Molasse Basin and Juara Basin)</t>
  </si>
  <si>
    <t>Anisian</t>
  </si>
  <si>
    <t>Thanushika Gunatilake, Alba Zappone, Yingqi Zhang, Dominik Zbinden, Marco Mazzotti, Stefan Wiemer. 2024. Quantitative Modelling and Assessment of CO2 Storage in Saline Aquifers: A Case Study in Switzerland, Carbon Capture Science &amp; Technology, https://doi.org/10.1016/j.ccst.2024.100360</t>
  </si>
  <si>
    <t xml:space="preserve">The simulation for the small case study was based on a plan for  30 years of injection at a constant pressure of 40 Mpa, injecting into a reservoir with 80°C and  a permeability of 1×10−15m2 at a depth of 2270 m. 3 Injection scenarios were used: Multiple vertical injections points, a short horizontal well with 3 injection points and an extended horizontal well with 6 injection points. The results were scaled up to the full Swiss Molasse Basin Trigondus dolomite with the authors suggesting a notional plan of approximately 60 wells, similar to those at Triemli, would be required. This number could be reduced to 35 wells if 500 m horizontal wells are utilized. The annual storage capacity of a single well at Triemli was calculated as 0.05 Mt of CO2, this is a very low amount and will need to be carefully considered for a much larger scale project in terms of feasibility relating to number of wells needed to be drilled. </t>
  </si>
  <si>
    <t xml:space="preserve">The Muschelkalk aquifer is hydraulically sealed by the overlying 60 m thick, regionally extensive Bänkerjoch (a.k.a. Gipskeuper) evaporite formation.The presence of fault zones are  known to exist in the Swiss Molasse Basin and this will affect suitability of sites. </t>
  </si>
  <si>
    <t xml:space="preserve">A dynamic simulation was performed on a small site  (10 km in length, 5 km in width, and 1 km thickness) and then scaled up to the remaining area in the Trigondas dolomite (Upper Muschelkalk Formation) deemed suitable for CO2 storage: The authors identify that suitable storage depth is limited  800-1130 m and then calculated that  the feasible area for storage is  300-640 km2. From this a storage estimate of 75-150 Mt CO2 at a 5.5% SE was made for the Trigondas Dolomite in the Swiss Molasse Basin and Jura Basin. Aside from changing injection strategies, the scenarios also altered permeability and salinity. Scenarios were run for up to 10,000 years which rendered the CO2 fully dissolved around 6500 years. The resource is classified as discovered due to the small site area that has a dynamic simulation and the presence of at least 18 wells that penetrate the formation. They are distributed relatively evenly through the basin. The full resource is classified as inaccessible due to the absence of regulations in Switzerland to permit geological CO2 storage. </t>
  </si>
  <si>
    <t>As reported in the source reference</t>
  </si>
  <si>
    <t>Upper Marine Molasse</t>
  </si>
  <si>
    <t>Seal is provided by the Upper Freshwater Molasse</t>
  </si>
  <si>
    <t>Malm limestones</t>
  </si>
  <si>
    <t>Oxfordian</t>
  </si>
  <si>
    <t>Seal is provided by the Lower Freshwater Molasse</t>
  </si>
  <si>
    <t>Ukraine</t>
  </si>
  <si>
    <t>Eastern Ukraine</t>
  </si>
  <si>
    <t>36.577 </t>
  </si>
  <si>
    <t>Shebelynske</t>
  </si>
  <si>
    <t>Dnieper - Donets</t>
  </si>
  <si>
    <r>
      <t xml:space="preserve">Cauchois, G., Venugopal, M., Gassan-zade, O., Kornienko, H., &amp; Beck, B. (2022, August 30). </t>
    </r>
    <r>
      <rPr>
        <i/>
        <sz val="11"/>
        <color theme="1"/>
        <rFont val="Aptos Narrow"/>
        <family val="2"/>
        <scheme val="minor"/>
      </rPr>
      <t>Blue H2 and CCUS in Ukraine</t>
    </r>
    <r>
      <rPr>
        <sz val="11"/>
        <color theme="1"/>
        <rFont val="Aptos Narrow"/>
        <family val="2"/>
        <scheme val="minor"/>
      </rPr>
      <t>. Proceedings of the 16th Greenhouse Gas Control Technologies Conference (GHGT-16), 23–24 Oct 2022. SSRN. https://doi.org/10.2139/ssrn.4276183</t>
    </r>
  </si>
  <si>
    <t xml:space="preserve">Containment is assumed to be structural/stratigraphic with a sealing formation based on the presence of hydrocarbons.  </t>
  </si>
  <si>
    <t>Assessed as Discovered, Inaccessible (soon to be depleted wells, no regulatory framework and no plan in place)</t>
  </si>
  <si>
    <t>JS</t>
  </si>
  <si>
    <t>Voidage replacement estimate</t>
  </si>
  <si>
    <t>35.629 </t>
  </si>
  <si>
    <t>Zakhidno-Khrestyshynske</t>
  </si>
  <si>
    <t>36.061 </t>
  </si>
  <si>
    <t>Yefremivske</t>
  </si>
  <si>
    <t>35.912 </t>
  </si>
  <si>
    <t>Melekhivske</t>
  </si>
  <si>
    <t>35.193 </t>
  </si>
  <si>
    <t>Rozpashnivske</t>
  </si>
  <si>
    <t>35.703 </t>
  </si>
  <si>
    <t>Medvedivske</t>
  </si>
  <si>
    <t>34.881 </t>
  </si>
  <si>
    <t>Mashivske</t>
  </si>
  <si>
    <t>34.497 </t>
  </si>
  <si>
    <t>Solokhivske</t>
  </si>
  <si>
    <t>34.674 </t>
  </si>
  <si>
    <t>Opishnyanske</t>
  </si>
  <si>
    <t>33.411 </t>
  </si>
  <si>
    <t>Yablunivske</t>
  </si>
  <si>
    <t>Western Ukraine</t>
  </si>
  <si>
    <t>Bytkiv-Babchynske</t>
  </si>
  <si>
    <t>Triassic-Lower Cretaceous</t>
  </si>
  <si>
    <t>North Carpathian</t>
  </si>
  <si>
    <t>Assessed as Undiscovered, Inaccessible (saline aquifer, no regulatory framework and no plan in place)</t>
  </si>
  <si>
    <t>Based on volume replacement methodology published by Kearns et al (2017)</t>
  </si>
  <si>
    <t>Bosnia and Herzegovina</t>
  </si>
  <si>
    <t>Bosna River Valley</t>
  </si>
  <si>
    <t>Sarajevo-Zenica</t>
  </si>
  <si>
    <t>Oligocene and Miocene</t>
  </si>
  <si>
    <t>Oligocene–Miocene, Lower Miocene, Upper Miocene</t>
  </si>
  <si>
    <t>EU GeoCapacity (2009). Assessing European Capacity for Geological Storage of Carbon Dioxide. Available at: www. geology.cz/geocapacity</t>
  </si>
  <si>
    <t>Assessed as Undiscovered, Inaccessible (saline aquifer, no regulatory framework and no plan in place). The estimated value entered in database is based on the theoretical volumetric calculations by Geocapacity (2009). Another value was provided in this report, categorized as "Conservative estimate"=197 Mt, with no info on how it was calculated, or with which storage efficiency factor.</t>
  </si>
  <si>
    <t>Geocapacity (2009)</t>
  </si>
  <si>
    <t>North Macedonia</t>
  </si>
  <si>
    <t>East North Macedonia</t>
  </si>
  <si>
    <t>Ergelija</t>
  </si>
  <si>
    <t>Priabonian sandstone</t>
  </si>
  <si>
    <t>Priabonian</t>
  </si>
  <si>
    <t>CO2Stop (2013). European CO₂ Storage Database (CO2Stop project, FP7-ENERGY-2010-1-265847). Brussels: European Commission. Retrieved from https://setis.ec.europa.eu/european-co2-storage-database_en</t>
  </si>
  <si>
    <t>Neogene seal. Quartz-clay carbonate reservoir. Surface Issue: Rural area, Current pressure estimated from hydrostatic pressure gradient</t>
  </si>
  <si>
    <t xml:space="preserve">Assessed as Undiscovered, Inaccessible (saline aquifer, no regulatory framework and no plan in place). The assessment also included calculations for country wide capacities with mean values of 223Mt (1% eff) and 447(2% eff). Country also mentioned in Geocapacity study, with an estimated capacity of 1050 Mt for the whole Vardar Basin using 4% storage eff. In case of future regulations establishment and framework readiness, it will automatically move to Undiscovered, Sequence Play Level. </t>
  </si>
  <si>
    <t>1 g/l</t>
  </si>
  <si>
    <t>CO2Stop (2013)</t>
  </si>
  <si>
    <t>Sveti Nikole</t>
  </si>
  <si>
    <t>4 g/l</t>
  </si>
  <si>
    <t>Veles</t>
  </si>
  <si>
    <t>Trinidad and Tobago</t>
  </si>
  <si>
    <t>Offshore East Trinidad</t>
  </si>
  <si>
    <t>Amherstia</t>
  </si>
  <si>
    <t>Columbus</t>
  </si>
  <si>
    <t>CCS TLM Limited 2013. Feasibility of Carbon Capture &amp; Storage Projects in Trinidad &amp; Tobago, RT.18001.004 Rev 1.0, 1-73, Ministry of Environment and Water Resources, Trinidad &amp; Tobago, https://www.energy.gov.tt/wp-content/uploads/2023/05/Final-Report-Feasibility-of-CCS-Projects-in-Trinidad-Tobago-20May13._.pdf</t>
  </si>
  <si>
    <t>Containment is assumed competent due to the site being a depleted field and having held hydrocarbons. The number of wells in the field are unknown.</t>
  </si>
  <si>
    <t>The calculated estimates for hydrocarbon reservoirs within this report are based on the assumption the produced oil and gas provides volume for subsequent CO2 storage. Typically, this is estimated from the Original Oil in Place (OOIP) or Original Gas in Place (OGIP) and an estimate of the ultimate recovery factor. The values are classified as 'inaccessible' in an absence of any regulatory information that permits CO2 storage.</t>
  </si>
  <si>
    <t>EF</t>
  </si>
  <si>
    <t>Original gas in place</t>
  </si>
  <si>
    <t>Offshore West Tobago</t>
  </si>
  <si>
    <t>Cassra-1</t>
  </si>
  <si>
    <t>Tobago</t>
  </si>
  <si>
    <t>Cassra-2</t>
  </si>
  <si>
    <t>Chaconia</t>
  </si>
  <si>
    <t>Dolphin</t>
  </si>
  <si>
    <t>Hibiscus</t>
  </si>
  <si>
    <t>Offshore West Trinidad</t>
  </si>
  <si>
    <t>Iguana 1</t>
  </si>
  <si>
    <t>Trinidad</t>
  </si>
  <si>
    <t>Iris</t>
  </si>
  <si>
    <t>Mahogany</t>
  </si>
  <si>
    <t>Original oil in place</t>
  </si>
  <si>
    <t>Osprey</t>
  </si>
  <si>
    <t>Poinsettia</t>
  </si>
  <si>
    <t>Sancoche</t>
  </si>
  <si>
    <t>Offshore Southern Basin, Trinidad</t>
  </si>
  <si>
    <t>Main Soldado</t>
  </si>
  <si>
    <t>Bradshaw –Niles, P. 2023. Carbon Capture, Utilization &amp; Storage. A Trinidad &amp; Tobago update, Trinidad and Tobago Energy Conference 2023, Port of Spain, Trinidad &amp; Tobago, 23-25 January 2023, 1-23, https://www.energy.gov.tt/wp-content/uploads/2023/01/TT-Energy-Conference-Presentation-2023-Carbon-Capture-PS-Bradshaw-Niles.pdf</t>
  </si>
  <si>
    <t>CO2 storage capacity has been provided in the paper as theoretical and effective storage; however, no details are provided for how the effective storage was calculated. Values are given as P90, and what is inferred as P50, which is included for theoretical capacity in the database. The values are classified as 'inaccessible' in an absence of any regulatory information that permits CO2 storage.</t>
  </si>
  <si>
    <t>North Soldado</t>
  </si>
  <si>
    <t>CO2 storage capacity has been provided in the paper as theoretical and effective storage; however, no details are provided for how the effective storage was calculated. Values are given as P90, and what is inferred as P50, which is included for theoretical capacity in the database. The total capacity for effective geological storage in the offshore fields within the Southern basin of Trinidad is estimated to be 63.154 Mt of carbon dioxide, of which 50% of this storage potential lies mainly in the North Soldado field. The values are classified as 'inaccessible' in an absence of any regulatory information that permits CO2 storage.</t>
  </si>
  <si>
    <t>Onshore Southern Basin, Trinidad</t>
  </si>
  <si>
    <t>Onshore Southern Basin</t>
  </si>
  <si>
    <t>CO2 storage capacity has been provided in the paper as theoretical and effective storage; however, no details are provided for how the effective storage was calculated. Values are given as P90, and what is inferred as P50, which is included for theoretical capacity in the database. Bradshaw-Niles recommends further investigation of the potential of CO2 storage onshore as the values given represent a conservative storage as reservoirs above 800m and unrecorded water and gas production in the early life of these mature reservoirs were not considered. The values are classified as 'inaccessible' in an absence of any regulatory information that permits CO2 storage.</t>
  </si>
  <si>
    <t>&gt;800</t>
  </si>
  <si>
    <t>Southern and Northern Basin, Trinidad</t>
  </si>
  <si>
    <t>Southern and Northern Basin</t>
  </si>
  <si>
    <t>Bradshaw –Niles, P. 2024. Carbon Capture, Utilization &amp; Storage. A Trinidad &amp; Tobago update 2024, Trinidad and Tobago Energy Conference 2024, Port of Spain, Trinidad &amp; Tobago, 22-24 January 2024, 1-20, https://www.energy.gov.tt/wp-content/uploads/2024/04/2024-CCEOR-SC-UpdateTTEnergy-Conference_22Jan_fnl_PS.pptx</t>
  </si>
  <si>
    <t>The focus of the study was the offshore Soldados fields, and onshore Point Fortin, Guapo, Grand Ravine, Forest Reserve and Palo Seco fields all of which are in the Southern Basin and Blocks 1(a) and 1(b) in the Northern Basin. The theoretical storage capacity was estimated to be 126.5 Mt, with the effective storage capacity being 92.1 Mt. No definition of the calculation from theoretical to effective storage capacity has been provided. The values are classified as 'inaccessible' in an absence of any regulatory information that permits CO2 storage.</t>
  </si>
  <si>
    <t>Field A</t>
  </si>
  <si>
    <t>Upper Cipero Formation</t>
  </si>
  <si>
    <t>Alexander, D., Boodlala, D., Maharaja, K., Rossa, A., and Gan, T. 2024. CO2 Storage Capacity Assessment: A Case Study for an Onshore Block in, Trinidad, 17th International Conference on Greenhouse Gas Control Technologies GHGT-17, Calgary, Canada, 20-24 October 2024, 1-9, https://papers.ssrn.com/sol3/papers.cfm?abstract_id=5013523</t>
  </si>
  <si>
    <t>Ambiguity in the location of the site as the literature does not specific report the name of the field, however via Hugget and Burley, 2008, we have identified this as the Carapal Ridge Field. Although the source reference names the fields within 'Block X' as A, B and C, cross referencing of other literature suggests that these are the Carapal Ridge, Baraka and Corosan fields, the largest field being the Carapal Ridge field in the onshore Southern Basin. The attached saline aquifer for Field A is recorded as undiscovered at 0.660 Mt. The combined CO2 storage capacity in saline aquifers of each field amount to 0.735 Mt, with Field A accounting for approximately 90% of the total volume that could potentially be stored in 'Block X'. This can be attributed to the size of the field and its maximum injection pressure parameter in comparison to the other fields. The values are classified as 'inaccessible' in an absence of any regulatory information that permits CO2 storage.</t>
  </si>
  <si>
    <t>International Energy Agency (IEA), 2009</t>
  </si>
  <si>
    <t>Argentina</t>
  </si>
  <si>
    <t xml:space="preserve">Onshore  </t>
  </si>
  <si>
    <t>Argentina - depleted fields (countrywide)</t>
  </si>
  <si>
    <t>Neuquen</t>
  </si>
  <si>
    <t>Postic, S. 2015. Long-term energy prospective modeling for South America - Application to international climate negotiations, l’École nationale supérieure des mines de Paris et La Universidad de Chile, https://pastel.hal.science/tel-01303955/file/52144_POSTIC_2015_archivage.pdf</t>
  </si>
  <si>
    <t xml:space="preserve">There are very limited details in the paper. Storage capacity methodology is undefined but assumed O&amp;G replacement volume. Classified as 'inaccessible' in an absence of any regulatory information that permits CO2 storage. There is a more recent assessment of depleted fields for Argentina shown in the storage capacity from Grasetti et al. 2022 (Grasetti, C.G., Pique, T.M., Noya, M., Vila, G.S., Manoni, R., Brisson, I., De Leo, D., Dxelalija, F., Canale, N., Zalazar, M., Cabana, C., Tunik, M., Fortunatti, N., Lebinson, F., Bahía, M. and Grill, S. 2022. Atlas Ar-CO₂. An Argentinean Atlas for Underground CO₂ Storage Potential, 16th International Conference on Greenhouse Gas Control Technologies GHGT-16, Lyon, France, 23-27 October 2022, 1-12, SSRN, 10.2139/ssrn.4281030, https://papers.ssrn.com/sol3/papers.cfm?abstract_id=4281030). As per SRMS guidelines, we do not do any adjustment across SRMS maturity boundaries. Classified as 'inaccessible' in an absence of any regulatory information that permits CO2 storage. </t>
  </si>
  <si>
    <t>Undefined, but assumed O&amp;G replacement volume</t>
  </si>
  <si>
    <t>The Integrated Markal-EFOM System TIMES for South America and the Caribbean cumulative storage capacity.</t>
  </si>
  <si>
    <t>Argentina - deep saline aquifers (countrywide)</t>
  </si>
  <si>
    <t>The values presented in the paper are assumed to be a theoretical capacity. There are very limited details in the paper. Classified as 'inaccessible' in an absence of any regulatory information that permits CO2 storage.</t>
  </si>
  <si>
    <t>Undefined, but assumed theoretical volumetric</t>
  </si>
  <si>
    <t>Chile</t>
  </si>
  <si>
    <t>Chile  - depleted fields (countrywide)</t>
  </si>
  <si>
    <t>Linares - Temuco - Los Angeles</t>
  </si>
  <si>
    <t>There are very limited details in the paper. Storage capacity methodology is undefined but assumed O&amp;G replacement volume. Classified as 'inaccessible' in an absence of any regulatory information that permits CO2 storage.</t>
  </si>
  <si>
    <t>Chile - deep saline aquifers (countrywide)</t>
  </si>
  <si>
    <t>Colombia</t>
  </si>
  <si>
    <t>Colombia - deep saline aquifers (countrywide)</t>
  </si>
  <si>
    <t>Middle Magdalena Valley</t>
  </si>
  <si>
    <t>The values presented in the paper are assumed to be a theoretical capacity. There are very limited details in the paper. Classified as 'inaccessible' in an absence of any regulatory information that permits CO2 storage. A storage value for Colombia's depleted fields (country-wide) was also reported, but removed from this catalogue to avoid double reporting, in favour of a more detailed study by Younis, et al. (Younis, A., Lap, T., Yáñez, E., Suarez Bermudez, L. Benders, R. and Faaij, A. 2023. Exploring the spatiotemporal evolution of bioenergy with carbon capture and storage and decarbonization of oil refineries with a national energy system model of Colombia, Energy Strategy Reviews, 50, 101232, 1-24, Elsevier, 10.1016/j.esr.2023.101232, https://www.sciencedirect.com/science/article/pii/S2211467X23001827).</t>
  </si>
  <si>
    <t>Neuquén Province</t>
  </si>
  <si>
    <r>
      <t>Neuqu</t>
    </r>
    <r>
      <rPr>
        <sz val="11"/>
        <rFont val="Aptos Narrow"/>
        <family val="2"/>
      </rPr>
      <t>é</t>
    </r>
    <r>
      <rPr>
        <sz val="11"/>
        <rFont val="Aptos Narrow"/>
        <family val="2"/>
        <scheme val="minor"/>
      </rPr>
      <t>n Fields</t>
    </r>
  </si>
  <si>
    <t>Lower Neuquen Group, Huitrin Formation, Agrio Formation, Centenario Formation (upper and Lower Member), Mulichinco Formation, Tordillo Formation and Upper Cuyo Group</t>
  </si>
  <si>
    <t>Grasetti, C.G., Pique, T.M., Noya, M., Vila, G.S., Manoni, R., Brisson, I., De Leo, D., Dxelalija, F., Canale, N., Zalazar, M., Cabana, C., Tunik, M., Fortunatti, N., Lebinson, F., Bahía, M. and Grill, S. 2022. Atlas Ar-CO₂. An Argentinean Atlas for Underground CO₂ Storage Potential, 16th International Conference on Greenhouse Gas Control Technologies GHGT-16, Lyon, France, 23-27 October 2022, 1-12, SSRN, 10.2139/ssrn.4281030, https://papers.ssrn.com/sol3/papers.cfm?abstract_id=4281030</t>
  </si>
  <si>
    <t>The Neuquén Basin is one of the most important hydrocarbon producers in the Aregentina, so the seal structure is proven.</t>
  </si>
  <si>
    <t>The effective capacity for CO₂ storage of the different candidate sites was calculated using the volumetric method introduced by the Department of Energy of the United States (USDOE). These values together with the author selected criteria allowed the ranking of candidates. Calculations in the study used CO₂-SCREEN, an open tool provided by the USDOE, and adopted the P50 as an estimate of the CO₂ storage capacity. The Neuquén and Golfo San Jorge Basins are the most important hydrocarbon producers in the country. They have the advantage of being extensively studied and developed, with proven seal structures, surface facilities, and transport lines. The study has provided a breakdown of CO2 storage by formation, but we have had to classify the resource at basin level, as the Carbon Storage Resource Catalogue does not infer information from graphs. A study of the Claromecó Basin Tunas and Bonete Formation coal beds was also made. Classification of this site is 'discovered' as the Neuquén and Golfo San Jorge Basins are prolific hydrocarbon producers. The values are classified as 'inaccessible' in an absence of any regulatory information that permits CO2 storage.</t>
  </si>
  <si>
    <t>Theoretical volumetric</t>
  </si>
  <si>
    <t>USDOE</t>
  </si>
  <si>
    <t>Eastern Patagonia</t>
  </si>
  <si>
    <t>San Golfo Jorge Fields</t>
  </si>
  <si>
    <t>San Jorge</t>
  </si>
  <si>
    <t>Yacimiento El Trébol Formation, Meseta Espinosa Formation, Lower Bajo Barreal Formation, Comodoro Rivadavia Formation, Cañadón Seco Formation, Upper Bajo Barreal Formation, Mina del Carmen Formation and Castillo Formation</t>
  </si>
  <si>
    <t>The San Golfo Jorge  Basin is one of the most important hydrocarbon producers in the Aregentina, so the seal structure is proven.</t>
  </si>
  <si>
    <t>Peru</t>
  </si>
  <si>
    <t>Region Grau</t>
  </si>
  <si>
    <t>Bellavista Field</t>
  </si>
  <si>
    <t>Talara</t>
  </si>
  <si>
    <t>Parinas Formation</t>
  </si>
  <si>
    <t>Pomar-Castromonte, R., Ingol-Blanco, E., Santos, J. and Santa-Cruz, S. 2021. Analytical and numerical modeling for the assessment of CO2 storage in the Pariñas geological formation - Talara, Peru, International Journal of Greenhouse Gas Control, 110, 103446, Elsevier, 10.1016/j.ijggc.2021.103446, https://www.sciencedirect.com/science/article/pii/S1750583621001985?via%3Dihub</t>
  </si>
  <si>
    <t>The Parinas Formation is made up of fine conglomerates, little consolidated, of rounded to sub-rounded shape and of good selection.It is composed of thick sandstone banks and presents favorable parameters for the geological storage of CO2 (porosity of 17.6%, a permeability of 640 mD, a depth ranging between 950 m and 1570 m, and a seal rock that overlies the rock of the formation, Aylas, 2021). This seal rock has a permeability that is practically equal to 0, which is favorable to prevent the upward flow of CO2 towards the surface (Aylas, 2021).</t>
  </si>
  <si>
    <t>The paper evaluates CO₂ storage capacity of the Parinas Formation belonging to the Talara Basin through analytical modelling based on mass balance equations and numerical modelling using IMEX CMG. The evaluation of the Bellavista oil deposits involves CO₂ storage capacity estimations with CO₂ and reservoir fluid (oil and water) interaction. The authors selected the Parinas Formation based on a previous study of multicriteria decision making (Carlotto, 2019). The number of wells in the Bellavista oil deposit is 42. To calculate the basic storage capacity of the reservoir rock of the Parinas Formation (Bellavista and Calzada fields) the formula proposed by Bachu et al. (2007) is used. The fundamental assumption of this formula is that the volume occupied by hydrocarbons produced and / or extractable can be filled by CO₂. Another important assumption is that CO₂ can be injected up to the original or virgin pressure of the reservoir (prior to the extraction of hydrocarbons). For the Bellavista Field, a theoretical volumetric capacity was provided, before subsequent studies using Bachu et al. 2007 and Thian &amp; Zhao, 2008 determined the dynamic simulation numerical model capacity. The values are classified as 'inaccessible' in an absence of any regulatory information that permits CO2 storage.</t>
  </si>
  <si>
    <t>Pressure limited numerical simulation in paper</t>
  </si>
  <si>
    <t>Calzada Field, Parinas Unit 1</t>
  </si>
  <si>
    <t>The paper evaluates CO₂ storage capacity of the Parinas Formation belonging to the Talara Basin through analytical modelling based on mass balance equations and numerical modelling using IMEX CMG. The authors selected the Parinas Formation based on a previous study of multicriteria decision making (Carlotto, 2019). The number of wells in the Calzada oil deposit is 3. To calculate the basic storage capacity of the reservoir rock of the Parinas Formation (Bellavista and Calzada fields) the formula proposed by Bachu et al. (2007) is used. The fundamental assumption of this formula is that the volume occupied by hydrocarbons produced and / or extractable can be filled by CO₂. Another important assumption is that CO₂ can be injected up to the original or virgin pressure of the reservoir (prior to the extraction of hydrocarbons). The Calzada oil deposit is subdivided into two areas, basically differen_x0002_tiated by the value of the recovery factor (Rf). Calzada 1 has a recovery factor of 9%, and Calzada 2 has a recovery factor of 11%. In total, the basic CO2 storage capacity is 20.6 million tons, approximately. The values are classified as 'inaccessible' in an absence of any regulatory information that permits CO2 storage.</t>
  </si>
  <si>
    <t>Bachu, S., Bonijoly, D., Bradshaw, J., Burrus, R., Holloway, S., Christensen, N., Mathiassen, O., 2007. CO2 storage capacity estimation: methodology and gaps. Int. J. Greenh. Gas Control 1 (2007), 430–443.</t>
  </si>
  <si>
    <t>Calzada Field, Parinas Unit 2</t>
  </si>
  <si>
    <t>Northeastern Colombia</t>
  </si>
  <si>
    <t>Llanos Basin - Fluvial Paleogene shale-sandstones intercalations sequence</t>
  </si>
  <si>
    <t>Llanos</t>
  </si>
  <si>
    <t>Rodriguez, M. 2023. Preliminary Screening and Ranking Assessment for Carbon Capture Use and Storage (CCUS) in Colombia Sedimentary Basins.,  84th EAGE Annual Conference &amp; Exhibition,, 45078, 2023, European Association of Geoscientists &amp; Engineers,  https://doi.org/10.3997/2214-4609.2023101491, https://www.earthdoc.org/content/papers/10.3997/2214-4609.2023101491</t>
  </si>
  <si>
    <t>Reservoir/seal pair - Fluvial Paleogene shale-sandstone intercalation with Lower Neogene shale. While one small interval within this sequence accounts for most of the basin's oil production, other intervals offer high-quality, well-distributed, and thicker reservoir/seal pairs suitable for CO₂ storage.</t>
  </si>
  <si>
    <t>Data from over 300 wells identified four main reservoir/seal pairs along the basin: 1) The Middle Cretaceous sandstone sequence and the Middle to Upper Cretaceous lower shale. 2) The Upper Middle to Upper Cretaceous middle sandstone and upper shale sequence. 3) The Upper Cretaceous fluvial deltaic sandstone sequence and the Paleogene lower shale sequence. 4) The fluvial Paleogene shale-sandstone intercalations sequence and the Lower Neogene shale. The paper uses these four reservoir/seal pairs to define the storage sites. For this project U.S. DOE methodology (2011) for structural and stratigraphic traps  was used to obtain the CO₂ theoretical storage capacities. Prospective storage resources were calculated with R&amp;A Software, aiming to obtain P10, P90, and Pmean values for the four different saline aquifers in the Llanos basin. The assumed storage efficiency for all the reservoirs was estimated at 4% (Ringrose, 2015), however this should be considered high for saline aquifers at a regional scale. Classification of this site is 'discovered' as there are over 300 wells within the Llanos Basin, with evidence in the images of the publication that all stratigraphy has been penetrated by wells (estimated to be 150). However, it is 'development not viable' as there is no active appraisal or evaluation plan. The values are classified as 'inaccessible' in an absence of any regulatory information that permits CO2 storage.</t>
  </si>
  <si>
    <t>Ringrose, P.S., &amp; Bentley, M. (2015). Reservoir Model Design: A Practitioner's Guide. Reservoir Model Design.</t>
  </si>
  <si>
    <t>Llanos Basin - Upper Cretaceous fluvial-deltaic sandstone sequence</t>
  </si>
  <si>
    <t>Reservoir/seal pair - Upper Cretaceous fluvial-deltaic sandstone with Paleogene lower shale. This continuous, homogeneous, and relatively thin reservoir exhibits a favorable distribution of porosity and permeability, making it a promising candidate for CO₂ storage. However, its current use for reinjecting production water from oil and gas activities increases the risk of CO₂ leakage.</t>
  </si>
  <si>
    <t>Llanos Basin - Upper Middle to Upper Cretaceous sequence</t>
  </si>
  <si>
    <t xml:space="preserve">Reservoir/seal pair -Upper Middle to Upper Cretaceous middle sandstone with upper shale. This intermediate saline aquifer is situated between two TOC-rich shales in the south, transitioning to cleaner sandstones in the north. This transition enhances the Net Pay and porosity of the reservoir. However, the quality of the upper seal deteriorates as it extends northward, increasing the risk of CO₂ migration to upper reservoirs. </t>
  </si>
  <si>
    <t>Llanos Basin - Middle Cretaceous fluvial-deltaic sandstone sequence</t>
  </si>
  <si>
    <t xml:space="preserve">Reservoir/seal pair - Middle Cretaceous sandstone with Middle to Upper Cretaceous lower shale. The Middle Cretaceous fluvial-deltaic sandstone sequence has a lack of information as recent it is the recent discovery in the basin. </t>
  </si>
  <si>
    <t>Santander</t>
  </si>
  <si>
    <t>Cluster 1</t>
  </si>
  <si>
    <t>Mugrosa Formation</t>
  </si>
  <si>
    <t>Younis, A., Lap, T., Yáñez, E., Suarez Bermudez, L. Benders, R. and Faaij, A. 2023. Exploring the spatiotemporal evolution of bioenergy with carbon capture and storage and decarbonization of oil refineries with a national energy system model of Colombia, Energy Strategy Reviews, 50, 101232, 1-24, Elsevier, 10.1016/j.esr.2023.101232, https://www.sciencedirect.com/science/article/pii/S2211467X23001827</t>
  </si>
  <si>
    <t>To achieve the 5.4Gt across the 4 clusters, the paper provides a notional development plan of injection rates of 218 Mt/yr, which equates to approximately 25 years of injection.</t>
  </si>
  <si>
    <t>Containment is assumed competent due to the site being a depleted field and having held hydrocarbons. The number of fields per cluster, and the number of wells in each field are unknown.</t>
  </si>
  <si>
    <r>
      <t>This study assesses 4 clusters of CO2 sinks in Colombia and builds on the work of Cardozo et al. (C. Cardozo, E. Lopez, L. Suarez, C. Patino, A. Ortiz-Karpf, Estimation of Geological Storage Capacity of CO2: Regional Pilot in the Central Sector of the Middle Magdalena Valley Basin. ICE 2022 Cart. 19-22 April 2022, Cent. Conv. Cart. India., 2022) as a proxy for Cluster 1. Cardozo et al. (2022) calculated the theoretical CO2 storage potential in the central sector of the Middle Magdalena Basin (MMB) in Colombia, and based on the method of Bachu et al. (2007) for oil and gas reservoirs, the authors estimated the theoretical CO2 storage potential at 9 Gt. The present analysis by Younis et al. (2023) is based on the four clusters of CO2 sinks defined by Y</t>
    </r>
    <r>
      <rPr>
        <sz val="11"/>
        <rFont val="Aptos Narrow"/>
        <family val="2"/>
      </rPr>
      <t>á</t>
    </r>
    <r>
      <rPr>
        <sz val="11"/>
        <rFont val="Aptos Narrow"/>
        <family val="2"/>
        <scheme val="minor"/>
      </rPr>
      <t>ñez et al. (2020). Analysis is based on the method of Bachu et al. (2007), with additional amendments to consider the possible risks related to seal characterization for CO2 retention and trapping, CO2 mineralization, fluid interaction, or injectivity. These uncertainties were addressed by applying confidence ranges to the chance of success of the trap, reservoir, and seal integrity. The corresponding probabilities for trap, reservoir, and seal integrity were assumed to range between 0.4 and 0.7, 0.8–1.0, and 0.5–0.7, respectively. The study provides analysis based on 2 Shared Socioeconomic Pathways (SSP) frameworks. The difference between SSP1 and SSP2 is the efforts exerted towards climate change mitigation and adaption (SSP1 assuming carbon neutrality by 2050), and the proportion of biomass supply (larger in SSP1).  A technical storage potential for Cluster 1 was provided as 1.44–4.41 Gt, and under SSP1 pathway, cluster 1 has 81% of 5.4Gt (4410 Mt). Using the percentages provided in the paper, the corresponding values for Clusters 2, 3 and 4 have been calculated. The number of fields in each of the clusters is unknown. The values are classified as 'inaccessible' in an absence of any regulatory information that permits CO2 storage.</t>
    </r>
  </si>
  <si>
    <t>Nariño/Putumayo border</t>
  </si>
  <si>
    <t>Cluster 2</t>
  </si>
  <si>
    <t>Oriente</t>
  </si>
  <si>
    <r>
      <t>Bolivar/Magdalena/Atl</t>
    </r>
    <r>
      <rPr>
        <sz val="11"/>
        <rFont val="Aptos Narrow"/>
        <family val="2"/>
      </rPr>
      <t>á</t>
    </r>
    <r>
      <rPr>
        <sz val="11"/>
        <rFont val="Aptos Narrow"/>
        <family val="2"/>
        <scheme val="minor"/>
      </rPr>
      <t>ntico border</t>
    </r>
  </si>
  <si>
    <t>Cluster 3</t>
  </si>
  <si>
    <t>Sinu - San Jacinto</t>
  </si>
  <si>
    <t>Meta/Huila border</t>
  </si>
  <si>
    <t>Cluster 4</t>
  </si>
  <si>
    <t>Eastern Cordillera</t>
  </si>
  <si>
    <t>Middle Magdalena Valley Basin</t>
  </si>
  <si>
    <t>Middle Magdalena Valley Basin Model Area</t>
  </si>
  <si>
    <t>Mesozoic and Cenozoic</t>
  </si>
  <si>
    <t>Lopez, E.,  Cubillos, H., Granet, S., Thebault, A., Medellin, F., Pérez-Drago, G., Arsenikos, S. and Bou Daher, S. 2023. Leveraging high-resolution basin and reservoir modeling for CCUS and geothermal potential screening, Middle Magdalena Valley, Colombia., 84th EAGE Annual Conference &amp; Exhibition, Jun 2023, Volume 2023, p.1 - 5., https://doi.org/10.3997/2214-4609.2023101240, https://www.earthdoc.org/content/papers/10.3997/2214-4609.2023101240</t>
  </si>
  <si>
    <t xml:space="preserve">Sweet spot areas were tested using a dynamic simulation, using a notional development plan of 2 MT/year over a period of 30 years. No boundary limitations or details of the modelling pressure were provided. </t>
  </si>
  <si>
    <t>The Middle Magdalena Valley Basin (MMVB) is a mature oil and gas province with most of the hydrocarbons being produced from conventional fields in the Cenozoic section, predominantly from fluvial/alluvial environments. The study notes that the basin modelling workflow used detailed not only the reservoir presence and qualty, but also cap rock integrity with its related thickness, lithology and capillar pressures. This allows more accurate information on the storage capacity as well as on the CO2 column height that a given location could deliver.</t>
  </si>
  <si>
    <t>2 MTons/yr of CO2 injection for a period of 30 years were modelled in the study via a reservoir fluid flow simulator. Note a single resource volume has been given for 1 sweet spot, but no information on the number of reservoir simulations run, so this could be an underestimate. Although there are over 100 wells within the Middle Magdalena Valley Basin, the classification of this site is 'undiscovered' due to lack of site specific data. It is 'inaccessible' in an absence of any regulatory information that permits CO2 storage.</t>
  </si>
  <si>
    <t>Dynamic</t>
  </si>
  <si>
    <t>Botswana</t>
  </si>
  <si>
    <t>Central Botswana</t>
  </si>
  <si>
    <t>Passarge Basin</t>
  </si>
  <si>
    <t>Karoo</t>
  </si>
  <si>
    <t>Karoo Supergroup</t>
  </si>
  <si>
    <t>Beck, Brendan, and Natalia Kulichenko-Lotz. "World Bank CCS Program Activities in Botswana – Results and Lessons Learned." Energy Procedia 114 (2017): 5650–5658. https://doi.org/10.1016/j.egypro.2017.03.1703.</t>
  </si>
  <si>
    <t>Further exploration and data acquisition recommended</t>
  </si>
  <si>
    <t>Potential seal; requires further study</t>
  </si>
  <si>
    <t xml:space="preserve">Capacity is calculated based on the volumetric. </t>
  </si>
  <si>
    <t>Lephephe Graben</t>
  </si>
  <si>
    <t>Ecca/Dwyka (under Stormberg basalt)</t>
  </si>
  <si>
    <t>Seal and structural integrity to be confirmed</t>
  </si>
  <si>
    <t>Caprock may be structurally impacted</t>
  </si>
  <si>
    <t>Capacity is calculated based on the volumetric</t>
  </si>
  <si>
    <t>North-Central Botswana</t>
  </si>
  <si>
    <t>Mmashoro Low</t>
  </si>
  <si>
    <t>Lower Karoo Supergroup</t>
  </si>
  <si>
    <t>Further geological analysis needed</t>
  </si>
  <si>
    <t>Shallower than 1000 m; marginal candidate</t>
  </si>
  <si>
    <t xml:space="preserve">Capacity is calculated based on the volumetric </t>
  </si>
  <si>
    <t>&lt;1000</t>
  </si>
  <si>
    <t>Gabon</t>
  </si>
  <si>
    <t>Gabon Coastal Basin</t>
  </si>
  <si>
    <t>Not Included</t>
  </si>
  <si>
    <t xml:space="preserve"> IEAGHG, "CO₂ Storage in Depleted Oil Fields", 2009-12, December 2009.</t>
  </si>
  <si>
    <t>New Zealand</t>
  </si>
  <si>
    <t>Taranaki onshore</t>
  </si>
  <si>
    <t>McKee field</t>
  </si>
  <si>
    <t>Taranaki</t>
  </si>
  <si>
    <t>Mangahewa/McKee Formation</t>
  </si>
  <si>
    <t xml:space="preserve">R, Funnell., P, King., S, Edbrooke., K, Higgs., D, Strogen., M, Arnot., K, Bland., and B, Field., Opportunities for underground geological storage of CO2 in New Zealand - Report CCS08/1 - Waikato and onshore Taranaki overview                                                                                                                                        </t>
  </si>
  <si>
    <t>The effectiveness of the top seal is proven given the containment of hydrocarbons. However, the structural complexity and resulting thickness variations in the region will result in uncertainties associated with the calculation of storage 
capacity, and risk associated with potential leakage</t>
  </si>
  <si>
    <t>Legislation to put in place a Carbon Capture, Utilization and Storage framework will be introduced in 2025. Therefore, site has been classified as inaccessible due to absence of regulatory framework</t>
  </si>
  <si>
    <t>ST</t>
  </si>
  <si>
    <t>Voidage Replacement</t>
  </si>
  <si>
    <t>Taranaki offshore</t>
  </si>
  <si>
    <t>Maui field</t>
  </si>
  <si>
    <t>Mangahewa Formation</t>
  </si>
  <si>
    <t xml:space="preserve">R, Funnell., P, King., S, Edbrooke., K, Higgs., D, Strogen., M, Arnot., K, Bland., and B, Field., Opportunities for underground geological storage of CO2 in New Zealand - Report CCS08/1 - Waikato and onshore Taranaki overview </t>
  </si>
  <si>
    <t>The Maui Field lies adjacent to an active fault, the Cape Egmont Fault , but its offshore position somewhat mitigates risks associated with possible leakage from fault activity</t>
  </si>
  <si>
    <t>Kapuni Field</t>
  </si>
  <si>
    <t xml:space="preserve"> Mangahewa/McKee formations</t>
  </si>
  <si>
    <t>This field has much data coverage including many wells, good seismic coverage and established pipeline and plant infrastructure. The field comprises several stacked reservoir intervals, of relatively good quality, and there is a good understanding of reservoir architecture and connectivity. In  addition, produced gas from the field contains a high proportion of CO2 (c. 45%). Any injection will need to esnure the reservoir can be re-pressurised without breaching the seal</t>
  </si>
  <si>
    <t xml:space="preserve">Canterbury-Otago </t>
  </si>
  <si>
    <t>Canterbury</t>
  </si>
  <si>
    <t xml:space="preserve">Broken River Formation (BRF) and Conway Formation (CF) </t>
  </si>
  <si>
    <t xml:space="preserve">Upper Cretaceous to Paleocene </t>
  </si>
  <si>
    <t xml:space="preserve">M. A Bunch, B. D Field, and S. Mockler The CO2 Storage Potential of the Canterbury-Otago Region, New Zealand </t>
  </si>
  <si>
    <t>The BRF &amp; CF reservoir is sealed by the Paleocene Loburn Mudstone (LM) formation</t>
  </si>
  <si>
    <t>Legislation to put in place a Carbon Capture, Utilization and Storage framework will be introduced in 2025. Therefore, site has been classified as inaccessible due to absence of regulatory framework. Also CO2 equivalent  Total Pore Volume (TPV) and storage capacity at 1% efficiency was referenced in the paper; however, the latter was recorded as a more realistic scenario</t>
  </si>
  <si>
    <t>Theoritical Volumetric</t>
  </si>
  <si>
    <t>Volumetric using storage efficiency factor</t>
  </si>
  <si>
    <t>Charteris Bay Sandstone (CBS) and the Waipara Greensand</t>
  </si>
  <si>
    <t>The CBS-WG and HS reservoirs are commonly sealed onshore by the Eocene Ashley Mudstone (AM), Oligocene limestones, and Miocene Mudstones</t>
  </si>
  <si>
    <t>Homebush Sandstone (HS)</t>
  </si>
  <si>
    <t>The early Canterbury Basin developed as a passive margin following Late Cretaceous seafloor spreading in the Tasman Sea. 
Transpression between Australian and Pacific tectonic plates then reversed subsidence onshore and deformed existing Tertiary strata. Uplift 
of the Southern Alps since the Mid-Late Miocene has resulted in rapid sedimentation east of the foothills. These events have produced 
reservoir-seal pairs suitable for CO2 storage and containment</t>
  </si>
  <si>
    <t>Legislation to put in place a Carbon Capture, Utilization and Storage framework will be introduced in 2025 Therefore, site has been classified as inaccessible due to absence of regulatory framework. Also CO2 equivalent  Total Pore Volume (TPV) and storage capacity at 1% efficiency was referenced in the paper; however, the latter was recorded as a more realistic scenario</t>
  </si>
  <si>
    <t>Theritical Volumetric</t>
  </si>
  <si>
    <t>Jordan</t>
  </si>
  <si>
    <t>Hamad Basin (onshore)</t>
  </si>
  <si>
    <t>Disi Sandstone</t>
  </si>
  <si>
    <t>Tabuk</t>
  </si>
  <si>
    <t>Disi Formation</t>
  </si>
  <si>
    <t>Paleozoic and Mesozoic-age</t>
  </si>
  <si>
    <t>The World Bank 2012. Carbon Capture and Storage (CCS) Capacity Building Technical Assistance, Hashemite Kingdom of Jordan, https://documents1.worldbank.org/curated/en/183531468088777468/pdf/760460ESW0P1100an0CCS0TA0March2012.pdf</t>
  </si>
  <si>
    <t xml:space="preserve">This site contains a potable water resource.  High priority  will possibly continue to be placed on protecting this resource over a CO2 project. </t>
  </si>
  <si>
    <t>Whilst there are no significant country-specific barriers against CCS in Jordan, there are limited assessment available for Jordan and the reference provide the most comprehensive overview to date. It is not possible to define number of wells drilled in this formation from the literature. This formation is classifed inaccessible because of absence of regulations to facilitate geological CO2 storage. The reservoir properties  for these formations are used as input to the modified U.S. DOE methodology for calculating CO2 storage in deep saline formations</t>
  </si>
  <si>
    <t>U.S. DOE methodology</t>
  </si>
  <si>
    <t xml:space="preserve">Jordan </t>
  </si>
  <si>
    <t>Dubeidib Formation</t>
  </si>
  <si>
    <t>The thick 1,650 feet (500 m) Mudawwara Shale, overlying the Dubeidib Formation, provides a thick secondary seal and caprock.</t>
  </si>
  <si>
    <t>Wadi Sirhan Basin (onshore)</t>
  </si>
  <si>
    <t xml:space="preserve"> Paleozoic (Cambrian through Silurian</t>
  </si>
  <si>
    <t>The Hiswa Shale provides a 330 feet (100 m) seal for the Disi Formation in the Wadi Sirhan Basin.</t>
  </si>
  <si>
    <t>Cambodia</t>
  </si>
  <si>
    <t>Khmer Basin (offshore)</t>
  </si>
  <si>
    <t xml:space="preserve">Khmer Basin </t>
  </si>
  <si>
    <t>Khmer</t>
  </si>
  <si>
    <t xml:space="preserve">Mesozoic–Cenozoic </t>
  </si>
  <si>
    <t>Mao, C., Yamada, Y. and Matsuoka, T.  2014. A preliminary assessment of geological CO2 storage in Cambodia,  International Journal of Greenhouse Gas Control, A preliminary assessment of geological CO2 storage in Cambodia</t>
  </si>
  <si>
    <t>Geological cross-sections indicate that minimal faulting has occurred within Miocene sediments, and those faults that are present have not been reactivated and therefore may act as seals where they juxtapose sands and clays</t>
  </si>
  <si>
    <t xml:space="preserve">No specific national laws or policies that explicitly define or permit CCS. Hence, the site is classified as inaccessible. In addition, there limited assessments in relation to Cambodia. </t>
  </si>
  <si>
    <t>&gt;6000</t>
  </si>
  <si>
    <t>Hendricks et al., 2004 &amp; Bachu et al., 1994</t>
  </si>
  <si>
    <t>Kampong Saam Basin (offshore)</t>
  </si>
  <si>
    <t>Kampong Saom Basin</t>
  </si>
  <si>
    <t>Paleozoic to Recent</t>
  </si>
  <si>
    <t>Reservoir–seal pairs within the trough that may be suitable for CO2 accumulation are plentiful within uppermost Triassic–Middle Jurassic and Upper Jurassic–lowermost Cretaceous successions</t>
  </si>
  <si>
    <t>Hendricks et al., 2004 &amp; Bachu et al., 1995</t>
  </si>
  <si>
    <t>Tonle Sap Basin (onshore)</t>
  </si>
  <si>
    <t>Tonle Sap Basin</t>
  </si>
  <si>
    <t>Tonle Sap</t>
  </si>
  <si>
    <t>Paleozoic</t>
  </si>
  <si>
    <t>These reservoirs are sealed by Lower Cretaceous evaporites and claystones, both of which would make good cap rocks for CO2 storage</t>
  </si>
  <si>
    <t>Hendricks et al., 2004 &amp; Bachu et al., 1996</t>
  </si>
  <si>
    <t xml:space="preserve">No specific national laws or policies that explicitly define or permit CCS. Hence, the site is classified as inaccessible. In addition, there limited assessments in relation to Cambodia.   Storage capacity is based on the assumption of 100% of the recoverable oil will be replaced CO2 mass. Resource estimate will be different based on storage efficiency  factor used and if EOR is considered  in the reservoir development . </t>
  </si>
  <si>
    <t>Hendricks et al., 2004 &amp; Bachu et al., 1997</t>
  </si>
  <si>
    <t>Hendricks et al., 2004 &amp; Bachu et al., 1998</t>
  </si>
  <si>
    <t>Hendricks et al., 2004 &amp; Bachu et al., 1999</t>
  </si>
  <si>
    <t>Philippines</t>
  </si>
  <si>
    <t>Calabarzon</t>
  </si>
  <si>
    <t>Cagayan and Central Luzon basins</t>
  </si>
  <si>
    <t>Cagayan</t>
  </si>
  <si>
    <t>Prospects for Carbon Capture and Storage in Southeast Asia,The ADB (2013). ISBN 978-92-9254-290-0 (Print), 978-92-9254-291-7 (PDF)</t>
  </si>
  <si>
    <t>Assessed as inassessible because the Philippines lacks a CCS-specific legal and regulatory framework and CCS-specific domestic policies or incentives.</t>
  </si>
  <si>
    <t>Canadian Standards Association standard (CSA Z741-12)</t>
  </si>
  <si>
    <t>Philippines hydrocarbon field (country entry)</t>
  </si>
  <si>
    <t>Relative to other potential oil and gas sites, the offshore gas field is advantageous for several reasons. It is also located in the most geologically stable part of the Philippines. Other oil and gas fields also exist nearby. Having produced oil and gas before, physical characteristics, such as permeability and injectivity of the field, are well understood</t>
  </si>
  <si>
    <t>The Philippines lacks a CCS-specific legal and regulatory framework and CCS-specific domestic policies or incentives; hence classified as inaccessible. The ADB (2013) also concluded that almost all hydrocarbon field resources were hosted in one unidentified field, 251 Mt CO2 (total of 307 Mt CO2)</t>
  </si>
  <si>
    <t>Offshore Island Mindoro</t>
  </si>
  <si>
    <t>Malampaya gas field</t>
  </si>
  <si>
    <t>North Palawan</t>
  </si>
  <si>
    <t>Nido Formation</t>
  </si>
  <si>
    <t>Oligocene to Miocene</t>
  </si>
  <si>
    <t>Geological Storage Potential of CO2 in Southeast Asia</t>
  </si>
  <si>
    <t>The basin is hydrocarbon-producing, suggesting viable reservoirs and seals for CO2 storage. The field is sealed by mudstones of the overlying Pagasa Formation</t>
  </si>
  <si>
    <t>The Philippines lacks a CCS-specific legal and regulatory framework and CCS-specific domestic policies or incentives; hence classified as inaccessible. The current study found that the Malampaya Gas Field had an estimated storage resource of 67.2 Mt CO2, with 57.1 Mt CO2 available today. Other publication used for this assessment/study is ADB 2013 report on Prospects for Carbon Capture and Storage in Southeast Asia</t>
  </si>
  <si>
    <t>Uzbekistan</t>
  </si>
  <si>
    <t>Amu-Darya Basin (onshore)</t>
  </si>
  <si>
    <t>Amu-Darya basin</t>
  </si>
  <si>
    <t>Amu-Dar'ya</t>
  </si>
  <si>
    <t xml:space="preserve">Jurassic (Southwestern Hisar), Cretaceous, 
Mesozoic (oil and gas in Bukhara-Khiva 
region) </t>
  </si>
  <si>
    <t>Kamolov, A., Turakulov, Z., Norkobilov, A., Variny, M., and Fallanza, M.  2024. Regional resource evaluation and distribution for onshore carbon dioxide storage and utilization in Uzbekistan, 10.21203/rs.3.rs-4557437/v1, https://www.researchgate.net/publication/381751756_Regional_resource_evaluation_and_distribution_for_onshore_carbon_dioxide_storage_and_utilization_in_Uzbekistan</t>
  </si>
  <si>
    <t>This site is in an earthquake-prone region. Any potential CO2 storage project will need to consider this carefully in risk assessments for containment. The basin has history of hydrocarbon presence and as such suitable seals are likely to exist through the basin.  Further investigations will be needed o characterise the seal.</t>
  </si>
  <si>
    <t>No specific developed, dedicated legal and legislative in place in Uzbekistan for CCS; therefore the site has been classified as inaccessible due to unvailbility of legal framework</t>
  </si>
  <si>
    <t>0.0051</t>
  </si>
  <si>
    <t xml:space="preserve">Carbon Sequestration Leadership Forum or CSLF </t>
  </si>
  <si>
    <t>Fergana Basin (onshore)</t>
  </si>
  <si>
    <t>Fergana basin</t>
  </si>
  <si>
    <t>Fergana</t>
  </si>
  <si>
    <t>No specific developed, dedicated legal and legislative in place in Uzbekistan for CCS;therefore the site has been classified as inaccessible due to unvailbility of legal framework</t>
  </si>
  <si>
    <t>Surkhandarya Basin (onshore)</t>
  </si>
  <si>
    <t>Surkhandarya basin</t>
  </si>
  <si>
    <t>Afghan - Tajik</t>
  </si>
  <si>
    <t xml:space="preserve">Paleogene </t>
  </si>
  <si>
    <t>East Ara Basin (onshore)</t>
  </si>
  <si>
    <t>East Ara basin</t>
  </si>
  <si>
    <t>Ustyur Basin (onshore)</t>
  </si>
  <si>
    <t>Ustyur basin</t>
  </si>
  <si>
    <t>Mangyshlak Basin (onshore)</t>
  </si>
  <si>
    <t>Mangyshlak basin</t>
  </si>
  <si>
    <t>0.0052</t>
  </si>
  <si>
    <t>Yemen</t>
  </si>
  <si>
    <t>Masila Basin</t>
  </si>
  <si>
    <t>S1A reservoir</t>
  </si>
  <si>
    <t>Say'un - Al Masila</t>
  </si>
  <si>
    <t>Upper Qishn Formation</t>
  </si>
  <si>
    <t>Late Jurassic and Early Cretaceous</t>
  </si>
  <si>
    <t>Alrassas, A. M., Thanh, H.V., Ren ,S.,  Sun, R., Le, N.N.H., and Lee, K.K, 2021. Integrated static modelling and dynamic simulation framework for CO2 storage capacity in upper Qishn Clastics, S1A reservoir, Yemen,</t>
  </si>
  <si>
    <t>The S1A structural pools are sealed by the overlying red Shale and Qishn Carbonate Formations</t>
  </si>
  <si>
    <t xml:space="preserve">Information on legality of geological CO2 storage in Yemen is not available/has not been specified. The site is therefore classified as inaccessible. </t>
  </si>
  <si>
    <t>Clastics</t>
  </si>
  <si>
    <t>Timor-Leste</t>
  </si>
  <si>
    <t>Bayu-Undan reservoir</t>
  </si>
  <si>
    <t>Bayu-Undan</t>
  </si>
  <si>
    <t>National Authority for Petroleum and Minerals . Carbon capture and storage (CCS)  , Presentation</t>
  </si>
  <si>
    <t xml:space="preserve">Opportunity to re-purpose existing wells and platforms with modificatiobs. New pipeline, CO2 separation, dehydration and compression facilities will be required in Australia to deliver CCS at Bayu-Undan. </t>
  </si>
  <si>
    <t xml:space="preserve"> Reservoir seals proven through containment of hydrocarbons for tens of millions of years. Detailed seal assessment will be needed for using any depleted reservoirs for storage, especially for legacy well issues. </t>
  </si>
  <si>
    <t xml:space="preserve"> Currently developing regulatory &amp; fiscal frameworks of Timor-Leste CCS Hub. Estimated storage capacity estimated to be &gt;250MtCO2 with potential for &gt;10Mtpa. Site has been classified as development not viable</t>
  </si>
  <si>
    <t>Bhutan</t>
  </si>
  <si>
    <t>There are no recorded storage sites for this country. Please refer to the report for full details.</t>
  </si>
  <si>
    <t>Kyrgyzstan</t>
  </si>
  <si>
    <t>Laos</t>
  </si>
  <si>
    <t>Tajikistan</t>
  </si>
  <si>
    <t>Turkmenistan</t>
  </si>
  <si>
    <t>Fiji</t>
  </si>
  <si>
    <t>Kiribati</t>
  </si>
  <si>
    <t>Marshall Islands</t>
  </si>
  <si>
    <t>Nauru</t>
  </si>
  <si>
    <t>Palau</t>
  </si>
  <si>
    <t>Solomon Islands</t>
  </si>
  <si>
    <t>Tonga</t>
  </si>
  <si>
    <t>Tuvalu</t>
  </si>
  <si>
    <t>Vanuatu</t>
  </si>
  <si>
    <t>Maldives</t>
  </si>
  <si>
    <t>Myanmar</t>
  </si>
  <si>
    <t>Nepal</t>
  </si>
  <si>
    <t>Mongolia</t>
  </si>
  <si>
    <t>Montenegro</t>
  </si>
  <si>
    <t>Malta</t>
  </si>
  <si>
    <t>Luxembourg</t>
  </si>
  <si>
    <t>Andorra</t>
  </si>
  <si>
    <t>San Marino</t>
  </si>
  <si>
    <t>Kosovo</t>
  </si>
  <si>
    <t>Liechtenstein</t>
  </si>
  <si>
    <t>Belarus</t>
  </si>
  <si>
    <t>Moldova</t>
  </si>
  <si>
    <t>Estonia</t>
  </si>
  <si>
    <t>Belize</t>
  </si>
  <si>
    <t>Bolivia</t>
  </si>
  <si>
    <t>Costa Rica</t>
  </si>
  <si>
    <t>Cuba</t>
  </si>
  <si>
    <t>Dominican Republic</t>
  </si>
  <si>
    <t>Ecuador</t>
  </si>
  <si>
    <t>El Salvador</t>
  </si>
  <si>
    <t>Guatemala</t>
  </si>
  <si>
    <t>Guyana</t>
  </si>
  <si>
    <t>Haiti</t>
  </si>
  <si>
    <t>Honduras</t>
  </si>
  <si>
    <t>Jamaica</t>
  </si>
  <si>
    <t>Nicaragua</t>
  </si>
  <si>
    <t>Panama</t>
  </si>
  <si>
    <t>Suriname</t>
  </si>
  <si>
    <t>Uruguay</t>
  </si>
  <si>
    <t>Paraguay</t>
  </si>
  <si>
    <t>Venezuela</t>
  </si>
  <si>
    <t>Bahrain</t>
  </si>
  <si>
    <t>Russia</t>
  </si>
  <si>
    <t>Angola</t>
  </si>
  <si>
    <t>Benin</t>
  </si>
  <si>
    <t>Burkina Faso</t>
  </si>
  <si>
    <t>Burundi</t>
  </si>
  <si>
    <t>Cabo Verde</t>
  </si>
  <si>
    <t>Cameroon</t>
  </si>
  <si>
    <t>Central African Republic</t>
  </si>
  <si>
    <t>Chad</t>
  </si>
  <si>
    <t>Comoros</t>
  </si>
  <si>
    <t>Congo, Democratic Republic of Congo Zaire</t>
  </si>
  <si>
    <t xml:space="preserve">Congo, </t>
  </si>
  <si>
    <t>Djibouti</t>
  </si>
  <si>
    <t>Equatorial Guinea</t>
  </si>
  <si>
    <t>Eritrea</t>
  </si>
  <si>
    <t>Eswatini</t>
  </si>
  <si>
    <t>Ethiopia</t>
  </si>
  <si>
    <t>Gambia</t>
  </si>
  <si>
    <t>Ghana</t>
  </si>
  <si>
    <t>Guinea</t>
  </si>
  <si>
    <t>Guinea-Bissau</t>
  </si>
  <si>
    <t>Ivory Coast</t>
  </si>
  <si>
    <t>Kenya</t>
  </si>
  <si>
    <t>Lesotho</t>
  </si>
  <si>
    <t>Liberia</t>
  </si>
  <si>
    <t>Madagascar</t>
  </si>
  <si>
    <t>Malawi</t>
  </si>
  <si>
    <t>Mali</t>
  </si>
  <si>
    <t>Mauritania</t>
  </si>
  <si>
    <t>Mauritius</t>
  </si>
  <si>
    <t>Namibia</t>
  </si>
  <si>
    <t>Niger</t>
  </si>
  <si>
    <t>Rwanda</t>
  </si>
  <si>
    <t>Sao Tome and Principe</t>
  </si>
  <si>
    <t>Senegal</t>
  </si>
  <si>
    <t>Seychelles</t>
  </si>
  <si>
    <t>Sierra Leone</t>
  </si>
  <si>
    <t>Somalia</t>
  </si>
  <si>
    <t>South Sudan</t>
  </si>
  <si>
    <t>Sudan</t>
  </si>
  <si>
    <t>Tanzania</t>
  </si>
  <si>
    <t>Togo</t>
  </si>
  <si>
    <t>Uganda</t>
  </si>
  <si>
    <t>Zambia</t>
  </si>
  <si>
    <t>Zimbabwe</t>
  </si>
  <si>
    <t>Finland</t>
  </si>
  <si>
    <t>Cyprus</t>
  </si>
  <si>
    <t>Nigeria</t>
  </si>
  <si>
    <t>Egypt</t>
  </si>
  <si>
    <t>Lebanon</t>
  </si>
  <si>
    <t>Syria</t>
  </si>
  <si>
    <t>Micronesia</t>
  </si>
  <si>
    <t>Papa New Guinea</t>
  </si>
  <si>
    <t>Tunisia</t>
  </si>
  <si>
    <t>Iraq</t>
  </si>
  <si>
    <t>Afghanistan</t>
  </si>
  <si>
    <t>Oman</t>
  </si>
  <si>
    <t xml:space="preserve"> Antigua and Barbuda</t>
  </si>
  <si>
    <t xml:space="preserve"> Armenia</t>
  </si>
  <si>
    <t>Azerbaijan</t>
  </si>
  <si>
    <t>Bahamas</t>
  </si>
  <si>
    <t>Barbados</t>
  </si>
  <si>
    <t xml:space="preserve">Dominica </t>
  </si>
  <si>
    <t>Grenada</t>
  </si>
  <si>
    <t>Iceland</t>
  </si>
  <si>
    <t>Libya</t>
  </si>
  <si>
    <t>Monaco</t>
  </si>
  <si>
    <t>There are no recorded storage sites for this country.</t>
  </si>
  <si>
    <t>Saint Kitts and Nevis</t>
  </si>
  <si>
    <t>Saint Lucia</t>
  </si>
  <si>
    <t>Saint Vincent and the Grenadines</t>
  </si>
  <si>
    <t>Samoa</t>
  </si>
  <si>
    <t>Singapore</t>
  </si>
  <si>
    <t xml:space="preserve">Turkey </t>
  </si>
  <si>
    <t>Vatican City</t>
  </si>
  <si>
    <t xml:space="preserve">There are no recorded storage sites for this country. </t>
  </si>
  <si>
    <t>Lake Maracaibo oil and gas fields</t>
  </si>
  <si>
    <t>Maracaibo</t>
  </si>
  <si>
    <t>Oil &amp; Gas Fields closed by 2050</t>
  </si>
  <si>
    <t>1.     International Energy Authority. 2008. CO2 capture and storage. A key carbon abatement option. ISBN 978-92-64-04140-0. https://www.oecd.org/content/dam/oecd/en/publications/reports/2008/10/co2-capture-and-storage-a-key-carbon-abatement-option_g1gh8ac4/9789264041417-en.pdf</t>
  </si>
  <si>
    <t>There is very limited literature and research in the public domain for CO2 storage in Venezuela and this places great uncertainty on the resource estimates. One study that does exists was performed in 2004  where Venezuela was reviewed as part of a global source to sink study in by Bradshaw and Dance. This high-level study reported that the majority of the potential CO2 storage capacity is in the eastern offshore areas and in Lake Maracaibo. The research, although highly theoretical, estimates 2.7 Gt storage space in the lake’s oil and gas fields. This is the only site entered into the CSRS and due to the lack of research and limited information on methodology, this resource estimate should be treated with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</si>
</sst>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3" x14ac:knownFonts="1">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theme="0" tint="-0.34998626667073579"/>
      <name val="Aptos Narrow"/>
      <family val="2"/>
      <scheme val="minor"/>
    </font>
    <font>
      <sz val="11"/>
      <name val="Aptos Narrow"/>
      <family val="2"/>
      <scheme val="minor"/>
    </font>
    <font>
      <sz val="11"/>
      <color theme="1"/>
      <name val="Calibri"/>
      <family val="2"/>
    </font>
    <font>
      <sz val="11"/>
      <color rgb="FF000000"/>
      <name val="Aptos Narrow"/>
      <family val="2"/>
      <scheme val="minor"/>
    </font>
    <font>
      <i/>
      <sz val="11"/>
      <color theme="1"/>
      <name val="Aptos Narrow"/>
      <family val="2"/>
      <scheme val="minor"/>
    </font>
    <font>
      <sz val="11"/>
      <name val="Aptos Narrow"/>
      <family val="2"/>
    </font>
    <font>
      <sz val="12"/>
      <color theme="1"/>
      <name val="Calibri"/>
      <family val="2"/>
    </font>
    <font>
      <b/>
      <sz val="9"/>
      <color indexed="81"/>
      <name val="Tahoma"/>
      <family val="2"/>
    </font>
    <font>
      <sz val="9"/>
      <color indexed="81"/>
      <name val="Tahoma"/>
      <family val="2"/>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rgb="FFD9E1F2"/>
        <bgColor rgb="FFD9E1F2"/>
      </patternFill>
    </fill>
  </fills>
  <borders count="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43">
    <xf numFmtId="0" fontId="0" fillId="0" borderId="0" xfId="0"/>
    <xf numFmtId="0" fontId="0" fillId="0" borderId="0" xfId="0" applyAlignment="1">
      <alignment horizontal="center" wrapText="1"/>
    </xf>
    <xf numFmtId="0" fontId="0" fillId="0" borderId="0" xfId="0" applyAlignment="1">
      <alignment horizontal="center" vertical="top" wrapText="1"/>
    </xf>
    <xf numFmtId="1" fontId="0" fillId="0" borderId="0" xfId="0" applyNumberFormat="1" applyAlignment="1">
      <alignment horizontal="center" wrapText="1"/>
    </xf>
    <xf numFmtId="0" fontId="0" fillId="5" borderId="0" xfId="0" applyFill="1" applyAlignment="1">
      <alignment horizontal="center" wrapText="1"/>
    </xf>
    <xf numFmtId="0" fontId="0" fillId="0" borderId="0" xfId="0" applyAlignment="1">
      <alignment horizontal="center"/>
    </xf>
    <xf numFmtId="0" fontId="0" fillId="0" borderId="0" xfId="0" applyAlignment="1">
      <alignment vertical="top"/>
    </xf>
    <xf numFmtId="1" fontId="0" fillId="0" borderId="0" xfId="0" applyNumberFormat="1"/>
    <xf numFmtId="0" fontId="2" fillId="3" borderId="0" xfId="2"/>
    <xf numFmtId="0" fontId="3" fillId="4" borderId="0" xfId="3"/>
    <xf numFmtId="0" fontId="1" fillId="2" borderId="0" xfId="1"/>
    <xf numFmtId="164" fontId="0" fillId="0" borderId="0" xfId="0" applyNumberFormat="1"/>
    <xf numFmtId="0" fontId="4" fillId="0" borderId="1" xfId="0" applyFont="1" applyBorder="1"/>
    <xf numFmtId="0" fontId="0" fillId="0" borderId="2" xfId="0" applyBorder="1"/>
    <xf numFmtId="0" fontId="0" fillId="0" borderId="3" xfId="0" applyBorder="1"/>
    <xf numFmtId="0" fontId="0" fillId="0" borderId="0" xfId="0" applyAlignment="1">
      <alignment horizontal="center" vertical="center" wrapText="1"/>
    </xf>
    <xf numFmtId="0" fontId="0" fillId="0" borderId="0" xfId="0" applyAlignment="1">
      <alignment horizontal="center" vertical="center"/>
    </xf>
    <xf numFmtId="1" fontId="0" fillId="0" borderId="0" xfId="0" applyNumberFormat="1" applyAlignment="1">
      <alignment horizontal="center" vertical="center" wrapText="1"/>
    </xf>
    <xf numFmtId="165" fontId="0" fillId="0" borderId="0" xfId="0" applyNumberFormat="1" applyAlignment="1">
      <alignment horizontal="center" vertical="center" wrapText="1"/>
    </xf>
    <xf numFmtId="2" fontId="0" fillId="0" borderId="0" xfId="0" applyNumberFormat="1"/>
    <xf numFmtId="2" fontId="0" fillId="6" borderId="0" xfId="0" applyNumberFormat="1" applyFill="1"/>
    <xf numFmtId="0" fontId="0" fillId="0" borderId="0" xfId="0" applyAlignment="1">
      <alignment wrapText="1"/>
    </xf>
    <xf numFmtId="2" fontId="5" fillId="0" borderId="0" xfId="0" applyNumberFormat="1" applyFont="1"/>
    <xf numFmtId="0" fontId="5" fillId="0" borderId="0" xfId="0" applyFont="1"/>
    <xf numFmtId="0" fontId="6" fillId="0" borderId="0" xfId="0" applyFont="1"/>
    <xf numFmtId="0" fontId="0" fillId="0" borderId="0" xfId="0" quotePrefix="1"/>
    <xf numFmtId="2" fontId="6" fillId="0" borderId="0" xfId="0" applyNumberFormat="1" applyFont="1"/>
    <xf numFmtId="0" fontId="0" fillId="0" borderId="0" xfId="0" applyAlignment="1">
      <alignment vertical="top" wrapText="1"/>
    </xf>
    <xf numFmtId="0" fontId="5" fillId="0" borderId="0" xfId="3" applyFont="1" applyFill="1"/>
    <xf numFmtId="0" fontId="5" fillId="0" borderId="0" xfId="3" applyFont="1" applyFill="1" applyAlignment="1">
      <alignment vertical="top"/>
    </xf>
    <xf numFmtId="0" fontId="5" fillId="0" borderId="0" xfId="1" applyFont="1" applyFill="1"/>
    <xf numFmtId="0" fontId="5" fillId="0" borderId="0" xfId="3" applyFont="1" applyFill="1" applyAlignment="1">
      <alignment wrapText="1"/>
    </xf>
    <xf numFmtId="9" fontId="0" fillId="0" borderId="0" xfId="0" applyNumberFormat="1"/>
    <xf numFmtId="9" fontId="0" fillId="0" borderId="0" xfId="0" applyNumberFormat="1" applyAlignment="1">
      <alignment vertical="top"/>
    </xf>
    <xf numFmtId="2" fontId="0" fillId="0" borderId="0" xfId="0" applyNumberFormat="1" applyAlignment="1">
      <alignment horizontal="center"/>
    </xf>
    <xf numFmtId="0" fontId="1" fillId="0" borderId="0" xfId="1" applyFill="1"/>
    <xf numFmtId="0" fontId="0" fillId="6" borderId="0" xfId="0" applyFill="1"/>
    <xf numFmtId="0" fontId="0" fillId="7" borderId="0" xfId="0" applyFill="1"/>
    <xf numFmtId="9" fontId="0" fillId="0" borderId="0" xfId="0" applyNumberFormat="1" applyAlignment="1">
      <alignment wrapText="1"/>
    </xf>
    <xf numFmtId="0" fontId="7" fillId="0" borderId="0" xfId="0" applyFont="1"/>
    <xf numFmtId="0" fontId="7" fillId="8" borderId="0" xfId="0" applyFont="1" applyFill="1"/>
    <xf numFmtId="0" fontId="10" fillId="0" borderId="0" xfId="0" applyFont="1" applyAlignment="1">
      <alignment horizontal="left" vertical="center" indent="2"/>
    </xf>
    <xf numFmtId="0" fontId="0" fillId="0" borderId="0" xfId="0" applyAlignment="1">
      <alignment horizontal="left" vertical="center"/>
    </xf>
  </cellXfs>
  <cellStyles count="4">
    <cellStyle name="Bad" xfId="2" builtinId="27"/>
    <cellStyle name="Good" xfId="1" builtinId="26"/>
    <cellStyle name="Neutral" xfId="3" builtinId="28"/>
    <cellStyle name="Normal" xfId="0" builtinId="0"/>
  </cellStyles>
  <dxfs count="197">
    <dxf>
      <font>
        <b/>
        <i val="0"/>
        <strike val="0"/>
        <condense val="0"/>
        <extend val="0"/>
        <outline val="0"/>
        <shadow val="0"/>
        <u val="none"/>
        <vertAlign val="baseline"/>
        <sz val="11"/>
        <color theme="1"/>
        <name val="Aptos Narrow"/>
        <family val="2"/>
        <scheme val="minor"/>
      </font>
      <numFmt numFmtId="2" formatCode="0.00"/>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fill>
        <patternFill patternType="solid">
          <fgColor indexed="64"/>
          <bgColor theme="2" tint="-9.9978637043366805E-2"/>
        </patternFill>
      </fill>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numFmt numFmtId="2" formatCode="0.00"/>
      <fill>
        <patternFill patternType="solid">
          <fgColor indexed="64"/>
          <bgColor theme="2" tint="-9.9978637043366805E-2"/>
        </patternFill>
      </fill>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numFmt numFmtId="2" formatCode="0.00"/>
      <fill>
        <patternFill patternType="solid">
          <fgColor indexed="64"/>
          <bgColor theme="2" tint="-9.9978637043366805E-2"/>
        </patternFill>
      </fill>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numFmt numFmtId="2" formatCode="0.00"/>
      <fill>
        <patternFill patternType="solid">
          <fgColor indexed="64"/>
          <bgColor theme="2" tint="-9.9978637043366805E-2"/>
        </patternFill>
      </fill>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numFmt numFmtId="2" formatCode="0.00"/>
      <fill>
        <patternFill patternType="solid">
          <fgColor indexed="64"/>
          <bgColor theme="2" tint="-9.9978637043366805E-2"/>
        </patternFill>
      </fill>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fill>
        <patternFill patternType="solid">
          <fgColor indexed="64"/>
          <bgColor theme="2" tint="-9.9978637043366805E-2"/>
        </patternFill>
      </fill>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numFmt numFmtId="2" formatCode="0.00"/>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rgb="FF006100"/>
        <name val="Aptos Narrow"/>
        <family val="2"/>
        <scheme val="minor"/>
      </font>
      <fill>
        <patternFill patternType="solid">
          <fgColor indexed="64"/>
          <bgColor rgb="FFC6EFCE"/>
        </patternFill>
      </fill>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numFmt numFmtId="2" formatCode="0.00"/>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numFmt numFmtId="2" formatCode="0.00"/>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numFmt numFmtId="2" formatCode="0.00"/>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0" formatCode="General"/>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2" formatCode="0.00"/>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0" formatCode="General"/>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1" formatCode="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1" formatCode="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1" formatCode="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1" formatCode="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13" formatCode="0%"/>
      <fill>
        <patternFill patternType="none">
          <fgColor indexed="64"/>
          <bgColor auto="1"/>
        </patternFill>
      </fill>
      <alignment textRotation="0" wrapText="0" indent="0" justifyLastLine="0" shrinkToFit="0" readingOrder="0"/>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alignment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alignment textRotation="0" wrapText="0" indent="0" justifyLastLine="0" shrinkToFit="0" readingOrder="0"/>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alignment textRotation="0" wrapText="0" indent="0" justifyLastLine="0" shrinkToFit="0" readingOrder="0"/>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alignment vertical="top" textRotation="0" indent="0" justifyLastLine="0" shrinkToFit="0" readingOrder="0"/>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13" formatCode="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13" formatCode="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13" formatCode="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13" formatCode="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13" formatCode="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numFmt numFmtId="30" formatCode="@"/>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13" formatCode="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numFmt numFmtId="13" formatCode="0%"/>
      <fill>
        <patternFill patternType="none">
          <fgColor indexed="64"/>
          <bgColor auto="1"/>
        </patternFill>
      </fill>
    </dxf>
    <dxf>
      <font>
        <b/>
        <i val="0"/>
        <strike val="0"/>
        <condense val="0"/>
        <extend val="0"/>
        <outline val="0"/>
        <shadow val="0"/>
        <u val="none"/>
        <vertAlign val="baseline"/>
        <sz val="11"/>
        <color theme="1"/>
        <name val="Aptos Narrow"/>
        <family val="2"/>
        <scheme val="minor"/>
      </font>
    </dxf>
    <dxf>
      <fill>
        <patternFill patternType="none">
          <fgColor indexed="64"/>
          <bgColor auto="1"/>
        </patternFill>
      </fill>
    </dxf>
    <dxf>
      <font>
        <b/>
      </font>
      <numFmt numFmtId="2" formatCode="0.00"/>
      <fill>
        <patternFill patternType="solid">
          <fgColor indexed="64"/>
          <bgColor theme="2" tint="-9.9978637043366805E-2"/>
        </patternFill>
      </fill>
    </dxf>
    <dxf>
      <fill>
        <patternFill patternType="none">
          <fgColor indexed="64"/>
          <bgColor auto="1"/>
        </patternFill>
      </fill>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halliburton-my.sharepoint.com/personal/kate_evans_halliburton_com/Documents/Documents/CCS/HAL%20CONS%20CCS/CRSC/Copy%20of%20CSRC_Database_Cycle_5_6_JUNE_25_working12&#173;_Sonia.xlsm" TargetMode="External"/><Relationship Id="rId1" Type="http://schemas.openxmlformats.org/officeDocument/2006/relationships/externalLinkPath" Target="https://halliburton-my.sharepoint.com/personal/kate_evans_halliburton_com/Documents/Documents/CCS/HAL%20CONS%20CCS/CRSC/Copy%20of%20CSRC_Database_Cycle_5_6_JUNE_25_working12&#173;_Sonia.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alliburton-my.sharepoint.com/personal/kate_evans_halliburton_com/Documents/Documents/CCS/HAL%20CONS%20CCS/CRSC/Cycle%205%20&amp;%206/Copy%20of%20CSRC_Database_Cycle_5_6_2025_DATA_ONLY_Kate.xlsm" TargetMode="External"/><Relationship Id="rId1" Type="http://schemas.openxmlformats.org/officeDocument/2006/relationships/externalLinkPath" Target="https://halliburton-my.sharepoint.com/personal/kate_evans_halliburton_com/Documents/Documents/CCS/HAL%20CONS%20CCS/CRSC/Cycle%205%20&amp;%206/Copy%20of%20CSRC_Database_Cycle_5_6_2025_DATA_ONLY_Kate.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halliburton-my.sharepoint.com/personal/kate_evans_halliburton_com/Documents/Documents/CCS/HAL%20CONS%20CCS/CRSC/Copy%20of%20CSRC_Database_Cycle_5_AUG2025_FINAL.xlsm" TargetMode="External"/><Relationship Id="rId1" Type="http://schemas.openxmlformats.org/officeDocument/2006/relationships/externalLinkPath" Target="https://halliburton-my.sharepoint.com/personal/kate_evans_halliburton_com/Documents/Documents/CCS/HAL%20CONS%20CCS/CRSC/Copy%20of%20CSRC_Database_Cycle_5_AUG2025_FIN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Table"/>
      <sheetName val="Analysis_Cycle_3"/>
      <sheetName val="Cycle 3 Sites Summary"/>
      <sheetName val="Country Comb Plot"/>
      <sheetName val="Country Comb Plot (2)"/>
      <sheetName val="Global pie by site"/>
      <sheetName val="Global tower plot"/>
      <sheetName val="Global tower plot projects"/>
      <sheetName val="Global log+linear bar chart"/>
      <sheetName val="Global log+linear (projects)"/>
      <sheetName val="Petroleum-Saline bar chart"/>
      <sheetName val="Projects bar chart"/>
      <sheetName val="SRMS"/>
      <sheetName val="Lists"/>
      <sheetName val="Engine"/>
      <sheetName val="Meta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Table"/>
      <sheetName val="SRMS"/>
      <sheetName val="Lists"/>
      <sheetName val="Metadata"/>
      <sheetName val="Copy of CSRC_Database_Cycle_5_6"/>
    </sheetNames>
    <sheetDataSet>
      <sheetData sheetId="0"/>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Table"/>
      <sheetName val="Analysis_Cycle_3"/>
      <sheetName val="Cycle 3 Sites Summary"/>
      <sheetName val="Country Comb Plot"/>
      <sheetName val="Country Comb Plot (2)"/>
      <sheetName val="Global pie by site"/>
      <sheetName val="Global tower plot"/>
      <sheetName val="Global tower plot projects"/>
      <sheetName val="Global log+linear bar chart"/>
      <sheetName val="Global log+linear (projects)"/>
      <sheetName val="Petroleum-Saline bar chart"/>
      <sheetName val="Projects bar chart"/>
      <sheetName val="SRMS"/>
      <sheetName val="Lists"/>
      <sheetName val="Engine"/>
      <sheetName val="Metadata"/>
    </sheetNames>
    <sheetDataSet>
      <sheetData sheetId="0"/>
      <sheetData sheetId="1"/>
      <sheetData sheetId="2"/>
      <sheetData sheetId="3"/>
      <sheetData sheetId="4"/>
      <sheetData sheetId="5"/>
      <sheetData sheetId="8"/>
      <sheetData sheetId="9"/>
      <sheetData sheetId="12"/>
      <sheetData sheetId="13"/>
      <sheetData sheetId="14"/>
      <sheetData sheetId="1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768CC6-A990-4643-A146-18C9A1344185}" name="Table1" displayName="Table1" ref="A3:CS1553" totalsRowShown="0" headerRowDxfId="196" dataDxfId="195" totalsRowDxfId="194">
  <autoFilter ref="A3:CS1553" xr:uid="{0C768CC6-A990-4643-A146-18C9A1344185}"/>
  <tableColumns count="97">
    <tableColumn id="1" xr3:uid="{2F11811F-757D-47F5-992C-EDAED233E159}" name="Code" dataDxfId="193" totalsRowDxfId="192"/>
    <tableColumn id="2" xr3:uid="{F5D27E84-47F0-4BAB-BDC0-25C3C6D4161B}" name="Country" dataDxfId="191" totalsRowDxfId="190"/>
    <tableColumn id="3" xr3:uid="{6C5BE572-CA01-4F5F-8741-57A17E845C9E}" name="Area" dataDxfId="189" totalsRowDxfId="188"/>
    <tableColumn id="4" xr3:uid="{13D58EC1-0C4A-468D-9DE0-0DB5698F2B37}" name="Latitude" dataDxfId="187" totalsRowDxfId="186"/>
    <tableColumn id="5" xr3:uid="{D5ECFB3C-05FA-45FD-9D49-D811C2FD04E4}" name="Longitude" dataDxfId="185" totalsRowDxfId="184"/>
    <tableColumn id="6" xr3:uid="{2F17F806-2FB1-4574-9A21-721AD8432078}" name="Site Name" dataDxfId="183" totalsRowDxfId="182"/>
    <tableColumn id="7" xr3:uid="{7CA4270C-A674-48A4-974E-DE7C2B80EB00}" name="Basin" dataDxfId="181" totalsRowDxfId="180"/>
    <tableColumn id="8" xr3:uid="{B07768C1-AA86-48E6-AC54-4827F40455DD}" name="Formation" dataDxfId="179" totalsRowDxfId="178"/>
    <tableColumn id="9" xr3:uid="{30561EB6-4375-427D-A96C-5289AD7565DB}" name="Unit Designation" dataDxfId="177" totalsRowDxfId="176"/>
    <tableColumn id="10" xr3:uid="{170BA246-CB35-4B12-B6A5-9154B932BDA9}" name="Type" dataDxfId="175" totalsRowDxfId="174"/>
    <tableColumn id="11" xr3:uid="{E4D767C2-1B4E-4834-A413-5275A7349A76}" name="Storage Unit Type" dataDxfId="173" totalsRowDxfId="172"/>
    <tableColumn id="12" xr3:uid="{8E3FBE1F-4A2D-4AB7-8148-9B8075477934}" name="Discovery Status" dataDxfId="171" totalsRowDxfId="170"/>
    <tableColumn id="13" xr3:uid="{F6E2F7D4-E3D6-41A2-BEFF-BA56820C4FAB}" name="Age" dataDxfId="169" totalsRowDxfId="168"/>
    <tableColumn id="14" xr3:uid="{F06145E9-20F8-4BF0-B4A9-51777E2F8345}" name="Publication" dataDxfId="167" totalsRowDxfId="166"/>
    <tableColumn id="15" xr3:uid="{08AE66BD-FAA1-4853-ABBB-592C01AB9A14}" name="Project History" dataDxfId="165" totalsRowDxfId="164"/>
    <tableColumn id="16" xr3:uid="{2FE43B48-573D-451B-A784-B61F0354536F}" name="Development Plan" dataDxfId="163" totalsRowDxfId="162"/>
    <tableColumn id="17" xr3:uid="{571ADEF6-1301-46CB-86A6-AE995917E537}" name="Containment Summary" dataDxfId="161" totalsRowDxfId="160"/>
    <tableColumn id="18" xr3:uid="{F8F0D902-1A27-4EF7-BD13-85B52500CB76}" name="Assessment Notes" dataDxfId="159" totalsRowDxfId="158"/>
    <tableColumn id="19" xr3:uid="{AF62836E-C788-4436-A5C7-29EEC2D910BE}" name="Year of Publication" dataDxfId="157" totalsRowDxfId="156"/>
    <tableColumn id="20" xr3:uid="{698B14E7-4E0E-44F2-9B5D-AB0D87EE8DBF}" name="Cycle No." dataDxfId="155" totalsRowDxfId="154"/>
    <tableColumn id="21" xr3:uid="{C9695EE0-768B-4A1C-B85A-C41239DC49B9}" name="Author" dataDxfId="153" totalsRowDxfId="152"/>
    <tableColumn id="22" xr3:uid="{C0527615-2AB7-400C-8A69-CF94249BF279}" name="Site Area km2" dataDxfId="151" totalsRowDxfId="150"/>
    <tableColumn id="23" xr3:uid="{F4DD2406-BF71-4D07-AA62-9FCE48BA8961}" name="Depth m" dataDxfId="149" totalsRowDxfId="148"/>
    <tableColumn id="24" xr3:uid="{825FF9B9-A788-4740-A65A-1BB0C49D183F}" name="Thickness m" dataDxfId="147" totalsRowDxfId="146"/>
    <tableColumn id="25" xr3:uid="{EA92348E-B831-439A-9B76-150881835032}" name="NTG %" dataDxfId="145" totalsRowDxfId="144"/>
    <tableColumn id="26" xr3:uid="{17ED2880-07D9-4D28-8CD1-00A46E2A2B33}" name="Porosity %" dataDxfId="143" totalsRowDxfId="142"/>
    <tableColumn id="27" xr3:uid="{02212BC2-4521-4F4A-BC9F-3558067B003D}" name="Permeability mD" dataDxfId="141" totalsRowDxfId="140"/>
    <tableColumn id="28" xr3:uid="{6FB6772F-B2D0-44FC-A396-3F3F11C8AFC7}" name="Brine Salinity" dataDxfId="139" totalsRowDxfId="138"/>
    <tableColumn id="29" xr3:uid="{4D87C068-DBC3-42A3-87E5-AE5F3991BABF}" name="CO2 Density KG/m3" dataDxfId="137" totalsRowDxfId="136"/>
    <tableColumn id="30" xr3:uid="{34AF7314-8722-4DC8-9AAE-EABAE0911896}" name="Well Count" dataDxfId="135" totalsRowDxfId="134"/>
    <tableColumn id="31" xr3:uid="{0A208DDD-C561-4264-9561-8CDCF6B9C681}" name="Well Density" dataDxfId="133" totalsRowDxfId="132"/>
    <tableColumn id="32" xr3:uid="{7091C8CD-4D4D-42B5-94AC-C266FCF01E0D}" name="Single Well Discovery Area" dataDxfId="131" totalsRowDxfId="130"/>
    <tableColumn id="33" xr3:uid="{048ABCD4-E826-4EDF-A0A0-A2088B71CD7F}" name="Pressure Mpa" dataDxfId="129" totalsRowDxfId="128"/>
    <tableColumn id="34" xr3:uid="{17C0ADAC-F701-414E-B391-203A555107D2}" name="Source of Storage Efficiency Factor" dataDxfId="127" totalsRowDxfId="126"/>
    <tableColumn id="35" xr3:uid="{05281B9E-527B-4F61-BB6D-DE72DED854DC}" name="Storage Efficiency %" dataDxfId="125" totalsRowDxfId="124"/>
    <tableColumn id="36" xr3:uid="{8596B443-9648-48D1-87C8-F7632E84A535}" name="Pore Compressibility" dataDxfId="123" totalsRowDxfId="122"/>
    <tableColumn id="37" xr3:uid="{001DFF8D-9204-443A-BC79-BE37324378BB}" name="Frac Pressure Mpa" dataDxfId="121" totalsRowDxfId="120"/>
    <tableColumn id="38" xr3:uid="{A095B33D-B74C-4871-87C8-95FF26F9EE91}" name="Pre-Injection Pressure Mpa" dataDxfId="119" totalsRowDxfId="118"/>
    <tableColumn id="39" xr3:uid="{B1D7AE14-9EC6-49DF-B667-EA8F8170908D}" name="Source of Analogue" dataDxfId="117" totalsRowDxfId="116"/>
    <tableColumn id="40" xr3:uid="{89770310-160C-4071-A685-13185B036BFB}" name="Assessment" dataDxfId="115" totalsRowDxfId="114"/>
    <tableColumn id="42" xr3:uid="{4F3C9FD5-898A-4382-97A7-C856B2B9CC0E}" name="Low" dataDxfId="113" totalsRowDxfId="112"/>
    <tableColumn id="59" xr3:uid="{11B1886F-C2A8-443B-AB6F-C055DDB22AB4}" name="Mid" dataDxfId="111" totalsRowDxfId="110"/>
    <tableColumn id="58" xr3:uid="{66D2A4E1-1A75-4919-A60B-8D45407D65F3}" name="High" dataDxfId="109" totalsRowDxfId="108"/>
    <tableColumn id="43" xr3:uid="{8FE4ED1C-2EEE-424A-987A-C1C04C83FB1C}" name="Low2" dataDxfId="107" totalsRowDxfId="106"/>
    <tableColumn id="61" xr3:uid="{4C418EBA-B467-447F-87BB-BC70C1C51DCE}" name="Mid3" dataDxfId="105" totalsRowDxfId="104"/>
    <tableColumn id="60" xr3:uid="{9822CC4E-AB0D-41E3-8C4B-C539D91F7A2E}" name="High4" dataDxfId="103" totalsRowDxfId="102"/>
    <tableColumn id="44" xr3:uid="{D4473CCE-1F9E-4AE8-B174-B5047075CE31}" name="Low5" dataDxfId="101" totalsRowDxfId="100"/>
    <tableColumn id="62" xr3:uid="{8B2E8F29-2E28-452A-8416-CE3A0F55C3A6}" name="Mid6" dataDxfId="99" totalsRowDxfId="98"/>
    <tableColumn id="63" xr3:uid="{373485C5-2C53-47E7-8B05-8DCC222471EA}" name="High7" dataDxfId="97" totalsRowDxfId="96"/>
    <tableColumn id="45" xr3:uid="{537CB14B-7A58-46C5-A225-3090807374D9}" name="Low8" dataDxfId="95" totalsRowDxfId="94"/>
    <tableColumn id="64" xr3:uid="{7DBC2F40-62EE-459C-802F-3B4D58B7B017}" name="Mid9" dataDxfId="93" totalsRowDxfId="92"/>
    <tableColumn id="65" xr3:uid="{A30584AA-CC42-4F75-949C-05FBBB0737BE}" name="High10" dataDxfId="91" totalsRowDxfId="90"/>
    <tableColumn id="46" xr3:uid="{24992014-7763-4C24-8A1F-C21C086EB8C0}" name="Low11" dataDxfId="89" totalsRowDxfId="88"/>
    <tableColumn id="66" xr3:uid="{D68A57C6-452E-4CCF-8CB9-093011D6A78F}" name="Mid12" dataDxfId="87" totalsRowDxfId="86"/>
    <tableColumn id="67" xr3:uid="{7A305A16-AD9B-490D-B9EC-BDDEE80ADBFC}" name="High13" dataDxfId="85" totalsRowDxfId="84"/>
    <tableColumn id="47" xr3:uid="{A6ACB3B8-E4A6-413B-8DA3-523B600B2AFE}" name="Low14" dataDxfId="83" totalsRowDxfId="82"/>
    <tableColumn id="68" xr3:uid="{09B1C1E0-04A5-46B7-AAA9-B9435DF64E70}" name="Mid15" dataDxfId="81" totalsRowDxfId="80"/>
    <tableColumn id="69" xr3:uid="{FA0D8705-430E-47E1-8D95-0C56B9B697FD}" name="High16" dataDxfId="79" totalsRowDxfId="78"/>
    <tableColumn id="48" xr3:uid="{B231C5AA-901E-42CB-8D24-511FD2BAA50F}" name="Low17" dataDxfId="77" totalsRowDxfId="76"/>
    <tableColumn id="70" xr3:uid="{ADFCC570-D9BC-4051-AFFB-CDBF5F1C1429}" name="Mid18" dataDxfId="75" totalsRowDxfId="74"/>
    <tableColumn id="71" xr3:uid="{4AC9D860-22B6-431C-A491-2E34ECC2B246}" name="High19" dataDxfId="73" totalsRowDxfId="72"/>
    <tableColumn id="49" xr3:uid="{29B401CC-3F60-4F40-B45B-40EB69E595E3}" name="Low20" dataDxfId="71" totalsRowDxfId="70"/>
    <tableColumn id="72" xr3:uid="{A485C3FB-B2AB-4C16-A558-86DD82BD353A}" name="Mid21" dataDxfId="69" totalsRowDxfId="68"/>
    <tableColumn id="73" xr3:uid="{A56EF0BF-DD30-4F1C-B98C-199FFA18EE8E}" name="High22" dataDxfId="67" totalsRowDxfId="66"/>
    <tableColumn id="50" xr3:uid="{90E05FEF-7DCB-4522-80C5-C1FFFCD2FAEA}" name="Low23" dataDxfId="65" totalsRowDxfId="64"/>
    <tableColumn id="74" xr3:uid="{189B9C63-FFB7-44F4-85DF-54F2FB1B39D8}" name="Mid24" dataDxfId="63" totalsRowDxfId="62"/>
    <tableColumn id="75" xr3:uid="{6CAF92FC-0D8E-4470-9034-6E899E7055E5}" name="High25" dataDxfId="61" totalsRowDxfId="60"/>
    <tableColumn id="51" xr3:uid="{92DEB736-2815-4D6C-88D8-2FC6F6B49473}" name="Low26" dataDxfId="59" totalsRowDxfId="58"/>
    <tableColumn id="76" xr3:uid="{6161C070-3C96-479F-9663-6B404B7E7635}" name="Mid27" dataDxfId="57" totalsRowDxfId="56"/>
    <tableColumn id="77" xr3:uid="{9603D9E2-56FB-4FD5-AEFF-4DA64AAF471B}" name="High28" dataDxfId="55" totalsRowDxfId="54"/>
    <tableColumn id="52" xr3:uid="{3D903675-B718-4776-90D5-FF09D5643DD5}" name="Low29" dataDxfId="53" totalsRowDxfId="52"/>
    <tableColumn id="78" xr3:uid="{D514464E-C36A-4316-A6CD-E25368933786}" name="Mid30" dataDxfId="51" totalsRowDxfId="50"/>
    <tableColumn id="79" xr3:uid="{DBF66F09-82CC-4CA5-B64B-CEE56C3F0610}" name="High31" dataDxfId="49" totalsRowDxfId="48"/>
    <tableColumn id="53" xr3:uid="{EDE03F55-D126-4097-B857-1ACC854720FF}" name="Low32" dataDxfId="47" totalsRowDxfId="46"/>
    <tableColumn id="80" xr3:uid="{3CAA205A-DB7B-47C9-B6D6-97F26EEB073A}" name="Mid33" dataDxfId="45" totalsRowDxfId="44"/>
    <tableColumn id="81" xr3:uid="{759CA335-1750-4D1B-A80E-B9F4D65E6FAC}" name="High34" dataDxfId="43" totalsRowDxfId="42"/>
    <tableColumn id="54" xr3:uid="{20022EED-CCAB-479D-8B41-0DA7982A6ABD}" name="Low35" dataDxfId="41" totalsRowDxfId="40"/>
    <tableColumn id="82" xr3:uid="{8C37FBA5-B690-44D9-992F-AD7C08A83A4C}" name="Mid36" dataDxfId="39" totalsRowDxfId="38"/>
    <tableColumn id="83" xr3:uid="{09164C22-D974-4FC0-BCA9-483C566ABCF2}" name="High37" dataDxfId="37" totalsRowDxfId="36"/>
    <tableColumn id="84" xr3:uid="{FB99F396-7CFE-4D97-A1FF-2D51DBD7DE0F}" name="Low38" dataDxfId="35" totalsRowDxfId="34"/>
    <tableColumn id="85" xr3:uid="{23D928DE-5349-4E36-BD7A-6D340836B3B9}" name="Mid39" dataDxfId="33" totalsRowDxfId="32"/>
    <tableColumn id="86" xr3:uid="{EB485A84-F5C7-4239-906D-C02F62C52F67}" name="High40" dataDxfId="31" totalsRowDxfId="30"/>
    <tableColumn id="87" xr3:uid="{9AAE3908-D5F6-470A-AB88-8DA141CB546C}" name="Low41" dataDxfId="29" totalsRowDxfId="28">
      <calculatedColumnFormula>SUM(Table1[[#This Row],[Low38]],Table1[[#This Row],[Low35]],Table1[[#This Row],[Low32]],Table1[[#This Row],[Low29]],Table1[[#This Row],[Low26]],Table1[[#This Row],[Low23]],Table1[[#This Row],[Low20]],Table1[[#This Row],[Low17]],Table1[[#This Row],[Low14]],Table1[[#This Row],[Low11]],Table1[[#This Row],[Low8]],Table1[[#This Row],[Low5]],Table1[[#This Row],[Low2]],Table1[[#This Row],[Low]])</calculatedColumnFormula>
    </tableColumn>
    <tableColumn id="88" xr3:uid="{62FA7820-75B7-47D7-A679-21DAA261D320}" name="Mid42" dataDxfId="27" totalsRowDxfId="26">
      <calculatedColumnFormula>SUM(Table1[[#This Row],[Low38]],Table1[[#This Row],[Low35]],Table1[[#This Row],[Low32]],Table1[[#This Row],[Low29]],Table1[[#This Row],[Low26]],Table1[[#This Row],[Low23]],Table1[[#This Row],[Low20]],Table1[[#This Row],[Low17]],Table1[[#This Row],[Low14]],Table1[[#This Row],[Low11]],Table1[[#This Row],[Low8]],Table1[[#This Row],[Low5]],Table1[[#This Row],[Low2]],Table1[[#This Row],[Low]])</calculatedColumnFormula>
    </tableColumn>
    <tableColumn id="55" xr3:uid="{D924FC2B-92EE-4E0D-AF61-1D8B546E3EF3}" name="High43" dataDxfId="25" totalsRowDxfId="24">
      <calculatedColumnFormula>SUM(Table1[[#This Row],[High40]],Table1[[#This Row],[High37]],Table1[[#This Row],[High34]],Table1[[#This Row],[High31]],Table1[[#This Row],[High28]],Table1[[#This Row],[High25]],Table1[[#This Row],[High22]],Table1[[#This Row],[High19]],Table1[[#This Row],[High16]],Table1[[#This Row],[High13]],Table1[[#This Row],[High10]],Table1[[#This Row],[High7]],Table1[[#This Row],[High4]],Table1[[#This Row],[High]])</calculatedColumnFormula>
    </tableColumn>
    <tableColumn id="41" xr3:uid="{B655AC02-DB57-416D-9BEF-13B6AD62FBEE}" name="Flowtest" dataDxfId="23" totalsRowDxfId="22"/>
    <tableColumn id="56" xr3:uid="{E07E9DD2-F5BE-4D72-A65C-6A2EBBB1E5E5}" name="Rocktype" dataDxfId="21" totalsRowDxfId="20" dataCellStyle="Good"/>
    <tableColumn id="57" xr3:uid="{C23789E2-AD1A-43DA-9974-B92D11F80969}" name="Project Spec" dataDxfId="19" totalsRowDxfId="18"/>
    <tableColumn id="89" xr3:uid="{E3F1D385-C72F-43DB-9C88-12A10258C19F}" name="P50 Pore Volume MMCUM" dataDxfId="17" totalsRowDxfId="16"/>
    <tableColumn id="90" xr3:uid="{7EC52986-6DC4-489B-BDF2-DD6A64AB8504}" name="Proportion of site considered discovered" dataDxfId="15" totalsRowDxfId="14">
      <calculatedColumnFormula>IF(Table1[[#This Row],[Type]]="Petroleum",1,IF(ISERROR(Table1[[#This Row],[Well Density]]*Table1[[#This Row],[Single Well Discovery Area]]),"",IF(Table1[[#This Row],[Well Density]]*Table1[[#This Row],[Single Well Discovery Area]]&gt;1,1,Table1[[#This Row],[Well Density]]*Table1[[#This Row],[Single Well Discovery Area]])))</calculatedColumnFormula>
    </tableColumn>
    <tableColumn id="91" xr3:uid="{94068ABF-A224-44B4-BA2C-9D1C7CBE1FD7}" name="Simulation Model" dataDxfId="13" totalsRowDxfId="12"/>
    <tableColumn id="92" xr3:uid="{B1A455E7-157A-4D4A-823A-9E80E378A138}" name="Stored" dataDxfId="11" totalsRowDxfId="10">
      <calculatedColumnFormula>Table1[[#This Row],[Mid]]</calculatedColumnFormula>
    </tableColumn>
    <tableColumn id="93" xr3:uid="{66C66FB9-4240-44FB-87EE-5ACBA5F7933A}" name="Capacity" dataDxfId="9" totalsRowDxfId="8">
      <calculatedColumnFormula>Table1[[#This Row],[Mid3]]+Table1[[#This Row],[Mid6]]+Table1[[#This Row],[Mid9]]</calculatedColumnFormula>
    </tableColumn>
    <tableColumn id="94" xr3:uid="{1CC64A34-2E25-4B4B-8159-EAEB817250FC}" name="Sub-Commercial" dataDxfId="7" totalsRowDxfId="6">
      <calculatedColumnFormula>Table1[[#This Row],[Mid12]]+Table1[[#This Row],[Mid15]]+Table1[[#This Row],[Mid18]]+Table1[[#This Row],[Mid21]]+Table1[[#This Row],[Mid24]]</calculatedColumnFormula>
    </tableColumn>
    <tableColumn id="95" xr3:uid="{75FA60F9-9003-4231-8D83-00B4631A7CA4}" name="Undiscovered" dataDxfId="5" totalsRowDxfId="4">
      <calculatedColumnFormula>Table1[[#This Row],[Mid27]]+Table1[[#This Row],[Mid30]]+Table1[[#This Row],[Mid33]]+Table1[[#This Row],[Mid36]]+Table1[[#This Row],[Mid39]]</calculatedColumnFormula>
    </tableColumn>
    <tableColumn id="96" xr3:uid="{D6557B10-B72E-43E3-976C-B8BD645C6561}" name="Region" dataDxfId="3" totalsRowDxfId="2"/>
    <tableColumn id="97" xr3:uid="{4A3C2BB5-C23A-4001-BB98-E9DA914F06C2}" name="Range provided?" dataDxfId="1" totalsRowDxfId="0">
      <calculatedColumnFormula>IF(AND(Table1[[#This Row],[Low41]]=0, Table1[[#This Row],[High43]]=0),"N","Y")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nergy.gov.tt/wp-content/uploads/2023/05/Final-Report-Feasibility-of-CCS-Projects-in-Trinidad-Tobago-20May13._.pdf" TargetMode="External"/><Relationship Id="rId13" Type="http://schemas.openxmlformats.org/officeDocument/2006/relationships/hyperlink" Target="https://papers.ssrn.com/sol3/papers.cfm?abstract_id=5013523" TargetMode="External"/><Relationship Id="rId3" Type="http://schemas.openxmlformats.org/officeDocument/2006/relationships/hyperlink" Target="https://www.energy.gov.tt/wp-content/uploads/2023/05/Final-Report-Feasibility-of-CCS-Projects-in-Trinidad-Tobago-20May13._.pdf" TargetMode="External"/><Relationship Id="rId7" Type="http://schemas.openxmlformats.org/officeDocument/2006/relationships/hyperlink" Target="https://www.energy.gov.tt/wp-content/uploads/2023/05/Final-Report-Feasibility-of-CCS-Projects-in-Trinidad-Tobago-20May13._.pdf" TargetMode="External"/><Relationship Id="rId12" Type="http://schemas.openxmlformats.org/officeDocument/2006/relationships/hyperlink" Target="https://www.energy.gov.tt/wp-content/uploads/2023/05/Final-Report-Feasibility-of-CCS-Projects-in-Trinidad-Tobago-20May13._.pdf" TargetMode="External"/><Relationship Id="rId17" Type="http://schemas.openxmlformats.org/officeDocument/2006/relationships/comments" Target="../comments1.xml"/><Relationship Id="rId2" Type="http://schemas.openxmlformats.org/officeDocument/2006/relationships/hyperlink" Target="https://www.energy.gov.tt/wp-content/uploads/2023/05/Final-Report-Feasibility-of-CCS-Projects-in-Trinidad-Tobago-20May13._.pdf" TargetMode="External"/><Relationship Id="rId16" Type="http://schemas.openxmlformats.org/officeDocument/2006/relationships/table" Target="../tables/table1.xml"/><Relationship Id="rId1" Type="http://schemas.openxmlformats.org/officeDocument/2006/relationships/hyperlink" Target="https://www.energy.gov.tt/wp-content/uploads/2023/05/Final-Report-Feasibility-of-CCS-Projects-in-Trinidad-Tobago-20May13._.pdf" TargetMode="External"/><Relationship Id="rId6" Type="http://schemas.openxmlformats.org/officeDocument/2006/relationships/hyperlink" Target="https://www.energy.gov.tt/wp-content/uploads/2023/05/Final-Report-Feasibility-of-CCS-Projects-in-Trinidad-Tobago-20May13._.pdf" TargetMode="External"/><Relationship Id="rId11" Type="http://schemas.openxmlformats.org/officeDocument/2006/relationships/hyperlink" Target="https://www.energy.gov.tt/wp-content/uploads/2023/05/Final-Report-Feasibility-of-CCS-Projects-in-Trinidad-Tobago-20May13._.pdf" TargetMode="External"/><Relationship Id="rId5" Type="http://schemas.openxmlformats.org/officeDocument/2006/relationships/hyperlink" Target="https://www.energy.gov.tt/wp-content/uploads/2023/05/Final-Report-Feasibility-of-CCS-Projects-in-Trinidad-Tobago-20May13._.pdf" TargetMode="External"/><Relationship Id="rId15" Type="http://schemas.openxmlformats.org/officeDocument/2006/relationships/vmlDrawing" Target="../drawings/vmlDrawing1.vml"/><Relationship Id="rId10" Type="http://schemas.openxmlformats.org/officeDocument/2006/relationships/hyperlink" Target="https://www.energy.gov.tt/wp-content/uploads/2023/05/Final-Report-Feasibility-of-CCS-Projects-in-Trinidad-Tobago-20May13._.pdf" TargetMode="External"/><Relationship Id="rId4" Type="http://schemas.openxmlformats.org/officeDocument/2006/relationships/hyperlink" Target="https://www.energy.gov.tt/wp-content/uploads/2023/05/Final-Report-Feasibility-of-CCS-Projects-in-Trinidad-Tobago-20May13._.pdf" TargetMode="External"/><Relationship Id="rId9" Type="http://schemas.openxmlformats.org/officeDocument/2006/relationships/hyperlink" Target="https://www.energy.gov.tt/wp-content/uploads/2023/05/Final-Report-Feasibility-of-CCS-Projects-in-Trinidad-Tobago-20May13._.pdf" TargetMode="External"/><Relationship Id="rId14" Type="http://schemas.openxmlformats.org/officeDocument/2006/relationships/hyperlink" Target="https://www.oecd.org/content/dam/oecd/en/publications/reports/2008/10/co2-capture-and-storage-a-key-carbon-abatement-option_g1gh8ac4/9789264041417-e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E36D-0371-4759-81CE-EC1666453821}">
  <dimension ref="A1:CV1574"/>
  <sheetViews>
    <sheetView tabSelected="1" topLeftCell="N1463" zoomScale="60" zoomScaleNormal="60" workbookViewId="0">
      <selection activeCell="N1488" sqref="N1488"/>
    </sheetView>
  </sheetViews>
  <sheetFormatPr defaultColWidth="8.42578125" defaultRowHeight="19.5" customHeight="1" x14ac:dyDescent="0.25"/>
  <cols>
    <col min="1" max="1" width="7.42578125" customWidth="1"/>
    <col min="2" max="2" width="25.5703125" customWidth="1"/>
    <col min="3" max="3" width="39.7109375" customWidth="1"/>
    <col min="4" max="4" width="13.42578125" customWidth="1"/>
    <col min="5" max="5" width="16.42578125" customWidth="1"/>
    <col min="6" max="6" width="38.140625" customWidth="1"/>
    <col min="7" max="7" width="39.42578125" customWidth="1"/>
    <col min="8" max="8" width="23.42578125" customWidth="1"/>
    <col min="9" max="9" width="31.42578125" customWidth="1"/>
    <col min="10" max="10" width="11.42578125" customWidth="1"/>
    <col min="11" max="11" width="33.42578125" customWidth="1"/>
    <col min="12" max="12" width="24.42578125" customWidth="1"/>
    <col min="13" max="13" width="21.42578125" customWidth="1"/>
    <col min="14" max="14" width="92.85546875" style="6" customWidth="1"/>
    <col min="15" max="15" width="15.42578125" customWidth="1"/>
    <col min="16" max="16" width="25.42578125" customWidth="1"/>
    <col min="17" max="17" width="22.42578125" style="6" customWidth="1"/>
    <col min="18" max="18" width="94.28515625" customWidth="1"/>
    <col min="19" max="20" width="13.42578125" customWidth="1"/>
    <col min="22" max="22" width="9.42578125" style="7" customWidth="1"/>
    <col min="28" max="28" width="12.7109375" customWidth="1"/>
    <col min="31" max="31" width="12.42578125" customWidth="1"/>
    <col min="34" max="34" width="14.42578125" customWidth="1"/>
    <col min="35" max="35" width="18" customWidth="1"/>
    <col min="39" max="39" width="12.42578125" customWidth="1"/>
    <col min="40" max="40" width="10.42578125" customWidth="1"/>
    <col min="41" max="41" width="10.42578125" bestFit="1" customWidth="1"/>
    <col min="47" max="52" width="9.42578125" bestFit="1" customWidth="1"/>
    <col min="53" max="55" width="11.42578125" bestFit="1" customWidth="1"/>
    <col min="56" max="57" width="10.42578125" bestFit="1" customWidth="1"/>
    <col min="58" max="58" width="10.42578125" customWidth="1"/>
    <col min="59" max="59" width="10.42578125" bestFit="1" customWidth="1"/>
    <col min="60" max="63" width="11.42578125" bestFit="1" customWidth="1"/>
    <col min="64" max="64" width="11.42578125" customWidth="1"/>
    <col min="65" max="67" width="11.42578125" bestFit="1" customWidth="1"/>
    <col min="68" max="70" width="9.42578125" bestFit="1" customWidth="1"/>
    <col min="72" max="72" width="8" customWidth="1"/>
    <col min="74" max="75" width="11.42578125" bestFit="1" customWidth="1"/>
    <col min="76" max="76" width="13" customWidth="1"/>
    <col min="77" max="77" width="11.42578125" customWidth="1"/>
    <col min="78" max="79" width="13" bestFit="1" customWidth="1"/>
    <col min="80" max="80" width="9.42578125" customWidth="1"/>
    <col min="81" max="81" width="12.42578125" customWidth="1"/>
    <col min="82" max="82" width="11.42578125" bestFit="1" customWidth="1"/>
    <col min="83" max="83" width="12.42578125" customWidth="1"/>
    <col min="84" max="84" width="22.85546875" customWidth="1"/>
    <col min="85" max="85" width="19.85546875" customWidth="1"/>
    <col min="89" max="89" width="11.28515625" customWidth="1"/>
    <col min="90" max="90" width="16.7109375" customWidth="1"/>
    <col min="91" max="91" width="13" bestFit="1" customWidth="1"/>
    <col min="92" max="92" width="22.42578125" customWidth="1"/>
    <col min="93" max="94" width="22.42578125" style="11" customWidth="1"/>
    <col min="95" max="95" width="22.42578125" customWidth="1"/>
    <col min="96" max="96" width="27.7109375" bestFit="1" customWidth="1"/>
    <col min="99" max="99" width="13.140625" customWidth="1"/>
  </cols>
  <sheetData>
    <row r="1" spans="1:100" s="1" customFormat="1" ht="11.25" customHeight="1" x14ac:dyDescent="0.25">
      <c r="N1" s="2"/>
      <c r="Q1" s="2"/>
      <c r="V1" s="3"/>
    </row>
    <row r="2" spans="1:100" ht="34.5" customHeight="1" x14ac:dyDescent="0.25">
      <c r="G2" s="5"/>
      <c r="AO2" s="1" t="s">
        <v>0</v>
      </c>
      <c r="AP2" s="1" t="s">
        <v>0</v>
      </c>
      <c r="AQ2" s="1" t="s">
        <v>0</v>
      </c>
      <c r="AR2" s="1" t="s">
        <v>1</v>
      </c>
      <c r="AS2" s="1" t="s">
        <v>1</v>
      </c>
      <c r="AT2" s="1" t="s">
        <v>1</v>
      </c>
      <c r="AU2" s="1" t="s">
        <v>2</v>
      </c>
      <c r="AV2" s="1" t="s">
        <v>2</v>
      </c>
      <c r="AW2" s="1" t="s">
        <v>2</v>
      </c>
      <c r="AX2" s="1" t="s">
        <v>3</v>
      </c>
      <c r="AY2" s="1" t="s">
        <v>3</v>
      </c>
      <c r="AZ2" s="1" t="s">
        <v>3</v>
      </c>
      <c r="BA2" s="1" t="s">
        <v>4</v>
      </c>
      <c r="BB2" s="1" t="s">
        <v>4</v>
      </c>
      <c r="BC2" s="1" t="s">
        <v>4</v>
      </c>
      <c r="BD2" s="1" t="s">
        <v>5</v>
      </c>
      <c r="BE2" s="1" t="s">
        <v>5</v>
      </c>
      <c r="BF2" s="1" t="s">
        <v>5</v>
      </c>
      <c r="BG2" s="1" t="s">
        <v>6</v>
      </c>
      <c r="BH2" s="1" t="s">
        <v>6</v>
      </c>
      <c r="BI2" s="1" t="s">
        <v>6</v>
      </c>
      <c r="BJ2" s="1" t="s">
        <v>7</v>
      </c>
      <c r="BK2" s="1" t="s">
        <v>7</v>
      </c>
      <c r="BL2" s="1" t="s">
        <v>7</v>
      </c>
      <c r="BM2" s="1" t="s">
        <v>8</v>
      </c>
      <c r="BN2" s="1" t="s">
        <v>8</v>
      </c>
      <c r="BO2" s="1" t="s">
        <v>8</v>
      </c>
      <c r="BP2" s="1" t="s">
        <v>9</v>
      </c>
      <c r="BQ2" s="1" t="s">
        <v>9</v>
      </c>
      <c r="BR2" s="1" t="s">
        <v>9</v>
      </c>
      <c r="BS2" s="1" t="s">
        <v>10</v>
      </c>
      <c r="BT2" s="1" t="s">
        <v>10</v>
      </c>
      <c r="BU2" s="1" t="s">
        <v>10</v>
      </c>
      <c r="BV2" s="1" t="s">
        <v>11</v>
      </c>
      <c r="BW2" s="1" t="s">
        <v>11</v>
      </c>
      <c r="BX2" s="1" t="s">
        <v>11</v>
      </c>
      <c r="BY2" s="1" t="s">
        <v>12</v>
      </c>
      <c r="BZ2" s="1" t="s">
        <v>12</v>
      </c>
      <c r="CA2" s="1" t="s">
        <v>12</v>
      </c>
      <c r="CB2" s="1" t="s">
        <v>13</v>
      </c>
      <c r="CC2" s="1" t="s">
        <v>13</v>
      </c>
      <c r="CD2" s="1" t="s">
        <v>13</v>
      </c>
      <c r="CE2" s="4" t="s">
        <v>14</v>
      </c>
      <c r="CF2" s="4" t="s">
        <v>14</v>
      </c>
      <c r="CG2" s="4" t="s">
        <v>14</v>
      </c>
      <c r="CN2" s="15" t="s">
        <v>15</v>
      </c>
      <c r="CO2" s="15" t="s">
        <v>16</v>
      </c>
      <c r="CP2" s="15" t="s">
        <v>17</v>
      </c>
      <c r="CQ2" s="15" t="s">
        <v>18</v>
      </c>
      <c r="CR2" s="12" t="s">
        <v>19</v>
      </c>
      <c r="CS2" s="13"/>
      <c r="CT2" s="13"/>
      <c r="CU2" s="13"/>
      <c r="CV2" s="14"/>
    </row>
    <row r="3" spans="1:100" s="15" customFormat="1" ht="19.5" customHeight="1" x14ac:dyDescent="0.25">
      <c r="A3" s="15" t="s">
        <v>20</v>
      </c>
      <c r="B3" s="15" t="s">
        <v>21</v>
      </c>
      <c r="C3" s="15" t="s">
        <v>22</v>
      </c>
      <c r="D3" s="15" t="s">
        <v>23</v>
      </c>
      <c r="E3" s="15" t="s">
        <v>24</v>
      </c>
      <c r="F3" s="15" t="s">
        <v>25</v>
      </c>
      <c r="G3" s="15" t="s">
        <v>26</v>
      </c>
      <c r="H3" s="15" t="s">
        <v>27</v>
      </c>
      <c r="I3" s="15" t="s">
        <v>28</v>
      </c>
      <c r="J3" s="15" t="s">
        <v>29</v>
      </c>
      <c r="K3" s="15" t="s">
        <v>30</v>
      </c>
      <c r="L3" s="15" t="s">
        <v>31</v>
      </c>
      <c r="M3" s="15" t="s">
        <v>32</v>
      </c>
      <c r="N3" s="2" t="s">
        <v>33</v>
      </c>
      <c r="O3" s="16" t="s">
        <v>34</v>
      </c>
      <c r="P3" s="16" t="s">
        <v>35</v>
      </c>
      <c r="Q3" s="16" t="s">
        <v>36</v>
      </c>
      <c r="R3" s="16" t="s">
        <v>37</v>
      </c>
      <c r="S3" s="15" t="s">
        <v>38</v>
      </c>
      <c r="T3" s="15" t="s">
        <v>39</v>
      </c>
      <c r="U3" s="15" t="s">
        <v>40</v>
      </c>
      <c r="V3" s="17" t="s">
        <v>41</v>
      </c>
      <c r="W3" s="15" t="s">
        <v>42</v>
      </c>
      <c r="X3" s="15" t="s">
        <v>43</v>
      </c>
      <c r="Y3" s="15" t="s">
        <v>44</v>
      </c>
      <c r="Z3" s="15" t="s">
        <v>45</v>
      </c>
      <c r="AA3" s="15" t="s">
        <v>46</v>
      </c>
      <c r="AB3" s="15" t="s">
        <v>47</v>
      </c>
      <c r="AC3" s="15" t="s">
        <v>48</v>
      </c>
      <c r="AD3" s="15" t="s">
        <v>49</v>
      </c>
      <c r="AE3" s="15" t="s">
        <v>50</v>
      </c>
      <c r="AF3" s="15" t="s">
        <v>51</v>
      </c>
      <c r="AG3" s="15" t="s">
        <v>52</v>
      </c>
      <c r="AH3" s="15" t="s">
        <v>53</v>
      </c>
      <c r="AI3" s="15" t="s">
        <v>54</v>
      </c>
      <c r="AJ3" s="15" t="s">
        <v>55</v>
      </c>
      <c r="AK3" s="15" t="s">
        <v>56</v>
      </c>
      <c r="AL3" s="15" t="s">
        <v>57</v>
      </c>
      <c r="AM3" s="15" t="s">
        <v>58</v>
      </c>
      <c r="AN3" s="15" t="s">
        <v>59</v>
      </c>
      <c r="AO3" s="8" t="s">
        <v>60</v>
      </c>
      <c r="AP3" s="9" t="s">
        <v>61</v>
      </c>
      <c r="AQ3" s="10" t="s">
        <v>62</v>
      </c>
      <c r="AR3" s="8" t="s">
        <v>63</v>
      </c>
      <c r="AS3" s="9" t="s">
        <v>64</v>
      </c>
      <c r="AT3" s="10" t="s">
        <v>65</v>
      </c>
      <c r="AU3" s="8" t="s">
        <v>66</v>
      </c>
      <c r="AV3" s="9" t="s">
        <v>67</v>
      </c>
      <c r="AW3" s="10" t="s">
        <v>68</v>
      </c>
      <c r="AX3" s="8" t="s">
        <v>69</v>
      </c>
      <c r="AY3" s="9" t="s">
        <v>70</v>
      </c>
      <c r="AZ3" s="10" t="s">
        <v>71</v>
      </c>
      <c r="BA3" s="8" t="s">
        <v>72</v>
      </c>
      <c r="BB3" s="9" t="s">
        <v>73</v>
      </c>
      <c r="BC3" s="10" t="s">
        <v>74</v>
      </c>
      <c r="BD3" s="8" t="s">
        <v>75</v>
      </c>
      <c r="BE3" s="9" t="s">
        <v>76</v>
      </c>
      <c r="BF3" s="10" t="s">
        <v>77</v>
      </c>
      <c r="BG3" s="8" t="s">
        <v>78</v>
      </c>
      <c r="BH3" s="9" t="s">
        <v>79</v>
      </c>
      <c r="BI3" s="10" t="s">
        <v>80</v>
      </c>
      <c r="BJ3" s="8" t="s">
        <v>81</v>
      </c>
      <c r="BK3" s="9" t="s">
        <v>82</v>
      </c>
      <c r="BL3" s="10" t="s">
        <v>83</v>
      </c>
      <c r="BM3" s="8" t="s">
        <v>84</v>
      </c>
      <c r="BN3" s="9" t="s">
        <v>85</v>
      </c>
      <c r="BO3" s="10" t="s">
        <v>86</v>
      </c>
      <c r="BP3" s="8" t="s">
        <v>87</v>
      </c>
      <c r="BQ3" s="9" t="s">
        <v>88</v>
      </c>
      <c r="BR3" s="10" t="s">
        <v>89</v>
      </c>
      <c r="BS3" s="8" t="s">
        <v>90</v>
      </c>
      <c r="BT3" s="9" t="s">
        <v>91</v>
      </c>
      <c r="BU3" s="10" t="s">
        <v>92</v>
      </c>
      <c r="BV3" s="8" t="s">
        <v>93</v>
      </c>
      <c r="BW3" s="9" t="s">
        <v>94</v>
      </c>
      <c r="BX3" s="10" t="s">
        <v>95</v>
      </c>
      <c r="BY3" s="8" t="s">
        <v>96</v>
      </c>
      <c r="BZ3" s="9" t="s">
        <v>97</v>
      </c>
      <c r="CA3" s="10" t="s">
        <v>98</v>
      </c>
      <c r="CB3" s="8" t="s">
        <v>99</v>
      </c>
      <c r="CC3" s="9" t="s">
        <v>100</v>
      </c>
      <c r="CD3" s="10" t="s">
        <v>101</v>
      </c>
      <c r="CE3" s="8" t="s">
        <v>102</v>
      </c>
      <c r="CF3" s="9" t="s">
        <v>103</v>
      </c>
      <c r="CG3" s="10" t="s">
        <v>104</v>
      </c>
      <c r="CH3" s="15" t="s">
        <v>105</v>
      </c>
      <c r="CI3" s="15" t="s">
        <v>106</v>
      </c>
      <c r="CJ3" s="15" t="s">
        <v>107</v>
      </c>
      <c r="CK3" s="18" t="s">
        <v>108</v>
      </c>
      <c r="CL3" s="15" t="s">
        <v>109</v>
      </c>
      <c r="CM3" s="15" t="s">
        <v>110</v>
      </c>
      <c r="CN3" s="15" t="s">
        <v>15</v>
      </c>
      <c r="CO3" s="15" t="s">
        <v>16</v>
      </c>
      <c r="CP3" s="15" t="s">
        <v>17</v>
      </c>
      <c r="CQ3" s="15" t="s">
        <v>18</v>
      </c>
      <c r="CR3" s="15" t="s">
        <v>111</v>
      </c>
      <c r="CS3" s="15" t="s">
        <v>112</v>
      </c>
    </row>
    <row r="4" spans="1:100" ht="19.5" customHeight="1" x14ac:dyDescent="0.25">
      <c r="A4">
        <v>10001</v>
      </c>
      <c r="B4" t="s">
        <v>113</v>
      </c>
      <c r="C4" t="s">
        <v>114</v>
      </c>
      <c r="D4">
        <v>-12.568611110000001</v>
      </c>
      <c r="E4">
        <v>128.3341667</v>
      </c>
      <c r="F4" t="s">
        <v>115</v>
      </c>
      <c r="G4" t="s">
        <v>116</v>
      </c>
      <c r="H4" t="s">
        <v>117</v>
      </c>
      <c r="I4" t="s">
        <v>118</v>
      </c>
      <c r="J4" t="s">
        <v>119</v>
      </c>
      <c r="K4" t="s">
        <v>120</v>
      </c>
      <c r="L4" t="s">
        <v>121</v>
      </c>
      <c r="M4" t="s">
        <v>122</v>
      </c>
      <c r="N4" s="6" t="s">
        <v>123</v>
      </c>
      <c r="O4" t="s">
        <v>124</v>
      </c>
      <c r="P4" t="s">
        <v>125</v>
      </c>
      <c r="Q4" t="s">
        <v>126</v>
      </c>
      <c r="R4" t="s">
        <v>127</v>
      </c>
      <c r="S4">
        <v>2014</v>
      </c>
      <c r="T4" t="s">
        <v>128</v>
      </c>
      <c r="U4" t="s">
        <v>129</v>
      </c>
      <c r="V4">
        <v>1480</v>
      </c>
      <c r="W4">
        <v>0</v>
      </c>
      <c r="X4">
        <v>0</v>
      </c>
      <c r="Y4">
        <v>85</v>
      </c>
      <c r="Z4">
        <v>14.7</v>
      </c>
      <c r="AA4">
        <v>65</v>
      </c>
      <c r="AB4">
        <v>29000</v>
      </c>
      <c r="AC4">
        <v>562</v>
      </c>
      <c r="AD4">
        <v>8</v>
      </c>
      <c r="AE4">
        <v>5.4054050000000003E-3</v>
      </c>
      <c r="AF4">
        <v>200</v>
      </c>
      <c r="AG4">
        <v>0</v>
      </c>
      <c r="AH4" t="s">
        <v>130</v>
      </c>
      <c r="AI4">
        <v>0</v>
      </c>
      <c r="AJ4">
        <v>0</v>
      </c>
      <c r="AK4">
        <v>0</v>
      </c>
      <c r="AL4">
        <v>0</v>
      </c>
      <c r="AM4" t="s">
        <v>131</v>
      </c>
      <c r="AN4" t="s">
        <v>132</v>
      </c>
      <c r="AO4">
        <v>0</v>
      </c>
      <c r="AP4">
        <v>0</v>
      </c>
      <c r="AQ4">
        <v>0</v>
      </c>
      <c r="AR4">
        <v>0</v>
      </c>
      <c r="AS4">
        <v>0</v>
      </c>
      <c r="AT4">
        <v>0</v>
      </c>
      <c r="AU4">
        <v>0</v>
      </c>
      <c r="AV4">
        <v>0</v>
      </c>
      <c r="AW4">
        <v>0</v>
      </c>
      <c r="AX4">
        <v>0</v>
      </c>
      <c r="AY4">
        <v>0</v>
      </c>
      <c r="AZ4">
        <v>0</v>
      </c>
      <c r="BA4">
        <v>0</v>
      </c>
      <c r="BB4">
        <v>0</v>
      </c>
      <c r="BC4">
        <v>0</v>
      </c>
      <c r="BD4">
        <v>0</v>
      </c>
      <c r="BE4">
        <v>0</v>
      </c>
      <c r="BF4">
        <v>0</v>
      </c>
      <c r="BG4">
        <v>0</v>
      </c>
      <c r="BH4">
        <v>150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 s="19">
        <f>SUM(Table1[[#This Row],[Mid39]],Table1[[#This Row],[Mid36]],Table1[[#This Row],[Mid33]],Table1[[#This Row],[Mid30]],Table1[[#This Row],[Mid27]],Table1[[#This Row],[Mid24]],Table1[[#This Row],[Mid21]],Table1[[#This Row],[Mid18]],Table1[[#This Row],[Mid15]],Table1[[#This Row],[Mid12]],Table1[[#This Row],[Mid9]],Table1[[#This Row],[Mid6]],Table1[[#This Row],[Mid3]],Table1[[#This Row],[Mid]])</f>
        <v>150</v>
      </c>
      <c r="CG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 t="s">
        <v>133</v>
      </c>
      <c r="CI4" t="s">
        <v>134</v>
      </c>
      <c r="CJ4" t="s">
        <v>135</v>
      </c>
      <c r="CL4" s="19">
        <f>IF(Table1[[#This Row],[Type]]="Petroleum",1,IF(ISERROR(Table1[[#This Row],[Well Density]]*Table1[[#This Row],[Single Well Discovery Area]]),"",IF(Table1[[#This Row],[Well Density]]*Table1[[#This Row],[Single Well Discovery Area]]&gt;1,1,Table1[[#This Row],[Well Density]]*Table1[[#This Row],[Single Well Discovery Area]])))</f>
        <v>1</v>
      </c>
      <c r="CM4" t="s">
        <v>135</v>
      </c>
      <c r="CN4" s="19">
        <f>Table1[[#This Row],[Mid]]</f>
        <v>0</v>
      </c>
      <c r="CO4" s="19">
        <f>Table1[[#This Row],[Mid3]]+Table1[[#This Row],[Mid6]]+Table1[[#This Row],[Mid9]]</f>
        <v>0</v>
      </c>
      <c r="CP4" s="19">
        <f>Table1[[#This Row],[Mid12]]+Table1[[#This Row],[Mid15]]+Table1[[#This Row],[Mid18]]+Table1[[#This Row],[Mid21]]+Table1[[#This Row],[Mid24]]</f>
        <v>150</v>
      </c>
      <c r="CQ4" s="19">
        <f>Table1[[#This Row],[Mid27]]+Table1[[#This Row],[Mid30]]+Table1[[#This Row],[Mid33]]+Table1[[#This Row],[Mid36]]+Table1[[#This Row],[Mid39]]</f>
        <v>0</v>
      </c>
      <c r="CR4" t="s">
        <v>136</v>
      </c>
      <c r="CS4" s="19" t="str">
        <f>IF(AND(Table1[[#This Row],[Low41]]=0, Table1[[#This Row],[High43]]=0),"N","Y")</f>
        <v>N</v>
      </c>
    </row>
    <row r="5" spans="1:100" ht="19.5" customHeight="1" x14ac:dyDescent="0.25">
      <c r="A5">
        <v>10002</v>
      </c>
      <c r="B5" t="s">
        <v>113</v>
      </c>
      <c r="C5" t="s">
        <v>114</v>
      </c>
      <c r="D5">
        <v>-12.547499999999999</v>
      </c>
      <c r="E5">
        <v>128.33611110000001</v>
      </c>
      <c r="F5" t="s">
        <v>137</v>
      </c>
      <c r="G5" t="s">
        <v>116</v>
      </c>
      <c r="H5" t="s">
        <v>138</v>
      </c>
      <c r="I5" t="s">
        <v>118</v>
      </c>
      <c r="J5" t="s">
        <v>119</v>
      </c>
      <c r="K5" t="s">
        <v>120</v>
      </c>
      <c r="L5" t="s">
        <v>121</v>
      </c>
      <c r="M5" t="s">
        <v>139</v>
      </c>
      <c r="N5" s="6" t="s">
        <v>140</v>
      </c>
      <c r="O5" t="s">
        <v>124</v>
      </c>
      <c r="P5" t="s">
        <v>141</v>
      </c>
      <c r="Q5" t="s">
        <v>142</v>
      </c>
      <c r="R5" t="s">
        <v>143</v>
      </c>
      <c r="S5">
        <v>2014</v>
      </c>
      <c r="T5" t="s">
        <v>128</v>
      </c>
      <c r="U5" t="s">
        <v>129</v>
      </c>
      <c r="V5">
        <v>1480</v>
      </c>
      <c r="W5">
        <v>0</v>
      </c>
      <c r="X5">
        <v>0</v>
      </c>
      <c r="Y5">
        <v>85</v>
      </c>
      <c r="Z5">
        <v>21</v>
      </c>
      <c r="AA5">
        <v>0</v>
      </c>
      <c r="AB5">
        <v>29000</v>
      </c>
      <c r="AC5">
        <v>600</v>
      </c>
      <c r="AD5">
        <v>8</v>
      </c>
      <c r="AE5">
        <v>5.4054050000000003E-3</v>
      </c>
      <c r="AF5">
        <v>200</v>
      </c>
      <c r="AG5">
        <v>0</v>
      </c>
      <c r="AH5" t="s">
        <v>130</v>
      </c>
      <c r="AI5">
        <v>0</v>
      </c>
      <c r="AJ5">
        <v>0</v>
      </c>
      <c r="AK5">
        <v>0</v>
      </c>
      <c r="AL5">
        <v>0</v>
      </c>
      <c r="AM5" t="s">
        <v>131</v>
      </c>
      <c r="AN5" t="s">
        <v>132</v>
      </c>
      <c r="AO5">
        <v>0</v>
      </c>
      <c r="AP5">
        <v>0</v>
      </c>
      <c r="AQ5">
        <v>0</v>
      </c>
      <c r="AR5">
        <v>0</v>
      </c>
      <c r="AS5">
        <v>0</v>
      </c>
      <c r="AT5">
        <v>0</v>
      </c>
      <c r="AU5">
        <v>0</v>
      </c>
      <c r="AV5">
        <v>0</v>
      </c>
      <c r="AW5">
        <v>0</v>
      </c>
      <c r="AX5">
        <v>0</v>
      </c>
      <c r="AY5">
        <v>0</v>
      </c>
      <c r="AZ5">
        <v>0</v>
      </c>
      <c r="BA5">
        <v>0</v>
      </c>
      <c r="BB5">
        <v>0</v>
      </c>
      <c r="BC5">
        <v>0</v>
      </c>
      <c r="BD5">
        <v>0</v>
      </c>
      <c r="BE5">
        <v>0</v>
      </c>
      <c r="BF5">
        <v>0</v>
      </c>
      <c r="BG5">
        <v>0</v>
      </c>
      <c r="BH5">
        <v>420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 s="19">
        <f>SUM(Table1[[#This Row],[Mid39]],Table1[[#This Row],[Mid36]],Table1[[#This Row],[Mid33]],Table1[[#This Row],[Mid30]],Table1[[#This Row],[Mid27]],Table1[[#This Row],[Mid24]],Table1[[#This Row],[Mid21]],Table1[[#This Row],[Mid18]],Table1[[#This Row],[Mid15]],Table1[[#This Row],[Mid12]],Table1[[#This Row],[Mid9]],Table1[[#This Row],[Mid6]],Table1[[#This Row],[Mid3]],Table1[[#This Row],[Mid]])</f>
        <v>420</v>
      </c>
      <c r="CG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 t="s">
        <v>133</v>
      </c>
      <c r="CI5" t="s">
        <v>134</v>
      </c>
      <c r="CJ5" t="s">
        <v>135</v>
      </c>
      <c r="CL5" s="19">
        <f>IF(Table1[[#This Row],[Type]]="Petroleum",1,IF(ISERROR(Table1[[#This Row],[Well Density]]*Table1[[#This Row],[Single Well Discovery Area]]),"",IF(Table1[[#This Row],[Well Density]]*Table1[[#This Row],[Single Well Discovery Area]]&gt;1,1,Table1[[#This Row],[Well Density]]*Table1[[#This Row],[Single Well Discovery Area]])))</f>
        <v>1</v>
      </c>
      <c r="CM5" t="s">
        <v>135</v>
      </c>
      <c r="CN5" s="19">
        <f>Table1[[#This Row],[Mid]]</f>
        <v>0</v>
      </c>
      <c r="CO5" s="19">
        <f>Table1[[#This Row],[Mid3]]+Table1[[#This Row],[Mid6]]+Table1[[#This Row],[Mid9]]</f>
        <v>0</v>
      </c>
      <c r="CP5" s="19">
        <f>Table1[[#This Row],[Mid12]]+Table1[[#This Row],[Mid15]]+Table1[[#This Row],[Mid18]]+Table1[[#This Row],[Mid21]]+Table1[[#This Row],[Mid24]]</f>
        <v>420</v>
      </c>
      <c r="CQ5" s="19">
        <f>Table1[[#This Row],[Mid27]]+Table1[[#This Row],[Mid30]]+Table1[[#This Row],[Mid33]]+Table1[[#This Row],[Mid36]]+Table1[[#This Row],[Mid39]]</f>
        <v>0</v>
      </c>
      <c r="CR5" t="s">
        <v>136</v>
      </c>
      <c r="CS5" s="19" t="str">
        <f>IF(AND(Table1[[#This Row],[Low41]]=0, Table1[[#This Row],[High43]]=0),"N","Y")</f>
        <v>N</v>
      </c>
    </row>
    <row r="6" spans="1:100" ht="19.5" customHeight="1" x14ac:dyDescent="0.25">
      <c r="A6">
        <v>10003</v>
      </c>
      <c r="B6" t="s">
        <v>113</v>
      </c>
      <c r="C6" t="s">
        <v>144</v>
      </c>
      <c r="D6">
        <v>-13.227499999999999</v>
      </c>
      <c r="E6">
        <v>129.7427778</v>
      </c>
      <c r="F6" t="s">
        <v>145</v>
      </c>
      <c r="G6" t="s">
        <v>116</v>
      </c>
      <c r="H6" t="s">
        <v>146</v>
      </c>
      <c r="I6" t="s">
        <v>118</v>
      </c>
      <c r="J6" t="s">
        <v>119</v>
      </c>
      <c r="K6" t="s">
        <v>120</v>
      </c>
      <c r="L6" t="s">
        <v>147</v>
      </c>
      <c r="M6" t="s">
        <v>148</v>
      </c>
      <c r="N6" s="6" t="s">
        <v>140</v>
      </c>
      <c r="O6" t="s">
        <v>149</v>
      </c>
      <c r="P6" t="s">
        <v>150</v>
      </c>
      <c r="Q6" t="s">
        <v>151</v>
      </c>
      <c r="R6" t="s">
        <v>152</v>
      </c>
      <c r="S6">
        <v>2014</v>
      </c>
      <c r="T6" t="s">
        <v>153</v>
      </c>
      <c r="U6" t="s">
        <v>154</v>
      </c>
      <c r="V6">
        <v>8000</v>
      </c>
      <c r="W6">
        <v>2200</v>
      </c>
      <c r="X6">
        <v>168.5</v>
      </c>
      <c r="Y6">
        <v>0.97</v>
      </c>
      <c r="Z6">
        <v>19.7</v>
      </c>
      <c r="AA6">
        <v>159</v>
      </c>
      <c r="AB6">
        <v>0</v>
      </c>
      <c r="AC6">
        <v>0</v>
      </c>
      <c r="AD6">
        <v>34</v>
      </c>
      <c r="AE6">
        <v>4.2500000000000003E-3</v>
      </c>
      <c r="AF6">
        <v>200</v>
      </c>
      <c r="AG6">
        <v>0</v>
      </c>
      <c r="AH6" t="s">
        <v>155</v>
      </c>
      <c r="AI6">
        <v>0</v>
      </c>
      <c r="AJ6">
        <v>0</v>
      </c>
      <c r="AK6">
        <v>0</v>
      </c>
      <c r="AL6">
        <v>0</v>
      </c>
      <c r="AM6" t="s">
        <v>156</v>
      </c>
      <c r="AN6" t="s">
        <v>132</v>
      </c>
      <c r="AO6">
        <v>0</v>
      </c>
      <c r="AP6">
        <v>0</v>
      </c>
      <c r="AQ6">
        <v>0</v>
      </c>
      <c r="AR6">
        <v>0</v>
      </c>
      <c r="AS6">
        <v>0</v>
      </c>
      <c r="AT6">
        <v>0</v>
      </c>
      <c r="AU6">
        <v>0</v>
      </c>
      <c r="AV6">
        <v>0</v>
      </c>
      <c r="AW6">
        <v>0</v>
      </c>
      <c r="AX6">
        <v>0</v>
      </c>
      <c r="AY6">
        <v>0</v>
      </c>
      <c r="AZ6">
        <v>0</v>
      </c>
      <c r="BA6">
        <v>0</v>
      </c>
      <c r="BB6">
        <v>0</v>
      </c>
      <c r="BC6">
        <v>0</v>
      </c>
      <c r="BD6">
        <v>0</v>
      </c>
      <c r="BE6">
        <v>0</v>
      </c>
      <c r="BF6">
        <v>0</v>
      </c>
      <c r="BG6">
        <v>0</v>
      </c>
      <c r="BH6">
        <v>7786</v>
      </c>
      <c r="BI6">
        <v>0</v>
      </c>
      <c r="BJ6">
        <v>0</v>
      </c>
      <c r="BK6">
        <v>0</v>
      </c>
      <c r="BL6">
        <v>0</v>
      </c>
      <c r="BM6">
        <v>0</v>
      </c>
      <c r="BN6">
        <v>0</v>
      </c>
      <c r="BO6">
        <v>0</v>
      </c>
      <c r="BP6">
        <v>0</v>
      </c>
      <c r="BQ6">
        <v>0</v>
      </c>
      <c r="BR6">
        <v>0</v>
      </c>
      <c r="BS6">
        <v>0</v>
      </c>
      <c r="BT6">
        <v>0</v>
      </c>
      <c r="BU6">
        <v>0</v>
      </c>
      <c r="BV6">
        <v>0</v>
      </c>
      <c r="BW6">
        <v>1374</v>
      </c>
      <c r="BX6">
        <v>0</v>
      </c>
      <c r="BY6">
        <v>0</v>
      </c>
      <c r="BZ6">
        <v>0</v>
      </c>
      <c r="CA6">
        <v>0</v>
      </c>
      <c r="CB6">
        <v>0</v>
      </c>
      <c r="CC6">
        <v>0</v>
      </c>
      <c r="CD6">
        <v>0</v>
      </c>
      <c r="CE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 s="19">
        <f>SUM(Table1[[#This Row],[Mid39]],Table1[[#This Row],[Mid36]],Table1[[#This Row],[Mid33]],Table1[[#This Row],[Mid30]],Table1[[#This Row],[Mid27]],Table1[[#This Row],[Mid24]],Table1[[#This Row],[Mid21]],Table1[[#This Row],[Mid18]],Table1[[#This Row],[Mid15]],Table1[[#This Row],[Mid12]],Table1[[#This Row],[Mid9]],Table1[[#This Row],[Mid6]],Table1[[#This Row],[Mid3]],Table1[[#This Row],[Mid]])</f>
        <v>9160</v>
      </c>
      <c r="CG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 t="s">
        <v>157</v>
      </c>
      <c r="CI6" t="s">
        <v>134</v>
      </c>
      <c r="CJ6" t="s">
        <v>158</v>
      </c>
      <c r="CL6" s="19">
        <f>IF(Table1[[#This Row],[Type]]="Petroleum",1,IF(ISERROR(Table1[[#This Row],[Well Density]]*Table1[[#This Row],[Single Well Discovery Area]]),"",IF(Table1[[#This Row],[Well Density]]*Table1[[#This Row],[Single Well Discovery Area]]&gt;1,1,Table1[[#This Row],[Well Density]]*Table1[[#This Row],[Single Well Discovery Area]])))</f>
        <v>0.85000000000000009</v>
      </c>
      <c r="CM6" t="s">
        <v>158</v>
      </c>
      <c r="CN6" s="19">
        <f>Table1[[#This Row],[Mid]]</f>
        <v>0</v>
      </c>
      <c r="CO6" s="19">
        <f>Table1[[#This Row],[Mid3]]+Table1[[#This Row],[Mid6]]+Table1[[#This Row],[Mid9]]</f>
        <v>0</v>
      </c>
      <c r="CP6" s="19">
        <f>Table1[[#This Row],[Mid12]]+Table1[[#This Row],[Mid15]]+Table1[[#This Row],[Mid18]]+Table1[[#This Row],[Mid21]]+Table1[[#This Row],[Mid24]]</f>
        <v>7786</v>
      </c>
      <c r="CQ6" s="19">
        <f>Table1[[#This Row],[Mid27]]+Table1[[#This Row],[Mid30]]+Table1[[#This Row],[Mid33]]+Table1[[#This Row],[Mid36]]+Table1[[#This Row],[Mid39]]</f>
        <v>1374</v>
      </c>
      <c r="CR6" t="s">
        <v>136</v>
      </c>
      <c r="CS6" s="19" t="str">
        <f>IF(AND(Table1[[#This Row],[Low41]]=0, Table1[[#This Row],[High43]]=0),"N","Y")</f>
        <v>N</v>
      </c>
    </row>
    <row r="7" spans="1:100" ht="19.5" customHeight="1" x14ac:dyDescent="0.25">
      <c r="A7">
        <v>10004</v>
      </c>
      <c r="B7" t="s">
        <v>113</v>
      </c>
      <c r="C7" t="s">
        <v>144</v>
      </c>
      <c r="D7">
        <v>-13.2</v>
      </c>
      <c r="E7">
        <v>129.7427778</v>
      </c>
      <c r="F7" t="s">
        <v>159</v>
      </c>
      <c r="G7" t="s">
        <v>116</v>
      </c>
      <c r="H7" t="s">
        <v>160</v>
      </c>
      <c r="I7" t="s">
        <v>118</v>
      </c>
      <c r="J7" t="s">
        <v>119</v>
      </c>
      <c r="K7" t="s">
        <v>120</v>
      </c>
      <c r="L7" t="s">
        <v>147</v>
      </c>
      <c r="M7" t="s">
        <v>161</v>
      </c>
      <c r="N7" s="6" t="s">
        <v>140</v>
      </c>
      <c r="O7" t="s">
        <v>149</v>
      </c>
      <c r="P7" t="s">
        <v>162</v>
      </c>
      <c r="Q7" t="s">
        <v>163</v>
      </c>
      <c r="R7" t="s">
        <v>164</v>
      </c>
      <c r="S7">
        <v>2014</v>
      </c>
      <c r="T7" t="s">
        <v>153</v>
      </c>
      <c r="U7" t="s">
        <v>154</v>
      </c>
      <c r="V7">
        <v>8000</v>
      </c>
      <c r="W7">
        <v>2430</v>
      </c>
      <c r="X7">
        <v>370.6</v>
      </c>
      <c r="Y7">
        <v>0.9</v>
      </c>
      <c r="Z7">
        <v>16.899999999999999</v>
      </c>
      <c r="AA7">
        <v>65</v>
      </c>
      <c r="AB7">
        <v>0</v>
      </c>
      <c r="AC7">
        <v>0</v>
      </c>
      <c r="AD7">
        <v>34</v>
      </c>
      <c r="AE7">
        <v>4.2500000000000003E-3</v>
      </c>
      <c r="AF7">
        <v>200</v>
      </c>
      <c r="AG7">
        <v>0</v>
      </c>
      <c r="AH7" t="s">
        <v>155</v>
      </c>
      <c r="AI7">
        <v>0</v>
      </c>
      <c r="AJ7">
        <v>0</v>
      </c>
      <c r="AK7">
        <v>0</v>
      </c>
      <c r="AL7">
        <v>0</v>
      </c>
      <c r="AM7" t="s">
        <v>156</v>
      </c>
      <c r="AN7" t="s">
        <v>132</v>
      </c>
      <c r="AO7">
        <v>0</v>
      </c>
      <c r="AP7">
        <v>0</v>
      </c>
      <c r="AQ7">
        <v>0</v>
      </c>
      <c r="AR7">
        <v>0</v>
      </c>
      <c r="AS7">
        <v>0</v>
      </c>
      <c r="AT7">
        <v>0</v>
      </c>
      <c r="AU7">
        <v>0</v>
      </c>
      <c r="AV7">
        <v>0</v>
      </c>
      <c r="AW7">
        <v>0</v>
      </c>
      <c r="AX7">
        <v>0</v>
      </c>
      <c r="AY7">
        <v>0</v>
      </c>
      <c r="AZ7">
        <v>0</v>
      </c>
      <c r="BA7">
        <v>0</v>
      </c>
      <c r="BB7">
        <v>0</v>
      </c>
      <c r="BC7">
        <v>0</v>
      </c>
      <c r="BD7">
        <v>0</v>
      </c>
      <c r="BE7">
        <v>0</v>
      </c>
      <c r="BF7">
        <v>0</v>
      </c>
      <c r="BG7">
        <v>0</v>
      </c>
      <c r="BH7">
        <v>5151</v>
      </c>
      <c r="BI7">
        <v>0</v>
      </c>
      <c r="BJ7">
        <v>0</v>
      </c>
      <c r="BK7">
        <v>0</v>
      </c>
      <c r="BL7">
        <v>0</v>
      </c>
      <c r="BM7">
        <v>0</v>
      </c>
      <c r="BN7">
        <v>0</v>
      </c>
      <c r="BO7">
        <v>0</v>
      </c>
      <c r="BP7">
        <v>0</v>
      </c>
      <c r="BQ7">
        <v>0</v>
      </c>
      <c r="BR7">
        <v>0</v>
      </c>
      <c r="BS7">
        <v>0</v>
      </c>
      <c r="BT7">
        <v>0</v>
      </c>
      <c r="BU7">
        <v>0</v>
      </c>
      <c r="BV7">
        <v>0</v>
      </c>
      <c r="BW7">
        <v>909</v>
      </c>
      <c r="BX7">
        <v>0</v>
      </c>
      <c r="BY7">
        <v>0</v>
      </c>
      <c r="BZ7">
        <v>0</v>
      </c>
      <c r="CA7">
        <v>0</v>
      </c>
      <c r="CB7">
        <v>0</v>
      </c>
      <c r="CC7">
        <v>0</v>
      </c>
      <c r="CD7">
        <v>0</v>
      </c>
      <c r="CE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 s="19">
        <f>SUM(Table1[[#This Row],[Mid39]],Table1[[#This Row],[Mid36]],Table1[[#This Row],[Mid33]],Table1[[#This Row],[Mid30]],Table1[[#This Row],[Mid27]],Table1[[#This Row],[Mid24]],Table1[[#This Row],[Mid21]],Table1[[#This Row],[Mid18]],Table1[[#This Row],[Mid15]],Table1[[#This Row],[Mid12]],Table1[[#This Row],[Mid9]],Table1[[#This Row],[Mid6]],Table1[[#This Row],[Mid3]],Table1[[#This Row],[Mid]])</f>
        <v>6060</v>
      </c>
      <c r="CG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 t="s">
        <v>157</v>
      </c>
      <c r="CI7" t="s">
        <v>134</v>
      </c>
      <c r="CJ7" t="s">
        <v>158</v>
      </c>
      <c r="CL7" s="19">
        <f>IF(Table1[[#This Row],[Type]]="Petroleum",1,IF(ISERROR(Table1[[#This Row],[Well Density]]*Table1[[#This Row],[Single Well Discovery Area]]),"",IF(Table1[[#This Row],[Well Density]]*Table1[[#This Row],[Single Well Discovery Area]]&gt;1,1,Table1[[#This Row],[Well Density]]*Table1[[#This Row],[Single Well Discovery Area]])))</f>
        <v>0.85000000000000009</v>
      </c>
      <c r="CM7" t="s">
        <v>158</v>
      </c>
      <c r="CN7" s="19">
        <f>Table1[[#This Row],[Mid]]</f>
        <v>0</v>
      </c>
      <c r="CO7" s="19">
        <f>Table1[[#This Row],[Mid3]]+Table1[[#This Row],[Mid6]]+Table1[[#This Row],[Mid9]]</f>
        <v>0</v>
      </c>
      <c r="CP7" s="19">
        <f>Table1[[#This Row],[Mid12]]+Table1[[#This Row],[Mid15]]+Table1[[#This Row],[Mid18]]+Table1[[#This Row],[Mid21]]+Table1[[#This Row],[Mid24]]</f>
        <v>5151</v>
      </c>
      <c r="CQ7" s="19">
        <f>Table1[[#This Row],[Mid27]]+Table1[[#This Row],[Mid30]]+Table1[[#This Row],[Mid33]]+Table1[[#This Row],[Mid36]]+Table1[[#This Row],[Mid39]]</f>
        <v>909</v>
      </c>
      <c r="CR7" t="s">
        <v>136</v>
      </c>
      <c r="CS7" s="19" t="str">
        <f>IF(AND(Table1[[#This Row],[Low41]]=0, Table1[[#This Row],[High43]]=0),"N","Y")</f>
        <v>N</v>
      </c>
    </row>
    <row r="8" spans="1:100" ht="19.5" customHeight="1" x14ac:dyDescent="0.25">
      <c r="A8">
        <v>10005</v>
      </c>
      <c r="B8" t="s">
        <v>113</v>
      </c>
      <c r="C8" t="s">
        <v>165</v>
      </c>
      <c r="D8">
        <v>-40.118888890000001</v>
      </c>
      <c r="E8">
        <v>145.6488889</v>
      </c>
      <c r="F8" t="s">
        <v>166</v>
      </c>
      <c r="G8" t="s">
        <v>166</v>
      </c>
      <c r="I8" t="s">
        <v>118</v>
      </c>
      <c r="J8" t="s">
        <v>119</v>
      </c>
      <c r="K8" t="s">
        <v>167</v>
      </c>
      <c r="L8" t="s">
        <v>18</v>
      </c>
      <c r="N8" s="6" t="s">
        <v>168</v>
      </c>
      <c r="O8" t="s">
        <v>169</v>
      </c>
      <c r="P8" t="s">
        <v>170</v>
      </c>
      <c r="Q8" t="s">
        <v>171</v>
      </c>
      <c r="R8" t="s">
        <v>172</v>
      </c>
      <c r="S8">
        <v>2009</v>
      </c>
      <c r="T8" t="s">
        <v>153</v>
      </c>
      <c r="U8" t="s">
        <v>173</v>
      </c>
      <c r="V8">
        <v>0</v>
      </c>
      <c r="W8">
        <v>0</v>
      </c>
      <c r="X8">
        <v>0</v>
      </c>
      <c r="Y8">
        <v>0</v>
      </c>
      <c r="Z8">
        <v>0</v>
      </c>
      <c r="AA8">
        <v>0</v>
      </c>
      <c r="AB8">
        <v>0</v>
      </c>
      <c r="AC8">
        <v>0</v>
      </c>
      <c r="AD8">
        <v>0</v>
      </c>
      <c r="AF8">
        <v>200</v>
      </c>
      <c r="AG8">
        <v>0</v>
      </c>
      <c r="AH8" t="s">
        <v>174</v>
      </c>
      <c r="AI8">
        <v>4</v>
      </c>
      <c r="AJ8">
        <v>0</v>
      </c>
      <c r="AK8">
        <v>0</v>
      </c>
      <c r="AL8">
        <v>0</v>
      </c>
      <c r="AM8" t="s">
        <v>175</v>
      </c>
      <c r="AN8" t="s">
        <v>132</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12700</v>
      </c>
      <c r="BZ8">
        <v>19100</v>
      </c>
      <c r="CA8">
        <v>26100</v>
      </c>
      <c r="CB8">
        <v>0</v>
      </c>
      <c r="CC8">
        <v>0</v>
      </c>
      <c r="CD8">
        <v>0</v>
      </c>
      <c r="CE8" s="19">
        <f>SUM(Table1[[#This Row],[Low38]],Table1[[#This Row],[Low35]],Table1[[#This Row],[Low32]],Table1[[#This Row],[Low29]],Table1[[#This Row],[Low26]],Table1[[#This Row],[Low23]],Table1[[#This Row],[Low20]],Table1[[#This Row],[Low17]],Table1[[#This Row],[Low14]],Table1[[#This Row],[Low11]],Table1[[#This Row],[Low8]],Table1[[#This Row],[Low5]],Table1[[#This Row],[Low2]],Table1[[#This Row],[Low]])</f>
        <v>12700</v>
      </c>
      <c r="CF8" s="19">
        <f>SUM(Table1[[#This Row],[Mid39]],Table1[[#This Row],[Mid36]],Table1[[#This Row],[Mid33]],Table1[[#This Row],[Mid30]],Table1[[#This Row],[Mid27]],Table1[[#This Row],[Mid24]],Table1[[#This Row],[Mid21]],Table1[[#This Row],[Mid18]],Table1[[#This Row],[Mid15]],Table1[[#This Row],[Mid12]],Table1[[#This Row],[Mid9]],Table1[[#This Row],[Mid6]],Table1[[#This Row],[Mid3]],Table1[[#This Row],[Mid]])</f>
        <v>19100</v>
      </c>
      <c r="CG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26100</v>
      </c>
      <c r="CH8" t="s">
        <v>157</v>
      </c>
      <c r="CI8" t="s">
        <v>176</v>
      </c>
      <c r="CJ8" t="s">
        <v>158</v>
      </c>
      <c r="CL8" s="19">
        <f>IF(Table1[[#This Row],[Type]]="Petroleum",1,IF(ISERROR(Table1[[#This Row],[Well Density]]*Table1[[#This Row],[Single Well Discovery Area]]),"",IF(Table1[[#This Row],[Well Density]]*Table1[[#This Row],[Single Well Discovery Area]]&gt;1,1,Table1[[#This Row],[Well Density]]*Table1[[#This Row],[Single Well Discovery Area]])))</f>
        <v>0</v>
      </c>
      <c r="CM8" t="s">
        <v>158</v>
      </c>
      <c r="CN8" s="19">
        <f>Table1[[#This Row],[Mid]]</f>
        <v>0</v>
      </c>
      <c r="CO8" s="19">
        <f>Table1[[#This Row],[Mid3]]+Table1[[#This Row],[Mid6]]+Table1[[#This Row],[Mid9]]</f>
        <v>0</v>
      </c>
      <c r="CP8" s="19">
        <f>Table1[[#This Row],[Mid12]]+Table1[[#This Row],[Mid15]]+Table1[[#This Row],[Mid18]]+Table1[[#This Row],[Mid21]]+Table1[[#This Row],[Mid24]]</f>
        <v>0</v>
      </c>
      <c r="CQ8" s="19">
        <f>Table1[[#This Row],[Mid27]]+Table1[[#This Row],[Mid30]]+Table1[[#This Row],[Mid33]]+Table1[[#This Row],[Mid36]]+Table1[[#This Row],[Mid39]]</f>
        <v>19100</v>
      </c>
      <c r="CR8" t="s">
        <v>136</v>
      </c>
      <c r="CS8" s="19" t="str">
        <f>IF(AND(Table1[[#This Row],[Low41]]=0, Table1[[#This Row],[High43]]=0),"N","Y")</f>
        <v>Y</v>
      </c>
    </row>
    <row r="9" spans="1:100" ht="19.5" customHeight="1" x14ac:dyDescent="0.25">
      <c r="A9">
        <v>10006</v>
      </c>
      <c r="B9" t="s">
        <v>113</v>
      </c>
      <c r="C9" t="s">
        <v>165</v>
      </c>
      <c r="D9">
        <v>-14.14777778</v>
      </c>
      <c r="E9">
        <v>128.54194440000001</v>
      </c>
      <c r="F9" t="s">
        <v>177</v>
      </c>
      <c r="G9" t="s">
        <v>116</v>
      </c>
      <c r="I9" t="s">
        <v>118</v>
      </c>
      <c r="J9" t="s">
        <v>119</v>
      </c>
      <c r="K9" t="s">
        <v>167</v>
      </c>
      <c r="L9" t="s">
        <v>18</v>
      </c>
      <c r="N9" s="6" t="s">
        <v>168</v>
      </c>
      <c r="O9" t="s">
        <v>169</v>
      </c>
      <c r="P9" t="s">
        <v>170</v>
      </c>
      <c r="Q9" t="s">
        <v>171</v>
      </c>
      <c r="R9" t="s">
        <v>172</v>
      </c>
      <c r="S9">
        <v>2009</v>
      </c>
      <c r="T9" t="s">
        <v>153</v>
      </c>
      <c r="U9" t="s">
        <v>173</v>
      </c>
      <c r="V9">
        <v>0</v>
      </c>
      <c r="W9">
        <v>0</v>
      </c>
      <c r="X9">
        <v>0</v>
      </c>
      <c r="Y9">
        <v>0</v>
      </c>
      <c r="Z9">
        <v>0</v>
      </c>
      <c r="AA9">
        <v>0</v>
      </c>
      <c r="AB9">
        <v>0</v>
      </c>
      <c r="AC9">
        <v>0</v>
      </c>
      <c r="AD9">
        <v>0</v>
      </c>
      <c r="AF9">
        <v>200</v>
      </c>
      <c r="AG9">
        <v>0</v>
      </c>
      <c r="AH9" t="s">
        <v>174</v>
      </c>
      <c r="AI9">
        <v>4</v>
      </c>
      <c r="AJ9">
        <v>0</v>
      </c>
      <c r="AK9">
        <v>0</v>
      </c>
      <c r="AL9">
        <v>0</v>
      </c>
      <c r="AM9" t="s">
        <v>175</v>
      </c>
      <c r="AN9" t="s">
        <v>132</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32200</v>
      </c>
      <c r="BZ9">
        <v>55300</v>
      </c>
      <c r="CA9">
        <v>88000</v>
      </c>
      <c r="CB9">
        <v>0</v>
      </c>
      <c r="CC9">
        <v>0</v>
      </c>
      <c r="CD9">
        <v>0</v>
      </c>
      <c r="CE9" s="19">
        <f>SUM(Table1[[#This Row],[Low38]],Table1[[#This Row],[Low35]],Table1[[#This Row],[Low32]],Table1[[#This Row],[Low29]],Table1[[#This Row],[Low26]],Table1[[#This Row],[Low23]],Table1[[#This Row],[Low20]],Table1[[#This Row],[Low17]],Table1[[#This Row],[Low14]],Table1[[#This Row],[Low11]],Table1[[#This Row],[Low8]],Table1[[#This Row],[Low5]],Table1[[#This Row],[Low2]],Table1[[#This Row],[Low]])</f>
        <v>32200</v>
      </c>
      <c r="CF9" s="19">
        <f>SUM(Table1[[#This Row],[Mid39]],Table1[[#This Row],[Mid36]],Table1[[#This Row],[Mid33]],Table1[[#This Row],[Mid30]],Table1[[#This Row],[Mid27]],Table1[[#This Row],[Mid24]],Table1[[#This Row],[Mid21]],Table1[[#This Row],[Mid18]],Table1[[#This Row],[Mid15]],Table1[[#This Row],[Mid12]],Table1[[#This Row],[Mid9]],Table1[[#This Row],[Mid6]],Table1[[#This Row],[Mid3]],Table1[[#This Row],[Mid]])</f>
        <v>55300</v>
      </c>
      <c r="CG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88000</v>
      </c>
      <c r="CH9" t="s">
        <v>157</v>
      </c>
      <c r="CI9" t="s">
        <v>176</v>
      </c>
      <c r="CJ9" t="s">
        <v>158</v>
      </c>
      <c r="CL9" s="19">
        <f>IF(Table1[[#This Row],[Type]]="Petroleum",1,IF(ISERROR(Table1[[#This Row],[Well Density]]*Table1[[#This Row],[Single Well Discovery Area]]),"",IF(Table1[[#This Row],[Well Density]]*Table1[[#This Row],[Single Well Discovery Area]]&gt;1,1,Table1[[#This Row],[Well Density]]*Table1[[#This Row],[Single Well Discovery Area]])))</f>
        <v>0</v>
      </c>
      <c r="CM9" t="s">
        <v>158</v>
      </c>
      <c r="CN9" s="19">
        <f>Table1[[#This Row],[Mid]]</f>
        <v>0</v>
      </c>
      <c r="CO9" s="19">
        <f>Table1[[#This Row],[Mid3]]+Table1[[#This Row],[Mid6]]+Table1[[#This Row],[Mid9]]</f>
        <v>0</v>
      </c>
      <c r="CP9" s="19">
        <f>Table1[[#This Row],[Mid12]]+Table1[[#This Row],[Mid15]]+Table1[[#This Row],[Mid18]]+Table1[[#This Row],[Mid21]]+Table1[[#This Row],[Mid24]]</f>
        <v>0</v>
      </c>
      <c r="CQ9" s="19">
        <f>Table1[[#This Row],[Mid27]]+Table1[[#This Row],[Mid30]]+Table1[[#This Row],[Mid33]]+Table1[[#This Row],[Mid36]]+Table1[[#This Row],[Mid39]]</f>
        <v>55300</v>
      </c>
      <c r="CR9" t="s">
        <v>136</v>
      </c>
      <c r="CS9" s="19" t="str">
        <f>IF(AND(Table1[[#This Row],[Low41]]=0, Table1[[#This Row],[High43]]=0),"N","Y")</f>
        <v>Y</v>
      </c>
    </row>
    <row r="10" spans="1:100" ht="19.5" customHeight="1" x14ac:dyDescent="0.25">
      <c r="A10">
        <v>10007</v>
      </c>
      <c r="B10" t="s">
        <v>113</v>
      </c>
      <c r="C10" t="s">
        <v>165</v>
      </c>
      <c r="D10">
        <v>-15.30777778</v>
      </c>
      <c r="E10">
        <v>120.3502778</v>
      </c>
      <c r="F10" t="s">
        <v>178</v>
      </c>
      <c r="G10" t="s">
        <v>179</v>
      </c>
      <c r="I10" t="s">
        <v>118</v>
      </c>
      <c r="J10" t="s">
        <v>119</v>
      </c>
      <c r="K10" t="s">
        <v>167</v>
      </c>
      <c r="L10" t="s">
        <v>18</v>
      </c>
      <c r="N10" s="6" t="s">
        <v>168</v>
      </c>
      <c r="O10" t="s">
        <v>180</v>
      </c>
      <c r="P10" t="s">
        <v>170</v>
      </c>
      <c r="Q10" t="s">
        <v>171</v>
      </c>
      <c r="R10" t="s">
        <v>181</v>
      </c>
      <c r="S10">
        <v>2009</v>
      </c>
      <c r="T10" t="s">
        <v>153</v>
      </c>
      <c r="U10" t="s">
        <v>173</v>
      </c>
      <c r="V10">
        <v>0</v>
      </c>
      <c r="W10">
        <v>0</v>
      </c>
      <c r="X10">
        <v>0</v>
      </c>
      <c r="Y10">
        <v>0</v>
      </c>
      <c r="Z10">
        <v>0</v>
      </c>
      <c r="AA10">
        <v>0</v>
      </c>
      <c r="AB10">
        <v>0</v>
      </c>
      <c r="AC10">
        <v>0</v>
      </c>
      <c r="AD10">
        <v>0</v>
      </c>
      <c r="AF10">
        <v>200</v>
      </c>
      <c r="AG10">
        <v>0</v>
      </c>
      <c r="AH10" t="s">
        <v>174</v>
      </c>
      <c r="AI10">
        <v>4</v>
      </c>
      <c r="AJ10">
        <v>0</v>
      </c>
      <c r="AK10">
        <v>0</v>
      </c>
      <c r="AL10">
        <v>0</v>
      </c>
      <c r="AM10" t="s">
        <v>175</v>
      </c>
      <c r="AN10" t="s">
        <v>132</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7000</v>
      </c>
      <c r="BZ10">
        <v>11200</v>
      </c>
      <c r="CA10">
        <v>16300</v>
      </c>
      <c r="CB10">
        <v>0</v>
      </c>
      <c r="CC10">
        <v>0</v>
      </c>
      <c r="CD10">
        <v>0</v>
      </c>
      <c r="CE10" s="19">
        <f>SUM(Table1[[#This Row],[Low38]],Table1[[#This Row],[Low35]],Table1[[#This Row],[Low32]],Table1[[#This Row],[Low29]],Table1[[#This Row],[Low26]],Table1[[#This Row],[Low23]],Table1[[#This Row],[Low20]],Table1[[#This Row],[Low17]],Table1[[#This Row],[Low14]],Table1[[#This Row],[Low11]],Table1[[#This Row],[Low8]],Table1[[#This Row],[Low5]],Table1[[#This Row],[Low2]],Table1[[#This Row],[Low]])</f>
        <v>7000</v>
      </c>
      <c r="CF10" s="19">
        <f>SUM(Table1[[#This Row],[Mid39]],Table1[[#This Row],[Mid36]],Table1[[#This Row],[Mid33]],Table1[[#This Row],[Mid30]],Table1[[#This Row],[Mid27]],Table1[[#This Row],[Mid24]],Table1[[#This Row],[Mid21]],Table1[[#This Row],[Mid18]],Table1[[#This Row],[Mid15]],Table1[[#This Row],[Mid12]],Table1[[#This Row],[Mid9]],Table1[[#This Row],[Mid6]],Table1[[#This Row],[Mid3]],Table1[[#This Row],[Mid]])</f>
        <v>11200</v>
      </c>
      <c r="CG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16300</v>
      </c>
      <c r="CH10" t="s">
        <v>157</v>
      </c>
      <c r="CI10" t="s">
        <v>176</v>
      </c>
      <c r="CJ10" t="s">
        <v>158</v>
      </c>
      <c r="CL10" s="19">
        <f>IF(Table1[[#This Row],[Type]]="Petroleum",1,IF(ISERROR(Table1[[#This Row],[Well Density]]*Table1[[#This Row],[Single Well Discovery Area]]),"",IF(Table1[[#This Row],[Well Density]]*Table1[[#This Row],[Single Well Discovery Area]]&gt;1,1,Table1[[#This Row],[Well Density]]*Table1[[#This Row],[Single Well Discovery Area]])))</f>
        <v>0</v>
      </c>
      <c r="CM10" t="s">
        <v>158</v>
      </c>
      <c r="CN10" s="19">
        <f>Table1[[#This Row],[Mid]]</f>
        <v>0</v>
      </c>
      <c r="CO10" s="19">
        <f>Table1[[#This Row],[Mid3]]+Table1[[#This Row],[Mid6]]+Table1[[#This Row],[Mid9]]</f>
        <v>0</v>
      </c>
      <c r="CP10" s="19">
        <f>Table1[[#This Row],[Mid12]]+Table1[[#This Row],[Mid15]]+Table1[[#This Row],[Mid18]]+Table1[[#This Row],[Mid21]]+Table1[[#This Row],[Mid24]]</f>
        <v>0</v>
      </c>
      <c r="CQ10" s="19">
        <f>Table1[[#This Row],[Mid27]]+Table1[[#This Row],[Mid30]]+Table1[[#This Row],[Mid33]]+Table1[[#This Row],[Mid36]]+Table1[[#This Row],[Mid39]]</f>
        <v>11200</v>
      </c>
      <c r="CR10" t="s">
        <v>136</v>
      </c>
      <c r="CS10" s="19" t="str">
        <f>IF(AND(Table1[[#This Row],[Low41]]=0, Table1[[#This Row],[High43]]=0),"N","Y")</f>
        <v>Y</v>
      </c>
    </row>
    <row r="11" spans="1:100" ht="19.5" customHeight="1" x14ac:dyDescent="0.25">
      <c r="A11">
        <v>10008</v>
      </c>
      <c r="B11" t="s">
        <v>113</v>
      </c>
      <c r="C11" t="s">
        <v>165</v>
      </c>
      <c r="D11">
        <v>-18.338333330000001</v>
      </c>
      <c r="E11">
        <v>131.02000000000001</v>
      </c>
      <c r="F11" t="s">
        <v>182</v>
      </c>
      <c r="G11" t="s">
        <v>183</v>
      </c>
      <c r="I11" t="s">
        <v>118</v>
      </c>
      <c r="J11" t="s">
        <v>119</v>
      </c>
      <c r="K11" t="s">
        <v>167</v>
      </c>
      <c r="L11" t="s">
        <v>18</v>
      </c>
      <c r="N11" s="6" t="s">
        <v>168</v>
      </c>
      <c r="O11" t="s">
        <v>169</v>
      </c>
      <c r="P11" t="s">
        <v>170</v>
      </c>
      <c r="Q11" t="s">
        <v>171</v>
      </c>
      <c r="R11" t="s">
        <v>172</v>
      </c>
      <c r="S11">
        <v>2009</v>
      </c>
      <c r="T11" t="s">
        <v>153</v>
      </c>
      <c r="U11" t="s">
        <v>173</v>
      </c>
      <c r="V11">
        <v>0</v>
      </c>
      <c r="W11">
        <v>0</v>
      </c>
      <c r="X11">
        <v>0</v>
      </c>
      <c r="Y11">
        <v>0</v>
      </c>
      <c r="Z11">
        <v>0</v>
      </c>
      <c r="AA11">
        <v>0</v>
      </c>
      <c r="AB11">
        <v>0</v>
      </c>
      <c r="AC11">
        <v>0</v>
      </c>
      <c r="AD11">
        <v>0</v>
      </c>
      <c r="AF11">
        <v>200</v>
      </c>
      <c r="AG11">
        <v>0</v>
      </c>
      <c r="AH11" t="s">
        <v>174</v>
      </c>
      <c r="AI11">
        <v>4</v>
      </c>
      <c r="AJ11">
        <v>0</v>
      </c>
      <c r="AK11">
        <v>0</v>
      </c>
      <c r="AL11">
        <v>0</v>
      </c>
      <c r="AM11" t="s">
        <v>175</v>
      </c>
      <c r="AN11" t="s">
        <v>132</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23500</v>
      </c>
      <c r="BZ11">
        <v>37700</v>
      </c>
      <c r="CA11">
        <v>56000</v>
      </c>
      <c r="CB11">
        <v>0</v>
      </c>
      <c r="CC11">
        <v>0</v>
      </c>
      <c r="CD11">
        <v>0</v>
      </c>
      <c r="CE11" s="19">
        <f>SUM(Table1[[#This Row],[Low38]],Table1[[#This Row],[Low35]],Table1[[#This Row],[Low32]],Table1[[#This Row],[Low29]],Table1[[#This Row],[Low26]],Table1[[#This Row],[Low23]],Table1[[#This Row],[Low20]],Table1[[#This Row],[Low17]],Table1[[#This Row],[Low14]],Table1[[#This Row],[Low11]],Table1[[#This Row],[Low8]],Table1[[#This Row],[Low5]],Table1[[#This Row],[Low2]],Table1[[#This Row],[Low]])</f>
        <v>23500</v>
      </c>
      <c r="CF11" s="19">
        <f>SUM(Table1[[#This Row],[Mid39]],Table1[[#This Row],[Mid36]],Table1[[#This Row],[Mid33]],Table1[[#This Row],[Mid30]],Table1[[#This Row],[Mid27]],Table1[[#This Row],[Mid24]],Table1[[#This Row],[Mid21]],Table1[[#This Row],[Mid18]],Table1[[#This Row],[Mid15]],Table1[[#This Row],[Mid12]],Table1[[#This Row],[Mid9]],Table1[[#This Row],[Mid6]],Table1[[#This Row],[Mid3]],Table1[[#This Row],[Mid]])</f>
        <v>37700</v>
      </c>
      <c r="CG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56000</v>
      </c>
      <c r="CH11" t="s">
        <v>157</v>
      </c>
      <c r="CI11" t="s">
        <v>176</v>
      </c>
      <c r="CJ11" t="s">
        <v>158</v>
      </c>
      <c r="CL11" s="19">
        <f>IF(Table1[[#This Row],[Type]]="Petroleum",1,IF(ISERROR(Table1[[#This Row],[Well Density]]*Table1[[#This Row],[Single Well Discovery Area]]),"",IF(Table1[[#This Row],[Well Density]]*Table1[[#This Row],[Single Well Discovery Area]]&gt;1,1,Table1[[#This Row],[Well Density]]*Table1[[#This Row],[Single Well Discovery Area]])))</f>
        <v>0</v>
      </c>
      <c r="CM11" t="s">
        <v>158</v>
      </c>
      <c r="CN11" s="19">
        <f>Table1[[#This Row],[Mid]]</f>
        <v>0</v>
      </c>
      <c r="CO11" s="19">
        <f>Table1[[#This Row],[Mid3]]+Table1[[#This Row],[Mid6]]+Table1[[#This Row],[Mid9]]</f>
        <v>0</v>
      </c>
      <c r="CP11" s="19">
        <f>Table1[[#This Row],[Mid12]]+Table1[[#This Row],[Mid15]]+Table1[[#This Row],[Mid18]]+Table1[[#This Row],[Mid21]]+Table1[[#This Row],[Mid24]]</f>
        <v>0</v>
      </c>
      <c r="CQ11" s="19">
        <f>Table1[[#This Row],[Mid27]]+Table1[[#This Row],[Mid30]]+Table1[[#This Row],[Mid33]]+Table1[[#This Row],[Mid36]]+Table1[[#This Row],[Mid39]]</f>
        <v>37700</v>
      </c>
      <c r="CR11" t="s">
        <v>136</v>
      </c>
      <c r="CS11" s="19" t="str">
        <f>IF(AND(Table1[[#This Row],[Low41]]=0, Table1[[#This Row],[High43]]=0),"N","Y")</f>
        <v>Y</v>
      </c>
    </row>
    <row r="12" spans="1:100" ht="19.5" customHeight="1" x14ac:dyDescent="0.25">
      <c r="A12">
        <v>10009</v>
      </c>
      <c r="B12" t="s">
        <v>113</v>
      </c>
      <c r="C12" t="s">
        <v>165</v>
      </c>
      <c r="D12">
        <v>-20.451944439999998</v>
      </c>
      <c r="E12">
        <v>113.0652778</v>
      </c>
      <c r="F12" t="s">
        <v>184</v>
      </c>
      <c r="G12" t="s">
        <v>185</v>
      </c>
      <c r="I12" t="s">
        <v>118</v>
      </c>
      <c r="J12" t="s">
        <v>119</v>
      </c>
      <c r="K12" t="s">
        <v>167</v>
      </c>
      <c r="L12" t="s">
        <v>18</v>
      </c>
      <c r="N12" s="6" t="s">
        <v>168</v>
      </c>
      <c r="O12" t="s">
        <v>169</v>
      </c>
      <c r="P12" t="s">
        <v>170</v>
      </c>
      <c r="Q12" t="s">
        <v>171</v>
      </c>
      <c r="R12" t="s">
        <v>172</v>
      </c>
      <c r="S12">
        <v>2009</v>
      </c>
      <c r="T12" t="s">
        <v>153</v>
      </c>
      <c r="U12" t="s">
        <v>173</v>
      </c>
      <c r="V12">
        <v>0</v>
      </c>
      <c r="W12">
        <v>0</v>
      </c>
      <c r="X12">
        <v>0</v>
      </c>
      <c r="Y12">
        <v>0</v>
      </c>
      <c r="Z12">
        <v>0</v>
      </c>
      <c r="AA12">
        <v>0</v>
      </c>
      <c r="AB12">
        <v>0</v>
      </c>
      <c r="AC12">
        <v>0</v>
      </c>
      <c r="AD12">
        <v>0</v>
      </c>
      <c r="AF12">
        <v>200</v>
      </c>
      <c r="AG12">
        <v>0</v>
      </c>
      <c r="AH12" t="s">
        <v>174</v>
      </c>
      <c r="AI12">
        <v>4</v>
      </c>
      <c r="AJ12">
        <v>0</v>
      </c>
      <c r="AK12">
        <v>0</v>
      </c>
      <c r="AL12">
        <v>0</v>
      </c>
      <c r="AM12" t="s">
        <v>175</v>
      </c>
      <c r="AN12" t="s">
        <v>132</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25500</v>
      </c>
      <c r="BZ12">
        <v>48500</v>
      </c>
      <c r="CA12">
        <v>89300</v>
      </c>
      <c r="CB12">
        <v>0</v>
      </c>
      <c r="CC12">
        <v>0</v>
      </c>
      <c r="CD12">
        <v>0</v>
      </c>
      <c r="CE12" s="19">
        <f>SUM(Table1[[#This Row],[Low38]],Table1[[#This Row],[Low35]],Table1[[#This Row],[Low32]],Table1[[#This Row],[Low29]],Table1[[#This Row],[Low26]],Table1[[#This Row],[Low23]],Table1[[#This Row],[Low20]],Table1[[#This Row],[Low17]],Table1[[#This Row],[Low14]],Table1[[#This Row],[Low11]],Table1[[#This Row],[Low8]],Table1[[#This Row],[Low5]],Table1[[#This Row],[Low2]],Table1[[#This Row],[Low]])</f>
        <v>25500</v>
      </c>
      <c r="CF12" s="19">
        <f>SUM(Table1[[#This Row],[Mid39]],Table1[[#This Row],[Mid36]],Table1[[#This Row],[Mid33]],Table1[[#This Row],[Mid30]],Table1[[#This Row],[Mid27]],Table1[[#This Row],[Mid24]],Table1[[#This Row],[Mid21]],Table1[[#This Row],[Mid18]],Table1[[#This Row],[Mid15]],Table1[[#This Row],[Mid12]],Table1[[#This Row],[Mid9]],Table1[[#This Row],[Mid6]],Table1[[#This Row],[Mid3]],Table1[[#This Row],[Mid]])</f>
        <v>48500</v>
      </c>
      <c r="CG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89300</v>
      </c>
      <c r="CH12" t="s">
        <v>157</v>
      </c>
      <c r="CI12" t="s">
        <v>176</v>
      </c>
      <c r="CJ12" t="s">
        <v>158</v>
      </c>
      <c r="CL12" s="19">
        <f>IF(Table1[[#This Row],[Type]]="Petroleum",1,IF(ISERROR(Table1[[#This Row],[Well Density]]*Table1[[#This Row],[Single Well Discovery Area]]),"",IF(Table1[[#This Row],[Well Density]]*Table1[[#This Row],[Single Well Discovery Area]]&gt;1,1,Table1[[#This Row],[Well Density]]*Table1[[#This Row],[Single Well Discovery Area]])))</f>
        <v>0</v>
      </c>
      <c r="CM12" t="s">
        <v>158</v>
      </c>
      <c r="CN12" s="19">
        <f>Table1[[#This Row],[Mid]]</f>
        <v>0</v>
      </c>
      <c r="CO12" s="19">
        <f>Table1[[#This Row],[Mid3]]+Table1[[#This Row],[Mid6]]+Table1[[#This Row],[Mid9]]</f>
        <v>0</v>
      </c>
      <c r="CP12" s="19">
        <f>Table1[[#This Row],[Mid12]]+Table1[[#This Row],[Mid15]]+Table1[[#This Row],[Mid18]]+Table1[[#This Row],[Mid21]]+Table1[[#This Row],[Mid24]]</f>
        <v>0</v>
      </c>
      <c r="CQ12" s="19">
        <f>Table1[[#This Row],[Mid27]]+Table1[[#This Row],[Mid30]]+Table1[[#This Row],[Mid33]]+Table1[[#This Row],[Mid36]]+Table1[[#This Row],[Mid39]]</f>
        <v>48500</v>
      </c>
      <c r="CR12" t="s">
        <v>136</v>
      </c>
      <c r="CS12" s="19" t="str">
        <f>IF(AND(Table1[[#This Row],[Low41]]=0, Table1[[#This Row],[High43]]=0),"N","Y")</f>
        <v>Y</v>
      </c>
    </row>
    <row r="13" spans="1:100" ht="19.5" customHeight="1" x14ac:dyDescent="0.25">
      <c r="A13">
        <v>10010</v>
      </c>
      <c r="B13" t="s">
        <v>113</v>
      </c>
      <c r="C13" t="s">
        <v>165</v>
      </c>
      <c r="D13">
        <v>-24.91444444</v>
      </c>
      <c r="E13">
        <v>112.43611110000001</v>
      </c>
      <c r="F13" t="s">
        <v>186</v>
      </c>
      <c r="G13" t="s">
        <v>187</v>
      </c>
      <c r="I13" t="s">
        <v>118</v>
      </c>
      <c r="J13" t="s">
        <v>119</v>
      </c>
      <c r="K13" t="s">
        <v>167</v>
      </c>
      <c r="L13" t="s">
        <v>18</v>
      </c>
      <c r="N13" s="6" t="s">
        <v>168</v>
      </c>
      <c r="O13" t="s">
        <v>169</v>
      </c>
      <c r="P13" t="s">
        <v>170</v>
      </c>
      <c r="Q13" t="s">
        <v>171</v>
      </c>
      <c r="R13" t="s">
        <v>172</v>
      </c>
      <c r="S13">
        <v>2009</v>
      </c>
      <c r="T13" t="s">
        <v>153</v>
      </c>
      <c r="U13" t="s">
        <v>173</v>
      </c>
      <c r="V13">
        <v>0</v>
      </c>
      <c r="W13">
        <v>0</v>
      </c>
      <c r="X13">
        <v>0</v>
      </c>
      <c r="Y13">
        <v>0</v>
      </c>
      <c r="Z13">
        <v>0</v>
      </c>
      <c r="AA13">
        <v>0</v>
      </c>
      <c r="AB13">
        <v>0</v>
      </c>
      <c r="AC13">
        <v>0</v>
      </c>
      <c r="AD13">
        <v>0</v>
      </c>
      <c r="AF13">
        <v>200</v>
      </c>
      <c r="AG13">
        <v>0</v>
      </c>
      <c r="AH13" t="s">
        <v>174</v>
      </c>
      <c r="AI13">
        <v>4</v>
      </c>
      <c r="AJ13">
        <v>0</v>
      </c>
      <c r="AK13">
        <v>0</v>
      </c>
      <c r="AL13">
        <v>0</v>
      </c>
      <c r="AM13" t="s">
        <v>175</v>
      </c>
      <c r="AN13" t="s">
        <v>132</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11100</v>
      </c>
      <c r="BZ13">
        <v>22800</v>
      </c>
      <c r="CA13">
        <v>40100</v>
      </c>
      <c r="CB13">
        <v>0</v>
      </c>
      <c r="CC13">
        <v>0</v>
      </c>
      <c r="CD13">
        <v>0</v>
      </c>
      <c r="CE13" s="19">
        <f>SUM(Table1[[#This Row],[Low38]],Table1[[#This Row],[Low35]],Table1[[#This Row],[Low32]],Table1[[#This Row],[Low29]],Table1[[#This Row],[Low26]],Table1[[#This Row],[Low23]],Table1[[#This Row],[Low20]],Table1[[#This Row],[Low17]],Table1[[#This Row],[Low14]],Table1[[#This Row],[Low11]],Table1[[#This Row],[Low8]],Table1[[#This Row],[Low5]],Table1[[#This Row],[Low2]],Table1[[#This Row],[Low]])</f>
        <v>11100</v>
      </c>
      <c r="CF13" s="19">
        <f>SUM(Table1[[#This Row],[Mid39]],Table1[[#This Row],[Mid36]],Table1[[#This Row],[Mid33]],Table1[[#This Row],[Mid30]],Table1[[#This Row],[Mid27]],Table1[[#This Row],[Mid24]],Table1[[#This Row],[Mid21]],Table1[[#This Row],[Mid18]],Table1[[#This Row],[Mid15]],Table1[[#This Row],[Mid12]],Table1[[#This Row],[Mid9]],Table1[[#This Row],[Mid6]],Table1[[#This Row],[Mid3]],Table1[[#This Row],[Mid]])</f>
        <v>22800</v>
      </c>
      <c r="CG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40100</v>
      </c>
      <c r="CH13" t="s">
        <v>157</v>
      </c>
      <c r="CI13" t="s">
        <v>176</v>
      </c>
      <c r="CJ13" t="s">
        <v>158</v>
      </c>
      <c r="CL13" s="19">
        <f>IF(Table1[[#This Row],[Type]]="Petroleum",1,IF(ISERROR(Table1[[#This Row],[Well Density]]*Table1[[#This Row],[Single Well Discovery Area]]),"",IF(Table1[[#This Row],[Well Density]]*Table1[[#This Row],[Single Well Discovery Area]]&gt;1,1,Table1[[#This Row],[Well Density]]*Table1[[#This Row],[Single Well Discovery Area]])))</f>
        <v>0</v>
      </c>
      <c r="CM13" t="s">
        <v>158</v>
      </c>
      <c r="CN13" s="19">
        <f>Table1[[#This Row],[Mid]]</f>
        <v>0</v>
      </c>
      <c r="CO13" s="19">
        <f>Table1[[#This Row],[Mid3]]+Table1[[#This Row],[Mid6]]+Table1[[#This Row],[Mid9]]</f>
        <v>0</v>
      </c>
      <c r="CP13" s="19">
        <f>Table1[[#This Row],[Mid12]]+Table1[[#This Row],[Mid15]]+Table1[[#This Row],[Mid18]]+Table1[[#This Row],[Mid21]]+Table1[[#This Row],[Mid24]]</f>
        <v>0</v>
      </c>
      <c r="CQ13" s="19">
        <f>Table1[[#This Row],[Mid27]]+Table1[[#This Row],[Mid30]]+Table1[[#This Row],[Mid33]]+Table1[[#This Row],[Mid36]]+Table1[[#This Row],[Mid39]]</f>
        <v>22800</v>
      </c>
      <c r="CR13" t="s">
        <v>136</v>
      </c>
      <c r="CS13" s="19" t="str">
        <f>IF(AND(Table1[[#This Row],[Low41]]=0, Table1[[#This Row],[High43]]=0),"N","Y")</f>
        <v>Y</v>
      </c>
    </row>
    <row r="14" spans="1:100" ht="19.5" customHeight="1" x14ac:dyDescent="0.25">
      <c r="A14">
        <v>10011</v>
      </c>
      <c r="B14" t="s">
        <v>113</v>
      </c>
      <c r="C14" t="s">
        <v>165</v>
      </c>
      <c r="D14">
        <v>-14.5</v>
      </c>
      <c r="E14">
        <v>122.66666669999999</v>
      </c>
      <c r="F14" t="s">
        <v>188</v>
      </c>
      <c r="G14" t="s">
        <v>179</v>
      </c>
      <c r="H14" t="s">
        <v>189</v>
      </c>
      <c r="I14" t="s">
        <v>118</v>
      </c>
      <c r="J14" t="s">
        <v>119</v>
      </c>
      <c r="K14" t="s">
        <v>190</v>
      </c>
      <c r="L14" t="s">
        <v>18</v>
      </c>
      <c r="M14" t="s">
        <v>191</v>
      </c>
      <c r="N14" s="6" t="s">
        <v>192</v>
      </c>
      <c r="O14" t="s">
        <v>193</v>
      </c>
      <c r="P14" t="s">
        <v>194</v>
      </c>
      <c r="Q14" t="s">
        <v>195</v>
      </c>
      <c r="R14" t="s">
        <v>196</v>
      </c>
      <c r="S14">
        <v>2012</v>
      </c>
      <c r="T14" t="s">
        <v>128</v>
      </c>
      <c r="U14" t="s">
        <v>129</v>
      </c>
      <c r="V14">
        <v>0</v>
      </c>
      <c r="W14">
        <v>260</v>
      </c>
      <c r="X14">
        <v>0</v>
      </c>
      <c r="Y14">
        <v>80</v>
      </c>
      <c r="Z14">
        <v>18</v>
      </c>
      <c r="AA14">
        <v>88.5</v>
      </c>
      <c r="AB14">
        <v>0</v>
      </c>
      <c r="AC14">
        <v>0</v>
      </c>
      <c r="AD14">
        <v>0</v>
      </c>
      <c r="AF14">
        <v>200</v>
      </c>
      <c r="AG14">
        <v>0</v>
      </c>
      <c r="AH14" t="s">
        <v>130</v>
      </c>
      <c r="AI14">
        <v>0</v>
      </c>
      <c r="AJ14">
        <v>0</v>
      </c>
      <c r="AK14">
        <v>0</v>
      </c>
      <c r="AL14">
        <v>0</v>
      </c>
      <c r="AM14" t="s">
        <v>130</v>
      </c>
      <c r="AN14" t="s">
        <v>132</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100</v>
      </c>
      <c r="BX14">
        <v>0</v>
      </c>
      <c r="BY14">
        <v>0</v>
      </c>
      <c r="BZ14">
        <v>0</v>
      </c>
      <c r="CA14">
        <v>0</v>
      </c>
      <c r="CB14">
        <v>0</v>
      </c>
      <c r="CC14">
        <v>0</v>
      </c>
      <c r="CD14">
        <v>0</v>
      </c>
      <c r="CE1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4" t="s">
        <v>157</v>
      </c>
      <c r="CI14" t="s">
        <v>134</v>
      </c>
      <c r="CJ14" t="s">
        <v>135</v>
      </c>
      <c r="CL14" s="19">
        <f>IF(Table1[[#This Row],[Type]]="Petroleum",1,IF(ISERROR(Table1[[#This Row],[Well Density]]*Table1[[#This Row],[Single Well Discovery Area]]),"",IF(Table1[[#This Row],[Well Density]]*Table1[[#This Row],[Single Well Discovery Area]]&gt;1,1,Table1[[#This Row],[Well Density]]*Table1[[#This Row],[Single Well Discovery Area]])))</f>
        <v>0</v>
      </c>
      <c r="CM14" t="s">
        <v>135</v>
      </c>
      <c r="CN14" s="19">
        <f>Table1[[#This Row],[Mid]]</f>
        <v>0</v>
      </c>
      <c r="CO14" s="19">
        <f>Table1[[#This Row],[Mid3]]+Table1[[#This Row],[Mid6]]+Table1[[#This Row],[Mid9]]</f>
        <v>0</v>
      </c>
      <c r="CP14" s="19">
        <f>Table1[[#This Row],[Mid12]]+Table1[[#This Row],[Mid15]]+Table1[[#This Row],[Mid18]]+Table1[[#This Row],[Mid21]]+Table1[[#This Row],[Mid24]]</f>
        <v>0</v>
      </c>
      <c r="CQ14" s="19">
        <f>Table1[[#This Row],[Mid27]]+Table1[[#This Row],[Mid30]]+Table1[[#This Row],[Mid33]]+Table1[[#This Row],[Mid36]]+Table1[[#This Row],[Mid39]]</f>
        <v>100</v>
      </c>
      <c r="CR14" t="s">
        <v>136</v>
      </c>
      <c r="CS14" s="19" t="str">
        <f>IF(AND(Table1[[#This Row],[Low41]]=0, Table1[[#This Row],[High43]]=0),"N","Y")</f>
        <v>N</v>
      </c>
    </row>
    <row r="15" spans="1:100" ht="19.5" customHeight="1" x14ac:dyDescent="0.25">
      <c r="A15">
        <v>10012</v>
      </c>
      <c r="B15" t="s">
        <v>113</v>
      </c>
      <c r="C15" t="s">
        <v>165</v>
      </c>
      <c r="D15">
        <v>-38.681944440000002</v>
      </c>
      <c r="E15">
        <v>148.3125</v>
      </c>
      <c r="F15" t="s">
        <v>197</v>
      </c>
      <c r="G15" t="s">
        <v>197</v>
      </c>
      <c r="I15" t="s">
        <v>118</v>
      </c>
      <c r="J15" t="s">
        <v>119</v>
      </c>
      <c r="K15" t="s">
        <v>167</v>
      </c>
      <c r="L15" t="s">
        <v>18</v>
      </c>
      <c r="N15" s="6" t="s">
        <v>168</v>
      </c>
      <c r="O15" t="s">
        <v>169</v>
      </c>
      <c r="P15" t="s">
        <v>170</v>
      </c>
      <c r="Q15" t="s">
        <v>171</v>
      </c>
      <c r="R15" t="s">
        <v>172</v>
      </c>
      <c r="S15">
        <v>2009</v>
      </c>
      <c r="T15" t="s">
        <v>153</v>
      </c>
      <c r="U15" t="s">
        <v>173</v>
      </c>
      <c r="V15">
        <v>0</v>
      </c>
      <c r="W15">
        <v>0</v>
      </c>
      <c r="X15">
        <v>0</v>
      </c>
      <c r="Y15">
        <v>0</v>
      </c>
      <c r="Z15">
        <v>0</v>
      </c>
      <c r="AA15">
        <v>0</v>
      </c>
      <c r="AB15">
        <v>0</v>
      </c>
      <c r="AC15">
        <v>0</v>
      </c>
      <c r="AD15">
        <v>0</v>
      </c>
      <c r="AF15">
        <v>200</v>
      </c>
      <c r="AG15">
        <v>0</v>
      </c>
      <c r="AH15" t="s">
        <v>174</v>
      </c>
      <c r="AI15">
        <v>4</v>
      </c>
      <c r="AJ15">
        <v>0</v>
      </c>
      <c r="AK15">
        <v>0</v>
      </c>
      <c r="AL15">
        <v>0</v>
      </c>
      <c r="AM15" t="s">
        <v>175</v>
      </c>
      <c r="AN15" t="s">
        <v>132</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30100</v>
      </c>
      <c r="BZ15">
        <v>51000</v>
      </c>
      <c r="CA15">
        <v>80300</v>
      </c>
      <c r="CB15">
        <v>0</v>
      </c>
      <c r="CC15">
        <v>0</v>
      </c>
      <c r="CD15">
        <v>0</v>
      </c>
      <c r="CE15" s="19">
        <f>SUM(Table1[[#This Row],[Low38]],Table1[[#This Row],[Low35]],Table1[[#This Row],[Low32]],Table1[[#This Row],[Low29]],Table1[[#This Row],[Low26]],Table1[[#This Row],[Low23]],Table1[[#This Row],[Low20]],Table1[[#This Row],[Low17]],Table1[[#This Row],[Low14]],Table1[[#This Row],[Low11]],Table1[[#This Row],[Low8]],Table1[[#This Row],[Low5]],Table1[[#This Row],[Low2]],Table1[[#This Row],[Low]])</f>
        <v>30100</v>
      </c>
      <c r="CF15" s="19">
        <f>SUM(Table1[[#This Row],[Mid39]],Table1[[#This Row],[Mid36]],Table1[[#This Row],[Mid33]],Table1[[#This Row],[Mid30]],Table1[[#This Row],[Mid27]],Table1[[#This Row],[Mid24]],Table1[[#This Row],[Mid21]],Table1[[#This Row],[Mid18]],Table1[[#This Row],[Mid15]],Table1[[#This Row],[Mid12]],Table1[[#This Row],[Mid9]],Table1[[#This Row],[Mid6]],Table1[[#This Row],[Mid3]],Table1[[#This Row],[Mid]])</f>
        <v>51000</v>
      </c>
      <c r="CG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80300</v>
      </c>
      <c r="CH15" t="s">
        <v>157</v>
      </c>
      <c r="CI15" t="s">
        <v>176</v>
      </c>
      <c r="CJ15" t="s">
        <v>158</v>
      </c>
      <c r="CL15" s="19">
        <f>IF(Table1[[#This Row],[Type]]="Petroleum",1,IF(ISERROR(Table1[[#This Row],[Well Density]]*Table1[[#This Row],[Single Well Discovery Area]]),"",IF(Table1[[#This Row],[Well Density]]*Table1[[#This Row],[Single Well Discovery Area]]&gt;1,1,Table1[[#This Row],[Well Density]]*Table1[[#This Row],[Single Well Discovery Area]])))</f>
        <v>0</v>
      </c>
      <c r="CM15" t="s">
        <v>158</v>
      </c>
      <c r="CN15" s="19">
        <f>Table1[[#This Row],[Mid]]</f>
        <v>0</v>
      </c>
      <c r="CO15" s="19">
        <f>Table1[[#This Row],[Mid3]]+Table1[[#This Row],[Mid6]]+Table1[[#This Row],[Mid9]]</f>
        <v>0</v>
      </c>
      <c r="CP15" s="19">
        <f>Table1[[#This Row],[Mid12]]+Table1[[#This Row],[Mid15]]+Table1[[#This Row],[Mid18]]+Table1[[#This Row],[Mid21]]+Table1[[#This Row],[Mid24]]</f>
        <v>0</v>
      </c>
      <c r="CQ15" s="19">
        <f>Table1[[#This Row],[Mid27]]+Table1[[#This Row],[Mid30]]+Table1[[#This Row],[Mid33]]+Table1[[#This Row],[Mid36]]+Table1[[#This Row],[Mid39]]</f>
        <v>51000</v>
      </c>
      <c r="CR15" t="s">
        <v>136</v>
      </c>
      <c r="CS15" s="19" t="str">
        <f>IF(AND(Table1[[#This Row],[Low41]]=0, Table1[[#This Row],[High43]]=0),"N","Y")</f>
        <v>Y</v>
      </c>
    </row>
    <row r="16" spans="1:100" ht="19.5" customHeight="1" x14ac:dyDescent="0.25">
      <c r="A16">
        <v>10013</v>
      </c>
      <c r="B16" t="s">
        <v>113</v>
      </c>
      <c r="C16" t="s">
        <v>165</v>
      </c>
      <c r="D16">
        <v>-30.173888890000001</v>
      </c>
      <c r="E16">
        <v>114.0677778</v>
      </c>
      <c r="F16" t="s">
        <v>198</v>
      </c>
      <c r="G16" t="s">
        <v>199</v>
      </c>
      <c r="I16" t="s">
        <v>118</v>
      </c>
      <c r="J16" t="s">
        <v>119</v>
      </c>
      <c r="K16" t="s">
        <v>167</v>
      </c>
      <c r="L16" t="s">
        <v>18</v>
      </c>
      <c r="N16" s="6" t="s">
        <v>168</v>
      </c>
      <c r="O16" t="s">
        <v>169</v>
      </c>
      <c r="P16" t="s">
        <v>170</v>
      </c>
      <c r="Q16" t="s">
        <v>171</v>
      </c>
      <c r="R16" t="s">
        <v>172</v>
      </c>
      <c r="S16">
        <v>2009</v>
      </c>
      <c r="T16" t="s">
        <v>153</v>
      </c>
      <c r="U16" t="s">
        <v>173</v>
      </c>
      <c r="V16">
        <v>0</v>
      </c>
      <c r="W16">
        <v>0</v>
      </c>
      <c r="X16">
        <v>0</v>
      </c>
      <c r="Y16">
        <v>0</v>
      </c>
      <c r="Z16">
        <v>0</v>
      </c>
      <c r="AA16">
        <v>0</v>
      </c>
      <c r="AB16">
        <v>0</v>
      </c>
      <c r="AC16">
        <v>0</v>
      </c>
      <c r="AD16">
        <v>0</v>
      </c>
      <c r="AF16">
        <v>200</v>
      </c>
      <c r="AG16">
        <v>0</v>
      </c>
      <c r="AH16" t="s">
        <v>174</v>
      </c>
      <c r="AI16">
        <v>4</v>
      </c>
      <c r="AJ16">
        <v>0</v>
      </c>
      <c r="AK16">
        <v>0</v>
      </c>
      <c r="AL16">
        <v>0</v>
      </c>
      <c r="AM16" t="s">
        <v>175</v>
      </c>
      <c r="AN16" t="s">
        <v>132</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1400</v>
      </c>
      <c r="BZ16">
        <v>2900</v>
      </c>
      <c r="CA16">
        <v>5300</v>
      </c>
      <c r="CB16">
        <v>0</v>
      </c>
      <c r="CC16">
        <v>0</v>
      </c>
      <c r="CD16">
        <v>0</v>
      </c>
      <c r="CE16" s="19">
        <f>SUM(Table1[[#This Row],[Low38]],Table1[[#This Row],[Low35]],Table1[[#This Row],[Low32]],Table1[[#This Row],[Low29]],Table1[[#This Row],[Low26]],Table1[[#This Row],[Low23]],Table1[[#This Row],[Low20]],Table1[[#This Row],[Low17]],Table1[[#This Row],[Low14]],Table1[[#This Row],[Low11]],Table1[[#This Row],[Low8]],Table1[[#This Row],[Low5]],Table1[[#This Row],[Low2]],Table1[[#This Row],[Low]])</f>
        <v>1400</v>
      </c>
      <c r="CF16" s="19">
        <f>SUM(Table1[[#This Row],[Mid39]],Table1[[#This Row],[Mid36]],Table1[[#This Row],[Mid33]],Table1[[#This Row],[Mid30]],Table1[[#This Row],[Mid27]],Table1[[#This Row],[Mid24]],Table1[[#This Row],[Mid21]],Table1[[#This Row],[Mid18]],Table1[[#This Row],[Mid15]],Table1[[#This Row],[Mid12]],Table1[[#This Row],[Mid9]],Table1[[#This Row],[Mid6]],Table1[[#This Row],[Mid3]],Table1[[#This Row],[Mid]])</f>
        <v>2900</v>
      </c>
      <c r="CG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5300</v>
      </c>
      <c r="CH16" t="s">
        <v>157</v>
      </c>
      <c r="CI16" t="s">
        <v>176</v>
      </c>
      <c r="CJ16" t="s">
        <v>158</v>
      </c>
      <c r="CL16" s="19">
        <f>IF(Table1[[#This Row],[Type]]="Petroleum",1,IF(ISERROR(Table1[[#This Row],[Well Density]]*Table1[[#This Row],[Single Well Discovery Area]]),"",IF(Table1[[#This Row],[Well Density]]*Table1[[#This Row],[Single Well Discovery Area]]&gt;1,1,Table1[[#This Row],[Well Density]]*Table1[[#This Row],[Single Well Discovery Area]])))</f>
        <v>0</v>
      </c>
      <c r="CM16" t="s">
        <v>158</v>
      </c>
      <c r="CN16" s="19">
        <f>Table1[[#This Row],[Mid]]</f>
        <v>0</v>
      </c>
      <c r="CO16" s="19">
        <f>Table1[[#This Row],[Mid3]]+Table1[[#This Row],[Mid6]]+Table1[[#This Row],[Mid9]]</f>
        <v>0</v>
      </c>
      <c r="CP16" s="19">
        <f>Table1[[#This Row],[Mid12]]+Table1[[#This Row],[Mid15]]+Table1[[#This Row],[Mid18]]+Table1[[#This Row],[Mid21]]+Table1[[#This Row],[Mid24]]</f>
        <v>0</v>
      </c>
      <c r="CQ16" s="19">
        <f>Table1[[#This Row],[Mid27]]+Table1[[#This Row],[Mid30]]+Table1[[#This Row],[Mid33]]+Table1[[#This Row],[Mid36]]+Table1[[#This Row],[Mid39]]</f>
        <v>2900</v>
      </c>
      <c r="CR16" t="s">
        <v>136</v>
      </c>
      <c r="CS16" s="19" t="str">
        <f>IF(AND(Table1[[#This Row],[Low41]]=0, Table1[[#This Row],[High43]]=0),"N","Y")</f>
        <v>Y</v>
      </c>
    </row>
    <row r="17" spans="1:97" ht="19.5" customHeight="1" x14ac:dyDescent="0.25">
      <c r="A17">
        <v>10014</v>
      </c>
      <c r="B17" t="s">
        <v>113</v>
      </c>
      <c r="C17" t="s">
        <v>165</v>
      </c>
      <c r="D17">
        <v>-18.272777779999998</v>
      </c>
      <c r="E17">
        <v>120.03222220000001</v>
      </c>
      <c r="F17" t="s">
        <v>200</v>
      </c>
      <c r="I17" t="s">
        <v>201</v>
      </c>
      <c r="J17" t="s">
        <v>202</v>
      </c>
      <c r="K17" t="s">
        <v>203</v>
      </c>
      <c r="L17" t="s">
        <v>204</v>
      </c>
      <c r="N17" s="6" t="s">
        <v>168</v>
      </c>
      <c r="O17" t="s">
        <v>169</v>
      </c>
      <c r="P17" t="s">
        <v>170</v>
      </c>
      <c r="Q17" t="s">
        <v>205</v>
      </c>
      <c r="R17" t="s">
        <v>206</v>
      </c>
      <c r="S17">
        <v>2009</v>
      </c>
      <c r="T17" t="s">
        <v>207</v>
      </c>
      <c r="U17" t="s">
        <v>173</v>
      </c>
      <c r="V17">
        <v>0</v>
      </c>
      <c r="W17">
        <v>0</v>
      </c>
      <c r="X17">
        <v>0</v>
      </c>
      <c r="Y17">
        <v>0</v>
      </c>
      <c r="Z17">
        <v>0</v>
      </c>
      <c r="AA17">
        <v>0</v>
      </c>
      <c r="AB17">
        <v>0</v>
      </c>
      <c r="AC17">
        <v>0</v>
      </c>
      <c r="AD17">
        <v>0</v>
      </c>
      <c r="AF17">
        <v>200</v>
      </c>
      <c r="AG17">
        <v>0</v>
      </c>
      <c r="AI17">
        <v>0</v>
      </c>
      <c r="AJ17">
        <v>0</v>
      </c>
      <c r="AK17">
        <v>0</v>
      </c>
      <c r="AL17">
        <v>0</v>
      </c>
      <c r="AN17" t="s">
        <v>132</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13400</v>
      </c>
      <c r="BO17">
        <v>0</v>
      </c>
      <c r="BP17">
        <v>0</v>
      </c>
      <c r="BQ17">
        <v>0</v>
      </c>
      <c r="BR17">
        <v>0</v>
      </c>
      <c r="BS17">
        <v>0</v>
      </c>
      <c r="BT17">
        <v>0</v>
      </c>
      <c r="BU17">
        <v>0</v>
      </c>
      <c r="BV17">
        <v>0</v>
      </c>
      <c r="BW17">
        <v>0</v>
      </c>
      <c r="BX17">
        <v>0</v>
      </c>
      <c r="BY17">
        <v>0</v>
      </c>
      <c r="BZ17">
        <v>0</v>
      </c>
      <c r="CA17">
        <v>0</v>
      </c>
      <c r="CB17">
        <v>0</v>
      </c>
      <c r="CC17">
        <v>0</v>
      </c>
      <c r="CD17">
        <v>0</v>
      </c>
      <c r="CE1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7" s="19">
        <f>SUM(Table1[[#This Row],[Mid39]],Table1[[#This Row],[Mid36]],Table1[[#This Row],[Mid33]],Table1[[#This Row],[Mid30]],Table1[[#This Row],[Mid27]],Table1[[#This Row],[Mid24]],Table1[[#This Row],[Mid21]],Table1[[#This Row],[Mid18]],Table1[[#This Row],[Mid15]],Table1[[#This Row],[Mid12]],Table1[[#This Row],[Mid9]],Table1[[#This Row],[Mid6]],Table1[[#This Row],[Mid3]],Table1[[#This Row],[Mid]])</f>
        <v>13400</v>
      </c>
      <c r="CG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7" t="s">
        <v>157</v>
      </c>
      <c r="CI17" t="s">
        <v>176</v>
      </c>
      <c r="CJ17" t="s">
        <v>158</v>
      </c>
      <c r="CL17" s="19">
        <f>IF(Table1[[#This Row],[Type]]="Petroleum",1,IF(ISERROR(Table1[[#This Row],[Well Density]]*Table1[[#This Row],[Single Well Discovery Area]]),"",IF(Table1[[#This Row],[Well Density]]*Table1[[#This Row],[Single Well Discovery Area]]&gt;1,1,Table1[[#This Row],[Well Density]]*Table1[[#This Row],[Single Well Discovery Area]])))</f>
        <v>1</v>
      </c>
      <c r="CM17" t="s">
        <v>158</v>
      </c>
      <c r="CN17" s="19">
        <f>Table1[[#This Row],[Mid]]</f>
        <v>0</v>
      </c>
      <c r="CO17" s="19">
        <f>Table1[[#This Row],[Mid3]]+Table1[[#This Row],[Mid6]]+Table1[[#This Row],[Mid9]]</f>
        <v>0</v>
      </c>
      <c r="CP17" s="19">
        <f>Table1[[#This Row],[Mid12]]+Table1[[#This Row],[Mid15]]+Table1[[#This Row],[Mid18]]+Table1[[#This Row],[Mid21]]+Table1[[#This Row],[Mid24]]</f>
        <v>13400</v>
      </c>
      <c r="CQ17" s="19">
        <f>Table1[[#This Row],[Mid27]]+Table1[[#This Row],[Mid30]]+Table1[[#This Row],[Mid33]]+Table1[[#This Row],[Mid36]]+Table1[[#This Row],[Mid39]]</f>
        <v>0</v>
      </c>
      <c r="CR17" t="s">
        <v>136</v>
      </c>
      <c r="CS17" s="19" t="str">
        <f>IF(AND(Table1[[#This Row],[Low41]]=0, Table1[[#This Row],[High43]]=0),"N","Y")</f>
        <v>N</v>
      </c>
    </row>
    <row r="18" spans="1:97" ht="19.5" customHeight="1" x14ac:dyDescent="0.25">
      <c r="A18">
        <v>10015</v>
      </c>
      <c r="B18" t="s">
        <v>113</v>
      </c>
      <c r="C18" t="s">
        <v>165</v>
      </c>
      <c r="D18">
        <v>-35.281944439999997</v>
      </c>
      <c r="E18">
        <v>149.1286111</v>
      </c>
      <c r="F18" t="s">
        <v>208</v>
      </c>
      <c r="I18" t="s">
        <v>201</v>
      </c>
      <c r="J18" t="s">
        <v>202</v>
      </c>
      <c r="K18" t="s">
        <v>203</v>
      </c>
      <c r="L18" t="s">
        <v>204</v>
      </c>
      <c r="N18" s="6" t="s">
        <v>168</v>
      </c>
      <c r="O18" t="s">
        <v>169</v>
      </c>
      <c r="P18" t="s">
        <v>170</v>
      </c>
      <c r="Q18" t="s">
        <v>205</v>
      </c>
      <c r="R18" t="s">
        <v>209</v>
      </c>
      <c r="S18">
        <v>2009</v>
      </c>
      <c r="T18" t="s">
        <v>207</v>
      </c>
      <c r="U18" t="s">
        <v>173</v>
      </c>
      <c r="V18">
        <v>0</v>
      </c>
      <c r="W18">
        <v>0</v>
      </c>
      <c r="X18">
        <v>0</v>
      </c>
      <c r="Y18">
        <v>0</v>
      </c>
      <c r="Z18">
        <v>0</v>
      </c>
      <c r="AA18">
        <v>0</v>
      </c>
      <c r="AB18">
        <v>0</v>
      </c>
      <c r="AC18">
        <v>0</v>
      </c>
      <c r="AD18">
        <v>0</v>
      </c>
      <c r="AF18">
        <v>200</v>
      </c>
      <c r="AG18">
        <v>0</v>
      </c>
      <c r="AI18">
        <v>0</v>
      </c>
      <c r="AJ18">
        <v>0</v>
      </c>
      <c r="AK18">
        <v>0</v>
      </c>
      <c r="AL18">
        <v>0</v>
      </c>
      <c r="AN18" t="s">
        <v>132</v>
      </c>
      <c r="AO18">
        <v>0</v>
      </c>
      <c r="AP18">
        <v>0</v>
      </c>
      <c r="AQ18">
        <v>0</v>
      </c>
      <c r="AR18">
        <v>0</v>
      </c>
      <c r="AS18">
        <v>0</v>
      </c>
      <c r="AT18">
        <v>0</v>
      </c>
      <c r="AU18">
        <v>0</v>
      </c>
      <c r="AV18">
        <v>0</v>
      </c>
      <c r="AW18">
        <v>0</v>
      </c>
      <c r="AX18">
        <v>0</v>
      </c>
      <c r="AY18">
        <v>0</v>
      </c>
      <c r="AZ18">
        <v>0</v>
      </c>
      <c r="BA18">
        <v>0</v>
      </c>
      <c r="BB18">
        <v>0</v>
      </c>
      <c r="BC18">
        <v>0</v>
      </c>
      <c r="BD18">
        <v>0</v>
      </c>
      <c r="BE18">
        <v>0</v>
      </c>
      <c r="BF18">
        <v>0</v>
      </c>
      <c r="BG18">
        <v>0</v>
      </c>
      <c r="BH18">
        <v>2200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8" s="19">
        <f>SUM(Table1[[#This Row],[Mid39]],Table1[[#This Row],[Mid36]],Table1[[#This Row],[Mid33]],Table1[[#This Row],[Mid30]],Table1[[#This Row],[Mid27]],Table1[[#This Row],[Mid24]],Table1[[#This Row],[Mid21]],Table1[[#This Row],[Mid18]],Table1[[#This Row],[Mid15]],Table1[[#This Row],[Mid12]],Table1[[#This Row],[Mid9]],Table1[[#This Row],[Mid6]],Table1[[#This Row],[Mid3]],Table1[[#This Row],[Mid]])</f>
        <v>2200</v>
      </c>
      <c r="CG1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8" t="s">
        <v>157</v>
      </c>
      <c r="CI18" t="s">
        <v>176</v>
      </c>
      <c r="CJ18" t="s">
        <v>158</v>
      </c>
      <c r="CL18" s="19">
        <f>IF(Table1[[#This Row],[Type]]="Petroleum",1,IF(ISERROR(Table1[[#This Row],[Well Density]]*Table1[[#This Row],[Single Well Discovery Area]]),"",IF(Table1[[#This Row],[Well Density]]*Table1[[#This Row],[Single Well Discovery Area]]&gt;1,1,Table1[[#This Row],[Well Density]]*Table1[[#This Row],[Single Well Discovery Area]])))</f>
        <v>1</v>
      </c>
      <c r="CM18" t="s">
        <v>158</v>
      </c>
      <c r="CN18" s="19">
        <f>Table1[[#This Row],[Mid]]</f>
        <v>0</v>
      </c>
      <c r="CO18" s="19">
        <f>Table1[[#This Row],[Mid3]]+Table1[[#This Row],[Mid6]]+Table1[[#This Row],[Mid9]]</f>
        <v>0</v>
      </c>
      <c r="CP18" s="19">
        <f>Table1[[#This Row],[Mid12]]+Table1[[#This Row],[Mid15]]+Table1[[#This Row],[Mid18]]+Table1[[#This Row],[Mid21]]+Table1[[#This Row],[Mid24]]</f>
        <v>2200</v>
      </c>
      <c r="CQ18" s="19">
        <f>Table1[[#This Row],[Mid27]]+Table1[[#This Row],[Mid30]]+Table1[[#This Row],[Mid33]]+Table1[[#This Row],[Mid36]]+Table1[[#This Row],[Mid39]]</f>
        <v>0</v>
      </c>
      <c r="CR18" t="s">
        <v>136</v>
      </c>
      <c r="CS18" s="19" t="str">
        <f>IF(AND(Table1[[#This Row],[Low41]]=0, Table1[[#This Row],[High43]]=0),"N","Y")</f>
        <v>N</v>
      </c>
    </row>
    <row r="19" spans="1:97" ht="19.5" customHeight="1" x14ac:dyDescent="0.25">
      <c r="A19">
        <v>10016</v>
      </c>
      <c r="B19" t="s">
        <v>113</v>
      </c>
      <c r="C19" t="s">
        <v>165</v>
      </c>
      <c r="D19">
        <v>-38.724166670000002</v>
      </c>
      <c r="E19">
        <v>142.7066667</v>
      </c>
      <c r="F19" t="s">
        <v>210</v>
      </c>
      <c r="G19" t="s">
        <v>211</v>
      </c>
      <c r="I19" t="s">
        <v>118</v>
      </c>
      <c r="J19" t="s">
        <v>119</v>
      </c>
      <c r="K19" t="s">
        <v>167</v>
      </c>
      <c r="L19" t="s">
        <v>18</v>
      </c>
      <c r="N19" s="6" t="s">
        <v>168</v>
      </c>
      <c r="O19" t="s">
        <v>169</v>
      </c>
      <c r="P19" t="s">
        <v>170</v>
      </c>
      <c r="Q19" t="s">
        <v>171</v>
      </c>
      <c r="R19" t="s">
        <v>172</v>
      </c>
      <c r="S19">
        <v>2009</v>
      </c>
      <c r="T19" t="s">
        <v>153</v>
      </c>
      <c r="U19" t="s">
        <v>173</v>
      </c>
      <c r="V19">
        <v>0</v>
      </c>
      <c r="W19">
        <v>0</v>
      </c>
      <c r="X19">
        <v>0</v>
      </c>
      <c r="Y19">
        <v>0</v>
      </c>
      <c r="Z19">
        <v>0</v>
      </c>
      <c r="AA19">
        <v>0</v>
      </c>
      <c r="AB19">
        <v>0</v>
      </c>
      <c r="AC19">
        <v>0</v>
      </c>
      <c r="AD19">
        <v>0</v>
      </c>
      <c r="AF19">
        <v>200</v>
      </c>
      <c r="AG19">
        <v>0</v>
      </c>
      <c r="AH19" t="s">
        <v>174</v>
      </c>
      <c r="AI19">
        <v>4</v>
      </c>
      <c r="AJ19">
        <v>0</v>
      </c>
      <c r="AK19">
        <v>0</v>
      </c>
      <c r="AL19">
        <v>0</v>
      </c>
      <c r="AM19" t="s">
        <v>175</v>
      </c>
      <c r="AN19" t="s">
        <v>132</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8400</v>
      </c>
      <c r="BZ19">
        <v>14500</v>
      </c>
      <c r="CA19">
        <v>21000</v>
      </c>
      <c r="CB19">
        <v>0</v>
      </c>
      <c r="CC19">
        <v>0</v>
      </c>
      <c r="CD19">
        <v>0</v>
      </c>
      <c r="CE19" s="19">
        <f>SUM(Table1[[#This Row],[Low38]],Table1[[#This Row],[Low35]],Table1[[#This Row],[Low32]],Table1[[#This Row],[Low29]],Table1[[#This Row],[Low26]],Table1[[#This Row],[Low23]],Table1[[#This Row],[Low20]],Table1[[#This Row],[Low17]],Table1[[#This Row],[Low14]],Table1[[#This Row],[Low11]],Table1[[#This Row],[Low8]],Table1[[#This Row],[Low5]],Table1[[#This Row],[Low2]],Table1[[#This Row],[Low]])</f>
        <v>8400</v>
      </c>
      <c r="CF19" s="19">
        <f>SUM(Table1[[#This Row],[Mid39]],Table1[[#This Row],[Mid36]],Table1[[#This Row],[Mid33]],Table1[[#This Row],[Mid30]],Table1[[#This Row],[Mid27]],Table1[[#This Row],[Mid24]],Table1[[#This Row],[Mid21]],Table1[[#This Row],[Mid18]],Table1[[#This Row],[Mid15]],Table1[[#This Row],[Mid12]],Table1[[#This Row],[Mid9]],Table1[[#This Row],[Mid6]],Table1[[#This Row],[Mid3]],Table1[[#This Row],[Mid]])</f>
        <v>14500</v>
      </c>
      <c r="CG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21000</v>
      </c>
      <c r="CH19" t="s">
        <v>157</v>
      </c>
      <c r="CI19" t="s">
        <v>176</v>
      </c>
      <c r="CJ19" t="s">
        <v>158</v>
      </c>
      <c r="CL19" s="19">
        <f>IF(Table1[[#This Row],[Type]]="Petroleum",1,IF(ISERROR(Table1[[#This Row],[Well Density]]*Table1[[#This Row],[Single Well Discovery Area]]),"",IF(Table1[[#This Row],[Well Density]]*Table1[[#This Row],[Single Well Discovery Area]]&gt;1,1,Table1[[#This Row],[Well Density]]*Table1[[#This Row],[Single Well Discovery Area]])))</f>
        <v>0</v>
      </c>
      <c r="CM19" t="s">
        <v>158</v>
      </c>
      <c r="CN19" s="19">
        <f>Table1[[#This Row],[Mid]]</f>
        <v>0</v>
      </c>
      <c r="CO19" s="19">
        <f>Table1[[#This Row],[Mid3]]+Table1[[#This Row],[Mid6]]+Table1[[#This Row],[Mid9]]</f>
        <v>0</v>
      </c>
      <c r="CP19" s="19">
        <f>Table1[[#This Row],[Mid12]]+Table1[[#This Row],[Mid15]]+Table1[[#This Row],[Mid18]]+Table1[[#This Row],[Mid21]]+Table1[[#This Row],[Mid24]]</f>
        <v>0</v>
      </c>
      <c r="CQ19" s="19">
        <f>Table1[[#This Row],[Mid27]]+Table1[[#This Row],[Mid30]]+Table1[[#This Row],[Mid33]]+Table1[[#This Row],[Mid36]]+Table1[[#This Row],[Mid39]]</f>
        <v>14500</v>
      </c>
      <c r="CR19" t="s">
        <v>136</v>
      </c>
      <c r="CS19" s="19" t="str">
        <f>IF(AND(Table1[[#This Row],[Low41]]=0, Table1[[#This Row],[High43]]=0),"N","Y")</f>
        <v>Y</v>
      </c>
    </row>
    <row r="20" spans="1:97" ht="19.5" customHeight="1" x14ac:dyDescent="0.25">
      <c r="A20">
        <v>10017</v>
      </c>
      <c r="B20" t="s">
        <v>113</v>
      </c>
      <c r="C20" t="s">
        <v>165</v>
      </c>
      <c r="D20">
        <v>-37.233888890000003</v>
      </c>
      <c r="E20">
        <v>140.0191667</v>
      </c>
      <c r="F20" t="s">
        <v>212</v>
      </c>
      <c r="G20" t="s">
        <v>211</v>
      </c>
      <c r="I20" t="s">
        <v>118</v>
      </c>
      <c r="J20" t="s">
        <v>119</v>
      </c>
      <c r="K20" t="s">
        <v>167</v>
      </c>
      <c r="L20" t="s">
        <v>18</v>
      </c>
      <c r="N20" s="6" t="s">
        <v>168</v>
      </c>
      <c r="O20" t="s">
        <v>169</v>
      </c>
      <c r="P20" t="s">
        <v>170</v>
      </c>
      <c r="Q20" t="s">
        <v>171</v>
      </c>
      <c r="R20" t="s">
        <v>172</v>
      </c>
      <c r="S20">
        <v>2009</v>
      </c>
      <c r="T20" t="s">
        <v>153</v>
      </c>
      <c r="U20" t="s">
        <v>173</v>
      </c>
      <c r="V20">
        <v>0</v>
      </c>
      <c r="W20">
        <v>0</v>
      </c>
      <c r="X20">
        <v>0</v>
      </c>
      <c r="Y20">
        <v>0</v>
      </c>
      <c r="Z20">
        <v>0</v>
      </c>
      <c r="AA20">
        <v>0</v>
      </c>
      <c r="AB20">
        <v>0</v>
      </c>
      <c r="AC20">
        <v>0</v>
      </c>
      <c r="AD20">
        <v>0</v>
      </c>
      <c r="AF20">
        <v>200</v>
      </c>
      <c r="AG20">
        <v>0</v>
      </c>
      <c r="AH20" t="s">
        <v>174</v>
      </c>
      <c r="AI20">
        <v>4</v>
      </c>
      <c r="AJ20">
        <v>0</v>
      </c>
      <c r="AK20">
        <v>0</v>
      </c>
      <c r="AL20">
        <v>0</v>
      </c>
      <c r="AM20" t="s">
        <v>175</v>
      </c>
      <c r="AN20" t="s">
        <v>132</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4500</v>
      </c>
      <c r="BZ20">
        <v>11000</v>
      </c>
      <c r="CA20">
        <v>23700</v>
      </c>
      <c r="CB20">
        <v>0</v>
      </c>
      <c r="CC20">
        <v>0</v>
      </c>
      <c r="CD20">
        <v>0</v>
      </c>
      <c r="CE20" s="19">
        <f>SUM(Table1[[#This Row],[Low38]],Table1[[#This Row],[Low35]],Table1[[#This Row],[Low32]],Table1[[#This Row],[Low29]],Table1[[#This Row],[Low26]],Table1[[#This Row],[Low23]],Table1[[#This Row],[Low20]],Table1[[#This Row],[Low17]],Table1[[#This Row],[Low14]],Table1[[#This Row],[Low11]],Table1[[#This Row],[Low8]],Table1[[#This Row],[Low5]],Table1[[#This Row],[Low2]],Table1[[#This Row],[Low]])</f>
        <v>4500</v>
      </c>
      <c r="CF20" s="19">
        <f>SUM(Table1[[#This Row],[Mid39]],Table1[[#This Row],[Mid36]],Table1[[#This Row],[Mid33]],Table1[[#This Row],[Mid30]],Table1[[#This Row],[Mid27]],Table1[[#This Row],[Mid24]],Table1[[#This Row],[Mid21]],Table1[[#This Row],[Mid18]],Table1[[#This Row],[Mid15]],Table1[[#This Row],[Mid12]],Table1[[#This Row],[Mid9]],Table1[[#This Row],[Mid6]],Table1[[#This Row],[Mid3]],Table1[[#This Row],[Mid]])</f>
        <v>11000</v>
      </c>
      <c r="CG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23700</v>
      </c>
      <c r="CH20" t="s">
        <v>157</v>
      </c>
      <c r="CI20" t="s">
        <v>176</v>
      </c>
      <c r="CJ20" t="s">
        <v>158</v>
      </c>
      <c r="CL20" s="19">
        <f>IF(Table1[[#This Row],[Type]]="Petroleum",1,IF(ISERROR(Table1[[#This Row],[Well Density]]*Table1[[#This Row],[Single Well Discovery Area]]),"",IF(Table1[[#This Row],[Well Density]]*Table1[[#This Row],[Single Well Discovery Area]]&gt;1,1,Table1[[#This Row],[Well Density]]*Table1[[#This Row],[Single Well Discovery Area]])))</f>
        <v>0</v>
      </c>
      <c r="CM20" t="s">
        <v>158</v>
      </c>
      <c r="CN20" s="19">
        <f>Table1[[#This Row],[Mid]]</f>
        <v>0</v>
      </c>
      <c r="CO20" s="19">
        <f>Table1[[#This Row],[Mid3]]+Table1[[#This Row],[Mid6]]+Table1[[#This Row],[Mid9]]</f>
        <v>0</v>
      </c>
      <c r="CP20" s="19">
        <f>Table1[[#This Row],[Mid12]]+Table1[[#This Row],[Mid15]]+Table1[[#This Row],[Mid18]]+Table1[[#This Row],[Mid21]]+Table1[[#This Row],[Mid24]]</f>
        <v>0</v>
      </c>
      <c r="CQ20" s="19">
        <f>Table1[[#This Row],[Mid27]]+Table1[[#This Row],[Mid30]]+Table1[[#This Row],[Mid33]]+Table1[[#This Row],[Mid36]]+Table1[[#This Row],[Mid39]]</f>
        <v>11000</v>
      </c>
      <c r="CR20" t="s">
        <v>136</v>
      </c>
      <c r="CS20" s="19" t="str">
        <f>IF(AND(Table1[[#This Row],[Low41]]=0, Table1[[#This Row],[High43]]=0),"N","Y")</f>
        <v>Y</v>
      </c>
    </row>
    <row r="21" spans="1:97" ht="19.5" customHeight="1" x14ac:dyDescent="0.25">
      <c r="A21">
        <v>10018</v>
      </c>
      <c r="B21" t="s">
        <v>113</v>
      </c>
      <c r="C21" t="s">
        <v>165</v>
      </c>
      <c r="D21">
        <v>-38.824166669999997</v>
      </c>
      <c r="E21">
        <v>147.56055559999999</v>
      </c>
      <c r="F21" t="s">
        <v>213</v>
      </c>
      <c r="G21" t="s">
        <v>197</v>
      </c>
      <c r="H21" t="s">
        <v>214</v>
      </c>
      <c r="I21" t="s">
        <v>118</v>
      </c>
      <c r="J21" t="s">
        <v>119</v>
      </c>
      <c r="K21" t="s">
        <v>120</v>
      </c>
      <c r="L21" t="s">
        <v>121</v>
      </c>
      <c r="M21" t="s">
        <v>215</v>
      </c>
      <c r="N21" s="6" t="s">
        <v>216</v>
      </c>
      <c r="O21" t="s">
        <v>217</v>
      </c>
      <c r="P21" t="s">
        <v>218</v>
      </c>
      <c r="Q21" t="s">
        <v>219</v>
      </c>
      <c r="R21" t="s">
        <v>220</v>
      </c>
      <c r="S21">
        <v>2016</v>
      </c>
      <c r="T21" t="s">
        <v>153</v>
      </c>
      <c r="U21" t="s">
        <v>154</v>
      </c>
      <c r="V21">
        <v>1730</v>
      </c>
      <c r="W21">
        <v>2100</v>
      </c>
      <c r="X21">
        <v>748</v>
      </c>
      <c r="Y21">
        <v>0.54</v>
      </c>
      <c r="Z21">
        <v>12</v>
      </c>
      <c r="AA21">
        <v>90</v>
      </c>
      <c r="AB21">
        <v>30000</v>
      </c>
      <c r="AC21">
        <v>0.58699999999999997</v>
      </c>
      <c r="AD21">
        <v>20</v>
      </c>
      <c r="AE21">
        <v>1.1560694E-2</v>
      </c>
      <c r="AF21">
        <v>200</v>
      </c>
      <c r="AG21">
        <v>20.999991059999999</v>
      </c>
      <c r="AH21" t="s">
        <v>221</v>
      </c>
      <c r="AI21">
        <v>4</v>
      </c>
      <c r="AJ21">
        <v>0</v>
      </c>
      <c r="AK21">
        <v>0</v>
      </c>
      <c r="AL21">
        <v>0</v>
      </c>
      <c r="AN21" t="s">
        <v>132</v>
      </c>
      <c r="AO21">
        <v>0</v>
      </c>
      <c r="AP21">
        <v>0</v>
      </c>
      <c r="AQ21">
        <v>0</v>
      </c>
      <c r="AR21">
        <v>0</v>
      </c>
      <c r="AS21">
        <v>0</v>
      </c>
      <c r="AT21">
        <v>0</v>
      </c>
      <c r="AU21">
        <v>0</v>
      </c>
      <c r="AV21">
        <v>0</v>
      </c>
      <c r="AW21">
        <v>0</v>
      </c>
      <c r="AX21">
        <v>0</v>
      </c>
      <c r="AY21">
        <v>0</v>
      </c>
      <c r="AZ21">
        <v>0</v>
      </c>
      <c r="BA21">
        <v>0</v>
      </c>
      <c r="BB21">
        <v>0</v>
      </c>
      <c r="BC21">
        <v>0</v>
      </c>
      <c r="BD21">
        <v>0</v>
      </c>
      <c r="BE21">
        <v>0</v>
      </c>
      <c r="BF21">
        <v>0</v>
      </c>
      <c r="BG21">
        <v>240</v>
      </c>
      <c r="BH21">
        <v>345</v>
      </c>
      <c r="BI21">
        <v>540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s="19">
        <f>SUM(Table1[[#This Row],[Low38]],Table1[[#This Row],[Low35]],Table1[[#This Row],[Low32]],Table1[[#This Row],[Low29]],Table1[[#This Row],[Low26]],Table1[[#This Row],[Low23]],Table1[[#This Row],[Low20]],Table1[[#This Row],[Low17]],Table1[[#This Row],[Low14]],Table1[[#This Row],[Low11]],Table1[[#This Row],[Low8]],Table1[[#This Row],[Low5]],Table1[[#This Row],[Low2]],Table1[[#This Row],[Low]])</f>
        <v>240</v>
      </c>
      <c r="CF21" s="19">
        <f>SUM(Table1[[#This Row],[Mid39]],Table1[[#This Row],[Mid36]],Table1[[#This Row],[Mid33]],Table1[[#This Row],[Mid30]],Table1[[#This Row],[Mid27]],Table1[[#This Row],[Mid24]],Table1[[#This Row],[Mid21]],Table1[[#This Row],[Mid18]],Table1[[#This Row],[Mid15]],Table1[[#This Row],[Mid12]],Table1[[#This Row],[Mid9]],Table1[[#This Row],[Mid6]],Table1[[#This Row],[Mid3]],Table1[[#This Row],[Mid]])</f>
        <v>345</v>
      </c>
      <c r="CG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540</v>
      </c>
      <c r="CH21" t="s">
        <v>157</v>
      </c>
      <c r="CI21" t="s">
        <v>134</v>
      </c>
      <c r="CJ21" t="s">
        <v>135</v>
      </c>
      <c r="CL21" s="19">
        <f>IF(Table1[[#This Row],[Type]]="Petroleum",1,IF(ISERROR(Table1[[#This Row],[Well Density]]*Table1[[#This Row],[Single Well Discovery Area]]),"",IF(Table1[[#This Row],[Well Density]]*Table1[[#This Row],[Single Well Discovery Area]]&gt;1,1,Table1[[#This Row],[Well Density]]*Table1[[#This Row],[Single Well Discovery Area]])))</f>
        <v>1</v>
      </c>
      <c r="CM21" t="s">
        <v>135</v>
      </c>
      <c r="CN21" s="19">
        <f>Table1[[#This Row],[Mid]]</f>
        <v>0</v>
      </c>
      <c r="CO21" s="19">
        <f>Table1[[#This Row],[Mid3]]+Table1[[#This Row],[Mid6]]+Table1[[#This Row],[Mid9]]</f>
        <v>0</v>
      </c>
      <c r="CP21" s="19">
        <f>Table1[[#This Row],[Mid12]]+Table1[[#This Row],[Mid15]]+Table1[[#This Row],[Mid18]]+Table1[[#This Row],[Mid21]]+Table1[[#This Row],[Mid24]]</f>
        <v>345</v>
      </c>
      <c r="CQ21" s="19">
        <f>Table1[[#This Row],[Mid27]]+Table1[[#This Row],[Mid30]]+Table1[[#This Row],[Mid33]]+Table1[[#This Row],[Mid36]]+Table1[[#This Row],[Mid39]]</f>
        <v>0</v>
      </c>
      <c r="CR21" t="s">
        <v>136</v>
      </c>
      <c r="CS21" s="19" t="str">
        <f>IF(AND(Table1[[#This Row],[Low41]]=0, Table1[[#This Row],[High43]]=0),"N","Y")</f>
        <v>Y</v>
      </c>
    </row>
    <row r="22" spans="1:97" ht="19.5" customHeight="1" x14ac:dyDescent="0.25">
      <c r="A22">
        <v>10019</v>
      </c>
      <c r="B22" t="s">
        <v>113</v>
      </c>
      <c r="C22" t="s">
        <v>165</v>
      </c>
      <c r="D22">
        <v>-38.65361111</v>
      </c>
      <c r="E22">
        <v>144.26527780000001</v>
      </c>
      <c r="F22" t="s">
        <v>222</v>
      </c>
      <c r="G22" t="s">
        <v>166</v>
      </c>
      <c r="I22" t="s">
        <v>118</v>
      </c>
      <c r="J22" t="s">
        <v>119</v>
      </c>
      <c r="K22" t="s">
        <v>167</v>
      </c>
      <c r="L22" t="s">
        <v>18</v>
      </c>
      <c r="N22" s="6" t="s">
        <v>168</v>
      </c>
      <c r="O22" t="s">
        <v>169</v>
      </c>
      <c r="P22" t="s">
        <v>170</v>
      </c>
      <c r="Q22" t="s">
        <v>171</v>
      </c>
      <c r="R22" t="s">
        <v>172</v>
      </c>
      <c r="S22">
        <v>2009</v>
      </c>
      <c r="T22" t="s">
        <v>153</v>
      </c>
      <c r="U22" t="s">
        <v>173</v>
      </c>
      <c r="V22">
        <v>0</v>
      </c>
      <c r="W22">
        <v>0</v>
      </c>
      <c r="X22">
        <v>0</v>
      </c>
      <c r="Y22">
        <v>0</v>
      </c>
      <c r="Z22">
        <v>0</v>
      </c>
      <c r="AA22">
        <v>0</v>
      </c>
      <c r="AB22">
        <v>0</v>
      </c>
      <c r="AC22">
        <v>0</v>
      </c>
      <c r="AD22">
        <v>0</v>
      </c>
      <c r="AF22">
        <v>200</v>
      </c>
      <c r="AG22">
        <v>0</v>
      </c>
      <c r="AH22" t="s">
        <v>174</v>
      </c>
      <c r="AI22">
        <v>4</v>
      </c>
      <c r="AJ22">
        <v>0</v>
      </c>
      <c r="AK22">
        <v>0</v>
      </c>
      <c r="AL22">
        <v>0</v>
      </c>
      <c r="AM22" t="s">
        <v>175</v>
      </c>
      <c r="AN22" t="s">
        <v>132</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1600</v>
      </c>
      <c r="BZ22">
        <v>2200</v>
      </c>
      <c r="CA22">
        <v>2900</v>
      </c>
      <c r="CB22">
        <v>0</v>
      </c>
      <c r="CC22">
        <v>0</v>
      </c>
      <c r="CD22">
        <v>0</v>
      </c>
      <c r="CE22" s="19">
        <f>SUM(Table1[[#This Row],[Low38]],Table1[[#This Row],[Low35]],Table1[[#This Row],[Low32]],Table1[[#This Row],[Low29]],Table1[[#This Row],[Low26]],Table1[[#This Row],[Low23]],Table1[[#This Row],[Low20]],Table1[[#This Row],[Low17]],Table1[[#This Row],[Low14]],Table1[[#This Row],[Low11]],Table1[[#This Row],[Low8]],Table1[[#This Row],[Low5]],Table1[[#This Row],[Low2]],Table1[[#This Row],[Low]])</f>
        <v>1600</v>
      </c>
      <c r="CF22" s="19">
        <f>SUM(Table1[[#This Row],[Mid39]],Table1[[#This Row],[Mid36]],Table1[[#This Row],[Mid33]],Table1[[#This Row],[Mid30]],Table1[[#This Row],[Mid27]],Table1[[#This Row],[Mid24]],Table1[[#This Row],[Mid21]],Table1[[#This Row],[Mid18]],Table1[[#This Row],[Mid15]],Table1[[#This Row],[Mid12]],Table1[[#This Row],[Mid9]],Table1[[#This Row],[Mid6]],Table1[[#This Row],[Mid3]],Table1[[#This Row],[Mid]])</f>
        <v>2200</v>
      </c>
      <c r="CG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2900</v>
      </c>
      <c r="CH22" t="s">
        <v>157</v>
      </c>
      <c r="CI22" t="s">
        <v>176</v>
      </c>
      <c r="CJ22" t="s">
        <v>158</v>
      </c>
      <c r="CL22" s="19">
        <f>IF(Table1[[#This Row],[Type]]="Petroleum",1,IF(ISERROR(Table1[[#This Row],[Well Density]]*Table1[[#This Row],[Single Well Discovery Area]]),"",IF(Table1[[#This Row],[Well Density]]*Table1[[#This Row],[Single Well Discovery Area]]&gt;1,1,Table1[[#This Row],[Well Density]]*Table1[[#This Row],[Single Well Discovery Area]])))</f>
        <v>0</v>
      </c>
      <c r="CM22" t="s">
        <v>158</v>
      </c>
      <c r="CN22" s="19">
        <f>Table1[[#This Row],[Mid]]</f>
        <v>0</v>
      </c>
      <c r="CO22" s="19">
        <f>Table1[[#This Row],[Mid3]]+Table1[[#This Row],[Mid6]]+Table1[[#This Row],[Mid9]]</f>
        <v>0</v>
      </c>
      <c r="CP22" s="19">
        <f>Table1[[#This Row],[Mid12]]+Table1[[#This Row],[Mid15]]+Table1[[#This Row],[Mid18]]+Table1[[#This Row],[Mid21]]+Table1[[#This Row],[Mid24]]</f>
        <v>0</v>
      </c>
      <c r="CQ22" s="19">
        <f>Table1[[#This Row],[Mid27]]+Table1[[#This Row],[Mid30]]+Table1[[#This Row],[Mid33]]+Table1[[#This Row],[Mid36]]+Table1[[#This Row],[Mid39]]</f>
        <v>2200</v>
      </c>
      <c r="CR22" t="s">
        <v>136</v>
      </c>
      <c r="CS22" s="19" t="str">
        <f>IF(AND(Table1[[#This Row],[Low41]]=0, Table1[[#This Row],[High43]]=0),"N","Y")</f>
        <v>Y</v>
      </c>
    </row>
    <row r="23" spans="1:97" ht="19.5" customHeight="1" x14ac:dyDescent="0.25">
      <c r="A23">
        <v>10020</v>
      </c>
      <c r="B23" t="s">
        <v>113</v>
      </c>
      <c r="C23" t="s">
        <v>223</v>
      </c>
      <c r="D23">
        <v>-28.148888889999998</v>
      </c>
      <c r="E23">
        <v>149.8038889</v>
      </c>
      <c r="F23" t="s">
        <v>224</v>
      </c>
      <c r="G23" t="s">
        <v>225</v>
      </c>
      <c r="I23" t="s">
        <v>118</v>
      </c>
      <c r="J23" t="s">
        <v>119</v>
      </c>
      <c r="K23" t="s">
        <v>167</v>
      </c>
      <c r="L23" t="s">
        <v>18</v>
      </c>
      <c r="N23" s="6" t="s">
        <v>168</v>
      </c>
      <c r="O23" t="s">
        <v>169</v>
      </c>
      <c r="P23" t="s">
        <v>170</v>
      </c>
      <c r="Q23" t="s">
        <v>171</v>
      </c>
      <c r="R23" t="s">
        <v>172</v>
      </c>
      <c r="S23">
        <v>2009</v>
      </c>
      <c r="T23" t="s">
        <v>153</v>
      </c>
      <c r="U23" t="s">
        <v>173</v>
      </c>
      <c r="V23">
        <v>0</v>
      </c>
      <c r="W23">
        <v>0</v>
      </c>
      <c r="X23">
        <v>0</v>
      </c>
      <c r="Y23">
        <v>0</v>
      </c>
      <c r="Z23">
        <v>0</v>
      </c>
      <c r="AA23">
        <v>0</v>
      </c>
      <c r="AB23">
        <v>0</v>
      </c>
      <c r="AC23">
        <v>0</v>
      </c>
      <c r="AD23">
        <v>0</v>
      </c>
      <c r="AF23">
        <v>200</v>
      </c>
      <c r="AG23">
        <v>0</v>
      </c>
      <c r="AH23" t="s">
        <v>174</v>
      </c>
      <c r="AI23">
        <v>4</v>
      </c>
      <c r="AJ23">
        <v>0</v>
      </c>
      <c r="AK23">
        <v>0</v>
      </c>
      <c r="AL23">
        <v>0</v>
      </c>
      <c r="AM23" t="s">
        <v>175</v>
      </c>
      <c r="AN23" t="s">
        <v>132</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1600</v>
      </c>
      <c r="BZ23">
        <v>3300</v>
      </c>
      <c r="CA23">
        <v>5900</v>
      </c>
      <c r="CB23">
        <v>0</v>
      </c>
      <c r="CC23">
        <v>0</v>
      </c>
      <c r="CD23">
        <v>0</v>
      </c>
      <c r="CE23" s="19">
        <f>SUM(Table1[[#This Row],[Low38]],Table1[[#This Row],[Low35]],Table1[[#This Row],[Low32]],Table1[[#This Row],[Low29]],Table1[[#This Row],[Low26]],Table1[[#This Row],[Low23]],Table1[[#This Row],[Low20]],Table1[[#This Row],[Low17]],Table1[[#This Row],[Low14]],Table1[[#This Row],[Low11]],Table1[[#This Row],[Low8]],Table1[[#This Row],[Low5]],Table1[[#This Row],[Low2]],Table1[[#This Row],[Low]])</f>
        <v>1600</v>
      </c>
      <c r="CF23" s="19">
        <f>SUM(Table1[[#This Row],[Mid39]],Table1[[#This Row],[Mid36]],Table1[[#This Row],[Mid33]],Table1[[#This Row],[Mid30]],Table1[[#This Row],[Mid27]],Table1[[#This Row],[Mid24]],Table1[[#This Row],[Mid21]],Table1[[#This Row],[Mid18]],Table1[[#This Row],[Mid15]],Table1[[#This Row],[Mid12]],Table1[[#This Row],[Mid9]],Table1[[#This Row],[Mid6]],Table1[[#This Row],[Mid3]],Table1[[#This Row],[Mid]])</f>
        <v>3300</v>
      </c>
      <c r="CG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5900</v>
      </c>
      <c r="CH23" t="s">
        <v>157</v>
      </c>
      <c r="CI23" t="s">
        <v>176</v>
      </c>
      <c r="CJ23" t="s">
        <v>158</v>
      </c>
      <c r="CL23" s="19">
        <f>IF(Table1[[#This Row],[Type]]="Petroleum",1,IF(ISERROR(Table1[[#This Row],[Well Density]]*Table1[[#This Row],[Single Well Discovery Area]]),"",IF(Table1[[#This Row],[Well Density]]*Table1[[#This Row],[Single Well Discovery Area]]&gt;1,1,Table1[[#This Row],[Well Density]]*Table1[[#This Row],[Single Well Discovery Area]])))</f>
        <v>0</v>
      </c>
      <c r="CM23" t="s">
        <v>158</v>
      </c>
      <c r="CN23" s="19">
        <f>Table1[[#This Row],[Mid]]</f>
        <v>0</v>
      </c>
      <c r="CO23" s="19">
        <f>Table1[[#This Row],[Mid3]]+Table1[[#This Row],[Mid6]]+Table1[[#This Row],[Mid9]]</f>
        <v>0</v>
      </c>
      <c r="CP23" s="19">
        <f>Table1[[#This Row],[Mid12]]+Table1[[#This Row],[Mid15]]+Table1[[#This Row],[Mid18]]+Table1[[#This Row],[Mid21]]+Table1[[#This Row],[Mid24]]</f>
        <v>0</v>
      </c>
      <c r="CQ23" s="19">
        <f>Table1[[#This Row],[Mid27]]+Table1[[#This Row],[Mid30]]+Table1[[#This Row],[Mid33]]+Table1[[#This Row],[Mid36]]+Table1[[#This Row],[Mid39]]</f>
        <v>3300</v>
      </c>
      <c r="CR23" t="s">
        <v>136</v>
      </c>
      <c r="CS23" s="19" t="str">
        <f>IF(AND(Table1[[#This Row],[Low41]]=0, Table1[[#This Row],[High43]]=0),"N","Y")</f>
        <v>Y</v>
      </c>
    </row>
    <row r="24" spans="1:97" ht="19.5" customHeight="1" x14ac:dyDescent="0.25">
      <c r="A24">
        <v>10021</v>
      </c>
      <c r="B24" t="s">
        <v>113</v>
      </c>
      <c r="C24" t="s">
        <v>223</v>
      </c>
      <c r="D24">
        <v>-19.354444440000002</v>
      </c>
      <c r="E24">
        <v>123.19916670000001</v>
      </c>
      <c r="F24" t="s">
        <v>226</v>
      </c>
      <c r="G24" t="s">
        <v>183</v>
      </c>
      <c r="I24" t="s">
        <v>118</v>
      </c>
      <c r="J24" t="s">
        <v>119</v>
      </c>
      <c r="K24" t="s">
        <v>167</v>
      </c>
      <c r="L24" t="s">
        <v>18</v>
      </c>
      <c r="N24" s="6" t="s">
        <v>168</v>
      </c>
      <c r="O24" t="s">
        <v>169</v>
      </c>
      <c r="P24" t="s">
        <v>170</v>
      </c>
      <c r="Q24" t="s">
        <v>171</v>
      </c>
      <c r="R24" t="s">
        <v>172</v>
      </c>
      <c r="S24">
        <v>2009</v>
      </c>
      <c r="T24" t="s">
        <v>153</v>
      </c>
      <c r="U24" t="s">
        <v>173</v>
      </c>
      <c r="V24">
        <v>0</v>
      </c>
      <c r="W24">
        <v>0</v>
      </c>
      <c r="X24">
        <v>0</v>
      </c>
      <c r="Y24">
        <v>0</v>
      </c>
      <c r="Z24">
        <v>0</v>
      </c>
      <c r="AA24">
        <v>0</v>
      </c>
      <c r="AB24">
        <v>0</v>
      </c>
      <c r="AC24">
        <v>0</v>
      </c>
      <c r="AD24">
        <v>0</v>
      </c>
      <c r="AF24">
        <v>200</v>
      </c>
      <c r="AG24">
        <v>0</v>
      </c>
      <c r="AH24" t="s">
        <v>174</v>
      </c>
      <c r="AI24">
        <v>4</v>
      </c>
      <c r="AJ24">
        <v>0</v>
      </c>
      <c r="AK24">
        <v>0</v>
      </c>
      <c r="AL24">
        <v>0</v>
      </c>
      <c r="AM24" t="s">
        <v>175</v>
      </c>
      <c r="AN24" t="s">
        <v>132</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16500</v>
      </c>
      <c r="BZ24">
        <v>33300</v>
      </c>
      <c r="CA24">
        <v>59800</v>
      </c>
      <c r="CB24">
        <v>0</v>
      </c>
      <c r="CC24">
        <v>0</v>
      </c>
      <c r="CD24">
        <v>0</v>
      </c>
      <c r="CE24" s="19">
        <f>SUM(Table1[[#This Row],[Low38]],Table1[[#This Row],[Low35]],Table1[[#This Row],[Low32]],Table1[[#This Row],[Low29]],Table1[[#This Row],[Low26]],Table1[[#This Row],[Low23]],Table1[[#This Row],[Low20]],Table1[[#This Row],[Low17]],Table1[[#This Row],[Low14]],Table1[[#This Row],[Low11]],Table1[[#This Row],[Low8]],Table1[[#This Row],[Low5]],Table1[[#This Row],[Low2]],Table1[[#This Row],[Low]])</f>
        <v>16500</v>
      </c>
      <c r="CF24" s="19">
        <f>SUM(Table1[[#This Row],[Mid39]],Table1[[#This Row],[Mid36]],Table1[[#This Row],[Mid33]],Table1[[#This Row],[Mid30]],Table1[[#This Row],[Mid27]],Table1[[#This Row],[Mid24]],Table1[[#This Row],[Mid21]],Table1[[#This Row],[Mid18]],Table1[[#This Row],[Mid15]],Table1[[#This Row],[Mid12]],Table1[[#This Row],[Mid9]],Table1[[#This Row],[Mid6]],Table1[[#This Row],[Mid3]],Table1[[#This Row],[Mid]])</f>
        <v>33300</v>
      </c>
      <c r="CG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59800</v>
      </c>
      <c r="CH24" t="s">
        <v>157</v>
      </c>
      <c r="CI24" t="s">
        <v>176</v>
      </c>
      <c r="CJ24" t="s">
        <v>158</v>
      </c>
      <c r="CL24" s="19">
        <f>IF(Table1[[#This Row],[Type]]="Petroleum",1,IF(ISERROR(Table1[[#This Row],[Well Density]]*Table1[[#This Row],[Single Well Discovery Area]]),"",IF(Table1[[#This Row],[Well Density]]*Table1[[#This Row],[Single Well Discovery Area]]&gt;1,1,Table1[[#This Row],[Well Density]]*Table1[[#This Row],[Single Well Discovery Area]])))</f>
        <v>0</v>
      </c>
      <c r="CM24" t="s">
        <v>158</v>
      </c>
      <c r="CN24" s="19">
        <f>Table1[[#This Row],[Mid]]</f>
        <v>0</v>
      </c>
      <c r="CO24" s="19">
        <f>Table1[[#This Row],[Mid3]]+Table1[[#This Row],[Mid6]]+Table1[[#This Row],[Mid9]]</f>
        <v>0</v>
      </c>
      <c r="CP24" s="19">
        <f>Table1[[#This Row],[Mid12]]+Table1[[#This Row],[Mid15]]+Table1[[#This Row],[Mid18]]+Table1[[#This Row],[Mid21]]+Table1[[#This Row],[Mid24]]</f>
        <v>0</v>
      </c>
      <c r="CQ24" s="19">
        <f>Table1[[#This Row],[Mid27]]+Table1[[#This Row],[Mid30]]+Table1[[#This Row],[Mid33]]+Table1[[#This Row],[Mid36]]+Table1[[#This Row],[Mid39]]</f>
        <v>33300</v>
      </c>
      <c r="CR24" t="s">
        <v>136</v>
      </c>
      <c r="CS24" s="19" t="str">
        <f>IF(AND(Table1[[#This Row],[Low41]]=0, Table1[[#This Row],[High43]]=0),"N","Y")</f>
        <v>Y</v>
      </c>
    </row>
    <row r="25" spans="1:97" ht="19.5" customHeight="1" x14ac:dyDescent="0.25">
      <c r="A25">
        <v>10022</v>
      </c>
      <c r="B25" t="s">
        <v>113</v>
      </c>
      <c r="C25" t="s">
        <v>223</v>
      </c>
      <c r="D25">
        <v>-29.50861111</v>
      </c>
      <c r="E25">
        <v>153.0819444</v>
      </c>
      <c r="F25" t="s">
        <v>227</v>
      </c>
      <c r="G25" t="s">
        <v>228</v>
      </c>
      <c r="I25" t="s">
        <v>118</v>
      </c>
      <c r="J25" t="s">
        <v>119</v>
      </c>
      <c r="K25" t="s">
        <v>167</v>
      </c>
      <c r="L25" t="s">
        <v>18</v>
      </c>
      <c r="N25" s="6" t="s">
        <v>168</v>
      </c>
      <c r="O25" t="s">
        <v>169</v>
      </c>
      <c r="P25" t="s">
        <v>170</v>
      </c>
      <c r="Q25" t="s">
        <v>171</v>
      </c>
      <c r="R25" t="s">
        <v>172</v>
      </c>
      <c r="S25">
        <v>2009</v>
      </c>
      <c r="T25" t="s">
        <v>153</v>
      </c>
      <c r="U25" t="s">
        <v>173</v>
      </c>
      <c r="V25">
        <v>0</v>
      </c>
      <c r="W25">
        <v>0</v>
      </c>
      <c r="X25">
        <v>0</v>
      </c>
      <c r="Y25">
        <v>0</v>
      </c>
      <c r="Z25">
        <v>0</v>
      </c>
      <c r="AA25">
        <v>0</v>
      </c>
      <c r="AB25">
        <v>0</v>
      </c>
      <c r="AC25">
        <v>0</v>
      </c>
      <c r="AD25">
        <v>0</v>
      </c>
      <c r="AF25">
        <v>200</v>
      </c>
      <c r="AG25">
        <v>0</v>
      </c>
      <c r="AH25" t="s">
        <v>174</v>
      </c>
      <c r="AI25">
        <v>4</v>
      </c>
      <c r="AJ25">
        <v>0</v>
      </c>
      <c r="AK25">
        <v>0</v>
      </c>
      <c r="AL25">
        <v>0</v>
      </c>
      <c r="AM25" t="s">
        <v>175</v>
      </c>
      <c r="AN25" t="s">
        <v>132</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2900</v>
      </c>
      <c r="BZ25">
        <v>5500</v>
      </c>
      <c r="CA25">
        <v>10200</v>
      </c>
      <c r="CB25">
        <v>0</v>
      </c>
      <c r="CC25">
        <v>0</v>
      </c>
      <c r="CD25">
        <v>0</v>
      </c>
      <c r="CE25" s="19">
        <f>SUM(Table1[[#This Row],[Low38]],Table1[[#This Row],[Low35]],Table1[[#This Row],[Low32]],Table1[[#This Row],[Low29]],Table1[[#This Row],[Low26]],Table1[[#This Row],[Low23]],Table1[[#This Row],[Low20]],Table1[[#This Row],[Low17]],Table1[[#This Row],[Low14]],Table1[[#This Row],[Low11]],Table1[[#This Row],[Low8]],Table1[[#This Row],[Low5]],Table1[[#This Row],[Low2]],Table1[[#This Row],[Low]])</f>
        <v>2900</v>
      </c>
      <c r="CF25" s="19">
        <f>SUM(Table1[[#This Row],[Mid39]],Table1[[#This Row],[Mid36]],Table1[[#This Row],[Mid33]],Table1[[#This Row],[Mid30]],Table1[[#This Row],[Mid27]],Table1[[#This Row],[Mid24]],Table1[[#This Row],[Mid21]],Table1[[#This Row],[Mid18]],Table1[[#This Row],[Mid15]],Table1[[#This Row],[Mid12]],Table1[[#This Row],[Mid9]],Table1[[#This Row],[Mid6]],Table1[[#This Row],[Mid3]],Table1[[#This Row],[Mid]])</f>
        <v>5500</v>
      </c>
      <c r="CG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10200</v>
      </c>
      <c r="CH25" t="s">
        <v>157</v>
      </c>
      <c r="CI25" t="s">
        <v>176</v>
      </c>
      <c r="CJ25" t="s">
        <v>158</v>
      </c>
      <c r="CL25" s="19">
        <f>IF(Table1[[#This Row],[Type]]="Petroleum",1,IF(ISERROR(Table1[[#This Row],[Well Density]]*Table1[[#This Row],[Single Well Discovery Area]]),"",IF(Table1[[#This Row],[Well Density]]*Table1[[#This Row],[Single Well Discovery Area]]&gt;1,1,Table1[[#This Row],[Well Density]]*Table1[[#This Row],[Single Well Discovery Area]])))</f>
        <v>0</v>
      </c>
      <c r="CM25" t="s">
        <v>158</v>
      </c>
      <c r="CN25" s="19">
        <f>Table1[[#This Row],[Mid]]</f>
        <v>0</v>
      </c>
      <c r="CO25" s="19">
        <f>Table1[[#This Row],[Mid3]]+Table1[[#This Row],[Mid6]]+Table1[[#This Row],[Mid9]]</f>
        <v>0</v>
      </c>
      <c r="CP25" s="19">
        <f>Table1[[#This Row],[Mid12]]+Table1[[#This Row],[Mid15]]+Table1[[#This Row],[Mid18]]+Table1[[#This Row],[Mid21]]+Table1[[#This Row],[Mid24]]</f>
        <v>0</v>
      </c>
      <c r="CQ25" s="19">
        <f>Table1[[#This Row],[Mid27]]+Table1[[#This Row],[Mid30]]+Table1[[#This Row],[Mid33]]+Table1[[#This Row],[Mid36]]+Table1[[#This Row],[Mid39]]</f>
        <v>5500</v>
      </c>
      <c r="CR25" t="s">
        <v>136</v>
      </c>
      <c r="CS25" s="19" t="str">
        <f>IF(AND(Table1[[#This Row],[Low41]]=0, Table1[[#This Row],[High43]]=0),"N","Y")</f>
        <v>Y</v>
      </c>
    </row>
    <row r="26" spans="1:97" ht="19.5" customHeight="1" x14ac:dyDescent="0.25">
      <c r="A26">
        <v>10023</v>
      </c>
      <c r="B26" t="s">
        <v>113</v>
      </c>
      <c r="C26" t="s">
        <v>223</v>
      </c>
      <c r="D26">
        <v>-28.01583333</v>
      </c>
      <c r="E26">
        <v>140.4555556</v>
      </c>
      <c r="F26" t="s">
        <v>229</v>
      </c>
      <c r="G26" t="s">
        <v>230</v>
      </c>
      <c r="I26" t="s">
        <v>118</v>
      </c>
      <c r="J26" t="s">
        <v>119</v>
      </c>
      <c r="K26" t="s">
        <v>167</v>
      </c>
      <c r="L26" t="s">
        <v>18</v>
      </c>
      <c r="N26" s="6" t="s">
        <v>168</v>
      </c>
      <c r="O26" t="s">
        <v>169</v>
      </c>
      <c r="P26" t="s">
        <v>170</v>
      </c>
      <c r="Q26" t="s">
        <v>171</v>
      </c>
      <c r="S26">
        <v>2009</v>
      </c>
      <c r="T26" t="s">
        <v>153</v>
      </c>
      <c r="U26" t="s">
        <v>173</v>
      </c>
      <c r="V26">
        <v>0</v>
      </c>
      <c r="W26">
        <v>0</v>
      </c>
      <c r="X26">
        <v>0</v>
      </c>
      <c r="Y26">
        <v>0</v>
      </c>
      <c r="Z26">
        <v>0</v>
      </c>
      <c r="AA26">
        <v>0</v>
      </c>
      <c r="AB26">
        <v>0</v>
      </c>
      <c r="AC26">
        <v>0</v>
      </c>
      <c r="AD26">
        <v>0</v>
      </c>
      <c r="AF26">
        <v>200</v>
      </c>
      <c r="AG26">
        <v>0</v>
      </c>
      <c r="AH26" t="s">
        <v>174</v>
      </c>
      <c r="AI26">
        <v>4</v>
      </c>
      <c r="AJ26">
        <v>0</v>
      </c>
      <c r="AK26">
        <v>0</v>
      </c>
      <c r="AL26">
        <v>0</v>
      </c>
      <c r="AM26" t="s">
        <v>175</v>
      </c>
      <c r="AN26" t="s">
        <v>132</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4100</v>
      </c>
      <c r="BZ26">
        <v>7900</v>
      </c>
      <c r="CA26">
        <v>14700</v>
      </c>
      <c r="CB26">
        <v>0</v>
      </c>
      <c r="CC26">
        <v>0</v>
      </c>
      <c r="CD26">
        <v>0</v>
      </c>
      <c r="CE26" s="19">
        <f>SUM(Table1[[#This Row],[Low38]],Table1[[#This Row],[Low35]],Table1[[#This Row],[Low32]],Table1[[#This Row],[Low29]],Table1[[#This Row],[Low26]],Table1[[#This Row],[Low23]],Table1[[#This Row],[Low20]],Table1[[#This Row],[Low17]],Table1[[#This Row],[Low14]],Table1[[#This Row],[Low11]],Table1[[#This Row],[Low8]],Table1[[#This Row],[Low5]],Table1[[#This Row],[Low2]],Table1[[#This Row],[Low]])</f>
        <v>4100</v>
      </c>
      <c r="CF26" s="19">
        <f>SUM(Table1[[#This Row],[Mid39]],Table1[[#This Row],[Mid36]],Table1[[#This Row],[Mid33]],Table1[[#This Row],[Mid30]],Table1[[#This Row],[Mid27]],Table1[[#This Row],[Mid24]],Table1[[#This Row],[Mid21]],Table1[[#This Row],[Mid18]],Table1[[#This Row],[Mid15]],Table1[[#This Row],[Mid12]],Table1[[#This Row],[Mid9]],Table1[[#This Row],[Mid6]],Table1[[#This Row],[Mid3]],Table1[[#This Row],[Mid]])</f>
        <v>7900</v>
      </c>
      <c r="CG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14700</v>
      </c>
      <c r="CH26" t="s">
        <v>157</v>
      </c>
      <c r="CI26" t="s">
        <v>176</v>
      </c>
      <c r="CJ26" t="s">
        <v>158</v>
      </c>
      <c r="CL26" s="19">
        <f>IF(Table1[[#This Row],[Type]]="Petroleum",1,IF(ISERROR(Table1[[#This Row],[Well Density]]*Table1[[#This Row],[Single Well Discovery Area]]),"",IF(Table1[[#This Row],[Well Density]]*Table1[[#This Row],[Single Well Discovery Area]]&gt;1,1,Table1[[#This Row],[Well Density]]*Table1[[#This Row],[Single Well Discovery Area]])))</f>
        <v>0</v>
      </c>
      <c r="CM26" t="s">
        <v>158</v>
      </c>
      <c r="CN26" s="19">
        <f>Table1[[#This Row],[Mid]]</f>
        <v>0</v>
      </c>
      <c r="CO26" s="19">
        <f>Table1[[#This Row],[Mid3]]+Table1[[#This Row],[Mid6]]+Table1[[#This Row],[Mid9]]</f>
        <v>0</v>
      </c>
      <c r="CP26" s="19">
        <f>Table1[[#This Row],[Mid12]]+Table1[[#This Row],[Mid15]]+Table1[[#This Row],[Mid18]]+Table1[[#This Row],[Mid21]]+Table1[[#This Row],[Mid24]]</f>
        <v>0</v>
      </c>
      <c r="CQ26" s="19">
        <f>Table1[[#This Row],[Mid27]]+Table1[[#This Row],[Mid30]]+Table1[[#This Row],[Mid33]]+Table1[[#This Row],[Mid36]]+Table1[[#This Row],[Mid39]]</f>
        <v>7900</v>
      </c>
      <c r="CR26" t="s">
        <v>136</v>
      </c>
      <c r="CS26" s="19" t="str">
        <f>IF(AND(Table1[[#This Row],[Low41]]=0, Table1[[#This Row],[High43]]=0),"N","Y")</f>
        <v>Y</v>
      </c>
    </row>
    <row r="27" spans="1:97" ht="19.5" customHeight="1" x14ac:dyDescent="0.25">
      <c r="A27">
        <v>10024</v>
      </c>
      <c r="B27" t="s">
        <v>113</v>
      </c>
      <c r="C27" t="s">
        <v>223</v>
      </c>
      <c r="D27">
        <v>-32.388333330000002</v>
      </c>
      <c r="E27">
        <v>143.06444440000001</v>
      </c>
      <c r="F27" t="s">
        <v>231</v>
      </c>
      <c r="G27" t="s">
        <v>231</v>
      </c>
      <c r="I27" t="s">
        <v>118</v>
      </c>
      <c r="J27" t="s">
        <v>119</v>
      </c>
      <c r="K27" t="s">
        <v>167</v>
      </c>
      <c r="L27" t="s">
        <v>18</v>
      </c>
      <c r="N27" s="6" t="s">
        <v>168</v>
      </c>
      <c r="O27" t="s">
        <v>169</v>
      </c>
      <c r="P27" t="s">
        <v>170</v>
      </c>
      <c r="Q27" t="s">
        <v>171</v>
      </c>
      <c r="R27" t="s">
        <v>172</v>
      </c>
      <c r="S27">
        <v>2009</v>
      </c>
      <c r="T27" t="s">
        <v>153</v>
      </c>
      <c r="U27" t="s">
        <v>173</v>
      </c>
      <c r="V27">
        <v>0</v>
      </c>
      <c r="W27">
        <v>0</v>
      </c>
      <c r="X27">
        <v>0</v>
      </c>
      <c r="Y27">
        <v>0</v>
      </c>
      <c r="Z27">
        <v>0</v>
      </c>
      <c r="AA27">
        <v>0</v>
      </c>
      <c r="AB27">
        <v>0</v>
      </c>
      <c r="AC27">
        <v>0</v>
      </c>
      <c r="AD27">
        <v>0</v>
      </c>
      <c r="AF27">
        <v>200</v>
      </c>
      <c r="AG27">
        <v>0</v>
      </c>
      <c r="AH27" t="s">
        <v>174</v>
      </c>
      <c r="AI27">
        <v>4</v>
      </c>
      <c r="AJ27">
        <v>0</v>
      </c>
      <c r="AK27">
        <v>0</v>
      </c>
      <c r="AL27">
        <v>0</v>
      </c>
      <c r="AM27" t="s">
        <v>175</v>
      </c>
      <c r="AN27" t="s">
        <v>132</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2600</v>
      </c>
      <c r="BZ27">
        <v>7200</v>
      </c>
      <c r="CA27">
        <v>16400</v>
      </c>
      <c r="CB27">
        <v>0</v>
      </c>
      <c r="CC27">
        <v>0</v>
      </c>
      <c r="CD27">
        <v>0</v>
      </c>
      <c r="CE27" s="19">
        <f>SUM(Table1[[#This Row],[Low38]],Table1[[#This Row],[Low35]],Table1[[#This Row],[Low32]],Table1[[#This Row],[Low29]],Table1[[#This Row],[Low26]],Table1[[#This Row],[Low23]],Table1[[#This Row],[Low20]],Table1[[#This Row],[Low17]],Table1[[#This Row],[Low14]],Table1[[#This Row],[Low11]],Table1[[#This Row],[Low8]],Table1[[#This Row],[Low5]],Table1[[#This Row],[Low2]],Table1[[#This Row],[Low]])</f>
        <v>2600</v>
      </c>
      <c r="CF27" s="19">
        <f>SUM(Table1[[#This Row],[Mid39]],Table1[[#This Row],[Mid36]],Table1[[#This Row],[Mid33]],Table1[[#This Row],[Mid30]],Table1[[#This Row],[Mid27]],Table1[[#This Row],[Mid24]],Table1[[#This Row],[Mid21]],Table1[[#This Row],[Mid18]],Table1[[#This Row],[Mid15]],Table1[[#This Row],[Mid12]],Table1[[#This Row],[Mid9]],Table1[[#This Row],[Mid6]],Table1[[#This Row],[Mid3]],Table1[[#This Row],[Mid]])</f>
        <v>7200</v>
      </c>
      <c r="CG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16400</v>
      </c>
      <c r="CH27" t="s">
        <v>157</v>
      </c>
      <c r="CI27" t="s">
        <v>176</v>
      </c>
      <c r="CJ27" t="s">
        <v>158</v>
      </c>
      <c r="CL27" s="19">
        <f>IF(Table1[[#This Row],[Type]]="Petroleum",1,IF(ISERROR(Table1[[#This Row],[Well Density]]*Table1[[#This Row],[Single Well Discovery Area]]),"",IF(Table1[[#This Row],[Well Density]]*Table1[[#This Row],[Single Well Discovery Area]]&gt;1,1,Table1[[#This Row],[Well Density]]*Table1[[#This Row],[Single Well Discovery Area]])))</f>
        <v>0</v>
      </c>
      <c r="CM27" t="s">
        <v>158</v>
      </c>
      <c r="CN27" s="19">
        <f>Table1[[#This Row],[Mid]]</f>
        <v>0</v>
      </c>
      <c r="CO27" s="19">
        <f>Table1[[#This Row],[Mid3]]+Table1[[#This Row],[Mid6]]+Table1[[#This Row],[Mid9]]</f>
        <v>0</v>
      </c>
      <c r="CP27" s="19">
        <f>Table1[[#This Row],[Mid12]]+Table1[[#This Row],[Mid15]]+Table1[[#This Row],[Mid18]]+Table1[[#This Row],[Mid21]]+Table1[[#This Row],[Mid24]]</f>
        <v>0</v>
      </c>
      <c r="CQ27" s="19">
        <f>Table1[[#This Row],[Mid27]]+Table1[[#This Row],[Mid30]]+Table1[[#This Row],[Mid33]]+Table1[[#This Row],[Mid36]]+Table1[[#This Row],[Mid39]]</f>
        <v>7200</v>
      </c>
      <c r="CR27" t="s">
        <v>136</v>
      </c>
      <c r="CS27" s="19" t="str">
        <f>IF(AND(Table1[[#This Row],[Low41]]=0, Table1[[#This Row],[High43]]=0),"N","Y")</f>
        <v>Y</v>
      </c>
    </row>
    <row r="28" spans="1:97" ht="19.5" customHeight="1" x14ac:dyDescent="0.25">
      <c r="A28">
        <v>10025</v>
      </c>
      <c r="B28" t="s">
        <v>113</v>
      </c>
      <c r="C28" t="s">
        <v>223</v>
      </c>
      <c r="D28">
        <v>-24.06666667</v>
      </c>
      <c r="E28">
        <v>148.06472220000001</v>
      </c>
      <c r="F28" t="s">
        <v>232</v>
      </c>
      <c r="G28" t="s">
        <v>225</v>
      </c>
      <c r="I28" t="s">
        <v>118</v>
      </c>
      <c r="J28" t="s">
        <v>119</v>
      </c>
      <c r="K28" t="s">
        <v>167</v>
      </c>
      <c r="L28" t="s">
        <v>18</v>
      </c>
      <c r="N28" s="6" t="s">
        <v>168</v>
      </c>
      <c r="O28" t="s">
        <v>169</v>
      </c>
      <c r="P28" t="s">
        <v>170</v>
      </c>
      <c r="Q28" t="s">
        <v>171</v>
      </c>
      <c r="R28" t="s">
        <v>172</v>
      </c>
      <c r="S28">
        <v>2009</v>
      </c>
      <c r="T28" t="s">
        <v>153</v>
      </c>
      <c r="U28" t="s">
        <v>173</v>
      </c>
      <c r="V28">
        <v>0</v>
      </c>
      <c r="W28">
        <v>0</v>
      </c>
      <c r="X28">
        <v>0</v>
      </c>
      <c r="Y28">
        <v>0</v>
      </c>
      <c r="Z28">
        <v>0</v>
      </c>
      <c r="AA28">
        <v>0</v>
      </c>
      <c r="AB28">
        <v>0</v>
      </c>
      <c r="AC28">
        <v>0</v>
      </c>
      <c r="AD28">
        <v>0</v>
      </c>
      <c r="AF28">
        <v>200</v>
      </c>
      <c r="AG28">
        <v>0</v>
      </c>
      <c r="AH28" t="s">
        <v>174</v>
      </c>
      <c r="AI28">
        <v>4</v>
      </c>
      <c r="AJ28">
        <v>0</v>
      </c>
      <c r="AK28">
        <v>0</v>
      </c>
      <c r="AL28">
        <v>0</v>
      </c>
      <c r="AM28" t="s">
        <v>175</v>
      </c>
      <c r="AN28" t="s">
        <v>132</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1700</v>
      </c>
      <c r="BZ28">
        <v>3000</v>
      </c>
      <c r="CA28">
        <v>4900</v>
      </c>
      <c r="CB28">
        <v>0</v>
      </c>
      <c r="CC28">
        <v>0</v>
      </c>
      <c r="CD28">
        <v>0</v>
      </c>
      <c r="CE28" s="19">
        <f>SUM(Table1[[#This Row],[Low38]],Table1[[#This Row],[Low35]],Table1[[#This Row],[Low32]],Table1[[#This Row],[Low29]],Table1[[#This Row],[Low26]],Table1[[#This Row],[Low23]],Table1[[#This Row],[Low20]],Table1[[#This Row],[Low17]],Table1[[#This Row],[Low14]],Table1[[#This Row],[Low11]],Table1[[#This Row],[Low8]],Table1[[#This Row],[Low5]],Table1[[#This Row],[Low2]],Table1[[#This Row],[Low]])</f>
        <v>1700</v>
      </c>
      <c r="CF28" s="19">
        <f>SUM(Table1[[#This Row],[Mid39]],Table1[[#This Row],[Mid36]],Table1[[#This Row],[Mid33]],Table1[[#This Row],[Mid30]],Table1[[#This Row],[Mid27]],Table1[[#This Row],[Mid24]],Table1[[#This Row],[Mid21]],Table1[[#This Row],[Mid18]],Table1[[#This Row],[Mid15]],Table1[[#This Row],[Mid12]],Table1[[#This Row],[Mid9]],Table1[[#This Row],[Mid6]],Table1[[#This Row],[Mid3]],Table1[[#This Row],[Mid]])</f>
        <v>3000</v>
      </c>
      <c r="CG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4900</v>
      </c>
      <c r="CH28" t="s">
        <v>157</v>
      </c>
      <c r="CI28" t="s">
        <v>176</v>
      </c>
      <c r="CJ28" t="s">
        <v>158</v>
      </c>
      <c r="CL28" s="19">
        <f>IF(Table1[[#This Row],[Type]]="Petroleum",1,IF(ISERROR(Table1[[#This Row],[Well Density]]*Table1[[#This Row],[Single Well Discovery Area]]),"",IF(Table1[[#This Row],[Well Density]]*Table1[[#This Row],[Single Well Discovery Area]]&gt;1,1,Table1[[#This Row],[Well Density]]*Table1[[#This Row],[Single Well Discovery Area]])))</f>
        <v>0</v>
      </c>
      <c r="CM28" t="s">
        <v>158</v>
      </c>
      <c r="CN28" s="19">
        <f>Table1[[#This Row],[Mid]]</f>
        <v>0</v>
      </c>
      <c r="CO28" s="19">
        <f>Table1[[#This Row],[Mid3]]+Table1[[#This Row],[Mid6]]+Table1[[#This Row],[Mid9]]</f>
        <v>0</v>
      </c>
      <c r="CP28" s="19">
        <f>Table1[[#This Row],[Mid12]]+Table1[[#This Row],[Mid15]]+Table1[[#This Row],[Mid18]]+Table1[[#This Row],[Mid21]]+Table1[[#This Row],[Mid24]]</f>
        <v>0</v>
      </c>
      <c r="CQ28" s="19">
        <f>Table1[[#This Row],[Mid27]]+Table1[[#This Row],[Mid30]]+Table1[[#This Row],[Mid33]]+Table1[[#This Row],[Mid36]]+Table1[[#This Row],[Mid39]]</f>
        <v>3000</v>
      </c>
      <c r="CR28" t="s">
        <v>136</v>
      </c>
      <c r="CS28" s="19" t="str">
        <f>IF(AND(Table1[[#This Row],[Low41]]=0, Table1[[#This Row],[High43]]=0),"N","Y")</f>
        <v>Y</v>
      </c>
    </row>
    <row r="29" spans="1:97" ht="19.5" customHeight="1" x14ac:dyDescent="0.25">
      <c r="A29">
        <v>10026</v>
      </c>
      <c r="B29" t="s">
        <v>113</v>
      </c>
      <c r="C29" t="s">
        <v>223</v>
      </c>
      <c r="D29">
        <v>-26.49472222</v>
      </c>
      <c r="E29">
        <v>142.52305559999999</v>
      </c>
      <c r="F29" t="s">
        <v>230</v>
      </c>
      <c r="G29" t="s">
        <v>230</v>
      </c>
      <c r="I29" t="s">
        <v>118</v>
      </c>
      <c r="J29" t="s">
        <v>119</v>
      </c>
      <c r="K29" t="s">
        <v>167</v>
      </c>
      <c r="L29" t="s">
        <v>18</v>
      </c>
      <c r="N29" s="6" t="s">
        <v>168</v>
      </c>
      <c r="O29" t="s">
        <v>169</v>
      </c>
      <c r="P29" t="s">
        <v>170</v>
      </c>
      <c r="Q29" t="s">
        <v>171</v>
      </c>
      <c r="R29" t="s">
        <v>172</v>
      </c>
      <c r="S29">
        <v>2009</v>
      </c>
      <c r="T29" t="s">
        <v>153</v>
      </c>
      <c r="U29" t="s">
        <v>173</v>
      </c>
      <c r="V29">
        <v>0</v>
      </c>
      <c r="W29">
        <v>0</v>
      </c>
      <c r="X29">
        <v>0</v>
      </c>
      <c r="Y29">
        <v>0</v>
      </c>
      <c r="Z29">
        <v>0</v>
      </c>
      <c r="AA29">
        <v>0</v>
      </c>
      <c r="AB29">
        <v>0</v>
      </c>
      <c r="AC29">
        <v>0</v>
      </c>
      <c r="AD29">
        <v>0</v>
      </c>
      <c r="AF29">
        <v>200</v>
      </c>
      <c r="AG29">
        <v>0</v>
      </c>
      <c r="AH29" t="s">
        <v>174</v>
      </c>
      <c r="AI29">
        <v>4</v>
      </c>
      <c r="AJ29">
        <v>0</v>
      </c>
      <c r="AK29">
        <v>0</v>
      </c>
      <c r="AL29">
        <v>0</v>
      </c>
      <c r="AM29" t="s">
        <v>175</v>
      </c>
      <c r="AN29" t="s">
        <v>132</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11600</v>
      </c>
      <c r="BZ29">
        <v>26800</v>
      </c>
      <c r="CA29">
        <v>52500</v>
      </c>
      <c r="CB29">
        <v>0</v>
      </c>
      <c r="CC29">
        <v>0</v>
      </c>
      <c r="CD29">
        <v>0</v>
      </c>
      <c r="CE29" s="19">
        <f>SUM(Table1[[#This Row],[Low38]],Table1[[#This Row],[Low35]],Table1[[#This Row],[Low32]],Table1[[#This Row],[Low29]],Table1[[#This Row],[Low26]],Table1[[#This Row],[Low23]],Table1[[#This Row],[Low20]],Table1[[#This Row],[Low17]],Table1[[#This Row],[Low14]],Table1[[#This Row],[Low11]],Table1[[#This Row],[Low8]],Table1[[#This Row],[Low5]],Table1[[#This Row],[Low2]],Table1[[#This Row],[Low]])</f>
        <v>11600</v>
      </c>
      <c r="CF29" s="19">
        <f>SUM(Table1[[#This Row],[Mid39]],Table1[[#This Row],[Mid36]],Table1[[#This Row],[Mid33]],Table1[[#This Row],[Mid30]],Table1[[#This Row],[Mid27]],Table1[[#This Row],[Mid24]],Table1[[#This Row],[Mid21]],Table1[[#This Row],[Mid18]],Table1[[#This Row],[Mid15]],Table1[[#This Row],[Mid12]],Table1[[#This Row],[Mid9]],Table1[[#This Row],[Mid6]],Table1[[#This Row],[Mid3]],Table1[[#This Row],[Mid]])</f>
        <v>26800</v>
      </c>
      <c r="CG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52500</v>
      </c>
      <c r="CH29" t="s">
        <v>157</v>
      </c>
      <c r="CI29" t="s">
        <v>176</v>
      </c>
      <c r="CJ29" t="s">
        <v>158</v>
      </c>
      <c r="CL29" s="19">
        <f>IF(Table1[[#This Row],[Type]]="Petroleum",1,IF(ISERROR(Table1[[#This Row],[Well Density]]*Table1[[#This Row],[Single Well Discovery Area]]),"",IF(Table1[[#This Row],[Well Density]]*Table1[[#This Row],[Single Well Discovery Area]]&gt;1,1,Table1[[#This Row],[Well Density]]*Table1[[#This Row],[Single Well Discovery Area]])))</f>
        <v>0</v>
      </c>
      <c r="CM29" t="s">
        <v>158</v>
      </c>
      <c r="CN29" s="19">
        <f>Table1[[#This Row],[Mid]]</f>
        <v>0</v>
      </c>
      <c r="CO29" s="19">
        <f>Table1[[#This Row],[Mid3]]+Table1[[#This Row],[Mid6]]+Table1[[#This Row],[Mid9]]</f>
        <v>0</v>
      </c>
      <c r="CP29" s="19">
        <f>Table1[[#This Row],[Mid12]]+Table1[[#This Row],[Mid15]]+Table1[[#This Row],[Mid18]]+Table1[[#This Row],[Mid21]]+Table1[[#This Row],[Mid24]]</f>
        <v>0</v>
      </c>
      <c r="CQ29" s="19">
        <f>Table1[[#This Row],[Mid27]]+Table1[[#This Row],[Mid30]]+Table1[[#This Row],[Mid33]]+Table1[[#This Row],[Mid36]]+Table1[[#This Row],[Mid39]]</f>
        <v>26800</v>
      </c>
      <c r="CR29" t="s">
        <v>136</v>
      </c>
      <c r="CS29" s="19" t="str">
        <f>IF(AND(Table1[[#This Row],[Low41]]=0, Table1[[#This Row],[High43]]=0),"N","Y")</f>
        <v>Y</v>
      </c>
    </row>
    <row r="30" spans="1:97" ht="19.5" customHeight="1" x14ac:dyDescent="0.25">
      <c r="A30">
        <v>10027</v>
      </c>
      <c r="B30" t="s">
        <v>113</v>
      </c>
      <c r="C30" t="s">
        <v>223</v>
      </c>
      <c r="D30">
        <v>-25.286666669999999</v>
      </c>
      <c r="E30">
        <v>145.94555560000001</v>
      </c>
      <c r="F30" t="s">
        <v>233</v>
      </c>
      <c r="G30" t="s">
        <v>234</v>
      </c>
      <c r="I30" t="s">
        <v>118</v>
      </c>
      <c r="J30" t="s">
        <v>119</v>
      </c>
      <c r="K30" t="s">
        <v>167</v>
      </c>
      <c r="L30" t="s">
        <v>18</v>
      </c>
      <c r="N30" s="6" t="s">
        <v>168</v>
      </c>
      <c r="O30" t="s">
        <v>169</v>
      </c>
      <c r="P30" t="s">
        <v>170</v>
      </c>
      <c r="Q30" t="s">
        <v>171</v>
      </c>
      <c r="R30" t="s">
        <v>172</v>
      </c>
      <c r="S30">
        <v>2009</v>
      </c>
      <c r="T30" t="s">
        <v>153</v>
      </c>
      <c r="U30" t="s">
        <v>173</v>
      </c>
      <c r="V30">
        <v>0</v>
      </c>
      <c r="W30">
        <v>0</v>
      </c>
      <c r="X30">
        <v>0</v>
      </c>
      <c r="Y30">
        <v>0</v>
      </c>
      <c r="Z30">
        <v>0</v>
      </c>
      <c r="AA30">
        <v>0</v>
      </c>
      <c r="AB30">
        <v>0</v>
      </c>
      <c r="AC30">
        <v>0</v>
      </c>
      <c r="AD30">
        <v>0</v>
      </c>
      <c r="AF30">
        <v>200</v>
      </c>
      <c r="AG30">
        <v>0</v>
      </c>
      <c r="AH30" t="s">
        <v>174</v>
      </c>
      <c r="AI30">
        <v>4</v>
      </c>
      <c r="AJ30">
        <v>0</v>
      </c>
      <c r="AK30">
        <v>0</v>
      </c>
      <c r="AL30">
        <v>0</v>
      </c>
      <c r="AM30" t="s">
        <v>175</v>
      </c>
      <c r="AN30" t="s">
        <v>132</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7500</v>
      </c>
      <c r="BZ30">
        <v>14000</v>
      </c>
      <c r="CA30">
        <v>21900</v>
      </c>
      <c r="CB30">
        <v>0</v>
      </c>
      <c r="CC30">
        <v>0</v>
      </c>
      <c r="CD30">
        <v>0</v>
      </c>
      <c r="CE30" s="19">
        <f>SUM(Table1[[#This Row],[Low38]],Table1[[#This Row],[Low35]],Table1[[#This Row],[Low32]],Table1[[#This Row],[Low29]],Table1[[#This Row],[Low26]],Table1[[#This Row],[Low23]],Table1[[#This Row],[Low20]],Table1[[#This Row],[Low17]],Table1[[#This Row],[Low14]],Table1[[#This Row],[Low11]],Table1[[#This Row],[Low8]],Table1[[#This Row],[Low5]],Table1[[#This Row],[Low2]],Table1[[#This Row],[Low]])</f>
        <v>7500</v>
      </c>
      <c r="CF30" s="19">
        <f>SUM(Table1[[#This Row],[Mid39]],Table1[[#This Row],[Mid36]],Table1[[#This Row],[Mid33]],Table1[[#This Row],[Mid30]],Table1[[#This Row],[Mid27]],Table1[[#This Row],[Mid24]],Table1[[#This Row],[Mid21]],Table1[[#This Row],[Mid18]],Table1[[#This Row],[Mid15]],Table1[[#This Row],[Mid12]],Table1[[#This Row],[Mid9]],Table1[[#This Row],[Mid6]],Table1[[#This Row],[Mid3]],Table1[[#This Row],[Mid]])</f>
        <v>14000</v>
      </c>
      <c r="CG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21900</v>
      </c>
      <c r="CH30" t="s">
        <v>157</v>
      </c>
      <c r="CI30" t="s">
        <v>176</v>
      </c>
      <c r="CJ30" t="s">
        <v>158</v>
      </c>
      <c r="CL30" s="19">
        <f>IF(Table1[[#This Row],[Type]]="Petroleum",1,IF(ISERROR(Table1[[#This Row],[Well Density]]*Table1[[#This Row],[Single Well Discovery Area]]),"",IF(Table1[[#This Row],[Well Density]]*Table1[[#This Row],[Single Well Discovery Area]]&gt;1,1,Table1[[#This Row],[Well Density]]*Table1[[#This Row],[Single Well Discovery Area]])))</f>
        <v>0</v>
      </c>
      <c r="CM30" t="s">
        <v>158</v>
      </c>
      <c r="CN30" s="19">
        <f>Table1[[#This Row],[Mid]]</f>
        <v>0</v>
      </c>
      <c r="CO30" s="19">
        <f>Table1[[#This Row],[Mid3]]+Table1[[#This Row],[Mid6]]+Table1[[#This Row],[Mid9]]</f>
        <v>0</v>
      </c>
      <c r="CP30" s="19">
        <f>Table1[[#This Row],[Mid12]]+Table1[[#This Row],[Mid15]]+Table1[[#This Row],[Mid18]]+Table1[[#This Row],[Mid21]]+Table1[[#This Row],[Mid24]]</f>
        <v>0</v>
      </c>
      <c r="CQ30" s="19">
        <f>Table1[[#This Row],[Mid27]]+Table1[[#This Row],[Mid30]]+Table1[[#This Row],[Mid33]]+Table1[[#This Row],[Mid36]]+Table1[[#This Row],[Mid39]]</f>
        <v>14000</v>
      </c>
      <c r="CR30" t="s">
        <v>136</v>
      </c>
      <c r="CS30" s="19" t="str">
        <f>IF(AND(Table1[[#This Row],[Low41]]=0, Table1[[#This Row],[High43]]=0),"N","Y")</f>
        <v>Y</v>
      </c>
    </row>
    <row r="31" spans="1:97" ht="19.5" customHeight="1" x14ac:dyDescent="0.25">
      <c r="A31">
        <v>10028</v>
      </c>
      <c r="B31" t="s">
        <v>113</v>
      </c>
      <c r="C31" t="s">
        <v>223</v>
      </c>
      <c r="D31">
        <v>-20.80805556</v>
      </c>
      <c r="E31">
        <v>115.4022222</v>
      </c>
      <c r="F31" t="s">
        <v>235</v>
      </c>
      <c r="G31" t="s">
        <v>185</v>
      </c>
      <c r="H31" t="s">
        <v>236</v>
      </c>
      <c r="I31" t="s">
        <v>118</v>
      </c>
      <c r="J31" t="s">
        <v>119</v>
      </c>
      <c r="K31" t="s">
        <v>203</v>
      </c>
      <c r="L31" t="s">
        <v>121</v>
      </c>
      <c r="N31" s="6" t="s">
        <v>237</v>
      </c>
      <c r="O31" t="s">
        <v>238</v>
      </c>
      <c r="P31" t="s">
        <v>239</v>
      </c>
      <c r="Q31"/>
      <c r="R31" t="s">
        <v>240</v>
      </c>
      <c r="S31">
        <v>2020</v>
      </c>
      <c r="T31" t="s">
        <v>153</v>
      </c>
      <c r="U31" t="s">
        <v>154</v>
      </c>
      <c r="V31">
        <v>0</v>
      </c>
      <c r="W31">
        <v>2499</v>
      </c>
      <c r="X31">
        <v>0</v>
      </c>
      <c r="Y31">
        <v>0</v>
      </c>
      <c r="Z31">
        <v>0</v>
      </c>
      <c r="AA31">
        <v>0</v>
      </c>
      <c r="AB31">
        <v>0</v>
      </c>
      <c r="AC31">
        <v>0</v>
      </c>
      <c r="AD31">
        <v>0</v>
      </c>
      <c r="AF31">
        <v>200</v>
      </c>
      <c r="AG31">
        <v>0</v>
      </c>
      <c r="AI31">
        <v>0</v>
      </c>
      <c r="AJ31">
        <v>0</v>
      </c>
      <c r="AK31">
        <v>0</v>
      </c>
      <c r="AL31">
        <v>0</v>
      </c>
      <c r="AN31" t="s">
        <v>132</v>
      </c>
      <c r="AO31">
        <v>0</v>
      </c>
      <c r="AP31">
        <v>9</v>
      </c>
      <c r="AQ31">
        <v>0</v>
      </c>
      <c r="AR31">
        <v>0</v>
      </c>
      <c r="AS31">
        <v>111</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1" s="19">
        <f>SUM(Table1[[#This Row],[Mid39]],Table1[[#This Row],[Mid36]],Table1[[#This Row],[Mid33]],Table1[[#This Row],[Mid30]],Table1[[#This Row],[Mid27]],Table1[[#This Row],[Mid24]],Table1[[#This Row],[Mid21]],Table1[[#This Row],[Mid18]],Table1[[#This Row],[Mid15]],Table1[[#This Row],[Mid12]],Table1[[#This Row],[Mid9]],Table1[[#This Row],[Mid6]],Table1[[#This Row],[Mid3]],Table1[[#This Row],[Mid]])</f>
        <v>120</v>
      </c>
      <c r="CG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1" t="s">
        <v>157</v>
      </c>
      <c r="CI31" t="s">
        <v>134</v>
      </c>
      <c r="CJ31" t="s">
        <v>135</v>
      </c>
      <c r="CL31" s="19">
        <f>IF(Table1[[#This Row],[Type]]="Petroleum",1,IF(ISERROR(Table1[[#This Row],[Well Density]]*Table1[[#This Row],[Single Well Discovery Area]]),"",IF(Table1[[#This Row],[Well Density]]*Table1[[#This Row],[Single Well Discovery Area]]&gt;1,1,Table1[[#This Row],[Well Density]]*Table1[[#This Row],[Single Well Discovery Area]])))</f>
        <v>0</v>
      </c>
      <c r="CM31" t="s">
        <v>135</v>
      </c>
      <c r="CN31" s="19">
        <f>Table1[[#This Row],[Mid]]</f>
        <v>9</v>
      </c>
      <c r="CO31" s="19">
        <f>Table1[[#This Row],[Mid3]]+Table1[[#This Row],[Mid6]]+Table1[[#This Row],[Mid9]]</f>
        <v>111</v>
      </c>
      <c r="CP31" s="19">
        <f>Table1[[#This Row],[Mid12]]+Table1[[#This Row],[Mid15]]+Table1[[#This Row],[Mid18]]+Table1[[#This Row],[Mid21]]+Table1[[#This Row],[Mid24]]</f>
        <v>0</v>
      </c>
      <c r="CQ31" s="19">
        <f>Table1[[#This Row],[Mid27]]+Table1[[#This Row],[Mid30]]+Table1[[#This Row],[Mid33]]+Table1[[#This Row],[Mid36]]+Table1[[#This Row],[Mid39]]</f>
        <v>0</v>
      </c>
      <c r="CR31" t="s">
        <v>136</v>
      </c>
      <c r="CS31" s="19" t="str">
        <f>IF(AND(Table1[[#This Row],[Low41]]=0, Table1[[#This Row],[High43]]=0),"N","Y")</f>
        <v>N</v>
      </c>
    </row>
    <row r="32" spans="1:97" ht="19.5" customHeight="1" x14ac:dyDescent="0.25">
      <c r="A32">
        <v>10029</v>
      </c>
      <c r="B32" t="s">
        <v>113</v>
      </c>
      <c r="C32" t="s">
        <v>223</v>
      </c>
      <c r="D32">
        <v>-30.73722222</v>
      </c>
      <c r="E32">
        <v>115.6469444</v>
      </c>
      <c r="F32" t="s">
        <v>241</v>
      </c>
      <c r="G32" t="s">
        <v>199</v>
      </c>
      <c r="I32" t="s">
        <v>118</v>
      </c>
      <c r="J32" t="s">
        <v>119</v>
      </c>
      <c r="K32" t="s">
        <v>167</v>
      </c>
      <c r="L32" t="s">
        <v>18</v>
      </c>
      <c r="N32" s="6" t="s">
        <v>168</v>
      </c>
      <c r="O32" t="s">
        <v>169</v>
      </c>
      <c r="P32" t="s">
        <v>170</v>
      </c>
      <c r="Q32" t="s">
        <v>171</v>
      </c>
      <c r="R32" t="s">
        <v>172</v>
      </c>
      <c r="S32">
        <v>2009</v>
      </c>
      <c r="T32" t="s">
        <v>153</v>
      </c>
      <c r="U32" t="s">
        <v>173</v>
      </c>
      <c r="V32">
        <v>0</v>
      </c>
      <c r="W32">
        <v>0</v>
      </c>
      <c r="X32">
        <v>0</v>
      </c>
      <c r="Y32">
        <v>0</v>
      </c>
      <c r="Z32">
        <v>0</v>
      </c>
      <c r="AA32">
        <v>0</v>
      </c>
      <c r="AB32">
        <v>0</v>
      </c>
      <c r="AC32">
        <v>0</v>
      </c>
      <c r="AD32">
        <v>0</v>
      </c>
      <c r="AF32">
        <v>200</v>
      </c>
      <c r="AG32">
        <v>0</v>
      </c>
      <c r="AH32" t="s">
        <v>174</v>
      </c>
      <c r="AI32">
        <v>4</v>
      </c>
      <c r="AJ32">
        <v>0</v>
      </c>
      <c r="AK32">
        <v>0</v>
      </c>
      <c r="AL32">
        <v>0</v>
      </c>
      <c r="AM32" t="s">
        <v>175</v>
      </c>
      <c r="AN32" t="s">
        <v>132</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12200</v>
      </c>
      <c r="BZ32">
        <v>26400</v>
      </c>
      <c r="CA32">
        <v>45300</v>
      </c>
      <c r="CB32">
        <v>0</v>
      </c>
      <c r="CC32">
        <v>0</v>
      </c>
      <c r="CD32">
        <v>0</v>
      </c>
      <c r="CE32" s="19">
        <f>SUM(Table1[[#This Row],[Low38]],Table1[[#This Row],[Low35]],Table1[[#This Row],[Low32]],Table1[[#This Row],[Low29]],Table1[[#This Row],[Low26]],Table1[[#This Row],[Low23]],Table1[[#This Row],[Low20]],Table1[[#This Row],[Low17]],Table1[[#This Row],[Low14]],Table1[[#This Row],[Low11]],Table1[[#This Row],[Low8]],Table1[[#This Row],[Low5]],Table1[[#This Row],[Low2]],Table1[[#This Row],[Low]])</f>
        <v>12200</v>
      </c>
      <c r="CF32" s="19">
        <f>SUM(Table1[[#This Row],[Mid39]],Table1[[#This Row],[Mid36]],Table1[[#This Row],[Mid33]],Table1[[#This Row],[Mid30]],Table1[[#This Row],[Mid27]],Table1[[#This Row],[Mid24]],Table1[[#This Row],[Mid21]],Table1[[#This Row],[Mid18]],Table1[[#This Row],[Mid15]],Table1[[#This Row],[Mid12]],Table1[[#This Row],[Mid9]],Table1[[#This Row],[Mid6]],Table1[[#This Row],[Mid3]],Table1[[#This Row],[Mid]])</f>
        <v>26400</v>
      </c>
      <c r="CG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45300</v>
      </c>
      <c r="CH32" t="s">
        <v>157</v>
      </c>
      <c r="CI32" t="s">
        <v>176</v>
      </c>
      <c r="CJ32" t="s">
        <v>158</v>
      </c>
      <c r="CL32" s="19">
        <f>IF(Table1[[#This Row],[Type]]="Petroleum",1,IF(ISERROR(Table1[[#This Row],[Well Density]]*Table1[[#This Row],[Single Well Discovery Area]]),"",IF(Table1[[#This Row],[Well Density]]*Table1[[#This Row],[Single Well Discovery Area]]&gt;1,1,Table1[[#This Row],[Well Density]]*Table1[[#This Row],[Single Well Discovery Area]])))</f>
        <v>0</v>
      </c>
      <c r="CM32" t="s">
        <v>158</v>
      </c>
      <c r="CN32" s="19">
        <f>Table1[[#This Row],[Mid]]</f>
        <v>0</v>
      </c>
      <c r="CO32" s="19">
        <f>Table1[[#This Row],[Mid3]]+Table1[[#This Row],[Mid6]]+Table1[[#This Row],[Mid9]]</f>
        <v>0</v>
      </c>
      <c r="CP32" s="19">
        <f>Table1[[#This Row],[Mid12]]+Table1[[#This Row],[Mid15]]+Table1[[#This Row],[Mid18]]+Table1[[#This Row],[Mid21]]+Table1[[#This Row],[Mid24]]</f>
        <v>0</v>
      </c>
      <c r="CQ32" s="19">
        <f>Table1[[#This Row],[Mid27]]+Table1[[#This Row],[Mid30]]+Table1[[#This Row],[Mid33]]+Table1[[#This Row],[Mid36]]+Table1[[#This Row],[Mid39]]</f>
        <v>26400</v>
      </c>
      <c r="CR32" t="s">
        <v>136</v>
      </c>
      <c r="CS32" s="19" t="str">
        <f>IF(AND(Table1[[#This Row],[Low41]]=0, Table1[[#This Row],[High43]]=0),"N","Y")</f>
        <v>Y</v>
      </c>
    </row>
    <row r="33" spans="1:97" ht="19.5" customHeight="1" x14ac:dyDescent="0.25">
      <c r="A33">
        <v>10030</v>
      </c>
      <c r="B33" t="s">
        <v>113</v>
      </c>
      <c r="C33" t="s">
        <v>223</v>
      </c>
      <c r="D33">
        <v>-35.281944439999997</v>
      </c>
      <c r="E33">
        <v>149.16194440000001</v>
      </c>
      <c r="F33" t="s">
        <v>201</v>
      </c>
      <c r="I33" t="s">
        <v>201</v>
      </c>
      <c r="J33" t="s">
        <v>202</v>
      </c>
      <c r="K33" t="s">
        <v>203</v>
      </c>
      <c r="L33" t="s">
        <v>204</v>
      </c>
      <c r="N33" s="6" t="s">
        <v>168</v>
      </c>
      <c r="O33" t="s">
        <v>169</v>
      </c>
      <c r="P33" t="s">
        <v>170</v>
      </c>
      <c r="Q33" t="s">
        <v>205</v>
      </c>
      <c r="R33" t="s">
        <v>209</v>
      </c>
      <c r="S33">
        <v>2009</v>
      </c>
      <c r="T33" t="s">
        <v>207</v>
      </c>
      <c r="U33" t="s">
        <v>173</v>
      </c>
      <c r="V33">
        <v>0</v>
      </c>
      <c r="W33">
        <v>0</v>
      </c>
      <c r="X33">
        <v>0</v>
      </c>
      <c r="Y33">
        <v>0</v>
      </c>
      <c r="Z33">
        <v>0</v>
      </c>
      <c r="AA33">
        <v>0</v>
      </c>
      <c r="AB33">
        <v>0</v>
      </c>
      <c r="AC33">
        <v>0</v>
      </c>
      <c r="AD33">
        <v>0</v>
      </c>
      <c r="AF33">
        <v>200</v>
      </c>
      <c r="AG33">
        <v>0</v>
      </c>
      <c r="AI33">
        <v>0</v>
      </c>
      <c r="AJ33">
        <v>0</v>
      </c>
      <c r="AK33">
        <v>0</v>
      </c>
      <c r="AL33">
        <v>0</v>
      </c>
      <c r="AN33" t="s">
        <v>132</v>
      </c>
      <c r="AO33">
        <v>0</v>
      </c>
      <c r="AP33">
        <v>0</v>
      </c>
      <c r="AQ33">
        <v>0</v>
      </c>
      <c r="AR33">
        <v>0</v>
      </c>
      <c r="AS33">
        <v>0</v>
      </c>
      <c r="AT33">
        <v>0</v>
      </c>
      <c r="AU33">
        <v>0</v>
      </c>
      <c r="AV33">
        <v>0</v>
      </c>
      <c r="AW33">
        <v>0</v>
      </c>
      <c r="AX33">
        <v>0</v>
      </c>
      <c r="AY33">
        <v>0</v>
      </c>
      <c r="AZ33">
        <v>0</v>
      </c>
      <c r="BA33">
        <v>0</v>
      </c>
      <c r="BB33">
        <v>0</v>
      </c>
      <c r="BC33">
        <v>0</v>
      </c>
      <c r="BD33">
        <v>0</v>
      </c>
      <c r="BE33">
        <v>0</v>
      </c>
      <c r="BF33">
        <v>0</v>
      </c>
      <c r="BG33">
        <v>0</v>
      </c>
      <c r="BH33">
        <v>938</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3" s="19">
        <f>SUM(Table1[[#This Row],[Mid39]],Table1[[#This Row],[Mid36]],Table1[[#This Row],[Mid33]],Table1[[#This Row],[Mid30]],Table1[[#This Row],[Mid27]],Table1[[#This Row],[Mid24]],Table1[[#This Row],[Mid21]],Table1[[#This Row],[Mid18]],Table1[[#This Row],[Mid15]],Table1[[#This Row],[Mid12]],Table1[[#This Row],[Mid9]],Table1[[#This Row],[Mid6]],Table1[[#This Row],[Mid3]],Table1[[#This Row],[Mid]])</f>
        <v>938</v>
      </c>
      <c r="CG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3" t="s">
        <v>157</v>
      </c>
      <c r="CI33" t="s">
        <v>176</v>
      </c>
      <c r="CJ33" t="s">
        <v>158</v>
      </c>
      <c r="CL33" s="19">
        <f>IF(Table1[[#This Row],[Type]]="Petroleum",1,IF(ISERROR(Table1[[#This Row],[Well Density]]*Table1[[#This Row],[Single Well Discovery Area]]),"",IF(Table1[[#This Row],[Well Density]]*Table1[[#This Row],[Single Well Discovery Area]]&gt;1,1,Table1[[#This Row],[Well Density]]*Table1[[#This Row],[Single Well Discovery Area]])))</f>
        <v>1</v>
      </c>
      <c r="CM33" t="s">
        <v>158</v>
      </c>
      <c r="CN33" s="19">
        <f>Table1[[#This Row],[Mid]]</f>
        <v>0</v>
      </c>
      <c r="CO33" s="19">
        <f>Table1[[#This Row],[Mid3]]+Table1[[#This Row],[Mid6]]+Table1[[#This Row],[Mid9]]</f>
        <v>0</v>
      </c>
      <c r="CP33" s="19">
        <f>Table1[[#This Row],[Mid12]]+Table1[[#This Row],[Mid15]]+Table1[[#This Row],[Mid18]]+Table1[[#This Row],[Mid21]]+Table1[[#This Row],[Mid24]]</f>
        <v>938</v>
      </c>
      <c r="CQ33" s="19">
        <f>Table1[[#This Row],[Mid27]]+Table1[[#This Row],[Mid30]]+Table1[[#This Row],[Mid33]]+Table1[[#This Row],[Mid36]]+Table1[[#This Row],[Mid39]]</f>
        <v>0</v>
      </c>
      <c r="CR33" t="s">
        <v>136</v>
      </c>
      <c r="CS33" s="19" t="str">
        <f>IF(AND(Table1[[#This Row],[Low41]]=0, Table1[[#This Row],[High43]]=0),"N","Y")</f>
        <v>N</v>
      </c>
    </row>
    <row r="34" spans="1:97" ht="19.5" customHeight="1" x14ac:dyDescent="0.25">
      <c r="A34">
        <v>10031</v>
      </c>
      <c r="B34" t="s">
        <v>113</v>
      </c>
      <c r="C34" t="s">
        <v>223</v>
      </c>
      <c r="D34">
        <v>-38.529444439999999</v>
      </c>
      <c r="E34">
        <v>142.76722219999999</v>
      </c>
      <c r="F34" t="s">
        <v>242</v>
      </c>
      <c r="G34" t="s">
        <v>211</v>
      </c>
      <c r="I34" t="s">
        <v>118</v>
      </c>
      <c r="J34" t="s">
        <v>119</v>
      </c>
      <c r="K34" t="s">
        <v>203</v>
      </c>
      <c r="L34" t="s">
        <v>121</v>
      </c>
      <c r="N34" s="6" t="s">
        <v>243</v>
      </c>
      <c r="O34" t="s">
        <v>244</v>
      </c>
      <c r="P34" t="s">
        <v>245</v>
      </c>
      <c r="Q34" t="s">
        <v>246</v>
      </c>
      <c r="R34" t="s">
        <v>247</v>
      </c>
      <c r="T34" t="s">
        <v>153</v>
      </c>
      <c r="U34" t="s">
        <v>154</v>
      </c>
      <c r="V34">
        <v>0</v>
      </c>
      <c r="W34">
        <v>0</v>
      </c>
      <c r="X34">
        <v>0</v>
      </c>
      <c r="Y34">
        <v>0</v>
      </c>
      <c r="Z34">
        <v>0</v>
      </c>
      <c r="AA34">
        <v>0</v>
      </c>
      <c r="AB34">
        <v>0</v>
      </c>
      <c r="AC34">
        <v>0</v>
      </c>
      <c r="AD34">
        <v>0</v>
      </c>
      <c r="AF34">
        <v>200</v>
      </c>
      <c r="AG34">
        <v>0</v>
      </c>
      <c r="AI34">
        <v>0</v>
      </c>
      <c r="AJ34">
        <v>0</v>
      </c>
      <c r="AK34">
        <v>0</v>
      </c>
      <c r="AL34">
        <v>0</v>
      </c>
      <c r="AN34" t="s">
        <v>248</v>
      </c>
      <c r="AO34">
        <v>0</v>
      </c>
      <c r="AP34">
        <v>9.5000000000000001E-2</v>
      </c>
      <c r="AQ34">
        <v>0</v>
      </c>
      <c r="AR34">
        <v>0</v>
      </c>
      <c r="AS34">
        <v>5.5E-2</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4" s="19">
        <f>SUM(Table1[[#This Row],[Mid39]],Table1[[#This Row],[Mid36]],Table1[[#This Row],[Mid33]],Table1[[#This Row],[Mid30]],Table1[[#This Row],[Mid27]],Table1[[#This Row],[Mid24]],Table1[[#This Row],[Mid21]],Table1[[#This Row],[Mid18]],Table1[[#This Row],[Mid15]],Table1[[#This Row],[Mid12]],Table1[[#This Row],[Mid9]],Table1[[#This Row],[Mid6]],Table1[[#This Row],[Mid3]],Table1[[#This Row],[Mid]])</f>
        <v>0.15</v>
      </c>
      <c r="CG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4" t="s">
        <v>157</v>
      </c>
      <c r="CI34" t="s">
        <v>176</v>
      </c>
      <c r="CJ34" t="s">
        <v>135</v>
      </c>
      <c r="CL34" s="19">
        <f>IF(Table1[[#This Row],[Type]]="Petroleum",1,IF(ISERROR(Table1[[#This Row],[Well Density]]*Table1[[#This Row],[Single Well Discovery Area]]),"",IF(Table1[[#This Row],[Well Density]]*Table1[[#This Row],[Single Well Discovery Area]]&gt;1,1,Table1[[#This Row],[Well Density]]*Table1[[#This Row],[Single Well Discovery Area]])))</f>
        <v>0</v>
      </c>
      <c r="CM34" t="s">
        <v>135</v>
      </c>
      <c r="CN34" s="19">
        <f>Table1[[#This Row],[Mid]]</f>
        <v>9.5000000000000001E-2</v>
      </c>
      <c r="CO34" s="19">
        <f>Table1[[#This Row],[Mid3]]+Table1[[#This Row],[Mid6]]+Table1[[#This Row],[Mid9]]</f>
        <v>5.5E-2</v>
      </c>
      <c r="CP34" s="19">
        <f>Table1[[#This Row],[Mid12]]+Table1[[#This Row],[Mid15]]+Table1[[#This Row],[Mid18]]+Table1[[#This Row],[Mid21]]+Table1[[#This Row],[Mid24]]</f>
        <v>0</v>
      </c>
      <c r="CQ34" s="19">
        <f>Table1[[#This Row],[Mid27]]+Table1[[#This Row],[Mid30]]+Table1[[#This Row],[Mid33]]+Table1[[#This Row],[Mid36]]+Table1[[#This Row],[Mid39]]</f>
        <v>0</v>
      </c>
      <c r="CR34" t="s">
        <v>136</v>
      </c>
      <c r="CS34" s="19" t="str">
        <f>IF(AND(Table1[[#This Row],[Low41]]=0, Table1[[#This Row],[High43]]=0),"N","Y")</f>
        <v>N</v>
      </c>
    </row>
    <row r="35" spans="1:97" ht="19.5" customHeight="1" x14ac:dyDescent="0.25">
      <c r="A35">
        <v>10032</v>
      </c>
      <c r="B35" t="s">
        <v>113</v>
      </c>
      <c r="C35" t="s">
        <v>223</v>
      </c>
      <c r="D35">
        <v>-27.22583333</v>
      </c>
      <c r="E35">
        <v>149.3811111</v>
      </c>
      <c r="F35" t="s">
        <v>249</v>
      </c>
      <c r="G35" t="s">
        <v>225</v>
      </c>
      <c r="I35" t="s">
        <v>118</v>
      </c>
      <c r="J35" t="s">
        <v>119</v>
      </c>
      <c r="K35" t="s">
        <v>167</v>
      </c>
      <c r="L35" t="s">
        <v>18</v>
      </c>
      <c r="N35" s="6" t="s">
        <v>168</v>
      </c>
      <c r="O35" t="s">
        <v>169</v>
      </c>
      <c r="P35" t="s">
        <v>170</v>
      </c>
      <c r="Q35" t="s">
        <v>171</v>
      </c>
      <c r="R35" t="s">
        <v>172</v>
      </c>
      <c r="S35">
        <v>2009</v>
      </c>
      <c r="T35" t="s">
        <v>153</v>
      </c>
      <c r="U35" t="s">
        <v>173</v>
      </c>
      <c r="V35">
        <v>0</v>
      </c>
      <c r="W35">
        <v>0</v>
      </c>
      <c r="X35">
        <v>0</v>
      </c>
      <c r="Y35">
        <v>0</v>
      </c>
      <c r="Z35">
        <v>0</v>
      </c>
      <c r="AA35">
        <v>0</v>
      </c>
      <c r="AB35">
        <v>0</v>
      </c>
      <c r="AC35">
        <v>0</v>
      </c>
      <c r="AD35">
        <v>0</v>
      </c>
      <c r="AF35">
        <v>200</v>
      </c>
      <c r="AG35">
        <v>0</v>
      </c>
      <c r="AH35" t="s">
        <v>174</v>
      </c>
      <c r="AI35">
        <v>4</v>
      </c>
      <c r="AJ35">
        <v>0</v>
      </c>
      <c r="AK35">
        <v>0</v>
      </c>
      <c r="AL35">
        <v>0</v>
      </c>
      <c r="AM35" t="s">
        <v>175</v>
      </c>
      <c r="AN35" t="s">
        <v>132</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6100</v>
      </c>
      <c r="BZ35">
        <v>10300</v>
      </c>
      <c r="CA35">
        <v>16100</v>
      </c>
      <c r="CB35">
        <v>0</v>
      </c>
      <c r="CC35">
        <v>0</v>
      </c>
      <c r="CD35">
        <v>0</v>
      </c>
      <c r="CE35" s="19">
        <f>SUM(Table1[[#This Row],[Low38]],Table1[[#This Row],[Low35]],Table1[[#This Row],[Low32]],Table1[[#This Row],[Low29]],Table1[[#This Row],[Low26]],Table1[[#This Row],[Low23]],Table1[[#This Row],[Low20]],Table1[[#This Row],[Low17]],Table1[[#This Row],[Low14]],Table1[[#This Row],[Low11]],Table1[[#This Row],[Low8]],Table1[[#This Row],[Low5]],Table1[[#This Row],[Low2]],Table1[[#This Row],[Low]])</f>
        <v>6100</v>
      </c>
      <c r="CF35" s="19">
        <f>SUM(Table1[[#This Row],[Mid39]],Table1[[#This Row],[Mid36]],Table1[[#This Row],[Mid33]],Table1[[#This Row],[Mid30]],Table1[[#This Row],[Mid27]],Table1[[#This Row],[Mid24]],Table1[[#This Row],[Mid21]],Table1[[#This Row],[Mid18]],Table1[[#This Row],[Mid15]],Table1[[#This Row],[Mid12]],Table1[[#This Row],[Mid9]],Table1[[#This Row],[Mid6]],Table1[[#This Row],[Mid3]],Table1[[#This Row],[Mid]])</f>
        <v>10300</v>
      </c>
      <c r="CG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16100</v>
      </c>
      <c r="CH35" t="s">
        <v>157</v>
      </c>
      <c r="CI35" t="s">
        <v>176</v>
      </c>
      <c r="CJ35" t="s">
        <v>158</v>
      </c>
      <c r="CL35" s="19">
        <f>IF(Table1[[#This Row],[Type]]="Petroleum",1,IF(ISERROR(Table1[[#This Row],[Well Density]]*Table1[[#This Row],[Single Well Discovery Area]]),"",IF(Table1[[#This Row],[Well Density]]*Table1[[#This Row],[Single Well Discovery Area]]&gt;1,1,Table1[[#This Row],[Well Density]]*Table1[[#This Row],[Single Well Discovery Area]])))</f>
        <v>0</v>
      </c>
      <c r="CM35" t="s">
        <v>158</v>
      </c>
      <c r="CN35" s="19">
        <f>Table1[[#This Row],[Mid]]</f>
        <v>0</v>
      </c>
      <c r="CO35" s="19">
        <f>Table1[[#This Row],[Mid3]]+Table1[[#This Row],[Mid6]]+Table1[[#This Row],[Mid9]]</f>
        <v>0</v>
      </c>
      <c r="CP35" s="19">
        <f>Table1[[#This Row],[Mid12]]+Table1[[#This Row],[Mid15]]+Table1[[#This Row],[Mid18]]+Table1[[#This Row],[Mid21]]+Table1[[#This Row],[Mid24]]</f>
        <v>0</v>
      </c>
      <c r="CQ35" s="19">
        <f>Table1[[#This Row],[Mid27]]+Table1[[#This Row],[Mid30]]+Table1[[#This Row],[Mid33]]+Table1[[#This Row],[Mid36]]+Table1[[#This Row],[Mid39]]</f>
        <v>10300</v>
      </c>
      <c r="CR35" t="s">
        <v>136</v>
      </c>
      <c r="CS35" s="19" t="str">
        <f>IF(AND(Table1[[#This Row],[Low41]]=0, Table1[[#This Row],[High43]]=0),"N","Y")</f>
        <v>Y</v>
      </c>
    </row>
    <row r="36" spans="1:97" ht="19.5" customHeight="1" x14ac:dyDescent="0.25">
      <c r="A36">
        <v>10033</v>
      </c>
      <c r="B36" t="s">
        <v>113</v>
      </c>
      <c r="C36" t="s">
        <v>250</v>
      </c>
      <c r="D36">
        <v>-26.71</v>
      </c>
      <c r="E36">
        <v>142.3869444</v>
      </c>
      <c r="F36" t="s">
        <v>251</v>
      </c>
      <c r="G36" t="s">
        <v>230</v>
      </c>
      <c r="I36" t="s">
        <v>201</v>
      </c>
      <c r="J36" t="s">
        <v>202</v>
      </c>
      <c r="K36" t="s">
        <v>203</v>
      </c>
      <c r="L36" t="s">
        <v>204</v>
      </c>
      <c r="M36" t="s">
        <v>252</v>
      </c>
      <c r="N36" s="6" t="s">
        <v>253</v>
      </c>
      <c r="O36" t="s">
        <v>254</v>
      </c>
      <c r="P36" t="s">
        <v>170</v>
      </c>
      <c r="Q36" t="s">
        <v>255</v>
      </c>
      <c r="R36" t="s">
        <v>256</v>
      </c>
      <c r="S36">
        <v>2011</v>
      </c>
      <c r="T36" t="s">
        <v>128</v>
      </c>
      <c r="U36" t="s">
        <v>173</v>
      </c>
      <c r="V36">
        <v>0</v>
      </c>
      <c r="W36">
        <v>0</v>
      </c>
      <c r="X36">
        <v>0</v>
      </c>
      <c r="Y36">
        <v>0</v>
      </c>
      <c r="Z36">
        <v>0</v>
      </c>
      <c r="AA36">
        <v>0</v>
      </c>
      <c r="AB36">
        <v>0</v>
      </c>
      <c r="AC36">
        <v>0</v>
      </c>
      <c r="AD36">
        <v>0</v>
      </c>
      <c r="AF36">
        <v>200</v>
      </c>
      <c r="AG36">
        <v>0</v>
      </c>
      <c r="AH36" t="s">
        <v>257</v>
      </c>
      <c r="AI36">
        <v>0</v>
      </c>
      <c r="AJ36">
        <v>0</v>
      </c>
      <c r="AK36">
        <v>0</v>
      </c>
      <c r="AL36">
        <v>0</v>
      </c>
      <c r="AM36" t="s">
        <v>257</v>
      </c>
      <c r="AN36" t="s">
        <v>132</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52</v>
      </c>
      <c r="BL36">
        <v>0</v>
      </c>
      <c r="BM36">
        <v>0</v>
      </c>
      <c r="BN36">
        <v>0</v>
      </c>
      <c r="BO36">
        <v>0</v>
      </c>
      <c r="BP36">
        <v>0</v>
      </c>
      <c r="BQ36">
        <v>0</v>
      </c>
      <c r="BR36">
        <v>0</v>
      </c>
      <c r="BS36">
        <v>0</v>
      </c>
      <c r="BT36">
        <v>0</v>
      </c>
      <c r="BU36">
        <v>0</v>
      </c>
      <c r="BV36">
        <v>0</v>
      </c>
      <c r="BW36">
        <v>0</v>
      </c>
      <c r="BX36">
        <v>0</v>
      </c>
      <c r="BY36">
        <v>0</v>
      </c>
      <c r="BZ36">
        <v>0</v>
      </c>
      <c r="CA36">
        <v>0</v>
      </c>
      <c r="CB36">
        <v>0</v>
      </c>
      <c r="CC36">
        <v>0</v>
      </c>
      <c r="CD36">
        <v>0</v>
      </c>
      <c r="CE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6" s="19">
        <f>SUM(Table1[[#This Row],[Mid39]],Table1[[#This Row],[Mid36]],Table1[[#This Row],[Mid33]],Table1[[#This Row],[Mid30]],Table1[[#This Row],[Mid27]],Table1[[#This Row],[Mid24]],Table1[[#This Row],[Mid21]],Table1[[#This Row],[Mid18]],Table1[[#This Row],[Mid15]],Table1[[#This Row],[Mid12]],Table1[[#This Row],[Mid9]],Table1[[#This Row],[Mid6]],Table1[[#This Row],[Mid3]],Table1[[#This Row],[Mid]])</f>
        <v>52</v>
      </c>
      <c r="CG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6" t="s">
        <v>157</v>
      </c>
      <c r="CI36" t="s">
        <v>134</v>
      </c>
      <c r="CJ36" t="s">
        <v>158</v>
      </c>
      <c r="CL36" s="19">
        <f>IF(Table1[[#This Row],[Type]]="Petroleum",1,IF(ISERROR(Table1[[#This Row],[Well Density]]*Table1[[#This Row],[Single Well Discovery Area]]),"",IF(Table1[[#This Row],[Well Density]]*Table1[[#This Row],[Single Well Discovery Area]]&gt;1,1,Table1[[#This Row],[Well Density]]*Table1[[#This Row],[Single Well Discovery Area]])))</f>
        <v>1</v>
      </c>
      <c r="CM36" t="s">
        <v>158</v>
      </c>
      <c r="CN36" s="19">
        <f>Table1[[#This Row],[Mid]]</f>
        <v>0</v>
      </c>
      <c r="CO36" s="19">
        <f>Table1[[#This Row],[Mid3]]+Table1[[#This Row],[Mid6]]+Table1[[#This Row],[Mid9]]</f>
        <v>0</v>
      </c>
      <c r="CP36" s="19">
        <f>Table1[[#This Row],[Mid12]]+Table1[[#This Row],[Mid15]]+Table1[[#This Row],[Mid18]]+Table1[[#This Row],[Mid21]]+Table1[[#This Row],[Mid24]]</f>
        <v>52</v>
      </c>
      <c r="CQ36" s="19">
        <f>Table1[[#This Row],[Mid27]]+Table1[[#This Row],[Mid30]]+Table1[[#This Row],[Mid33]]+Table1[[#This Row],[Mid36]]+Table1[[#This Row],[Mid39]]</f>
        <v>0</v>
      </c>
      <c r="CR36" t="s">
        <v>136</v>
      </c>
      <c r="CS36" s="19" t="str">
        <f>IF(AND(Table1[[#This Row],[Low41]]=0, Table1[[#This Row],[High43]]=0),"N","Y")</f>
        <v>N</v>
      </c>
    </row>
    <row r="37" spans="1:97" ht="19.5" customHeight="1" x14ac:dyDescent="0.25">
      <c r="A37">
        <v>10034</v>
      </c>
      <c r="B37" t="s">
        <v>113</v>
      </c>
      <c r="C37" t="s">
        <v>258</v>
      </c>
      <c r="D37">
        <v>-38.299444440000002</v>
      </c>
      <c r="E37">
        <v>147.49777779999999</v>
      </c>
      <c r="F37" t="s">
        <v>259</v>
      </c>
      <c r="G37" t="s">
        <v>197</v>
      </c>
      <c r="H37" t="s">
        <v>260</v>
      </c>
      <c r="I37" t="s">
        <v>118</v>
      </c>
      <c r="J37" t="s">
        <v>119</v>
      </c>
      <c r="K37" t="s">
        <v>190</v>
      </c>
      <c r="L37" t="s">
        <v>261</v>
      </c>
      <c r="M37" t="s">
        <v>122</v>
      </c>
      <c r="N37" s="6" t="s">
        <v>262</v>
      </c>
      <c r="O37" t="s">
        <v>263</v>
      </c>
      <c r="P37" t="s">
        <v>264</v>
      </c>
      <c r="Q37" t="s">
        <v>265</v>
      </c>
      <c r="R37" t="s">
        <v>266</v>
      </c>
      <c r="S37">
        <v>2013</v>
      </c>
      <c r="T37" t="s">
        <v>128</v>
      </c>
      <c r="U37" t="s">
        <v>173</v>
      </c>
      <c r="V37">
        <v>731</v>
      </c>
      <c r="W37">
        <v>0</v>
      </c>
      <c r="X37">
        <v>0</v>
      </c>
      <c r="Y37">
        <v>0</v>
      </c>
      <c r="Z37">
        <v>0</v>
      </c>
      <c r="AA37">
        <v>0</v>
      </c>
      <c r="AB37">
        <v>0</v>
      </c>
      <c r="AC37">
        <v>0</v>
      </c>
      <c r="AD37">
        <v>17</v>
      </c>
      <c r="AE37">
        <v>2.3255814E-2</v>
      </c>
      <c r="AF37">
        <v>200</v>
      </c>
      <c r="AG37">
        <v>0</v>
      </c>
      <c r="AH37" t="s">
        <v>267</v>
      </c>
      <c r="AI37">
        <v>2.5</v>
      </c>
      <c r="AJ37">
        <v>0</v>
      </c>
      <c r="AK37">
        <v>0</v>
      </c>
      <c r="AL37">
        <v>0</v>
      </c>
      <c r="AM37" t="s">
        <v>268</v>
      </c>
      <c r="AN37" t="s">
        <v>132</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38</v>
      </c>
      <c r="BK37">
        <v>164</v>
      </c>
      <c r="BL37">
        <v>340</v>
      </c>
      <c r="BM37">
        <v>0</v>
      </c>
      <c r="BN37">
        <v>0</v>
      </c>
      <c r="BO37">
        <v>0</v>
      </c>
      <c r="BP37">
        <v>0</v>
      </c>
      <c r="BQ37">
        <v>0</v>
      </c>
      <c r="BR37">
        <v>0</v>
      </c>
      <c r="BS37">
        <v>0</v>
      </c>
      <c r="BT37">
        <v>0</v>
      </c>
      <c r="BU37">
        <v>0</v>
      </c>
      <c r="BV37">
        <v>0</v>
      </c>
      <c r="BW37">
        <v>0</v>
      </c>
      <c r="BX37">
        <v>0</v>
      </c>
      <c r="BY37">
        <v>0</v>
      </c>
      <c r="BZ37">
        <v>0</v>
      </c>
      <c r="CA37">
        <v>0</v>
      </c>
      <c r="CB37">
        <v>0</v>
      </c>
      <c r="CC37">
        <v>0</v>
      </c>
      <c r="CD37">
        <v>0</v>
      </c>
      <c r="CE37" s="19">
        <f>SUM(Table1[[#This Row],[Low38]],Table1[[#This Row],[Low35]],Table1[[#This Row],[Low32]],Table1[[#This Row],[Low29]],Table1[[#This Row],[Low26]],Table1[[#This Row],[Low23]],Table1[[#This Row],[Low20]],Table1[[#This Row],[Low17]],Table1[[#This Row],[Low14]],Table1[[#This Row],[Low11]],Table1[[#This Row],[Low8]],Table1[[#This Row],[Low5]],Table1[[#This Row],[Low2]],Table1[[#This Row],[Low]])</f>
        <v>38</v>
      </c>
      <c r="CF37" s="19">
        <f>SUM(Table1[[#This Row],[Mid39]],Table1[[#This Row],[Mid36]],Table1[[#This Row],[Mid33]],Table1[[#This Row],[Mid30]],Table1[[#This Row],[Mid27]],Table1[[#This Row],[Mid24]],Table1[[#This Row],[Mid21]],Table1[[#This Row],[Mid18]],Table1[[#This Row],[Mid15]],Table1[[#This Row],[Mid12]],Table1[[#This Row],[Mid9]],Table1[[#This Row],[Mid6]],Table1[[#This Row],[Mid3]],Table1[[#This Row],[Mid]])</f>
        <v>164</v>
      </c>
      <c r="CG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340</v>
      </c>
      <c r="CH37" t="s">
        <v>157</v>
      </c>
      <c r="CI37" t="s">
        <v>134</v>
      </c>
      <c r="CJ37" t="s">
        <v>158</v>
      </c>
      <c r="CL37" s="19">
        <f>IF(Table1[[#This Row],[Type]]="Petroleum",1,IF(ISERROR(Table1[[#This Row],[Well Density]]*Table1[[#This Row],[Single Well Discovery Area]]),"",IF(Table1[[#This Row],[Well Density]]*Table1[[#This Row],[Single Well Discovery Area]]&gt;1,1,Table1[[#This Row],[Well Density]]*Table1[[#This Row],[Single Well Discovery Area]])))</f>
        <v>1</v>
      </c>
      <c r="CM37" t="s">
        <v>135</v>
      </c>
      <c r="CN37" s="19">
        <f>Table1[[#This Row],[Mid]]</f>
        <v>0</v>
      </c>
      <c r="CO37" s="19">
        <f>Table1[[#This Row],[Mid3]]+Table1[[#This Row],[Mid6]]+Table1[[#This Row],[Mid9]]</f>
        <v>0</v>
      </c>
      <c r="CP37" s="19">
        <f>Table1[[#This Row],[Mid12]]+Table1[[#This Row],[Mid15]]+Table1[[#This Row],[Mid18]]+Table1[[#This Row],[Mid21]]+Table1[[#This Row],[Mid24]]</f>
        <v>164</v>
      </c>
      <c r="CQ37" s="19">
        <f>Table1[[#This Row],[Mid27]]+Table1[[#This Row],[Mid30]]+Table1[[#This Row],[Mid33]]+Table1[[#This Row],[Mid36]]+Table1[[#This Row],[Mid39]]</f>
        <v>0</v>
      </c>
      <c r="CR37" t="s">
        <v>136</v>
      </c>
      <c r="CS37" s="19" t="str">
        <f>IF(AND(Table1[[#This Row],[Low41]]=0, Table1[[#This Row],[High43]]=0),"N","Y")</f>
        <v>Y</v>
      </c>
    </row>
    <row r="38" spans="1:97" ht="19.5" customHeight="1" x14ac:dyDescent="0.25">
      <c r="A38">
        <v>10035</v>
      </c>
      <c r="B38" t="s">
        <v>113</v>
      </c>
      <c r="C38" t="s">
        <v>269</v>
      </c>
      <c r="D38">
        <v>-29.303333330000001</v>
      </c>
      <c r="E38">
        <v>114.94333330000001</v>
      </c>
      <c r="F38" t="s">
        <v>270</v>
      </c>
      <c r="G38" t="s">
        <v>199</v>
      </c>
      <c r="H38" t="s">
        <v>271</v>
      </c>
      <c r="I38" t="s">
        <v>201</v>
      </c>
      <c r="J38" t="s">
        <v>202</v>
      </c>
      <c r="K38" t="s">
        <v>190</v>
      </c>
      <c r="L38" t="s">
        <v>204</v>
      </c>
      <c r="M38" t="s">
        <v>272</v>
      </c>
      <c r="N38" s="6" t="s">
        <v>273</v>
      </c>
      <c r="O38" t="s">
        <v>274</v>
      </c>
      <c r="P38" t="s">
        <v>275</v>
      </c>
      <c r="Q38" t="s">
        <v>255</v>
      </c>
      <c r="R38" t="s">
        <v>276</v>
      </c>
      <c r="S38">
        <v>41124</v>
      </c>
      <c r="T38" t="s">
        <v>128</v>
      </c>
      <c r="U38" t="s">
        <v>173</v>
      </c>
      <c r="V38">
        <v>35.700000000000003</v>
      </c>
      <c r="W38">
        <v>2550</v>
      </c>
      <c r="X38">
        <v>395</v>
      </c>
      <c r="Y38">
        <v>0</v>
      </c>
      <c r="Z38">
        <v>0</v>
      </c>
      <c r="AA38">
        <v>0</v>
      </c>
      <c r="AB38">
        <v>0</v>
      </c>
      <c r="AC38">
        <v>0</v>
      </c>
      <c r="AD38">
        <v>3</v>
      </c>
      <c r="AE38">
        <v>8.4033612999999993E-2</v>
      </c>
      <c r="AF38">
        <v>200</v>
      </c>
      <c r="AG38">
        <v>0</v>
      </c>
      <c r="AH38" t="s">
        <v>277</v>
      </c>
      <c r="AI38">
        <v>3</v>
      </c>
      <c r="AJ38">
        <v>0</v>
      </c>
      <c r="AK38">
        <v>0</v>
      </c>
      <c r="AL38">
        <v>0</v>
      </c>
      <c r="AM38" t="s">
        <v>278</v>
      </c>
      <c r="AN38" t="s">
        <v>132</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9.9</v>
      </c>
      <c r="BT38">
        <v>22.5</v>
      </c>
      <c r="BU38">
        <v>35.4</v>
      </c>
      <c r="BV38">
        <v>0</v>
      </c>
      <c r="BW38">
        <v>0</v>
      </c>
      <c r="BX38">
        <v>0</v>
      </c>
      <c r="BY38">
        <v>0</v>
      </c>
      <c r="BZ38">
        <v>0</v>
      </c>
      <c r="CA38">
        <v>0</v>
      </c>
      <c r="CB38">
        <v>0</v>
      </c>
      <c r="CC38">
        <v>0</v>
      </c>
      <c r="CD38">
        <v>0</v>
      </c>
      <c r="CE38" s="19">
        <f>SUM(Table1[[#This Row],[Low38]],Table1[[#This Row],[Low35]],Table1[[#This Row],[Low32]],Table1[[#This Row],[Low29]],Table1[[#This Row],[Low26]],Table1[[#This Row],[Low23]],Table1[[#This Row],[Low20]],Table1[[#This Row],[Low17]],Table1[[#This Row],[Low14]],Table1[[#This Row],[Low11]],Table1[[#This Row],[Low8]],Table1[[#This Row],[Low5]],Table1[[#This Row],[Low2]],Table1[[#This Row],[Low]])</f>
        <v>9.9</v>
      </c>
      <c r="CF38" s="19">
        <f>SUM(Table1[[#This Row],[Mid39]],Table1[[#This Row],[Mid36]],Table1[[#This Row],[Mid33]],Table1[[#This Row],[Mid30]],Table1[[#This Row],[Mid27]],Table1[[#This Row],[Mid24]],Table1[[#This Row],[Mid21]],Table1[[#This Row],[Mid18]],Table1[[#This Row],[Mid15]],Table1[[#This Row],[Mid12]],Table1[[#This Row],[Mid9]],Table1[[#This Row],[Mid6]],Table1[[#This Row],[Mid3]],Table1[[#This Row],[Mid]])</f>
        <v>22.5</v>
      </c>
      <c r="CG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35.4</v>
      </c>
      <c r="CH38" t="s">
        <v>157</v>
      </c>
      <c r="CI38" t="s">
        <v>134</v>
      </c>
      <c r="CJ38" t="s">
        <v>158</v>
      </c>
      <c r="CL38" s="19">
        <f>IF(Table1[[#This Row],[Type]]="Petroleum",1,IF(ISERROR(Table1[[#This Row],[Well Density]]*Table1[[#This Row],[Single Well Discovery Area]]),"",IF(Table1[[#This Row],[Well Density]]*Table1[[#This Row],[Single Well Discovery Area]]&gt;1,1,Table1[[#This Row],[Well Density]]*Table1[[#This Row],[Single Well Discovery Area]])))</f>
        <v>1</v>
      </c>
      <c r="CM38" t="s">
        <v>158</v>
      </c>
      <c r="CN38" s="19">
        <f>Table1[[#This Row],[Mid]]</f>
        <v>0</v>
      </c>
      <c r="CO38" s="19">
        <f>Table1[[#This Row],[Mid3]]+Table1[[#This Row],[Mid6]]+Table1[[#This Row],[Mid9]]</f>
        <v>0</v>
      </c>
      <c r="CP38" s="19">
        <f>Table1[[#This Row],[Mid12]]+Table1[[#This Row],[Mid15]]+Table1[[#This Row],[Mid18]]+Table1[[#This Row],[Mid21]]+Table1[[#This Row],[Mid24]]</f>
        <v>0</v>
      </c>
      <c r="CQ38" s="19">
        <f>Table1[[#This Row],[Mid27]]+Table1[[#This Row],[Mid30]]+Table1[[#This Row],[Mid33]]+Table1[[#This Row],[Mid36]]+Table1[[#This Row],[Mid39]]</f>
        <v>22.5</v>
      </c>
      <c r="CR38" t="s">
        <v>136</v>
      </c>
      <c r="CS38" s="19" t="str">
        <f>IF(AND(Table1[[#This Row],[Low41]]=0, Table1[[#This Row],[High43]]=0),"N","Y")</f>
        <v>Y</v>
      </c>
    </row>
    <row r="39" spans="1:97" ht="19.5" customHeight="1" x14ac:dyDescent="0.25">
      <c r="A39">
        <v>10036</v>
      </c>
      <c r="B39" t="s">
        <v>113</v>
      </c>
      <c r="C39" t="s">
        <v>269</v>
      </c>
      <c r="D39">
        <v>-29.23416667</v>
      </c>
      <c r="E39">
        <v>114.98888890000001</v>
      </c>
      <c r="F39" t="s">
        <v>279</v>
      </c>
      <c r="G39" t="s">
        <v>199</v>
      </c>
      <c r="I39" t="s">
        <v>201</v>
      </c>
      <c r="J39" t="s">
        <v>202</v>
      </c>
      <c r="K39" t="s">
        <v>190</v>
      </c>
      <c r="L39" t="s">
        <v>204</v>
      </c>
      <c r="M39" t="s">
        <v>272</v>
      </c>
      <c r="N39" s="6" t="s">
        <v>273</v>
      </c>
      <c r="O39" t="s">
        <v>274</v>
      </c>
      <c r="P39" t="s">
        <v>275</v>
      </c>
      <c r="Q39" t="s">
        <v>255</v>
      </c>
      <c r="R39" t="s">
        <v>280</v>
      </c>
      <c r="S39">
        <v>41124</v>
      </c>
      <c r="T39" t="s">
        <v>128</v>
      </c>
      <c r="U39" t="s">
        <v>173</v>
      </c>
      <c r="V39">
        <v>33.5</v>
      </c>
      <c r="W39">
        <v>2629</v>
      </c>
      <c r="X39">
        <v>871</v>
      </c>
      <c r="Y39">
        <v>0</v>
      </c>
      <c r="Z39">
        <v>0</v>
      </c>
      <c r="AA39">
        <v>0</v>
      </c>
      <c r="AB39">
        <v>0</v>
      </c>
      <c r="AC39">
        <v>0</v>
      </c>
      <c r="AD39">
        <v>4</v>
      </c>
      <c r="AE39">
        <v>0.119402985</v>
      </c>
      <c r="AF39">
        <v>200</v>
      </c>
      <c r="AG39">
        <v>0</v>
      </c>
      <c r="AH39" t="s">
        <v>277</v>
      </c>
      <c r="AI39">
        <v>3</v>
      </c>
      <c r="AJ39">
        <v>0</v>
      </c>
      <c r="AK39">
        <v>0</v>
      </c>
      <c r="AL39">
        <v>0</v>
      </c>
      <c r="AM39" t="s">
        <v>278</v>
      </c>
      <c r="AN39" t="s">
        <v>132</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13.9</v>
      </c>
      <c r="BT39">
        <v>29.9</v>
      </c>
      <c r="BU39">
        <v>45.9</v>
      </c>
      <c r="BV39">
        <v>0</v>
      </c>
      <c r="BW39">
        <v>0</v>
      </c>
      <c r="BX39">
        <v>0</v>
      </c>
      <c r="BY39">
        <v>0</v>
      </c>
      <c r="BZ39">
        <v>0</v>
      </c>
      <c r="CA39">
        <v>0</v>
      </c>
      <c r="CB39">
        <v>0</v>
      </c>
      <c r="CC39">
        <v>0</v>
      </c>
      <c r="CD39">
        <v>0</v>
      </c>
      <c r="CE39" s="19">
        <f>SUM(Table1[[#This Row],[Low38]],Table1[[#This Row],[Low35]],Table1[[#This Row],[Low32]],Table1[[#This Row],[Low29]],Table1[[#This Row],[Low26]],Table1[[#This Row],[Low23]],Table1[[#This Row],[Low20]],Table1[[#This Row],[Low17]],Table1[[#This Row],[Low14]],Table1[[#This Row],[Low11]],Table1[[#This Row],[Low8]],Table1[[#This Row],[Low5]],Table1[[#This Row],[Low2]],Table1[[#This Row],[Low]])</f>
        <v>13.9</v>
      </c>
      <c r="CF39" s="19">
        <f>SUM(Table1[[#This Row],[Mid39]],Table1[[#This Row],[Mid36]],Table1[[#This Row],[Mid33]],Table1[[#This Row],[Mid30]],Table1[[#This Row],[Mid27]],Table1[[#This Row],[Mid24]],Table1[[#This Row],[Mid21]],Table1[[#This Row],[Mid18]],Table1[[#This Row],[Mid15]],Table1[[#This Row],[Mid12]],Table1[[#This Row],[Mid9]],Table1[[#This Row],[Mid6]],Table1[[#This Row],[Mid3]],Table1[[#This Row],[Mid]])</f>
        <v>29.9</v>
      </c>
      <c r="CG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45.9</v>
      </c>
      <c r="CH39" t="s">
        <v>157</v>
      </c>
      <c r="CI39" t="s">
        <v>134</v>
      </c>
      <c r="CJ39" t="s">
        <v>158</v>
      </c>
      <c r="CL39" s="19">
        <f>IF(Table1[[#This Row],[Type]]="Petroleum",1,IF(ISERROR(Table1[[#This Row],[Well Density]]*Table1[[#This Row],[Single Well Discovery Area]]),"",IF(Table1[[#This Row],[Well Density]]*Table1[[#This Row],[Single Well Discovery Area]]&gt;1,1,Table1[[#This Row],[Well Density]]*Table1[[#This Row],[Single Well Discovery Area]])))</f>
        <v>1</v>
      </c>
      <c r="CM39" t="s">
        <v>158</v>
      </c>
      <c r="CN39" s="19">
        <f>Table1[[#This Row],[Mid]]</f>
        <v>0</v>
      </c>
      <c r="CO39" s="19">
        <f>Table1[[#This Row],[Mid3]]+Table1[[#This Row],[Mid6]]+Table1[[#This Row],[Mid9]]</f>
        <v>0</v>
      </c>
      <c r="CP39" s="19">
        <f>Table1[[#This Row],[Mid12]]+Table1[[#This Row],[Mid15]]+Table1[[#This Row],[Mid18]]+Table1[[#This Row],[Mid21]]+Table1[[#This Row],[Mid24]]</f>
        <v>0</v>
      </c>
      <c r="CQ39" s="19">
        <f>Table1[[#This Row],[Mid27]]+Table1[[#This Row],[Mid30]]+Table1[[#This Row],[Mid33]]+Table1[[#This Row],[Mid36]]+Table1[[#This Row],[Mid39]]</f>
        <v>29.9</v>
      </c>
      <c r="CR39" t="s">
        <v>136</v>
      </c>
      <c r="CS39" s="19" t="str">
        <f>IF(AND(Table1[[#This Row],[Low41]]=0, Table1[[#This Row],[High43]]=0),"N","Y")</f>
        <v>Y</v>
      </c>
    </row>
    <row r="40" spans="1:97" ht="19.5" customHeight="1" x14ac:dyDescent="0.25">
      <c r="A40">
        <v>10037</v>
      </c>
      <c r="B40" t="s">
        <v>113</v>
      </c>
      <c r="C40" t="s">
        <v>250</v>
      </c>
      <c r="D40">
        <v>-26.350277779999999</v>
      </c>
      <c r="E40">
        <v>149.5386111</v>
      </c>
      <c r="F40" t="s">
        <v>281</v>
      </c>
      <c r="I40" t="s">
        <v>201</v>
      </c>
      <c r="J40" t="s">
        <v>202</v>
      </c>
      <c r="K40" t="s">
        <v>203</v>
      </c>
      <c r="L40" t="s">
        <v>204</v>
      </c>
      <c r="M40" t="s">
        <v>252</v>
      </c>
      <c r="N40" s="6" t="s">
        <v>253</v>
      </c>
      <c r="O40" t="s">
        <v>254</v>
      </c>
      <c r="P40" t="s">
        <v>170</v>
      </c>
      <c r="Q40" t="s">
        <v>255</v>
      </c>
      <c r="R40" t="s">
        <v>282</v>
      </c>
      <c r="S40">
        <v>2011</v>
      </c>
      <c r="T40" t="s">
        <v>128</v>
      </c>
      <c r="U40" t="s">
        <v>173</v>
      </c>
      <c r="V40">
        <v>0</v>
      </c>
      <c r="W40">
        <v>0</v>
      </c>
      <c r="X40">
        <v>0</v>
      </c>
      <c r="Y40">
        <v>0</v>
      </c>
      <c r="Z40">
        <v>0</v>
      </c>
      <c r="AA40">
        <v>0</v>
      </c>
      <c r="AB40">
        <v>0</v>
      </c>
      <c r="AC40">
        <v>0</v>
      </c>
      <c r="AD40">
        <v>0</v>
      </c>
      <c r="AF40">
        <v>200</v>
      </c>
      <c r="AG40">
        <v>0</v>
      </c>
      <c r="AH40" t="s">
        <v>257</v>
      </c>
      <c r="AI40">
        <v>0</v>
      </c>
      <c r="AJ40">
        <v>0</v>
      </c>
      <c r="AK40">
        <v>0</v>
      </c>
      <c r="AL40">
        <v>0</v>
      </c>
      <c r="AM40" t="s">
        <v>257</v>
      </c>
      <c r="AN40" t="s">
        <v>132</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291.10000000000002</v>
      </c>
      <c r="BL40">
        <v>0</v>
      </c>
      <c r="BM40">
        <v>0</v>
      </c>
      <c r="BN40">
        <v>0</v>
      </c>
      <c r="BO40">
        <v>0</v>
      </c>
      <c r="BP40">
        <v>0</v>
      </c>
      <c r="BQ40">
        <v>0</v>
      </c>
      <c r="BR40">
        <v>0</v>
      </c>
      <c r="BS40">
        <v>0</v>
      </c>
      <c r="BT40">
        <v>0</v>
      </c>
      <c r="BU40">
        <v>0</v>
      </c>
      <c r="BV40">
        <v>0</v>
      </c>
      <c r="BW40">
        <v>0</v>
      </c>
      <c r="BX40">
        <v>0</v>
      </c>
      <c r="BY40">
        <v>0</v>
      </c>
      <c r="BZ40">
        <v>0</v>
      </c>
      <c r="CA40">
        <v>0</v>
      </c>
      <c r="CB40">
        <v>0</v>
      </c>
      <c r="CC40">
        <v>0</v>
      </c>
      <c r="CD40">
        <v>0</v>
      </c>
      <c r="CE4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0" s="19">
        <f>SUM(Table1[[#This Row],[Mid39]],Table1[[#This Row],[Mid36]],Table1[[#This Row],[Mid33]],Table1[[#This Row],[Mid30]],Table1[[#This Row],[Mid27]],Table1[[#This Row],[Mid24]],Table1[[#This Row],[Mid21]],Table1[[#This Row],[Mid18]],Table1[[#This Row],[Mid15]],Table1[[#This Row],[Mid12]],Table1[[#This Row],[Mid9]],Table1[[#This Row],[Mid6]],Table1[[#This Row],[Mid3]],Table1[[#This Row],[Mid]])</f>
        <v>291.10000000000002</v>
      </c>
      <c r="CG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0" t="s">
        <v>157</v>
      </c>
      <c r="CI40" t="s">
        <v>134</v>
      </c>
      <c r="CJ40" t="s">
        <v>158</v>
      </c>
      <c r="CL40" s="19">
        <f>IF(Table1[[#This Row],[Type]]="Petroleum",1,IF(ISERROR(Table1[[#This Row],[Well Density]]*Table1[[#This Row],[Single Well Discovery Area]]),"",IF(Table1[[#This Row],[Well Density]]*Table1[[#This Row],[Single Well Discovery Area]]&gt;1,1,Table1[[#This Row],[Well Density]]*Table1[[#This Row],[Single Well Discovery Area]])))</f>
        <v>1</v>
      </c>
      <c r="CM40" t="s">
        <v>158</v>
      </c>
      <c r="CN40" s="19">
        <f>Table1[[#This Row],[Mid]]</f>
        <v>0</v>
      </c>
      <c r="CO40" s="19">
        <f>Table1[[#This Row],[Mid3]]+Table1[[#This Row],[Mid6]]+Table1[[#This Row],[Mid9]]</f>
        <v>0</v>
      </c>
      <c r="CP40" s="19">
        <f>Table1[[#This Row],[Mid12]]+Table1[[#This Row],[Mid15]]+Table1[[#This Row],[Mid18]]+Table1[[#This Row],[Mid21]]+Table1[[#This Row],[Mid24]]</f>
        <v>291.10000000000002</v>
      </c>
      <c r="CQ40" s="19">
        <f>Table1[[#This Row],[Mid27]]+Table1[[#This Row],[Mid30]]+Table1[[#This Row],[Mid33]]+Table1[[#This Row],[Mid36]]+Table1[[#This Row],[Mid39]]</f>
        <v>0</v>
      </c>
      <c r="CR40" t="s">
        <v>136</v>
      </c>
      <c r="CS40" s="19" t="str">
        <f>IF(AND(Table1[[#This Row],[Low41]]=0, Table1[[#This Row],[High43]]=0),"N","Y")</f>
        <v>N</v>
      </c>
    </row>
    <row r="41" spans="1:97" ht="19.5" customHeight="1" x14ac:dyDescent="0.25">
      <c r="A41">
        <v>10038</v>
      </c>
      <c r="B41" t="s">
        <v>113</v>
      </c>
      <c r="C41" t="s">
        <v>250</v>
      </c>
      <c r="D41">
        <v>-26.350277779999999</v>
      </c>
      <c r="E41">
        <v>149.5386111</v>
      </c>
      <c r="F41" t="s">
        <v>283</v>
      </c>
      <c r="I41" t="s">
        <v>201</v>
      </c>
      <c r="J41" t="s">
        <v>202</v>
      </c>
      <c r="K41" t="s">
        <v>203</v>
      </c>
      <c r="L41" t="s">
        <v>204</v>
      </c>
      <c r="M41" t="s">
        <v>252</v>
      </c>
      <c r="N41" s="6" t="s">
        <v>253</v>
      </c>
      <c r="O41" t="s">
        <v>254</v>
      </c>
      <c r="P41" t="s">
        <v>170</v>
      </c>
      <c r="Q41" t="s">
        <v>255</v>
      </c>
      <c r="R41" t="s">
        <v>284</v>
      </c>
      <c r="S41">
        <v>2011</v>
      </c>
      <c r="T41" t="s">
        <v>128</v>
      </c>
      <c r="U41" t="s">
        <v>173</v>
      </c>
      <c r="V41">
        <v>0</v>
      </c>
      <c r="W41">
        <v>0</v>
      </c>
      <c r="X41">
        <v>0</v>
      </c>
      <c r="Y41">
        <v>0</v>
      </c>
      <c r="Z41">
        <v>0</v>
      </c>
      <c r="AA41">
        <v>0</v>
      </c>
      <c r="AB41">
        <v>0</v>
      </c>
      <c r="AC41">
        <v>0</v>
      </c>
      <c r="AD41">
        <v>0</v>
      </c>
      <c r="AF41">
        <v>200</v>
      </c>
      <c r="AG41">
        <v>0</v>
      </c>
      <c r="AH41" t="s">
        <v>257</v>
      </c>
      <c r="AI41">
        <v>0</v>
      </c>
      <c r="AJ41">
        <v>0</v>
      </c>
      <c r="AK41">
        <v>0</v>
      </c>
      <c r="AL41">
        <v>0</v>
      </c>
      <c r="AM41" t="s">
        <v>257</v>
      </c>
      <c r="AN41" t="s">
        <v>132</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13.4</v>
      </c>
      <c r="BL41">
        <v>0</v>
      </c>
      <c r="BM41">
        <v>0</v>
      </c>
      <c r="BN41">
        <v>0</v>
      </c>
      <c r="BO41">
        <v>0</v>
      </c>
      <c r="BP41">
        <v>0</v>
      </c>
      <c r="BQ41">
        <v>0</v>
      </c>
      <c r="BR41">
        <v>0</v>
      </c>
      <c r="BS41">
        <v>0</v>
      </c>
      <c r="BT41">
        <v>0</v>
      </c>
      <c r="BU41">
        <v>0</v>
      </c>
      <c r="BV41">
        <v>0</v>
      </c>
      <c r="BW41">
        <v>0</v>
      </c>
      <c r="BX41">
        <v>0</v>
      </c>
      <c r="BY41">
        <v>0</v>
      </c>
      <c r="BZ41">
        <v>0</v>
      </c>
      <c r="CA41">
        <v>0</v>
      </c>
      <c r="CB41">
        <v>0</v>
      </c>
      <c r="CC41">
        <v>0</v>
      </c>
      <c r="CD41">
        <v>0</v>
      </c>
      <c r="CE4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1" s="19">
        <f>SUM(Table1[[#This Row],[Mid39]],Table1[[#This Row],[Mid36]],Table1[[#This Row],[Mid33]],Table1[[#This Row],[Mid30]],Table1[[#This Row],[Mid27]],Table1[[#This Row],[Mid24]],Table1[[#This Row],[Mid21]],Table1[[#This Row],[Mid18]],Table1[[#This Row],[Mid15]],Table1[[#This Row],[Mid12]],Table1[[#This Row],[Mid9]],Table1[[#This Row],[Mid6]],Table1[[#This Row],[Mid3]],Table1[[#This Row],[Mid]])</f>
        <v>13.4</v>
      </c>
      <c r="CG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1" t="s">
        <v>157</v>
      </c>
      <c r="CI41" t="s">
        <v>134</v>
      </c>
      <c r="CJ41" t="s">
        <v>158</v>
      </c>
      <c r="CL41" s="19">
        <f>IF(Table1[[#This Row],[Type]]="Petroleum",1,IF(ISERROR(Table1[[#This Row],[Well Density]]*Table1[[#This Row],[Single Well Discovery Area]]),"",IF(Table1[[#This Row],[Well Density]]*Table1[[#This Row],[Single Well Discovery Area]]&gt;1,1,Table1[[#This Row],[Well Density]]*Table1[[#This Row],[Single Well Discovery Area]])))</f>
        <v>1</v>
      </c>
      <c r="CM41" t="s">
        <v>158</v>
      </c>
      <c r="CN41" s="19">
        <f>Table1[[#This Row],[Mid]]</f>
        <v>0</v>
      </c>
      <c r="CO41" s="19">
        <f>Table1[[#This Row],[Mid3]]+Table1[[#This Row],[Mid6]]+Table1[[#This Row],[Mid9]]</f>
        <v>0</v>
      </c>
      <c r="CP41" s="19">
        <f>Table1[[#This Row],[Mid12]]+Table1[[#This Row],[Mid15]]+Table1[[#This Row],[Mid18]]+Table1[[#This Row],[Mid21]]+Table1[[#This Row],[Mid24]]</f>
        <v>13.4</v>
      </c>
      <c r="CQ41" s="19">
        <f>Table1[[#This Row],[Mid27]]+Table1[[#This Row],[Mid30]]+Table1[[#This Row],[Mid33]]+Table1[[#This Row],[Mid36]]+Table1[[#This Row],[Mid39]]</f>
        <v>0</v>
      </c>
      <c r="CR41" t="s">
        <v>136</v>
      </c>
      <c r="CS41" s="19" t="str">
        <f>IF(AND(Table1[[#This Row],[Low41]]=0, Table1[[#This Row],[High43]]=0),"N","Y")</f>
        <v>N</v>
      </c>
    </row>
    <row r="42" spans="1:97" ht="19.5" customHeight="1" x14ac:dyDescent="0.25">
      <c r="A42">
        <v>10039</v>
      </c>
      <c r="B42" t="s">
        <v>113</v>
      </c>
      <c r="C42" t="s">
        <v>250</v>
      </c>
      <c r="D42">
        <v>-26.350277779999999</v>
      </c>
      <c r="E42">
        <v>149.5386111</v>
      </c>
      <c r="F42" t="s">
        <v>285</v>
      </c>
      <c r="G42" t="s">
        <v>225</v>
      </c>
      <c r="H42" t="s">
        <v>286</v>
      </c>
      <c r="I42" t="s">
        <v>118</v>
      </c>
      <c r="J42" t="s">
        <v>119</v>
      </c>
      <c r="K42" t="s">
        <v>190</v>
      </c>
      <c r="L42" t="s">
        <v>18</v>
      </c>
      <c r="M42" t="s">
        <v>287</v>
      </c>
      <c r="N42" s="6" t="s">
        <v>253</v>
      </c>
      <c r="O42" t="s">
        <v>288</v>
      </c>
      <c r="P42" t="s">
        <v>170</v>
      </c>
      <c r="Q42" t="s">
        <v>289</v>
      </c>
      <c r="R42" t="s">
        <v>290</v>
      </c>
      <c r="S42">
        <v>2011</v>
      </c>
      <c r="T42" t="s">
        <v>128</v>
      </c>
      <c r="U42" t="s">
        <v>173</v>
      </c>
      <c r="V42">
        <v>5347</v>
      </c>
      <c r="W42">
        <v>0</v>
      </c>
      <c r="X42">
        <v>5.0999999999999996</v>
      </c>
      <c r="Y42">
        <v>0</v>
      </c>
      <c r="Z42">
        <v>12.4</v>
      </c>
      <c r="AA42">
        <v>0</v>
      </c>
      <c r="AB42">
        <v>0</v>
      </c>
      <c r="AC42">
        <v>0</v>
      </c>
      <c r="AD42">
        <v>0</v>
      </c>
      <c r="AE42">
        <v>0</v>
      </c>
      <c r="AF42">
        <v>200</v>
      </c>
      <c r="AG42">
        <v>0</v>
      </c>
      <c r="AH42" t="s">
        <v>291</v>
      </c>
      <c r="AI42">
        <v>4</v>
      </c>
      <c r="AJ42">
        <v>0</v>
      </c>
      <c r="AK42">
        <v>0</v>
      </c>
      <c r="AL42">
        <v>0</v>
      </c>
      <c r="AM42" t="s">
        <v>278</v>
      </c>
      <c r="AN42" t="s">
        <v>132</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150</v>
      </c>
      <c r="BX42">
        <v>0</v>
      </c>
      <c r="BY42">
        <v>0</v>
      </c>
      <c r="BZ42">
        <v>0</v>
      </c>
      <c r="CA42">
        <v>0</v>
      </c>
      <c r="CB42">
        <v>0</v>
      </c>
      <c r="CC42">
        <v>0</v>
      </c>
      <c r="CD42">
        <v>0</v>
      </c>
      <c r="CE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2" s="19">
        <f>SUM(Table1[[#This Row],[Mid39]],Table1[[#This Row],[Mid36]],Table1[[#This Row],[Mid33]],Table1[[#This Row],[Mid30]],Table1[[#This Row],[Mid27]],Table1[[#This Row],[Mid24]],Table1[[#This Row],[Mid21]],Table1[[#This Row],[Mid18]],Table1[[#This Row],[Mid15]],Table1[[#This Row],[Mid12]],Table1[[#This Row],[Mid9]],Table1[[#This Row],[Mid6]],Table1[[#This Row],[Mid3]],Table1[[#This Row],[Mid]])</f>
        <v>150</v>
      </c>
      <c r="CG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2" t="s">
        <v>157</v>
      </c>
      <c r="CI42" t="s">
        <v>134</v>
      </c>
      <c r="CJ42" t="s">
        <v>158</v>
      </c>
      <c r="CL42" s="19">
        <f>IF(Table1[[#This Row],[Type]]="Petroleum",1,IF(ISERROR(Table1[[#This Row],[Well Density]]*Table1[[#This Row],[Single Well Discovery Area]]),"",IF(Table1[[#This Row],[Well Density]]*Table1[[#This Row],[Single Well Discovery Area]]&gt;1,1,Table1[[#This Row],[Well Density]]*Table1[[#This Row],[Single Well Discovery Area]])))</f>
        <v>0</v>
      </c>
      <c r="CM42" t="s">
        <v>158</v>
      </c>
      <c r="CN42" s="19">
        <f>Table1[[#This Row],[Mid]]</f>
        <v>0</v>
      </c>
      <c r="CO42" s="19">
        <f>Table1[[#This Row],[Mid3]]+Table1[[#This Row],[Mid6]]+Table1[[#This Row],[Mid9]]</f>
        <v>0</v>
      </c>
      <c r="CP42" s="19">
        <f>Table1[[#This Row],[Mid12]]+Table1[[#This Row],[Mid15]]+Table1[[#This Row],[Mid18]]+Table1[[#This Row],[Mid21]]+Table1[[#This Row],[Mid24]]</f>
        <v>0</v>
      </c>
      <c r="CQ42" s="19">
        <f>Table1[[#This Row],[Mid27]]+Table1[[#This Row],[Mid30]]+Table1[[#This Row],[Mid33]]+Table1[[#This Row],[Mid36]]+Table1[[#This Row],[Mid39]]</f>
        <v>150</v>
      </c>
      <c r="CR42" t="s">
        <v>136</v>
      </c>
      <c r="CS42" s="19" t="str">
        <f>IF(AND(Table1[[#This Row],[Low41]]=0, Table1[[#This Row],[High43]]=0),"N","Y")</f>
        <v>N</v>
      </c>
    </row>
    <row r="43" spans="1:97" ht="19.5" customHeight="1" x14ac:dyDescent="0.25">
      <c r="A43">
        <v>10040</v>
      </c>
      <c r="B43" t="s">
        <v>113</v>
      </c>
      <c r="C43" t="s">
        <v>250</v>
      </c>
      <c r="D43">
        <v>-26.350277779999999</v>
      </c>
      <c r="E43">
        <v>149.5386111</v>
      </c>
      <c r="F43" t="s">
        <v>292</v>
      </c>
      <c r="G43" t="s">
        <v>225</v>
      </c>
      <c r="H43" t="s">
        <v>293</v>
      </c>
      <c r="I43" t="s">
        <v>118</v>
      </c>
      <c r="J43" t="s">
        <v>119</v>
      </c>
      <c r="K43" t="s">
        <v>190</v>
      </c>
      <c r="L43" t="s">
        <v>18</v>
      </c>
      <c r="M43" t="s">
        <v>294</v>
      </c>
      <c r="N43" s="6" t="s">
        <v>253</v>
      </c>
      <c r="O43" t="s">
        <v>288</v>
      </c>
      <c r="P43" t="s">
        <v>170</v>
      </c>
      <c r="Q43" t="s">
        <v>295</v>
      </c>
      <c r="R43" t="s">
        <v>290</v>
      </c>
      <c r="S43">
        <v>2011</v>
      </c>
      <c r="T43" t="s">
        <v>128</v>
      </c>
      <c r="U43" t="s">
        <v>173</v>
      </c>
      <c r="V43">
        <v>1239</v>
      </c>
      <c r="W43">
        <v>0</v>
      </c>
      <c r="X43">
        <v>13.1</v>
      </c>
      <c r="Y43">
        <v>0</v>
      </c>
      <c r="Z43">
        <v>12.3</v>
      </c>
      <c r="AA43">
        <v>0</v>
      </c>
      <c r="AB43">
        <v>0</v>
      </c>
      <c r="AC43">
        <v>0</v>
      </c>
      <c r="AD43">
        <v>0</v>
      </c>
      <c r="AE43">
        <v>0</v>
      </c>
      <c r="AF43">
        <v>200</v>
      </c>
      <c r="AG43">
        <v>0</v>
      </c>
      <c r="AH43" t="s">
        <v>291</v>
      </c>
      <c r="AI43">
        <v>4</v>
      </c>
      <c r="AJ43">
        <v>0</v>
      </c>
      <c r="AK43">
        <v>0</v>
      </c>
      <c r="AL43">
        <v>0</v>
      </c>
      <c r="AM43" t="s">
        <v>278</v>
      </c>
      <c r="AN43" t="s">
        <v>132</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89</v>
      </c>
      <c r="BX43">
        <v>0</v>
      </c>
      <c r="BY43">
        <v>0</v>
      </c>
      <c r="BZ43">
        <v>0</v>
      </c>
      <c r="CA43">
        <v>0</v>
      </c>
      <c r="CB43">
        <v>0</v>
      </c>
      <c r="CC43">
        <v>0</v>
      </c>
      <c r="CD43">
        <v>0</v>
      </c>
      <c r="CE4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3" s="19">
        <f>SUM(Table1[[#This Row],[Mid39]],Table1[[#This Row],[Mid36]],Table1[[#This Row],[Mid33]],Table1[[#This Row],[Mid30]],Table1[[#This Row],[Mid27]],Table1[[#This Row],[Mid24]],Table1[[#This Row],[Mid21]],Table1[[#This Row],[Mid18]],Table1[[#This Row],[Mid15]],Table1[[#This Row],[Mid12]],Table1[[#This Row],[Mid9]],Table1[[#This Row],[Mid6]],Table1[[#This Row],[Mid3]],Table1[[#This Row],[Mid]])</f>
        <v>89</v>
      </c>
      <c r="CG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3" t="s">
        <v>157</v>
      </c>
      <c r="CI43" t="s">
        <v>134</v>
      </c>
      <c r="CJ43" t="s">
        <v>158</v>
      </c>
      <c r="CL43" s="19">
        <f>IF(Table1[[#This Row],[Type]]="Petroleum",1,IF(ISERROR(Table1[[#This Row],[Well Density]]*Table1[[#This Row],[Single Well Discovery Area]]),"",IF(Table1[[#This Row],[Well Density]]*Table1[[#This Row],[Single Well Discovery Area]]&gt;1,1,Table1[[#This Row],[Well Density]]*Table1[[#This Row],[Single Well Discovery Area]])))</f>
        <v>0</v>
      </c>
      <c r="CM43" t="s">
        <v>158</v>
      </c>
      <c r="CN43" s="19">
        <f>Table1[[#This Row],[Mid]]</f>
        <v>0</v>
      </c>
      <c r="CO43" s="19">
        <f>Table1[[#This Row],[Mid3]]+Table1[[#This Row],[Mid6]]+Table1[[#This Row],[Mid9]]</f>
        <v>0</v>
      </c>
      <c r="CP43" s="19">
        <f>Table1[[#This Row],[Mid12]]+Table1[[#This Row],[Mid15]]+Table1[[#This Row],[Mid18]]+Table1[[#This Row],[Mid21]]+Table1[[#This Row],[Mid24]]</f>
        <v>0</v>
      </c>
      <c r="CQ43" s="19">
        <f>Table1[[#This Row],[Mid27]]+Table1[[#This Row],[Mid30]]+Table1[[#This Row],[Mid33]]+Table1[[#This Row],[Mid36]]+Table1[[#This Row],[Mid39]]</f>
        <v>89</v>
      </c>
      <c r="CR43" t="s">
        <v>136</v>
      </c>
      <c r="CS43" s="19" t="str">
        <f>IF(AND(Table1[[#This Row],[Low41]]=0, Table1[[#This Row],[High43]]=0),"N","Y")</f>
        <v>N</v>
      </c>
    </row>
    <row r="44" spans="1:97" ht="19.5" customHeight="1" x14ac:dyDescent="0.25">
      <c r="A44">
        <v>10041</v>
      </c>
      <c r="B44" t="s">
        <v>113</v>
      </c>
      <c r="C44" t="s">
        <v>250</v>
      </c>
      <c r="D44">
        <v>-26.350277779999999</v>
      </c>
      <c r="E44">
        <v>149.5386111</v>
      </c>
      <c r="F44" t="s">
        <v>296</v>
      </c>
      <c r="G44" t="s">
        <v>225</v>
      </c>
      <c r="H44" t="s">
        <v>297</v>
      </c>
      <c r="I44" t="s">
        <v>118</v>
      </c>
      <c r="J44" t="s">
        <v>119</v>
      </c>
      <c r="K44" t="s">
        <v>190</v>
      </c>
      <c r="L44" t="s">
        <v>18</v>
      </c>
      <c r="M44" t="s">
        <v>298</v>
      </c>
      <c r="N44" s="6" t="s">
        <v>253</v>
      </c>
      <c r="O44" t="s">
        <v>288</v>
      </c>
      <c r="P44" t="s">
        <v>170</v>
      </c>
      <c r="Q44" t="s">
        <v>299</v>
      </c>
      <c r="R44" t="s">
        <v>290</v>
      </c>
      <c r="S44">
        <v>2011</v>
      </c>
      <c r="T44" t="s">
        <v>128</v>
      </c>
      <c r="U44" t="s">
        <v>173</v>
      </c>
      <c r="V44">
        <v>2769</v>
      </c>
      <c r="W44">
        <v>0</v>
      </c>
      <c r="X44">
        <v>15.6</v>
      </c>
      <c r="Y44">
        <v>0</v>
      </c>
      <c r="Z44">
        <v>13.1</v>
      </c>
      <c r="AA44">
        <v>0</v>
      </c>
      <c r="AB44">
        <v>0</v>
      </c>
      <c r="AC44">
        <v>0</v>
      </c>
      <c r="AD44">
        <v>0</v>
      </c>
      <c r="AE44">
        <v>0</v>
      </c>
      <c r="AF44">
        <v>200</v>
      </c>
      <c r="AG44">
        <v>0</v>
      </c>
      <c r="AH44" t="s">
        <v>291</v>
      </c>
      <c r="AI44">
        <v>4</v>
      </c>
      <c r="AJ44">
        <v>0</v>
      </c>
      <c r="AK44">
        <v>0</v>
      </c>
      <c r="AL44">
        <v>0</v>
      </c>
      <c r="AM44" t="s">
        <v>278</v>
      </c>
      <c r="AN44" t="s">
        <v>132</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100</v>
      </c>
      <c r="BX44">
        <v>0</v>
      </c>
      <c r="BY44">
        <v>0</v>
      </c>
      <c r="BZ44">
        <v>0</v>
      </c>
      <c r="CA44">
        <v>0</v>
      </c>
      <c r="CB44">
        <v>0</v>
      </c>
      <c r="CC44">
        <v>0</v>
      </c>
      <c r="CD44">
        <v>0</v>
      </c>
      <c r="CE4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4"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4" t="s">
        <v>157</v>
      </c>
      <c r="CI44" t="s">
        <v>134</v>
      </c>
      <c r="CJ44" t="s">
        <v>158</v>
      </c>
      <c r="CL44" s="19">
        <f>IF(Table1[[#This Row],[Type]]="Petroleum",1,IF(ISERROR(Table1[[#This Row],[Well Density]]*Table1[[#This Row],[Single Well Discovery Area]]),"",IF(Table1[[#This Row],[Well Density]]*Table1[[#This Row],[Single Well Discovery Area]]&gt;1,1,Table1[[#This Row],[Well Density]]*Table1[[#This Row],[Single Well Discovery Area]])))</f>
        <v>0</v>
      </c>
      <c r="CM44" t="s">
        <v>158</v>
      </c>
      <c r="CN44" s="19">
        <f>Table1[[#This Row],[Mid]]</f>
        <v>0</v>
      </c>
      <c r="CO44" s="19">
        <f>Table1[[#This Row],[Mid3]]+Table1[[#This Row],[Mid6]]+Table1[[#This Row],[Mid9]]</f>
        <v>0</v>
      </c>
      <c r="CP44" s="19">
        <f>Table1[[#This Row],[Mid12]]+Table1[[#This Row],[Mid15]]+Table1[[#This Row],[Mid18]]+Table1[[#This Row],[Mid21]]+Table1[[#This Row],[Mid24]]</f>
        <v>0</v>
      </c>
      <c r="CQ44" s="19">
        <f>Table1[[#This Row],[Mid27]]+Table1[[#This Row],[Mid30]]+Table1[[#This Row],[Mid33]]+Table1[[#This Row],[Mid36]]+Table1[[#This Row],[Mid39]]</f>
        <v>100</v>
      </c>
      <c r="CR44" t="s">
        <v>136</v>
      </c>
      <c r="CS44" s="19" t="str">
        <f>IF(AND(Table1[[#This Row],[Low41]]=0, Table1[[#This Row],[High43]]=0),"N","Y")</f>
        <v>N</v>
      </c>
    </row>
    <row r="45" spans="1:97" ht="19.5" customHeight="1" x14ac:dyDescent="0.25">
      <c r="A45">
        <v>10042</v>
      </c>
      <c r="B45" t="s">
        <v>113</v>
      </c>
      <c r="C45" t="s">
        <v>250</v>
      </c>
      <c r="D45">
        <v>-26.71</v>
      </c>
      <c r="E45">
        <v>142.3869444</v>
      </c>
      <c r="F45" t="s">
        <v>300</v>
      </c>
      <c r="G45" t="s">
        <v>230</v>
      </c>
      <c r="I45" t="s">
        <v>201</v>
      </c>
      <c r="J45" t="s">
        <v>202</v>
      </c>
      <c r="K45" t="s">
        <v>203</v>
      </c>
      <c r="L45" t="s">
        <v>204</v>
      </c>
      <c r="M45" t="s">
        <v>252</v>
      </c>
      <c r="N45" s="6" t="s">
        <v>253</v>
      </c>
      <c r="O45" t="s">
        <v>254</v>
      </c>
      <c r="P45" t="s">
        <v>170</v>
      </c>
      <c r="Q45" t="s">
        <v>255</v>
      </c>
      <c r="R45" t="s">
        <v>301</v>
      </c>
      <c r="S45">
        <v>2011</v>
      </c>
      <c r="T45" t="s">
        <v>128</v>
      </c>
      <c r="U45" t="s">
        <v>173</v>
      </c>
      <c r="V45">
        <v>0</v>
      </c>
      <c r="W45">
        <v>0</v>
      </c>
      <c r="X45">
        <v>0</v>
      </c>
      <c r="Y45">
        <v>0</v>
      </c>
      <c r="Z45">
        <v>0</v>
      </c>
      <c r="AA45">
        <v>0</v>
      </c>
      <c r="AB45">
        <v>0</v>
      </c>
      <c r="AC45">
        <v>0</v>
      </c>
      <c r="AD45">
        <v>0</v>
      </c>
      <c r="AF45">
        <v>200</v>
      </c>
      <c r="AG45">
        <v>0</v>
      </c>
      <c r="AH45" t="s">
        <v>257</v>
      </c>
      <c r="AI45">
        <v>0</v>
      </c>
      <c r="AJ45">
        <v>0</v>
      </c>
      <c r="AK45">
        <v>0</v>
      </c>
      <c r="AL45">
        <v>0</v>
      </c>
      <c r="AM45" t="s">
        <v>257</v>
      </c>
      <c r="AN45" t="s">
        <v>132</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4.3</v>
      </c>
      <c r="BL45">
        <v>0</v>
      </c>
      <c r="BM45">
        <v>0</v>
      </c>
      <c r="BN45">
        <v>0</v>
      </c>
      <c r="BO45">
        <v>0</v>
      </c>
      <c r="BP45">
        <v>0</v>
      </c>
      <c r="BQ45">
        <v>0</v>
      </c>
      <c r="BR45">
        <v>0</v>
      </c>
      <c r="BS45">
        <v>0</v>
      </c>
      <c r="BT45">
        <v>0</v>
      </c>
      <c r="BU45">
        <v>0</v>
      </c>
      <c r="BV45">
        <v>0</v>
      </c>
      <c r="BW45">
        <v>0</v>
      </c>
      <c r="BX45">
        <v>0</v>
      </c>
      <c r="BY45">
        <v>0</v>
      </c>
      <c r="BZ45">
        <v>0</v>
      </c>
      <c r="CA45">
        <v>0</v>
      </c>
      <c r="CB45">
        <v>0</v>
      </c>
      <c r="CC45">
        <v>0</v>
      </c>
      <c r="CD45">
        <v>0</v>
      </c>
      <c r="CE4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5" s="19">
        <f>SUM(Table1[[#This Row],[Mid39]],Table1[[#This Row],[Mid36]],Table1[[#This Row],[Mid33]],Table1[[#This Row],[Mid30]],Table1[[#This Row],[Mid27]],Table1[[#This Row],[Mid24]],Table1[[#This Row],[Mid21]],Table1[[#This Row],[Mid18]],Table1[[#This Row],[Mid15]],Table1[[#This Row],[Mid12]],Table1[[#This Row],[Mid9]],Table1[[#This Row],[Mid6]],Table1[[#This Row],[Mid3]],Table1[[#This Row],[Mid]])</f>
        <v>4.3</v>
      </c>
      <c r="CG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5" t="s">
        <v>157</v>
      </c>
      <c r="CI45" t="s">
        <v>134</v>
      </c>
      <c r="CJ45" t="s">
        <v>158</v>
      </c>
      <c r="CL45" s="19">
        <f>IF(Table1[[#This Row],[Type]]="Petroleum",1,IF(ISERROR(Table1[[#This Row],[Well Density]]*Table1[[#This Row],[Single Well Discovery Area]]),"",IF(Table1[[#This Row],[Well Density]]*Table1[[#This Row],[Single Well Discovery Area]]&gt;1,1,Table1[[#This Row],[Well Density]]*Table1[[#This Row],[Single Well Discovery Area]])))</f>
        <v>1</v>
      </c>
      <c r="CM45" t="s">
        <v>158</v>
      </c>
      <c r="CN45" s="19">
        <f>Table1[[#This Row],[Mid]]</f>
        <v>0</v>
      </c>
      <c r="CO45" s="19">
        <f>Table1[[#This Row],[Mid3]]+Table1[[#This Row],[Mid6]]+Table1[[#This Row],[Mid9]]</f>
        <v>0</v>
      </c>
      <c r="CP45" s="19">
        <f>Table1[[#This Row],[Mid12]]+Table1[[#This Row],[Mid15]]+Table1[[#This Row],[Mid18]]+Table1[[#This Row],[Mid21]]+Table1[[#This Row],[Mid24]]</f>
        <v>4.3</v>
      </c>
      <c r="CQ45" s="19">
        <f>Table1[[#This Row],[Mid27]]+Table1[[#This Row],[Mid30]]+Table1[[#This Row],[Mid33]]+Table1[[#This Row],[Mid36]]+Table1[[#This Row],[Mid39]]</f>
        <v>0</v>
      </c>
      <c r="CR45" t="s">
        <v>136</v>
      </c>
      <c r="CS45" s="19" t="str">
        <f>IF(AND(Table1[[#This Row],[Low41]]=0, Table1[[#This Row],[High43]]=0),"N","Y")</f>
        <v>N</v>
      </c>
    </row>
    <row r="46" spans="1:97" ht="19.5" customHeight="1" x14ac:dyDescent="0.25">
      <c r="A46">
        <v>10043</v>
      </c>
      <c r="B46" t="s">
        <v>113</v>
      </c>
      <c r="C46" t="s">
        <v>250</v>
      </c>
      <c r="D46">
        <v>-26.71</v>
      </c>
      <c r="E46">
        <v>142.3869444</v>
      </c>
      <c r="F46" t="s">
        <v>302</v>
      </c>
      <c r="G46" t="s">
        <v>230</v>
      </c>
      <c r="H46" t="s">
        <v>303</v>
      </c>
      <c r="I46" t="s">
        <v>118</v>
      </c>
      <c r="J46" t="s">
        <v>119</v>
      </c>
      <c r="K46" t="s">
        <v>190</v>
      </c>
      <c r="L46" t="s">
        <v>18</v>
      </c>
      <c r="M46" t="s">
        <v>304</v>
      </c>
      <c r="N46" s="6" t="s">
        <v>253</v>
      </c>
      <c r="O46" t="s">
        <v>288</v>
      </c>
      <c r="P46" t="s">
        <v>170</v>
      </c>
      <c r="Q46" t="s">
        <v>305</v>
      </c>
      <c r="R46" t="s">
        <v>290</v>
      </c>
      <c r="S46">
        <v>2011</v>
      </c>
      <c r="T46" t="s">
        <v>128</v>
      </c>
      <c r="U46" t="s">
        <v>173</v>
      </c>
      <c r="V46">
        <v>15188</v>
      </c>
      <c r="W46">
        <v>0</v>
      </c>
      <c r="X46">
        <v>22</v>
      </c>
      <c r="Y46">
        <v>0</v>
      </c>
      <c r="Z46">
        <v>10.199999999999999</v>
      </c>
      <c r="AA46">
        <v>0</v>
      </c>
      <c r="AB46">
        <v>0</v>
      </c>
      <c r="AC46">
        <v>0</v>
      </c>
      <c r="AD46">
        <v>0</v>
      </c>
      <c r="AE46">
        <v>0</v>
      </c>
      <c r="AF46">
        <v>200</v>
      </c>
      <c r="AG46">
        <v>0</v>
      </c>
      <c r="AH46" t="s">
        <v>291</v>
      </c>
      <c r="AI46">
        <v>4</v>
      </c>
      <c r="AJ46">
        <v>0</v>
      </c>
      <c r="AK46">
        <v>0</v>
      </c>
      <c r="AL46">
        <v>0</v>
      </c>
      <c r="AM46" t="s">
        <v>278</v>
      </c>
      <c r="AN46" t="s">
        <v>132</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172</v>
      </c>
      <c r="BX46">
        <v>0</v>
      </c>
      <c r="BY46">
        <v>0</v>
      </c>
      <c r="BZ46">
        <v>0</v>
      </c>
      <c r="CA46">
        <v>0</v>
      </c>
      <c r="CB46">
        <v>0</v>
      </c>
      <c r="CC46">
        <v>0</v>
      </c>
      <c r="CD46">
        <v>0</v>
      </c>
      <c r="CE4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6" s="19">
        <f>SUM(Table1[[#This Row],[Mid39]],Table1[[#This Row],[Mid36]],Table1[[#This Row],[Mid33]],Table1[[#This Row],[Mid30]],Table1[[#This Row],[Mid27]],Table1[[#This Row],[Mid24]],Table1[[#This Row],[Mid21]],Table1[[#This Row],[Mid18]],Table1[[#This Row],[Mid15]],Table1[[#This Row],[Mid12]],Table1[[#This Row],[Mid9]],Table1[[#This Row],[Mid6]],Table1[[#This Row],[Mid3]],Table1[[#This Row],[Mid]])</f>
        <v>172</v>
      </c>
      <c r="CG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6" t="s">
        <v>157</v>
      </c>
      <c r="CI46" t="s">
        <v>134</v>
      </c>
      <c r="CJ46" t="s">
        <v>158</v>
      </c>
      <c r="CL46" s="19">
        <f>IF(Table1[[#This Row],[Type]]="Petroleum",1,IF(ISERROR(Table1[[#This Row],[Well Density]]*Table1[[#This Row],[Single Well Discovery Area]]),"",IF(Table1[[#This Row],[Well Density]]*Table1[[#This Row],[Single Well Discovery Area]]&gt;1,1,Table1[[#This Row],[Well Density]]*Table1[[#This Row],[Single Well Discovery Area]])))</f>
        <v>0</v>
      </c>
      <c r="CM46" t="s">
        <v>158</v>
      </c>
      <c r="CN46" s="19">
        <f>Table1[[#This Row],[Mid]]</f>
        <v>0</v>
      </c>
      <c r="CO46" s="19">
        <f>Table1[[#This Row],[Mid3]]+Table1[[#This Row],[Mid6]]+Table1[[#This Row],[Mid9]]</f>
        <v>0</v>
      </c>
      <c r="CP46" s="19">
        <f>Table1[[#This Row],[Mid12]]+Table1[[#This Row],[Mid15]]+Table1[[#This Row],[Mid18]]+Table1[[#This Row],[Mid21]]+Table1[[#This Row],[Mid24]]</f>
        <v>0</v>
      </c>
      <c r="CQ46" s="19">
        <f>Table1[[#This Row],[Mid27]]+Table1[[#This Row],[Mid30]]+Table1[[#This Row],[Mid33]]+Table1[[#This Row],[Mid36]]+Table1[[#This Row],[Mid39]]</f>
        <v>172</v>
      </c>
      <c r="CR46" t="s">
        <v>136</v>
      </c>
      <c r="CS46" s="19" t="str">
        <f>IF(AND(Table1[[#This Row],[Low41]]=0, Table1[[#This Row],[High43]]=0),"N","Y")</f>
        <v>N</v>
      </c>
    </row>
    <row r="47" spans="1:97" ht="19.5" customHeight="1" x14ac:dyDescent="0.25">
      <c r="A47">
        <v>10044</v>
      </c>
      <c r="B47" t="s">
        <v>113</v>
      </c>
      <c r="C47" t="s">
        <v>250</v>
      </c>
      <c r="D47">
        <v>-23.66111111</v>
      </c>
      <c r="E47">
        <v>142.37833330000001</v>
      </c>
      <c r="F47" t="s">
        <v>306</v>
      </c>
      <c r="G47" t="s">
        <v>230</v>
      </c>
      <c r="H47" t="s">
        <v>307</v>
      </c>
      <c r="I47" t="s">
        <v>118</v>
      </c>
      <c r="J47" t="s">
        <v>119</v>
      </c>
      <c r="K47" t="s">
        <v>190</v>
      </c>
      <c r="L47" t="s">
        <v>18</v>
      </c>
      <c r="M47" t="s">
        <v>308</v>
      </c>
      <c r="N47" s="6" t="s">
        <v>253</v>
      </c>
      <c r="O47" t="s">
        <v>288</v>
      </c>
      <c r="P47" t="s">
        <v>170</v>
      </c>
      <c r="Q47" t="s">
        <v>309</v>
      </c>
      <c r="R47" t="s">
        <v>290</v>
      </c>
      <c r="S47">
        <v>2011</v>
      </c>
      <c r="T47" t="s">
        <v>128</v>
      </c>
      <c r="U47" t="s">
        <v>173</v>
      </c>
      <c r="V47">
        <v>314383</v>
      </c>
      <c r="W47">
        <v>0</v>
      </c>
      <c r="X47">
        <v>18</v>
      </c>
      <c r="Y47">
        <v>0</v>
      </c>
      <c r="Z47">
        <v>19.8</v>
      </c>
      <c r="AA47">
        <v>0</v>
      </c>
      <c r="AB47">
        <v>0</v>
      </c>
      <c r="AC47">
        <v>0</v>
      </c>
      <c r="AD47">
        <v>0</v>
      </c>
      <c r="AE47">
        <v>0</v>
      </c>
      <c r="AF47">
        <v>200</v>
      </c>
      <c r="AG47">
        <v>0</v>
      </c>
      <c r="AH47" t="s">
        <v>291</v>
      </c>
      <c r="AI47">
        <v>4</v>
      </c>
      <c r="AJ47">
        <v>0</v>
      </c>
      <c r="AK47">
        <v>0</v>
      </c>
      <c r="AL47">
        <v>0</v>
      </c>
      <c r="AM47" t="s">
        <v>278</v>
      </c>
      <c r="AN47" t="s">
        <v>132</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6474</v>
      </c>
      <c r="BX47">
        <v>0</v>
      </c>
      <c r="BY47">
        <v>0</v>
      </c>
      <c r="BZ47">
        <v>0</v>
      </c>
      <c r="CA47">
        <v>0</v>
      </c>
      <c r="CB47">
        <v>0</v>
      </c>
      <c r="CC47">
        <v>0</v>
      </c>
      <c r="CD47">
        <v>0</v>
      </c>
      <c r="CE4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7" s="19">
        <f>SUM(Table1[[#This Row],[Mid39]],Table1[[#This Row],[Mid36]],Table1[[#This Row],[Mid33]],Table1[[#This Row],[Mid30]],Table1[[#This Row],[Mid27]],Table1[[#This Row],[Mid24]],Table1[[#This Row],[Mid21]],Table1[[#This Row],[Mid18]],Table1[[#This Row],[Mid15]],Table1[[#This Row],[Mid12]],Table1[[#This Row],[Mid9]],Table1[[#This Row],[Mid6]],Table1[[#This Row],[Mid3]],Table1[[#This Row],[Mid]])</f>
        <v>6474</v>
      </c>
      <c r="CG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7" t="s">
        <v>157</v>
      </c>
      <c r="CI47" t="s">
        <v>134</v>
      </c>
      <c r="CJ47" t="s">
        <v>158</v>
      </c>
      <c r="CL47" s="19">
        <f>IF(Table1[[#This Row],[Type]]="Petroleum",1,IF(ISERROR(Table1[[#This Row],[Well Density]]*Table1[[#This Row],[Single Well Discovery Area]]),"",IF(Table1[[#This Row],[Well Density]]*Table1[[#This Row],[Single Well Discovery Area]]&gt;1,1,Table1[[#This Row],[Well Density]]*Table1[[#This Row],[Single Well Discovery Area]])))</f>
        <v>0</v>
      </c>
      <c r="CM47" t="s">
        <v>158</v>
      </c>
      <c r="CN47" s="19">
        <f>Table1[[#This Row],[Mid]]</f>
        <v>0</v>
      </c>
      <c r="CO47" s="19">
        <f>Table1[[#This Row],[Mid3]]+Table1[[#This Row],[Mid6]]+Table1[[#This Row],[Mid9]]</f>
        <v>0</v>
      </c>
      <c r="CP47" s="19">
        <f>Table1[[#This Row],[Mid12]]+Table1[[#This Row],[Mid15]]+Table1[[#This Row],[Mid18]]+Table1[[#This Row],[Mid21]]+Table1[[#This Row],[Mid24]]</f>
        <v>0</v>
      </c>
      <c r="CQ47" s="19">
        <f>Table1[[#This Row],[Mid27]]+Table1[[#This Row],[Mid30]]+Table1[[#This Row],[Mid33]]+Table1[[#This Row],[Mid36]]+Table1[[#This Row],[Mid39]]</f>
        <v>6474</v>
      </c>
      <c r="CR47" t="s">
        <v>136</v>
      </c>
      <c r="CS47" s="19" t="str">
        <f>IF(AND(Table1[[#This Row],[Low41]]=0, Table1[[#This Row],[High43]]=0),"N","Y")</f>
        <v>N</v>
      </c>
    </row>
    <row r="48" spans="1:97" ht="19.5" customHeight="1" x14ac:dyDescent="0.25">
      <c r="A48">
        <v>10045</v>
      </c>
      <c r="B48" t="s">
        <v>113</v>
      </c>
      <c r="C48" t="s">
        <v>250</v>
      </c>
      <c r="D48">
        <v>-23.66111111</v>
      </c>
      <c r="E48">
        <v>142.37833330000001</v>
      </c>
      <c r="F48" t="s">
        <v>310</v>
      </c>
      <c r="G48" t="s">
        <v>230</v>
      </c>
      <c r="H48" t="s">
        <v>311</v>
      </c>
      <c r="I48" t="s">
        <v>118</v>
      </c>
      <c r="J48" t="s">
        <v>119</v>
      </c>
      <c r="K48" t="s">
        <v>190</v>
      </c>
      <c r="L48" t="s">
        <v>18</v>
      </c>
      <c r="M48" t="s">
        <v>308</v>
      </c>
      <c r="N48" s="6" t="s">
        <v>253</v>
      </c>
      <c r="O48" t="s">
        <v>288</v>
      </c>
      <c r="P48" t="s">
        <v>170</v>
      </c>
      <c r="Q48" t="s">
        <v>312</v>
      </c>
      <c r="R48" t="s">
        <v>290</v>
      </c>
      <c r="S48">
        <v>2011</v>
      </c>
      <c r="T48" t="s">
        <v>128</v>
      </c>
      <c r="U48" t="s">
        <v>173</v>
      </c>
      <c r="V48">
        <v>314383</v>
      </c>
      <c r="W48">
        <v>0</v>
      </c>
      <c r="X48">
        <v>59</v>
      </c>
      <c r="Y48">
        <v>0</v>
      </c>
      <c r="Z48">
        <v>17</v>
      </c>
      <c r="AA48">
        <v>0</v>
      </c>
      <c r="AB48">
        <v>0</v>
      </c>
      <c r="AC48">
        <v>0</v>
      </c>
      <c r="AD48">
        <v>0</v>
      </c>
      <c r="AE48">
        <v>0</v>
      </c>
      <c r="AF48">
        <v>200</v>
      </c>
      <c r="AG48">
        <v>0</v>
      </c>
      <c r="AH48" t="s">
        <v>291</v>
      </c>
      <c r="AI48">
        <v>4</v>
      </c>
      <c r="AJ48">
        <v>0</v>
      </c>
      <c r="AK48">
        <v>0</v>
      </c>
      <c r="AL48">
        <v>0</v>
      </c>
      <c r="AM48" t="s">
        <v>278</v>
      </c>
      <c r="AN48" t="s">
        <v>132</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5473</v>
      </c>
      <c r="BX48">
        <v>0</v>
      </c>
      <c r="BY48">
        <v>0</v>
      </c>
      <c r="BZ48">
        <v>0</v>
      </c>
      <c r="CA48">
        <v>0</v>
      </c>
      <c r="CB48">
        <v>0</v>
      </c>
      <c r="CC48">
        <v>0</v>
      </c>
      <c r="CD48">
        <v>0</v>
      </c>
      <c r="CE4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8" s="19">
        <f>SUM(Table1[[#This Row],[Mid39]],Table1[[#This Row],[Mid36]],Table1[[#This Row],[Mid33]],Table1[[#This Row],[Mid30]],Table1[[#This Row],[Mid27]],Table1[[#This Row],[Mid24]],Table1[[#This Row],[Mid21]],Table1[[#This Row],[Mid18]],Table1[[#This Row],[Mid15]],Table1[[#This Row],[Mid12]],Table1[[#This Row],[Mid9]],Table1[[#This Row],[Mid6]],Table1[[#This Row],[Mid3]],Table1[[#This Row],[Mid]])</f>
        <v>5473</v>
      </c>
      <c r="CG4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8" t="s">
        <v>157</v>
      </c>
      <c r="CI48" t="s">
        <v>134</v>
      </c>
      <c r="CJ48" t="s">
        <v>158</v>
      </c>
      <c r="CL48" s="19">
        <f>IF(Table1[[#This Row],[Type]]="Petroleum",1,IF(ISERROR(Table1[[#This Row],[Well Density]]*Table1[[#This Row],[Single Well Discovery Area]]),"",IF(Table1[[#This Row],[Well Density]]*Table1[[#This Row],[Single Well Discovery Area]]&gt;1,1,Table1[[#This Row],[Well Density]]*Table1[[#This Row],[Single Well Discovery Area]])))</f>
        <v>0</v>
      </c>
      <c r="CM48" t="s">
        <v>158</v>
      </c>
      <c r="CN48" s="19">
        <f>Table1[[#This Row],[Mid]]</f>
        <v>0</v>
      </c>
      <c r="CO48" s="19">
        <f>Table1[[#This Row],[Mid3]]+Table1[[#This Row],[Mid6]]+Table1[[#This Row],[Mid9]]</f>
        <v>0</v>
      </c>
      <c r="CP48" s="19">
        <f>Table1[[#This Row],[Mid12]]+Table1[[#This Row],[Mid15]]+Table1[[#This Row],[Mid18]]+Table1[[#This Row],[Mid21]]+Table1[[#This Row],[Mid24]]</f>
        <v>0</v>
      </c>
      <c r="CQ48" s="19">
        <f>Table1[[#This Row],[Mid27]]+Table1[[#This Row],[Mid30]]+Table1[[#This Row],[Mid33]]+Table1[[#This Row],[Mid36]]+Table1[[#This Row],[Mid39]]</f>
        <v>5473</v>
      </c>
      <c r="CR48" t="s">
        <v>136</v>
      </c>
      <c r="CS48" s="19" t="str">
        <f>IF(AND(Table1[[#This Row],[Low41]]=0, Table1[[#This Row],[High43]]=0),"N","Y")</f>
        <v>N</v>
      </c>
    </row>
    <row r="49" spans="1:97" ht="19.5" customHeight="1" x14ac:dyDescent="0.25">
      <c r="A49">
        <v>10046</v>
      </c>
      <c r="B49" t="s">
        <v>113</v>
      </c>
      <c r="C49" t="s">
        <v>250</v>
      </c>
      <c r="D49">
        <v>-23.66111111</v>
      </c>
      <c r="E49">
        <v>142.37833330000001</v>
      </c>
      <c r="F49" t="s">
        <v>313</v>
      </c>
      <c r="G49" t="s">
        <v>230</v>
      </c>
      <c r="H49" t="s">
        <v>314</v>
      </c>
      <c r="I49" t="s">
        <v>118</v>
      </c>
      <c r="J49" t="s">
        <v>119</v>
      </c>
      <c r="K49" t="s">
        <v>190</v>
      </c>
      <c r="L49" t="s">
        <v>18</v>
      </c>
      <c r="M49" t="s">
        <v>308</v>
      </c>
      <c r="N49" s="6" t="s">
        <v>253</v>
      </c>
      <c r="O49" t="s">
        <v>288</v>
      </c>
      <c r="P49" t="s">
        <v>170</v>
      </c>
      <c r="Q49" t="s">
        <v>315</v>
      </c>
      <c r="R49" t="s">
        <v>290</v>
      </c>
      <c r="S49">
        <v>2011</v>
      </c>
      <c r="T49" t="s">
        <v>128</v>
      </c>
      <c r="U49" t="s">
        <v>173</v>
      </c>
      <c r="V49">
        <v>314383</v>
      </c>
      <c r="W49">
        <v>0</v>
      </c>
      <c r="X49">
        <v>99</v>
      </c>
      <c r="Y49">
        <v>0</v>
      </c>
      <c r="Z49">
        <v>17</v>
      </c>
      <c r="AA49">
        <v>0</v>
      </c>
      <c r="AB49">
        <v>0</v>
      </c>
      <c r="AC49">
        <v>0</v>
      </c>
      <c r="AD49">
        <v>0</v>
      </c>
      <c r="AE49">
        <v>0</v>
      </c>
      <c r="AF49">
        <v>200</v>
      </c>
      <c r="AG49">
        <v>0</v>
      </c>
      <c r="AH49" t="s">
        <v>291</v>
      </c>
      <c r="AI49">
        <v>4</v>
      </c>
      <c r="AJ49">
        <v>0</v>
      </c>
      <c r="AK49">
        <v>0</v>
      </c>
      <c r="AL49">
        <v>0</v>
      </c>
      <c r="AM49" t="s">
        <v>278</v>
      </c>
      <c r="AN49" t="s">
        <v>132</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12226</v>
      </c>
      <c r="BX49">
        <v>0</v>
      </c>
      <c r="BY49">
        <v>0</v>
      </c>
      <c r="BZ49">
        <v>0</v>
      </c>
      <c r="CA49">
        <v>0</v>
      </c>
      <c r="CB49">
        <v>0</v>
      </c>
      <c r="CC49">
        <v>0</v>
      </c>
      <c r="CD49">
        <v>0</v>
      </c>
      <c r="CE4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9" s="19">
        <f>SUM(Table1[[#This Row],[Mid39]],Table1[[#This Row],[Mid36]],Table1[[#This Row],[Mid33]],Table1[[#This Row],[Mid30]],Table1[[#This Row],[Mid27]],Table1[[#This Row],[Mid24]],Table1[[#This Row],[Mid21]],Table1[[#This Row],[Mid18]],Table1[[#This Row],[Mid15]],Table1[[#This Row],[Mid12]],Table1[[#This Row],[Mid9]],Table1[[#This Row],[Mid6]],Table1[[#This Row],[Mid3]],Table1[[#This Row],[Mid]])</f>
        <v>12226</v>
      </c>
      <c r="CG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9" t="s">
        <v>157</v>
      </c>
      <c r="CI49" t="s">
        <v>134</v>
      </c>
      <c r="CJ49" t="s">
        <v>158</v>
      </c>
      <c r="CL49" s="19">
        <f>IF(Table1[[#This Row],[Type]]="Petroleum",1,IF(ISERROR(Table1[[#This Row],[Well Density]]*Table1[[#This Row],[Single Well Discovery Area]]),"",IF(Table1[[#This Row],[Well Density]]*Table1[[#This Row],[Single Well Discovery Area]]&gt;1,1,Table1[[#This Row],[Well Density]]*Table1[[#This Row],[Single Well Discovery Area]])))</f>
        <v>0</v>
      </c>
      <c r="CM49" t="s">
        <v>158</v>
      </c>
      <c r="CN49" s="19">
        <f>Table1[[#This Row],[Mid]]</f>
        <v>0</v>
      </c>
      <c r="CO49" s="19">
        <f>Table1[[#This Row],[Mid3]]+Table1[[#This Row],[Mid6]]+Table1[[#This Row],[Mid9]]</f>
        <v>0</v>
      </c>
      <c r="CP49" s="19">
        <f>Table1[[#This Row],[Mid12]]+Table1[[#This Row],[Mid15]]+Table1[[#This Row],[Mid18]]+Table1[[#This Row],[Mid21]]+Table1[[#This Row],[Mid24]]</f>
        <v>0</v>
      </c>
      <c r="CQ49" s="19">
        <f>Table1[[#This Row],[Mid27]]+Table1[[#This Row],[Mid30]]+Table1[[#This Row],[Mid33]]+Table1[[#This Row],[Mid36]]+Table1[[#This Row],[Mid39]]</f>
        <v>12226</v>
      </c>
      <c r="CR49" t="s">
        <v>136</v>
      </c>
      <c r="CS49" s="19" t="str">
        <f>IF(AND(Table1[[#This Row],[Low41]]=0, Table1[[#This Row],[High43]]=0),"N","Y")</f>
        <v>N</v>
      </c>
    </row>
    <row r="50" spans="1:97" ht="19.5" customHeight="1" x14ac:dyDescent="0.25">
      <c r="A50">
        <v>10047</v>
      </c>
      <c r="B50" t="s">
        <v>113</v>
      </c>
      <c r="C50" t="s">
        <v>250</v>
      </c>
      <c r="D50">
        <v>-23.66111111</v>
      </c>
      <c r="E50">
        <v>142.37833330000001</v>
      </c>
      <c r="F50" t="s">
        <v>316</v>
      </c>
      <c r="G50" t="s">
        <v>230</v>
      </c>
      <c r="H50" t="s">
        <v>317</v>
      </c>
      <c r="I50" t="s">
        <v>118</v>
      </c>
      <c r="J50" t="s">
        <v>119</v>
      </c>
      <c r="K50" t="s">
        <v>190</v>
      </c>
      <c r="L50" t="s">
        <v>18</v>
      </c>
      <c r="M50" t="s">
        <v>308</v>
      </c>
      <c r="N50" s="6" t="s">
        <v>253</v>
      </c>
      <c r="O50" t="s">
        <v>288</v>
      </c>
      <c r="P50" t="s">
        <v>170</v>
      </c>
      <c r="Q50" t="s">
        <v>318</v>
      </c>
      <c r="R50" t="s">
        <v>290</v>
      </c>
      <c r="S50">
        <v>2011</v>
      </c>
      <c r="T50" t="s">
        <v>128</v>
      </c>
      <c r="U50" t="s">
        <v>173</v>
      </c>
      <c r="V50">
        <v>314383</v>
      </c>
      <c r="W50">
        <v>0</v>
      </c>
      <c r="X50">
        <v>55</v>
      </c>
      <c r="Y50">
        <v>0</v>
      </c>
      <c r="Z50">
        <v>12</v>
      </c>
      <c r="AA50">
        <v>0</v>
      </c>
      <c r="AB50">
        <v>0</v>
      </c>
      <c r="AC50">
        <v>0</v>
      </c>
      <c r="AD50">
        <v>0</v>
      </c>
      <c r="AE50">
        <v>0</v>
      </c>
      <c r="AF50">
        <v>200</v>
      </c>
      <c r="AG50">
        <v>0</v>
      </c>
      <c r="AH50" t="s">
        <v>291</v>
      </c>
      <c r="AI50">
        <v>4</v>
      </c>
      <c r="AJ50">
        <v>0</v>
      </c>
      <c r="AK50">
        <v>0</v>
      </c>
      <c r="AL50">
        <v>0</v>
      </c>
      <c r="AM50" t="s">
        <v>278</v>
      </c>
      <c r="AN50" t="s">
        <v>132</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2081</v>
      </c>
      <c r="BX50">
        <v>0</v>
      </c>
      <c r="BY50">
        <v>0</v>
      </c>
      <c r="BZ50">
        <v>0</v>
      </c>
      <c r="CA50">
        <v>0</v>
      </c>
      <c r="CB50">
        <v>0</v>
      </c>
      <c r="CC50">
        <v>0</v>
      </c>
      <c r="CD50">
        <v>0</v>
      </c>
      <c r="CE5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0" s="19">
        <f>SUM(Table1[[#This Row],[Mid39]],Table1[[#This Row],[Mid36]],Table1[[#This Row],[Mid33]],Table1[[#This Row],[Mid30]],Table1[[#This Row],[Mid27]],Table1[[#This Row],[Mid24]],Table1[[#This Row],[Mid21]],Table1[[#This Row],[Mid18]],Table1[[#This Row],[Mid15]],Table1[[#This Row],[Mid12]],Table1[[#This Row],[Mid9]],Table1[[#This Row],[Mid6]],Table1[[#This Row],[Mid3]],Table1[[#This Row],[Mid]])</f>
        <v>2081</v>
      </c>
      <c r="CG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0" t="s">
        <v>157</v>
      </c>
      <c r="CI50" t="s">
        <v>134</v>
      </c>
      <c r="CJ50" t="s">
        <v>158</v>
      </c>
      <c r="CL50" s="19">
        <f>IF(Table1[[#This Row],[Type]]="Petroleum",1,IF(ISERROR(Table1[[#This Row],[Well Density]]*Table1[[#This Row],[Single Well Discovery Area]]),"",IF(Table1[[#This Row],[Well Density]]*Table1[[#This Row],[Single Well Discovery Area]]&gt;1,1,Table1[[#This Row],[Well Density]]*Table1[[#This Row],[Single Well Discovery Area]])))</f>
        <v>0</v>
      </c>
      <c r="CM50" t="s">
        <v>158</v>
      </c>
      <c r="CN50" s="19">
        <f>Table1[[#This Row],[Mid]]</f>
        <v>0</v>
      </c>
      <c r="CO50" s="19">
        <f>Table1[[#This Row],[Mid3]]+Table1[[#This Row],[Mid6]]+Table1[[#This Row],[Mid9]]</f>
        <v>0</v>
      </c>
      <c r="CP50" s="19">
        <f>Table1[[#This Row],[Mid12]]+Table1[[#This Row],[Mid15]]+Table1[[#This Row],[Mid18]]+Table1[[#This Row],[Mid21]]+Table1[[#This Row],[Mid24]]</f>
        <v>0</v>
      </c>
      <c r="CQ50" s="19">
        <f>Table1[[#This Row],[Mid27]]+Table1[[#This Row],[Mid30]]+Table1[[#This Row],[Mid33]]+Table1[[#This Row],[Mid36]]+Table1[[#This Row],[Mid39]]</f>
        <v>2081</v>
      </c>
      <c r="CR50" t="s">
        <v>136</v>
      </c>
      <c r="CS50" s="19" t="str">
        <f>IF(AND(Table1[[#This Row],[Low41]]=0, Table1[[#This Row],[High43]]=0),"N","Y")</f>
        <v>N</v>
      </c>
    </row>
    <row r="51" spans="1:97" ht="19.5" customHeight="1" x14ac:dyDescent="0.25">
      <c r="A51">
        <v>10048</v>
      </c>
      <c r="B51" t="s">
        <v>113</v>
      </c>
      <c r="C51" t="s">
        <v>250</v>
      </c>
      <c r="D51">
        <v>-23.66111111</v>
      </c>
      <c r="E51">
        <v>142.37833330000001</v>
      </c>
      <c r="F51" t="s">
        <v>319</v>
      </c>
      <c r="G51" t="s">
        <v>230</v>
      </c>
      <c r="H51" t="s">
        <v>320</v>
      </c>
      <c r="I51" t="s">
        <v>118</v>
      </c>
      <c r="J51" t="s">
        <v>119</v>
      </c>
      <c r="K51" t="s">
        <v>190</v>
      </c>
      <c r="L51" t="s">
        <v>18</v>
      </c>
      <c r="M51" t="s">
        <v>308</v>
      </c>
      <c r="N51" s="6" t="s">
        <v>253</v>
      </c>
      <c r="O51" t="s">
        <v>288</v>
      </c>
      <c r="P51" t="s">
        <v>170</v>
      </c>
      <c r="Q51" t="s">
        <v>321</v>
      </c>
      <c r="R51" t="s">
        <v>290</v>
      </c>
      <c r="S51">
        <v>2011</v>
      </c>
      <c r="T51" t="s">
        <v>128</v>
      </c>
      <c r="U51" t="s">
        <v>173</v>
      </c>
      <c r="V51">
        <v>314383</v>
      </c>
      <c r="W51">
        <v>0</v>
      </c>
      <c r="X51">
        <v>10</v>
      </c>
      <c r="Y51">
        <v>0</v>
      </c>
      <c r="Z51">
        <v>21.8</v>
      </c>
      <c r="AA51">
        <v>0</v>
      </c>
      <c r="AB51">
        <v>0</v>
      </c>
      <c r="AC51">
        <v>0</v>
      </c>
      <c r="AD51">
        <v>0</v>
      </c>
      <c r="AE51">
        <v>0</v>
      </c>
      <c r="AF51">
        <v>200</v>
      </c>
      <c r="AG51">
        <v>0</v>
      </c>
      <c r="AH51" t="s">
        <v>291</v>
      </c>
      <c r="AI51">
        <v>4</v>
      </c>
      <c r="AJ51">
        <v>0</v>
      </c>
      <c r="AK51">
        <v>0</v>
      </c>
      <c r="AL51">
        <v>0</v>
      </c>
      <c r="AM51" t="s">
        <v>278</v>
      </c>
      <c r="AN51" t="s">
        <v>132</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20159</v>
      </c>
      <c r="BX51">
        <v>0</v>
      </c>
      <c r="BY51">
        <v>0</v>
      </c>
      <c r="BZ51">
        <v>0</v>
      </c>
      <c r="CA51">
        <v>0</v>
      </c>
      <c r="CB51">
        <v>0</v>
      </c>
      <c r="CC51">
        <v>0</v>
      </c>
      <c r="CD51">
        <v>0</v>
      </c>
      <c r="CE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1" s="19">
        <f>SUM(Table1[[#This Row],[Mid39]],Table1[[#This Row],[Mid36]],Table1[[#This Row],[Mid33]],Table1[[#This Row],[Mid30]],Table1[[#This Row],[Mid27]],Table1[[#This Row],[Mid24]],Table1[[#This Row],[Mid21]],Table1[[#This Row],[Mid18]],Table1[[#This Row],[Mid15]],Table1[[#This Row],[Mid12]],Table1[[#This Row],[Mid9]],Table1[[#This Row],[Mid6]],Table1[[#This Row],[Mid3]],Table1[[#This Row],[Mid]])</f>
        <v>20159</v>
      </c>
      <c r="CG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1" t="s">
        <v>157</v>
      </c>
      <c r="CI51" t="s">
        <v>134</v>
      </c>
      <c r="CJ51" t="s">
        <v>158</v>
      </c>
      <c r="CL51" s="19">
        <f>IF(Table1[[#This Row],[Type]]="Petroleum",1,IF(ISERROR(Table1[[#This Row],[Well Density]]*Table1[[#This Row],[Single Well Discovery Area]]),"",IF(Table1[[#This Row],[Well Density]]*Table1[[#This Row],[Single Well Discovery Area]]&gt;1,1,Table1[[#This Row],[Well Density]]*Table1[[#This Row],[Single Well Discovery Area]])))</f>
        <v>0</v>
      </c>
      <c r="CM51" t="s">
        <v>158</v>
      </c>
      <c r="CN51" s="19">
        <f>Table1[[#This Row],[Mid]]</f>
        <v>0</v>
      </c>
      <c r="CO51" s="19">
        <f>Table1[[#This Row],[Mid3]]+Table1[[#This Row],[Mid6]]+Table1[[#This Row],[Mid9]]</f>
        <v>0</v>
      </c>
      <c r="CP51" s="19">
        <f>Table1[[#This Row],[Mid12]]+Table1[[#This Row],[Mid15]]+Table1[[#This Row],[Mid18]]+Table1[[#This Row],[Mid21]]+Table1[[#This Row],[Mid24]]</f>
        <v>0</v>
      </c>
      <c r="CQ51" s="19">
        <f>Table1[[#This Row],[Mid27]]+Table1[[#This Row],[Mid30]]+Table1[[#This Row],[Mid33]]+Table1[[#This Row],[Mid36]]+Table1[[#This Row],[Mid39]]</f>
        <v>20159</v>
      </c>
      <c r="CR51" t="s">
        <v>136</v>
      </c>
      <c r="CS51" s="19" t="str">
        <f>IF(AND(Table1[[#This Row],[Low41]]=0, Table1[[#This Row],[High43]]=0),"N","Y")</f>
        <v>N</v>
      </c>
    </row>
    <row r="52" spans="1:97" ht="19.5" customHeight="1" x14ac:dyDescent="0.25">
      <c r="A52">
        <v>10049</v>
      </c>
      <c r="B52" t="s">
        <v>113</v>
      </c>
      <c r="C52" t="s">
        <v>250</v>
      </c>
      <c r="D52">
        <v>-25.365555560000001</v>
      </c>
      <c r="E52">
        <v>145.26833329999999</v>
      </c>
      <c r="F52" t="s">
        <v>322</v>
      </c>
      <c r="G52" t="s">
        <v>234</v>
      </c>
      <c r="H52" t="s">
        <v>323</v>
      </c>
      <c r="I52" t="s">
        <v>118</v>
      </c>
      <c r="J52" t="s">
        <v>119</v>
      </c>
      <c r="K52" t="s">
        <v>190</v>
      </c>
      <c r="L52" t="s">
        <v>18</v>
      </c>
      <c r="M52" t="s">
        <v>324</v>
      </c>
      <c r="N52" s="6" t="s">
        <v>253</v>
      </c>
      <c r="O52" t="s">
        <v>288</v>
      </c>
      <c r="P52" t="s">
        <v>170</v>
      </c>
      <c r="Q52" t="s">
        <v>325</v>
      </c>
      <c r="R52" t="s">
        <v>326</v>
      </c>
      <c r="S52">
        <v>2011</v>
      </c>
      <c r="T52" t="s">
        <v>128</v>
      </c>
      <c r="U52" t="s">
        <v>173</v>
      </c>
      <c r="V52">
        <v>12344</v>
      </c>
      <c r="W52">
        <v>0</v>
      </c>
      <c r="X52">
        <v>54</v>
      </c>
      <c r="Y52">
        <v>0</v>
      </c>
      <c r="Z52">
        <v>14.8</v>
      </c>
      <c r="AA52">
        <v>0</v>
      </c>
      <c r="AB52">
        <v>0</v>
      </c>
      <c r="AC52">
        <v>0</v>
      </c>
      <c r="AD52">
        <v>0</v>
      </c>
      <c r="AE52">
        <v>0</v>
      </c>
      <c r="AF52">
        <v>200</v>
      </c>
      <c r="AG52">
        <v>0</v>
      </c>
      <c r="AH52" t="s">
        <v>291</v>
      </c>
      <c r="AI52">
        <v>4</v>
      </c>
      <c r="AJ52">
        <v>0</v>
      </c>
      <c r="AK52">
        <v>0</v>
      </c>
      <c r="AL52">
        <v>0</v>
      </c>
      <c r="AM52" t="s">
        <v>278</v>
      </c>
      <c r="AN52" t="s">
        <v>132</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594</v>
      </c>
      <c r="BX52">
        <v>0</v>
      </c>
      <c r="BY52">
        <v>0</v>
      </c>
      <c r="BZ52">
        <v>0</v>
      </c>
      <c r="CA52">
        <v>0</v>
      </c>
      <c r="CB52">
        <v>0</v>
      </c>
      <c r="CC52">
        <v>0</v>
      </c>
      <c r="CD52">
        <v>0</v>
      </c>
      <c r="CE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2" s="19">
        <f>SUM(Table1[[#This Row],[Mid39]],Table1[[#This Row],[Mid36]],Table1[[#This Row],[Mid33]],Table1[[#This Row],[Mid30]],Table1[[#This Row],[Mid27]],Table1[[#This Row],[Mid24]],Table1[[#This Row],[Mid21]],Table1[[#This Row],[Mid18]],Table1[[#This Row],[Mid15]],Table1[[#This Row],[Mid12]],Table1[[#This Row],[Mid9]],Table1[[#This Row],[Mid6]],Table1[[#This Row],[Mid3]],Table1[[#This Row],[Mid]])</f>
        <v>594</v>
      </c>
      <c r="CG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2" t="s">
        <v>157</v>
      </c>
      <c r="CI52" t="s">
        <v>134</v>
      </c>
      <c r="CJ52" t="s">
        <v>158</v>
      </c>
      <c r="CL52" s="19">
        <f>IF(Table1[[#This Row],[Type]]="Petroleum",1,IF(ISERROR(Table1[[#This Row],[Well Density]]*Table1[[#This Row],[Single Well Discovery Area]]),"",IF(Table1[[#This Row],[Well Density]]*Table1[[#This Row],[Single Well Discovery Area]]&gt;1,1,Table1[[#This Row],[Well Density]]*Table1[[#This Row],[Single Well Discovery Area]])))</f>
        <v>0</v>
      </c>
      <c r="CM52" t="s">
        <v>158</v>
      </c>
      <c r="CN52" s="19">
        <f>Table1[[#This Row],[Mid]]</f>
        <v>0</v>
      </c>
      <c r="CO52" s="19">
        <f>Table1[[#This Row],[Mid3]]+Table1[[#This Row],[Mid6]]+Table1[[#This Row],[Mid9]]</f>
        <v>0</v>
      </c>
      <c r="CP52" s="19">
        <f>Table1[[#This Row],[Mid12]]+Table1[[#This Row],[Mid15]]+Table1[[#This Row],[Mid18]]+Table1[[#This Row],[Mid21]]+Table1[[#This Row],[Mid24]]</f>
        <v>0</v>
      </c>
      <c r="CQ52" s="19">
        <f>Table1[[#This Row],[Mid27]]+Table1[[#This Row],[Mid30]]+Table1[[#This Row],[Mid33]]+Table1[[#This Row],[Mid36]]+Table1[[#This Row],[Mid39]]</f>
        <v>594</v>
      </c>
      <c r="CR52" t="s">
        <v>136</v>
      </c>
      <c r="CS52" s="19" t="str">
        <f>IF(AND(Table1[[#This Row],[Low41]]=0, Table1[[#This Row],[High43]]=0),"N","Y")</f>
        <v>N</v>
      </c>
    </row>
    <row r="53" spans="1:97" ht="19.5" customHeight="1" x14ac:dyDescent="0.25">
      <c r="A53">
        <v>10050</v>
      </c>
      <c r="B53" t="s">
        <v>113</v>
      </c>
      <c r="C53" t="s">
        <v>250</v>
      </c>
      <c r="D53">
        <v>-25.365555560000001</v>
      </c>
      <c r="E53">
        <v>145.26833329999999</v>
      </c>
      <c r="F53" t="s">
        <v>327</v>
      </c>
      <c r="G53" t="s">
        <v>234</v>
      </c>
      <c r="H53" t="s">
        <v>328</v>
      </c>
      <c r="I53" t="s">
        <v>118</v>
      </c>
      <c r="J53" t="s">
        <v>119</v>
      </c>
      <c r="K53" t="s">
        <v>190</v>
      </c>
      <c r="L53" t="s">
        <v>18</v>
      </c>
      <c r="M53" t="s">
        <v>329</v>
      </c>
      <c r="N53" s="6" t="s">
        <v>253</v>
      </c>
      <c r="O53" t="s">
        <v>288</v>
      </c>
      <c r="P53" t="s">
        <v>170</v>
      </c>
      <c r="Q53" t="s">
        <v>330</v>
      </c>
      <c r="R53" t="s">
        <v>326</v>
      </c>
      <c r="S53">
        <v>2011</v>
      </c>
      <c r="T53" t="s">
        <v>128</v>
      </c>
      <c r="U53" t="s">
        <v>173</v>
      </c>
      <c r="V53">
        <v>4616</v>
      </c>
      <c r="W53">
        <v>0</v>
      </c>
      <c r="X53">
        <v>247</v>
      </c>
      <c r="Y53">
        <v>0</v>
      </c>
      <c r="Z53">
        <v>19.399999999999999</v>
      </c>
      <c r="AA53">
        <v>0</v>
      </c>
      <c r="AB53">
        <v>0</v>
      </c>
      <c r="AC53">
        <v>0</v>
      </c>
      <c r="AD53">
        <v>0</v>
      </c>
      <c r="AE53">
        <v>0</v>
      </c>
      <c r="AF53">
        <v>200</v>
      </c>
      <c r="AG53">
        <v>0</v>
      </c>
      <c r="AH53" t="s">
        <v>291</v>
      </c>
      <c r="AI53">
        <v>4</v>
      </c>
      <c r="AJ53">
        <v>0</v>
      </c>
      <c r="AK53">
        <v>0</v>
      </c>
      <c r="AL53">
        <v>0</v>
      </c>
      <c r="AM53" t="s">
        <v>278</v>
      </c>
      <c r="AN53" t="s">
        <v>132</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534</v>
      </c>
      <c r="BX53">
        <v>0</v>
      </c>
      <c r="BY53">
        <v>0</v>
      </c>
      <c r="BZ53">
        <v>0</v>
      </c>
      <c r="CA53">
        <v>0</v>
      </c>
      <c r="CB53">
        <v>0</v>
      </c>
      <c r="CC53">
        <v>0</v>
      </c>
      <c r="CD53">
        <v>0</v>
      </c>
      <c r="CE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3" s="19">
        <f>SUM(Table1[[#This Row],[Mid39]],Table1[[#This Row],[Mid36]],Table1[[#This Row],[Mid33]],Table1[[#This Row],[Mid30]],Table1[[#This Row],[Mid27]],Table1[[#This Row],[Mid24]],Table1[[#This Row],[Mid21]],Table1[[#This Row],[Mid18]],Table1[[#This Row],[Mid15]],Table1[[#This Row],[Mid12]],Table1[[#This Row],[Mid9]],Table1[[#This Row],[Mid6]],Table1[[#This Row],[Mid3]],Table1[[#This Row],[Mid]])</f>
        <v>534</v>
      </c>
      <c r="CG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3" t="s">
        <v>157</v>
      </c>
      <c r="CI53" t="s">
        <v>134</v>
      </c>
      <c r="CJ53" t="s">
        <v>158</v>
      </c>
      <c r="CL53" s="19">
        <f>IF(Table1[[#This Row],[Type]]="Petroleum",1,IF(ISERROR(Table1[[#This Row],[Well Density]]*Table1[[#This Row],[Single Well Discovery Area]]),"",IF(Table1[[#This Row],[Well Density]]*Table1[[#This Row],[Single Well Discovery Area]]&gt;1,1,Table1[[#This Row],[Well Density]]*Table1[[#This Row],[Single Well Discovery Area]])))</f>
        <v>0</v>
      </c>
      <c r="CM53" t="s">
        <v>158</v>
      </c>
      <c r="CN53" s="19">
        <f>Table1[[#This Row],[Mid]]</f>
        <v>0</v>
      </c>
      <c r="CO53" s="19">
        <f>Table1[[#This Row],[Mid3]]+Table1[[#This Row],[Mid6]]+Table1[[#This Row],[Mid9]]</f>
        <v>0</v>
      </c>
      <c r="CP53" s="19">
        <f>Table1[[#This Row],[Mid12]]+Table1[[#This Row],[Mid15]]+Table1[[#This Row],[Mid18]]+Table1[[#This Row],[Mid21]]+Table1[[#This Row],[Mid24]]</f>
        <v>0</v>
      </c>
      <c r="CQ53" s="19">
        <f>Table1[[#This Row],[Mid27]]+Table1[[#This Row],[Mid30]]+Table1[[#This Row],[Mid33]]+Table1[[#This Row],[Mid36]]+Table1[[#This Row],[Mid39]]</f>
        <v>534</v>
      </c>
      <c r="CR53" t="s">
        <v>136</v>
      </c>
      <c r="CS53" s="19" t="str">
        <f>IF(AND(Table1[[#This Row],[Low41]]=0, Table1[[#This Row],[High43]]=0),"N","Y")</f>
        <v>N</v>
      </c>
    </row>
    <row r="54" spans="1:97" ht="19.5" customHeight="1" x14ac:dyDescent="0.25">
      <c r="A54">
        <v>10051</v>
      </c>
      <c r="B54" t="s">
        <v>113</v>
      </c>
      <c r="C54" t="s">
        <v>250</v>
      </c>
      <c r="D54">
        <v>-25.365555560000001</v>
      </c>
      <c r="E54">
        <v>145.26833329999999</v>
      </c>
      <c r="F54" t="s">
        <v>331</v>
      </c>
      <c r="G54" t="s">
        <v>234</v>
      </c>
      <c r="H54" t="s">
        <v>328</v>
      </c>
      <c r="I54" t="s">
        <v>118</v>
      </c>
      <c r="J54" t="s">
        <v>119</v>
      </c>
      <c r="K54" t="s">
        <v>190</v>
      </c>
      <c r="L54" t="s">
        <v>18</v>
      </c>
      <c r="M54" t="s">
        <v>329</v>
      </c>
      <c r="N54" s="6" t="s">
        <v>253</v>
      </c>
      <c r="O54" t="s">
        <v>288</v>
      </c>
      <c r="P54" t="s">
        <v>170</v>
      </c>
      <c r="Q54" t="s">
        <v>332</v>
      </c>
      <c r="R54" t="s">
        <v>326</v>
      </c>
      <c r="S54">
        <v>2011</v>
      </c>
      <c r="T54" t="s">
        <v>128</v>
      </c>
      <c r="U54" t="s">
        <v>173</v>
      </c>
      <c r="V54">
        <v>22106</v>
      </c>
      <c r="W54">
        <v>0</v>
      </c>
      <c r="X54">
        <v>129.5</v>
      </c>
      <c r="Y54">
        <v>0</v>
      </c>
      <c r="Z54">
        <v>20.7</v>
      </c>
      <c r="AA54">
        <v>0</v>
      </c>
      <c r="AB54">
        <v>0</v>
      </c>
      <c r="AC54">
        <v>0</v>
      </c>
      <c r="AD54">
        <v>0</v>
      </c>
      <c r="AE54">
        <v>0</v>
      </c>
      <c r="AF54">
        <v>200</v>
      </c>
      <c r="AG54">
        <v>0</v>
      </c>
      <c r="AH54" t="s">
        <v>291</v>
      </c>
      <c r="AI54">
        <v>4</v>
      </c>
      <c r="AJ54">
        <v>0</v>
      </c>
      <c r="AK54">
        <v>0</v>
      </c>
      <c r="AL54">
        <v>0</v>
      </c>
      <c r="AM54" t="s">
        <v>278</v>
      </c>
      <c r="AN54" t="s">
        <v>132</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982</v>
      </c>
      <c r="BX54">
        <v>0</v>
      </c>
      <c r="BY54">
        <v>0</v>
      </c>
      <c r="BZ54">
        <v>0</v>
      </c>
      <c r="CA54">
        <v>0</v>
      </c>
      <c r="CB54">
        <v>0</v>
      </c>
      <c r="CC54">
        <v>0</v>
      </c>
      <c r="CD54">
        <v>0</v>
      </c>
      <c r="CE5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4" s="19">
        <f>SUM(Table1[[#This Row],[Mid39]],Table1[[#This Row],[Mid36]],Table1[[#This Row],[Mid33]],Table1[[#This Row],[Mid30]],Table1[[#This Row],[Mid27]],Table1[[#This Row],[Mid24]],Table1[[#This Row],[Mid21]],Table1[[#This Row],[Mid18]],Table1[[#This Row],[Mid15]],Table1[[#This Row],[Mid12]],Table1[[#This Row],[Mid9]],Table1[[#This Row],[Mid6]],Table1[[#This Row],[Mid3]],Table1[[#This Row],[Mid]])</f>
        <v>982</v>
      </c>
      <c r="CG5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4" t="s">
        <v>157</v>
      </c>
      <c r="CI54" t="s">
        <v>134</v>
      </c>
      <c r="CJ54" t="s">
        <v>158</v>
      </c>
      <c r="CL54" s="19">
        <f>IF(Table1[[#This Row],[Type]]="Petroleum",1,IF(ISERROR(Table1[[#This Row],[Well Density]]*Table1[[#This Row],[Single Well Discovery Area]]),"",IF(Table1[[#This Row],[Well Density]]*Table1[[#This Row],[Single Well Discovery Area]]&gt;1,1,Table1[[#This Row],[Well Density]]*Table1[[#This Row],[Single Well Discovery Area]])))</f>
        <v>0</v>
      </c>
      <c r="CM54" t="s">
        <v>158</v>
      </c>
      <c r="CN54" s="19">
        <f>Table1[[#This Row],[Mid]]</f>
        <v>0</v>
      </c>
      <c r="CO54" s="19">
        <f>Table1[[#This Row],[Mid3]]+Table1[[#This Row],[Mid6]]+Table1[[#This Row],[Mid9]]</f>
        <v>0</v>
      </c>
      <c r="CP54" s="19">
        <f>Table1[[#This Row],[Mid12]]+Table1[[#This Row],[Mid15]]+Table1[[#This Row],[Mid18]]+Table1[[#This Row],[Mid21]]+Table1[[#This Row],[Mid24]]</f>
        <v>0</v>
      </c>
      <c r="CQ54" s="19">
        <f>Table1[[#This Row],[Mid27]]+Table1[[#This Row],[Mid30]]+Table1[[#This Row],[Mid33]]+Table1[[#This Row],[Mid36]]+Table1[[#This Row],[Mid39]]</f>
        <v>982</v>
      </c>
      <c r="CR54" t="s">
        <v>136</v>
      </c>
      <c r="CS54" s="19" t="str">
        <f>IF(AND(Table1[[#This Row],[Low41]]=0, Table1[[#This Row],[High43]]=0),"N","Y")</f>
        <v>N</v>
      </c>
    </row>
    <row r="55" spans="1:97" ht="19.5" customHeight="1" x14ac:dyDescent="0.25">
      <c r="A55">
        <v>10052</v>
      </c>
      <c r="B55" t="s">
        <v>113</v>
      </c>
      <c r="C55" t="s">
        <v>250</v>
      </c>
      <c r="D55">
        <v>-25.365555560000001</v>
      </c>
      <c r="E55">
        <v>145.26833329999999</v>
      </c>
      <c r="F55" t="s">
        <v>333</v>
      </c>
      <c r="G55" t="s">
        <v>234</v>
      </c>
      <c r="H55" t="s">
        <v>334</v>
      </c>
      <c r="I55" t="s">
        <v>118</v>
      </c>
      <c r="J55" t="s">
        <v>119</v>
      </c>
      <c r="K55" t="s">
        <v>190</v>
      </c>
      <c r="L55" t="s">
        <v>18</v>
      </c>
      <c r="M55" t="s">
        <v>324</v>
      </c>
      <c r="N55" s="6" t="s">
        <v>253</v>
      </c>
      <c r="O55" t="s">
        <v>288</v>
      </c>
      <c r="P55" t="s">
        <v>170</v>
      </c>
      <c r="Q55" t="s">
        <v>335</v>
      </c>
      <c r="R55" t="s">
        <v>326</v>
      </c>
      <c r="S55">
        <v>2011</v>
      </c>
      <c r="T55" t="s">
        <v>128</v>
      </c>
      <c r="U55" t="s">
        <v>173</v>
      </c>
      <c r="V55">
        <v>25191</v>
      </c>
      <c r="W55">
        <v>0</v>
      </c>
      <c r="X55">
        <v>21</v>
      </c>
      <c r="Y55">
        <v>0</v>
      </c>
      <c r="Z55">
        <v>20.399999999999999</v>
      </c>
      <c r="AA55">
        <v>0</v>
      </c>
      <c r="AB55">
        <v>0</v>
      </c>
      <c r="AC55">
        <v>0</v>
      </c>
      <c r="AD55">
        <v>0</v>
      </c>
      <c r="AE55">
        <v>0</v>
      </c>
      <c r="AF55">
        <v>200</v>
      </c>
      <c r="AG55">
        <v>0</v>
      </c>
      <c r="AH55" t="s">
        <v>291</v>
      </c>
      <c r="AI55">
        <v>4</v>
      </c>
      <c r="AJ55">
        <v>0</v>
      </c>
      <c r="AK55">
        <v>0</v>
      </c>
      <c r="AL55">
        <v>0</v>
      </c>
      <c r="AM55" t="s">
        <v>278</v>
      </c>
      <c r="AN55" t="s">
        <v>132</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1320</v>
      </c>
      <c r="BX55">
        <v>0</v>
      </c>
      <c r="BY55">
        <v>0</v>
      </c>
      <c r="BZ55">
        <v>0</v>
      </c>
      <c r="CA55">
        <v>0</v>
      </c>
      <c r="CB55">
        <v>0</v>
      </c>
      <c r="CC55">
        <v>0</v>
      </c>
      <c r="CD55">
        <v>0</v>
      </c>
      <c r="CE5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5" s="19">
        <f>SUM(Table1[[#This Row],[Mid39]],Table1[[#This Row],[Mid36]],Table1[[#This Row],[Mid33]],Table1[[#This Row],[Mid30]],Table1[[#This Row],[Mid27]],Table1[[#This Row],[Mid24]],Table1[[#This Row],[Mid21]],Table1[[#This Row],[Mid18]],Table1[[#This Row],[Mid15]],Table1[[#This Row],[Mid12]],Table1[[#This Row],[Mid9]],Table1[[#This Row],[Mid6]],Table1[[#This Row],[Mid3]],Table1[[#This Row],[Mid]])</f>
        <v>1320</v>
      </c>
      <c r="CG5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5" t="s">
        <v>157</v>
      </c>
      <c r="CI55" t="s">
        <v>134</v>
      </c>
      <c r="CJ55" t="s">
        <v>158</v>
      </c>
      <c r="CL55" s="19">
        <f>IF(Table1[[#This Row],[Type]]="Petroleum",1,IF(ISERROR(Table1[[#This Row],[Well Density]]*Table1[[#This Row],[Single Well Discovery Area]]),"",IF(Table1[[#This Row],[Well Density]]*Table1[[#This Row],[Single Well Discovery Area]]&gt;1,1,Table1[[#This Row],[Well Density]]*Table1[[#This Row],[Single Well Discovery Area]])))</f>
        <v>0</v>
      </c>
      <c r="CM55" t="s">
        <v>158</v>
      </c>
      <c r="CN55" s="19">
        <f>Table1[[#This Row],[Mid]]</f>
        <v>0</v>
      </c>
      <c r="CO55" s="19">
        <f>Table1[[#This Row],[Mid3]]+Table1[[#This Row],[Mid6]]+Table1[[#This Row],[Mid9]]</f>
        <v>0</v>
      </c>
      <c r="CP55" s="19">
        <f>Table1[[#This Row],[Mid12]]+Table1[[#This Row],[Mid15]]+Table1[[#This Row],[Mid18]]+Table1[[#This Row],[Mid21]]+Table1[[#This Row],[Mid24]]</f>
        <v>0</v>
      </c>
      <c r="CQ55" s="19">
        <f>Table1[[#This Row],[Mid27]]+Table1[[#This Row],[Mid30]]+Table1[[#This Row],[Mid33]]+Table1[[#This Row],[Mid36]]+Table1[[#This Row],[Mid39]]</f>
        <v>1320</v>
      </c>
      <c r="CR55" t="s">
        <v>136</v>
      </c>
      <c r="CS55" s="19" t="str">
        <f>IF(AND(Table1[[#This Row],[Low41]]=0, Table1[[#This Row],[High43]]=0),"N","Y")</f>
        <v>N</v>
      </c>
    </row>
    <row r="56" spans="1:97" ht="19.5" customHeight="1" x14ac:dyDescent="0.25">
      <c r="A56">
        <v>10053</v>
      </c>
      <c r="B56" t="s">
        <v>113</v>
      </c>
      <c r="C56" t="s">
        <v>250</v>
      </c>
      <c r="D56">
        <v>-26.50222222</v>
      </c>
      <c r="E56">
        <v>149.69416670000001</v>
      </c>
      <c r="F56" t="s">
        <v>336</v>
      </c>
      <c r="G56" t="s">
        <v>225</v>
      </c>
      <c r="H56" t="s">
        <v>337</v>
      </c>
      <c r="I56" t="s">
        <v>118</v>
      </c>
      <c r="J56" t="s">
        <v>119</v>
      </c>
      <c r="K56" t="s">
        <v>190</v>
      </c>
      <c r="L56" t="s">
        <v>18</v>
      </c>
      <c r="M56" t="s">
        <v>338</v>
      </c>
      <c r="N56" s="6" t="s">
        <v>339</v>
      </c>
      <c r="O56" t="s">
        <v>340</v>
      </c>
      <c r="P56" t="s">
        <v>341</v>
      </c>
      <c r="Q56" t="s">
        <v>342</v>
      </c>
      <c r="R56" t="s">
        <v>343</v>
      </c>
      <c r="S56">
        <v>2013</v>
      </c>
      <c r="T56" t="s">
        <v>128</v>
      </c>
      <c r="U56" t="s">
        <v>173</v>
      </c>
      <c r="V56">
        <v>2100</v>
      </c>
      <c r="W56">
        <v>1487</v>
      </c>
      <c r="X56">
        <v>68</v>
      </c>
      <c r="Y56">
        <v>0</v>
      </c>
      <c r="Z56">
        <v>0</v>
      </c>
      <c r="AA56">
        <v>0</v>
      </c>
      <c r="AB56">
        <v>0</v>
      </c>
      <c r="AC56">
        <v>0</v>
      </c>
      <c r="AD56">
        <v>0</v>
      </c>
      <c r="AE56">
        <v>0</v>
      </c>
      <c r="AF56">
        <v>200</v>
      </c>
      <c r="AG56">
        <v>0</v>
      </c>
      <c r="AH56" t="s">
        <v>130</v>
      </c>
      <c r="AI56">
        <v>0</v>
      </c>
      <c r="AJ56">
        <v>0</v>
      </c>
      <c r="AK56">
        <v>0</v>
      </c>
      <c r="AL56">
        <v>0</v>
      </c>
      <c r="AM56" t="s">
        <v>268</v>
      </c>
      <c r="AN56" t="s">
        <v>132</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60</v>
      </c>
      <c r="BQ56">
        <v>75</v>
      </c>
      <c r="BR56">
        <v>90</v>
      </c>
      <c r="BS56">
        <v>0</v>
      </c>
      <c r="BT56">
        <v>0</v>
      </c>
      <c r="BU56">
        <v>0</v>
      </c>
      <c r="BV56">
        <v>0</v>
      </c>
      <c r="BW56">
        <v>0</v>
      </c>
      <c r="BX56">
        <v>0</v>
      </c>
      <c r="BY56">
        <v>0</v>
      </c>
      <c r="BZ56">
        <v>0</v>
      </c>
      <c r="CA56">
        <v>0</v>
      </c>
      <c r="CB56">
        <v>0</v>
      </c>
      <c r="CC56">
        <v>0</v>
      </c>
      <c r="CD56">
        <v>0</v>
      </c>
      <c r="CE56" s="19">
        <f>SUM(Table1[[#This Row],[Low38]],Table1[[#This Row],[Low35]],Table1[[#This Row],[Low32]],Table1[[#This Row],[Low29]],Table1[[#This Row],[Low26]],Table1[[#This Row],[Low23]],Table1[[#This Row],[Low20]],Table1[[#This Row],[Low17]],Table1[[#This Row],[Low14]],Table1[[#This Row],[Low11]],Table1[[#This Row],[Low8]],Table1[[#This Row],[Low5]],Table1[[#This Row],[Low2]],Table1[[#This Row],[Low]])</f>
        <v>60</v>
      </c>
      <c r="CF56" s="19">
        <f>SUM(Table1[[#This Row],[Mid39]],Table1[[#This Row],[Mid36]],Table1[[#This Row],[Mid33]],Table1[[#This Row],[Mid30]],Table1[[#This Row],[Mid27]],Table1[[#This Row],[Mid24]],Table1[[#This Row],[Mid21]],Table1[[#This Row],[Mid18]],Table1[[#This Row],[Mid15]],Table1[[#This Row],[Mid12]],Table1[[#This Row],[Mid9]],Table1[[#This Row],[Mid6]],Table1[[#This Row],[Mid3]],Table1[[#This Row],[Mid]])</f>
        <v>75</v>
      </c>
      <c r="CG5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90</v>
      </c>
      <c r="CH56" t="s">
        <v>157</v>
      </c>
      <c r="CI56" t="s">
        <v>134</v>
      </c>
      <c r="CJ56" t="s">
        <v>135</v>
      </c>
      <c r="CL56" s="19">
        <f>IF(Table1[[#This Row],[Type]]="Petroleum",1,IF(ISERROR(Table1[[#This Row],[Well Density]]*Table1[[#This Row],[Single Well Discovery Area]]),"",IF(Table1[[#This Row],[Well Density]]*Table1[[#This Row],[Single Well Discovery Area]]&gt;1,1,Table1[[#This Row],[Well Density]]*Table1[[#This Row],[Single Well Discovery Area]])))</f>
        <v>0</v>
      </c>
      <c r="CM56" t="s">
        <v>135</v>
      </c>
      <c r="CN56" s="19">
        <f>Table1[[#This Row],[Mid]]</f>
        <v>0</v>
      </c>
      <c r="CO56" s="19">
        <f>Table1[[#This Row],[Mid3]]+Table1[[#This Row],[Mid6]]+Table1[[#This Row],[Mid9]]</f>
        <v>0</v>
      </c>
      <c r="CP56" s="19">
        <f>Table1[[#This Row],[Mid12]]+Table1[[#This Row],[Mid15]]+Table1[[#This Row],[Mid18]]+Table1[[#This Row],[Mid21]]+Table1[[#This Row],[Mid24]]</f>
        <v>0</v>
      </c>
      <c r="CQ56" s="19">
        <f>Table1[[#This Row],[Mid27]]+Table1[[#This Row],[Mid30]]+Table1[[#This Row],[Mid33]]+Table1[[#This Row],[Mid36]]+Table1[[#This Row],[Mid39]]</f>
        <v>75</v>
      </c>
      <c r="CR56" t="s">
        <v>136</v>
      </c>
      <c r="CS56" s="19" t="str">
        <f>IF(AND(Table1[[#This Row],[Low41]]=0, Table1[[#This Row],[High43]]=0),"N","Y")</f>
        <v>Y</v>
      </c>
    </row>
    <row r="57" spans="1:97" ht="19.5" customHeight="1" x14ac:dyDescent="0.25">
      <c r="A57">
        <v>10054</v>
      </c>
      <c r="B57" t="s">
        <v>113</v>
      </c>
      <c r="C57" t="s">
        <v>250</v>
      </c>
      <c r="D57">
        <v>-26.50222222</v>
      </c>
      <c r="E57">
        <v>149.69416670000001</v>
      </c>
      <c r="F57" t="s">
        <v>344</v>
      </c>
      <c r="G57" t="s">
        <v>225</v>
      </c>
      <c r="H57" t="s">
        <v>286</v>
      </c>
      <c r="I57" t="s">
        <v>118</v>
      </c>
      <c r="J57" t="s">
        <v>119</v>
      </c>
      <c r="K57" t="s">
        <v>190</v>
      </c>
      <c r="L57" t="s">
        <v>18</v>
      </c>
      <c r="M57" t="s">
        <v>287</v>
      </c>
      <c r="N57" s="6" t="s">
        <v>339</v>
      </c>
      <c r="O57" t="s">
        <v>340</v>
      </c>
      <c r="P57" t="s">
        <v>341</v>
      </c>
      <c r="Q57" t="s">
        <v>345</v>
      </c>
      <c r="R57" t="s">
        <v>346</v>
      </c>
      <c r="S57">
        <v>2013</v>
      </c>
      <c r="T57" t="s">
        <v>128</v>
      </c>
      <c r="U57" t="s">
        <v>173</v>
      </c>
      <c r="V57">
        <v>2100</v>
      </c>
      <c r="W57">
        <v>2291</v>
      </c>
      <c r="X57">
        <v>180</v>
      </c>
      <c r="Y57">
        <v>0</v>
      </c>
      <c r="Z57">
        <v>0</v>
      </c>
      <c r="AA57">
        <v>0</v>
      </c>
      <c r="AB57">
        <v>0</v>
      </c>
      <c r="AC57">
        <v>0</v>
      </c>
      <c r="AD57">
        <v>0</v>
      </c>
      <c r="AE57">
        <v>0</v>
      </c>
      <c r="AF57">
        <v>200</v>
      </c>
      <c r="AG57">
        <v>0</v>
      </c>
      <c r="AH57" t="s">
        <v>130</v>
      </c>
      <c r="AI57">
        <v>0</v>
      </c>
      <c r="AJ57">
        <v>0</v>
      </c>
      <c r="AK57">
        <v>0</v>
      </c>
      <c r="AL57">
        <v>0</v>
      </c>
      <c r="AM57" t="s">
        <v>268</v>
      </c>
      <c r="AN57" t="s">
        <v>132</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41</v>
      </c>
      <c r="BR57">
        <v>0</v>
      </c>
      <c r="BS57">
        <v>0</v>
      </c>
      <c r="BT57">
        <v>0</v>
      </c>
      <c r="BU57">
        <v>0</v>
      </c>
      <c r="BV57">
        <v>0</v>
      </c>
      <c r="BW57">
        <v>0</v>
      </c>
      <c r="BX57">
        <v>0</v>
      </c>
      <c r="BY57">
        <v>0</v>
      </c>
      <c r="BZ57">
        <v>0</v>
      </c>
      <c r="CA57">
        <v>0</v>
      </c>
      <c r="CB57">
        <v>0</v>
      </c>
      <c r="CC57">
        <v>0</v>
      </c>
      <c r="CD57">
        <v>0</v>
      </c>
      <c r="CE5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7" s="19">
        <f>SUM(Table1[[#This Row],[Mid39]],Table1[[#This Row],[Mid36]],Table1[[#This Row],[Mid33]],Table1[[#This Row],[Mid30]],Table1[[#This Row],[Mid27]],Table1[[#This Row],[Mid24]],Table1[[#This Row],[Mid21]],Table1[[#This Row],[Mid18]],Table1[[#This Row],[Mid15]],Table1[[#This Row],[Mid12]],Table1[[#This Row],[Mid9]],Table1[[#This Row],[Mid6]],Table1[[#This Row],[Mid3]],Table1[[#This Row],[Mid]])</f>
        <v>41</v>
      </c>
      <c r="CG5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7" t="s">
        <v>157</v>
      </c>
      <c r="CI57" t="s">
        <v>134</v>
      </c>
      <c r="CJ57" t="s">
        <v>135</v>
      </c>
      <c r="CL57" s="19">
        <f>IF(Table1[[#This Row],[Type]]="Petroleum",1,IF(ISERROR(Table1[[#This Row],[Well Density]]*Table1[[#This Row],[Single Well Discovery Area]]),"",IF(Table1[[#This Row],[Well Density]]*Table1[[#This Row],[Single Well Discovery Area]]&gt;1,1,Table1[[#This Row],[Well Density]]*Table1[[#This Row],[Single Well Discovery Area]])))</f>
        <v>0</v>
      </c>
      <c r="CM57" t="s">
        <v>135</v>
      </c>
      <c r="CN57" s="19">
        <f>Table1[[#This Row],[Mid]]</f>
        <v>0</v>
      </c>
      <c r="CO57" s="19">
        <f>Table1[[#This Row],[Mid3]]+Table1[[#This Row],[Mid6]]+Table1[[#This Row],[Mid9]]</f>
        <v>0</v>
      </c>
      <c r="CP57" s="19">
        <f>Table1[[#This Row],[Mid12]]+Table1[[#This Row],[Mid15]]+Table1[[#This Row],[Mid18]]+Table1[[#This Row],[Mid21]]+Table1[[#This Row],[Mid24]]</f>
        <v>0</v>
      </c>
      <c r="CQ57" s="19">
        <f>Table1[[#This Row],[Mid27]]+Table1[[#This Row],[Mid30]]+Table1[[#This Row],[Mid33]]+Table1[[#This Row],[Mid36]]+Table1[[#This Row],[Mid39]]</f>
        <v>41</v>
      </c>
      <c r="CR57" t="s">
        <v>136</v>
      </c>
      <c r="CS57" s="19" t="str">
        <f>IF(AND(Table1[[#This Row],[Low41]]=0, Table1[[#This Row],[High43]]=0),"N","Y")</f>
        <v>N</v>
      </c>
    </row>
    <row r="58" spans="1:97" ht="19.5" customHeight="1" x14ac:dyDescent="0.25">
      <c r="A58">
        <v>10055</v>
      </c>
      <c r="B58" t="s">
        <v>113</v>
      </c>
      <c r="C58" t="s">
        <v>250</v>
      </c>
      <c r="D58">
        <v>-26.500833329999999</v>
      </c>
      <c r="E58">
        <v>149.71333329999999</v>
      </c>
      <c r="F58" t="s">
        <v>347</v>
      </c>
      <c r="G58" t="s">
        <v>225</v>
      </c>
      <c r="H58" t="s">
        <v>337</v>
      </c>
      <c r="I58" t="s">
        <v>118</v>
      </c>
      <c r="J58" t="s">
        <v>119</v>
      </c>
      <c r="K58" t="s">
        <v>190</v>
      </c>
      <c r="L58" t="s">
        <v>18</v>
      </c>
      <c r="M58" t="s">
        <v>338</v>
      </c>
      <c r="N58" s="6" t="s">
        <v>339</v>
      </c>
      <c r="O58" t="s">
        <v>340</v>
      </c>
      <c r="P58" t="s">
        <v>341</v>
      </c>
      <c r="Q58" t="s">
        <v>342</v>
      </c>
      <c r="R58" t="s">
        <v>348</v>
      </c>
      <c r="S58">
        <v>2013</v>
      </c>
      <c r="T58" t="s">
        <v>128</v>
      </c>
      <c r="U58" t="s">
        <v>173</v>
      </c>
      <c r="V58">
        <v>2760</v>
      </c>
      <c r="W58">
        <v>1639</v>
      </c>
      <c r="X58">
        <v>127</v>
      </c>
      <c r="Y58">
        <v>0</v>
      </c>
      <c r="Z58">
        <v>0</v>
      </c>
      <c r="AA58">
        <v>0</v>
      </c>
      <c r="AB58">
        <v>0</v>
      </c>
      <c r="AC58">
        <v>0</v>
      </c>
      <c r="AD58">
        <v>1</v>
      </c>
      <c r="AE58">
        <v>3.62319E-4</v>
      </c>
      <c r="AF58">
        <v>200</v>
      </c>
      <c r="AG58">
        <v>0</v>
      </c>
      <c r="AH58" t="s">
        <v>130</v>
      </c>
      <c r="AI58">
        <v>0</v>
      </c>
      <c r="AJ58">
        <v>0</v>
      </c>
      <c r="AK58">
        <v>0</v>
      </c>
      <c r="AL58">
        <v>0</v>
      </c>
      <c r="AM58" t="s">
        <v>268</v>
      </c>
      <c r="AN58" t="s">
        <v>132</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4.2</v>
      </c>
      <c r="BK58">
        <v>5.25</v>
      </c>
      <c r="BL58">
        <v>6.3</v>
      </c>
      <c r="BM58">
        <v>0</v>
      </c>
      <c r="BN58">
        <v>0</v>
      </c>
      <c r="BO58">
        <v>0</v>
      </c>
      <c r="BP58">
        <v>55.8</v>
      </c>
      <c r="BQ58">
        <v>69.7</v>
      </c>
      <c r="BR58">
        <v>83.6</v>
      </c>
      <c r="BS58">
        <v>0</v>
      </c>
      <c r="BT58">
        <v>0</v>
      </c>
      <c r="BU58">
        <v>0</v>
      </c>
      <c r="BV58">
        <v>0</v>
      </c>
      <c r="BW58">
        <v>0</v>
      </c>
      <c r="BX58">
        <v>0</v>
      </c>
      <c r="BY58">
        <v>0</v>
      </c>
      <c r="BZ58">
        <v>0</v>
      </c>
      <c r="CA58">
        <v>0</v>
      </c>
      <c r="CB58">
        <v>0</v>
      </c>
      <c r="CC58">
        <v>0</v>
      </c>
      <c r="CD58">
        <v>0</v>
      </c>
      <c r="CE58" s="19">
        <f>SUM(Table1[[#This Row],[Low38]],Table1[[#This Row],[Low35]],Table1[[#This Row],[Low32]],Table1[[#This Row],[Low29]],Table1[[#This Row],[Low26]],Table1[[#This Row],[Low23]],Table1[[#This Row],[Low20]],Table1[[#This Row],[Low17]],Table1[[#This Row],[Low14]],Table1[[#This Row],[Low11]],Table1[[#This Row],[Low8]],Table1[[#This Row],[Low5]],Table1[[#This Row],[Low2]],Table1[[#This Row],[Low]])</f>
        <v>60</v>
      </c>
      <c r="CF58" s="19">
        <f>SUM(Table1[[#This Row],[Mid39]],Table1[[#This Row],[Mid36]],Table1[[#This Row],[Mid33]],Table1[[#This Row],[Mid30]],Table1[[#This Row],[Mid27]],Table1[[#This Row],[Mid24]],Table1[[#This Row],[Mid21]],Table1[[#This Row],[Mid18]],Table1[[#This Row],[Mid15]],Table1[[#This Row],[Mid12]],Table1[[#This Row],[Mid9]],Table1[[#This Row],[Mid6]],Table1[[#This Row],[Mid3]],Table1[[#This Row],[Mid]])</f>
        <v>74.95</v>
      </c>
      <c r="CG5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89.899999999999991</v>
      </c>
      <c r="CH58" t="s">
        <v>157</v>
      </c>
      <c r="CI58" t="s">
        <v>134</v>
      </c>
      <c r="CJ58" t="s">
        <v>135</v>
      </c>
      <c r="CL58" s="19">
        <f>IF(Table1[[#This Row],[Type]]="Petroleum",1,IF(ISERROR(Table1[[#This Row],[Well Density]]*Table1[[#This Row],[Single Well Discovery Area]]),"",IF(Table1[[#This Row],[Well Density]]*Table1[[#This Row],[Single Well Discovery Area]]&gt;1,1,Table1[[#This Row],[Well Density]]*Table1[[#This Row],[Single Well Discovery Area]])))</f>
        <v>7.2463799999999995E-2</v>
      </c>
      <c r="CM58" t="s">
        <v>135</v>
      </c>
      <c r="CN58" s="19">
        <f>Table1[[#This Row],[Mid]]</f>
        <v>0</v>
      </c>
      <c r="CO58" s="19">
        <f>Table1[[#This Row],[Mid3]]+Table1[[#This Row],[Mid6]]+Table1[[#This Row],[Mid9]]</f>
        <v>0</v>
      </c>
      <c r="CP58" s="19">
        <f>Table1[[#This Row],[Mid12]]+Table1[[#This Row],[Mid15]]+Table1[[#This Row],[Mid18]]+Table1[[#This Row],[Mid21]]+Table1[[#This Row],[Mid24]]</f>
        <v>5.25</v>
      </c>
      <c r="CQ58" s="19">
        <f>Table1[[#This Row],[Mid27]]+Table1[[#This Row],[Mid30]]+Table1[[#This Row],[Mid33]]+Table1[[#This Row],[Mid36]]+Table1[[#This Row],[Mid39]]</f>
        <v>69.7</v>
      </c>
      <c r="CR58" t="s">
        <v>136</v>
      </c>
      <c r="CS58" s="19" t="str">
        <f>IF(AND(Table1[[#This Row],[Low41]]=0, Table1[[#This Row],[High43]]=0),"N","Y")</f>
        <v>Y</v>
      </c>
    </row>
    <row r="59" spans="1:97" ht="19.5" customHeight="1" x14ac:dyDescent="0.25">
      <c r="A59">
        <v>10056</v>
      </c>
      <c r="B59" t="s">
        <v>113</v>
      </c>
      <c r="C59" t="s">
        <v>250</v>
      </c>
      <c r="D59">
        <v>-26.578055559999999</v>
      </c>
      <c r="E59">
        <v>149.76972219999999</v>
      </c>
      <c r="F59" t="s">
        <v>349</v>
      </c>
      <c r="G59" t="s">
        <v>225</v>
      </c>
      <c r="H59" t="s">
        <v>337</v>
      </c>
      <c r="I59" t="s">
        <v>118</v>
      </c>
      <c r="J59" t="s">
        <v>119</v>
      </c>
      <c r="K59" t="s">
        <v>190</v>
      </c>
      <c r="L59" t="s">
        <v>18</v>
      </c>
      <c r="M59" t="s">
        <v>338</v>
      </c>
      <c r="N59" s="6" t="s">
        <v>339</v>
      </c>
      <c r="O59" t="s">
        <v>340</v>
      </c>
      <c r="P59" t="s">
        <v>341</v>
      </c>
      <c r="Q59" t="s">
        <v>342</v>
      </c>
      <c r="R59" t="s">
        <v>350</v>
      </c>
      <c r="S59">
        <v>2013</v>
      </c>
      <c r="T59" t="s">
        <v>128</v>
      </c>
      <c r="U59" t="s">
        <v>173</v>
      </c>
      <c r="V59">
        <v>3551</v>
      </c>
      <c r="W59">
        <v>1417</v>
      </c>
      <c r="X59">
        <v>92</v>
      </c>
      <c r="Y59">
        <v>0</v>
      </c>
      <c r="Z59">
        <v>0</v>
      </c>
      <c r="AA59">
        <v>0</v>
      </c>
      <c r="AB59">
        <v>0</v>
      </c>
      <c r="AC59">
        <v>0</v>
      </c>
      <c r="AD59">
        <v>0</v>
      </c>
      <c r="AE59">
        <v>0</v>
      </c>
      <c r="AF59">
        <v>200</v>
      </c>
      <c r="AG59">
        <v>0</v>
      </c>
      <c r="AH59" t="s">
        <v>130</v>
      </c>
      <c r="AI59">
        <v>0</v>
      </c>
      <c r="AJ59">
        <v>0</v>
      </c>
      <c r="AK59">
        <v>0</v>
      </c>
      <c r="AL59">
        <v>0</v>
      </c>
      <c r="AM59" t="s">
        <v>268</v>
      </c>
      <c r="AN59" t="s">
        <v>132</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60</v>
      </c>
      <c r="BQ59">
        <v>75</v>
      </c>
      <c r="BR59">
        <v>90</v>
      </c>
      <c r="BS59">
        <v>0</v>
      </c>
      <c r="BT59">
        <v>0</v>
      </c>
      <c r="BU59">
        <v>0</v>
      </c>
      <c r="BV59">
        <v>0</v>
      </c>
      <c r="BW59">
        <v>0</v>
      </c>
      <c r="BX59">
        <v>0</v>
      </c>
      <c r="BY59">
        <v>0</v>
      </c>
      <c r="BZ59">
        <v>0</v>
      </c>
      <c r="CA59">
        <v>0</v>
      </c>
      <c r="CB59">
        <v>0</v>
      </c>
      <c r="CC59">
        <v>0</v>
      </c>
      <c r="CD59">
        <v>0</v>
      </c>
      <c r="CE59" s="19">
        <f>SUM(Table1[[#This Row],[Low38]],Table1[[#This Row],[Low35]],Table1[[#This Row],[Low32]],Table1[[#This Row],[Low29]],Table1[[#This Row],[Low26]],Table1[[#This Row],[Low23]],Table1[[#This Row],[Low20]],Table1[[#This Row],[Low17]],Table1[[#This Row],[Low14]],Table1[[#This Row],[Low11]],Table1[[#This Row],[Low8]],Table1[[#This Row],[Low5]],Table1[[#This Row],[Low2]],Table1[[#This Row],[Low]])</f>
        <v>60</v>
      </c>
      <c r="CF59" s="19">
        <f>SUM(Table1[[#This Row],[Mid39]],Table1[[#This Row],[Mid36]],Table1[[#This Row],[Mid33]],Table1[[#This Row],[Mid30]],Table1[[#This Row],[Mid27]],Table1[[#This Row],[Mid24]],Table1[[#This Row],[Mid21]],Table1[[#This Row],[Mid18]],Table1[[#This Row],[Mid15]],Table1[[#This Row],[Mid12]],Table1[[#This Row],[Mid9]],Table1[[#This Row],[Mid6]],Table1[[#This Row],[Mid3]],Table1[[#This Row],[Mid]])</f>
        <v>75</v>
      </c>
      <c r="CG5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90</v>
      </c>
      <c r="CH59" t="s">
        <v>157</v>
      </c>
      <c r="CI59" t="s">
        <v>134</v>
      </c>
      <c r="CJ59" t="s">
        <v>135</v>
      </c>
      <c r="CL59" s="19">
        <f>IF(Table1[[#This Row],[Type]]="Petroleum",1,IF(ISERROR(Table1[[#This Row],[Well Density]]*Table1[[#This Row],[Single Well Discovery Area]]),"",IF(Table1[[#This Row],[Well Density]]*Table1[[#This Row],[Single Well Discovery Area]]&gt;1,1,Table1[[#This Row],[Well Density]]*Table1[[#This Row],[Single Well Discovery Area]])))</f>
        <v>0</v>
      </c>
      <c r="CM59" t="s">
        <v>135</v>
      </c>
      <c r="CN59" s="19">
        <f>Table1[[#This Row],[Mid]]</f>
        <v>0</v>
      </c>
      <c r="CO59" s="19">
        <f>Table1[[#This Row],[Mid3]]+Table1[[#This Row],[Mid6]]+Table1[[#This Row],[Mid9]]</f>
        <v>0</v>
      </c>
      <c r="CP59" s="19">
        <f>Table1[[#This Row],[Mid12]]+Table1[[#This Row],[Mid15]]+Table1[[#This Row],[Mid18]]+Table1[[#This Row],[Mid21]]+Table1[[#This Row],[Mid24]]</f>
        <v>0</v>
      </c>
      <c r="CQ59" s="19">
        <f>Table1[[#This Row],[Mid27]]+Table1[[#This Row],[Mid30]]+Table1[[#This Row],[Mid33]]+Table1[[#This Row],[Mid36]]+Table1[[#This Row],[Mid39]]</f>
        <v>75</v>
      </c>
      <c r="CR59" t="s">
        <v>136</v>
      </c>
      <c r="CS59" s="19" t="str">
        <f>IF(AND(Table1[[#This Row],[Low41]]=0, Table1[[#This Row],[High43]]=0),"N","Y")</f>
        <v>Y</v>
      </c>
    </row>
    <row r="60" spans="1:97" ht="19.5" customHeight="1" x14ac:dyDescent="0.25">
      <c r="A60">
        <v>10057</v>
      </c>
      <c r="B60" t="s">
        <v>113</v>
      </c>
      <c r="C60" t="s">
        <v>250</v>
      </c>
      <c r="D60">
        <v>-26.350277779999999</v>
      </c>
      <c r="E60">
        <v>149.5386111</v>
      </c>
      <c r="F60" t="s">
        <v>351</v>
      </c>
      <c r="G60" t="s">
        <v>225</v>
      </c>
      <c r="H60" t="s">
        <v>286</v>
      </c>
      <c r="I60" t="s">
        <v>201</v>
      </c>
      <c r="J60" t="s">
        <v>202</v>
      </c>
      <c r="K60" t="s">
        <v>203</v>
      </c>
      <c r="L60" t="s">
        <v>204</v>
      </c>
      <c r="M60" t="s">
        <v>287</v>
      </c>
      <c r="N60" s="6" t="s">
        <v>253</v>
      </c>
      <c r="O60" t="s">
        <v>254</v>
      </c>
      <c r="P60" t="s">
        <v>352</v>
      </c>
      <c r="Q60" t="s">
        <v>353</v>
      </c>
      <c r="R60" t="s">
        <v>256</v>
      </c>
      <c r="S60">
        <v>2011</v>
      </c>
      <c r="T60" t="s">
        <v>128</v>
      </c>
      <c r="U60" t="s">
        <v>173</v>
      </c>
      <c r="V60">
        <v>0</v>
      </c>
      <c r="W60">
        <v>0</v>
      </c>
      <c r="X60">
        <v>5.0999999999999996</v>
      </c>
      <c r="Y60">
        <v>0</v>
      </c>
      <c r="Z60">
        <v>12.4</v>
      </c>
      <c r="AA60">
        <v>0</v>
      </c>
      <c r="AB60">
        <v>0</v>
      </c>
      <c r="AC60">
        <v>0</v>
      </c>
      <c r="AD60">
        <v>0</v>
      </c>
      <c r="AF60">
        <v>200</v>
      </c>
      <c r="AG60">
        <v>0</v>
      </c>
      <c r="AH60" t="s">
        <v>257</v>
      </c>
      <c r="AI60">
        <v>0</v>
      </c>
      <c r="AJ60">
        <v>0</v>
      </c>
      <c r="AK60">
        <v>0</v>
      </c>
      <c r="AL60">
        <v>0</v>
      </c>
      <c r="AM60" t="s">
        <v>257</v>
      </c>
      <c r="AN60" t="s">
        <v>132</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13.5</v>
      </c>
      <c r="BL60">
        <v>0</v>
      </c>
      <c r="BM60">
        <v>0</v>
      </c>
      <c r="BN60">
        <v>0</v>
      </c>
      <c r="BO60">
        <v>0</v>
      </c>
      <c r="BP60">
        <v>0</v>
      </c>
      <c r="BQ60">
        <v>0</v>
      </c>
      <c r="BR60">
        <v>0</v>
      </c>
      <c r="BS60">
        <v>0</v>
      </c>
      <c r="BT60">
        <v>0</v>
      </c>
      <c r="BU60">
        <v>0</v>
      </c>
      <c r="BV60">
        <v>0</v>
      </c>
      <c r="BW60">
        <v>0</v>
      </c>
      <c r="BX60">
        <v>0</v>
      </c>
      <c r="BY60">
        <v>0</v>
      </c>
      <c r="BZ60">
        <v>0</v>
      </c>
      <c r="CA60">
        <v>0</v>
      </c>
      <c r="CB60">
        <v>0</v>
      </c>
      <c r="CC60">
        <v>0</v>
      </c>
      <c r="CD60">
        <v>0</v>
      </c>
      <c r="CE6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0" s="19">
        <f>SUM(Table1[[#This Row],[Mid39]],Table1[[#This Row],[Mid36]],Table1[[#This Row],[Mid33]],Table1[[#This Row],[Mid30]],Table1[[#This Row],[Mid27]],Table1[[#This Row],[Mid24]],Table1[[#This Row],[Mid21]],Table1[[#This Row],[Mid18]],Table1[[#This Row],[Mid15]],Table1[[#This Row],[Mid12]],Table1[[#This Row],[Mid9]],Table1[[#This Row],[Mid6]],Table1[[#This Row],[Mid3]],Table1[[#This Row],[Mid]])</f>
        <v>13.5</v>
      </c>
      <c r="CG6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0" t="s">
        <v>157</v>
      </c>
      <c r="CI60" t="s">
        <v>134</v>
      </c>
      <c r="CJ60" t="s">
        <v>158</v>
      </c>
      <c r="CL60" s="19">
        <f>IF(Table1[[#This Row],[Type]]="Petroleum",1,IF(ISERROR(Table1[[#This Row],[Well Density]]*Table1[[#This Row],[Single Well Discovery Area]]),"",IF(Table1[[#This Row],[Well Density]]*Table1[[#This Row],[Single Well Discovery Area]]&gt;1,1,Table1[[#This Row],[Well Density]]*Table1[[#This Row],[Single Well Discovery Area]])))</f>
        <v>1</v>
      </c>
      <c r="CM60" t="s">
        <v>158</v>
      </c>
      <c r="CN60" s="19">
        <f>Table1[[#This Row],[Mid]]</f>
        <v>0</v>
      </c>
      <c r="CO60" s="19">
        <f>Table1[[#This Row],[Mid3]]+Table1[[#This Row],[Mid6]]+Table1[[#This Row],[Mid9]]</f>
        <v>0</v>
      </c>
      <c r="CP60" s="19">
        <f>Table1[[#This Row],[Mid12]]+Table1[[#This Row],[Mid15]]+Table1[[#This Row],[Mid18]]+Table1[[#This Row],[Mid21]]+Table1[[#This Row],[Mid24]]</f>
        <v>13.5</v>
      </c>
      <c r="CQ60" s="19">
        <f>Table1[[#This Row],[Mid27]]+Table1[[#This Row],[Mid30]]+Table1[[#This Row],[Mid33]]+Table1[[#This Row],[Mid36]]+Table1[[#This Row],[Mid39]]</f>
        <v>0</v>
      </c>
      <c r="CR60" t="s">
        <v>136</v>
      </c>
      <c r="CS60" s="19" t="str">
        <f>IF(AND(Table1[[#This Row],[Low41]]=0, Table1[[#This Row],[High43]]=0),"N","Y")</f>
        <v>N</v>
      </c>
    </row>
    <row r="61" spans="1:97" ht="19.5" customHeight="1" x14ac:dyDescent="0.25">
      <c r="A61">
        <v>10058</v>
      </c>
      <c r="B61" t="s">
        <v>113</v>
      </c>
      <c r="C61" t="s">
        <v>250</v>
      </c>
      <c r="D61">
        <v>-26.350277779999999</v>
      </c>
      <c r="E61">
        <v>149.5386111</v>
      </c>
      <c r="F61" t="s">
        <v>354</v>
      </c>
      <c r="G61" t="s">
        <v>225</v>
      </c>
      <c r="H61" t="s">
        <v>355</v>
      </c>
      <c r="I61" t="s">
        <v>118</v>
      </c>
      <c r="J61" t="s">
        <v>119</v>
      </c>
      <c r="K61" t="s">
        <v>190</v>
      </c>
      <c r="L61" t="s">
        <v>18</v>
      </c>
      <c r="M61" t="s">
        <v>356</v>
      </c>
      <c r="N61" s="6" t="s">
        <v>357</v>
      </c>
      <c r="O61" t="s">
        <v>288</v>
      </c>
      <c r="P61" t="s">
        <v>170</v>
      </c>
      <c r="Q61" t="s">
        <v>358</v>
      </c>
      <c r="R61" t="s">
        <v>290</v>
      </c>
      <c r="S61">
        <v>2011</v>
      </c>
      <c r="T61" t="s">
        <v>128</v>
      </c>
      <c r="U61" t="s">
        <v>173</v>
      </c>
      <c r="V61">
        <v>2091</v>
      </c>
      <c r="W61">
        <v>0</v>
      </c>
      <c r="X61">
        <v>1.5</v>
      </c>
      <c r="Y61">
        <v>0</v>
      </c>
      <c r="Z61">
        <v>14.9</v>
      </c>
      <c r="AA61">
        <v>0</v>
      </c>
      <c r="AB61">
        <v>0</v>
      </c>
      <c r="AC61">
        <v>0</v>
      </c>
      <c r="AD61">
        <v>0</v>
      </c>
      <c r="AE61">
        <v>0</v>
      </c>
      <c r="AF61">
        <v>200</v>
      </c>
      <c r="AG61">
        <v>0</v>
      </c>
      <c r="AH61" t="s">
        <v>291</v>
      </c>
      <c r="AI61">
        <v>4</v>
      </c>
      <c r="AJ61">
        <v>0</v>
      </c>
      <c r="AK61">
        <v>0</v>
      </c>
      <c r="AL61">
        <v>0</v>
      </c>
      <c r="AM61" t="s">
        <v>278</v>
      </c>
      <c r="AN61" t="s">
        <v>132</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21</v>
      </c>
      <c r="BX61">
        <v>0</v>
      </c>
      <c r="BY61">
        <v>0</v>
      </c>
      <c r="BZ61">
        <v>0</v>
      </c>
      <c r="CA61">
        <v>0</v>
      </c>
      <c r="CB61">
        <v>0</v>
      </c>
      <c r="CC61">
        <v>0</v>
      </c>
      <c r="CD61">
        <v>0</v>
      </c>
      <c r="CE6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1" s="19">
        <f>SUM(Table1[[#This Row],[Mid39]],Table1[[#This Row],[Mid36]],Table1[[#This Row],[Mid33]],Table1[[#This Row],[Mid30]],Table1[[#This Row],[Mid27]],Table1[[#This Row],[Mid24]],Table1[[#This Row],[Mid21]],Table1[[#This Row],[Mid18]],Table1[[#This Row],[Mid15]],Table1[[#This Row],[Mid12]],Table1[[#This Row],[Mid9]],Table1[[#This Row],[Mid6]],Table1[[#This Row],[Mid3]],Table1[[#This Row],[Mid]])</f>
        <v>21</v>
      </c>
      <c r="CG6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1" t="s">
        <v>157</v>
      </c>
      <c r="CI61" t="s">
        <v>134</v>
      </c>
      <c r="CJ61" t="s">
        <v>158</v>
      </c>
      <c r="CL61" s="19">
        <f>IF(Table1[[#This Row],[Type]]="Petroleum",1,IF(ISERROR(Table1[[#This Row],[Well Density]]*Table1[[#This Row],[Single Well Discovery Area]]),"",IF(Table1[[#This Row],[Well Density]]*Table1[[#This Row],[Single Well Discovery Area]]&gt;1,1,Table1[[#This Row],[Well Density]]*Table1[[#This Row],[Single Well Discovery Area]])))</f>
        <v>0</v>
      </c>
      <c r="CM61" t="s">
        <v>158</v>
      </c>
      <c r="CN61" s="19">
        <f>Table1[[#This Row],[Mid]]</f>
        <v>0</v>
      </c>
      <c r="CO61" s="19">
        <f>Table1[[#This Row],[Mid3]]+Table1[[#This Row],[Mid6]]+Table1[[#This Row],[Mid9]]</f>
        <v>0</v>
      </c>
      <c r="CP61" s="19">
        <f>Table1[[#This Row],[Mid12]]+Table1[[#This Row],[Mid15]]+Table1[[#This Row],[Mid18]]+Table1[[#This Row],[Mid21]]+Table1[[#This Row],[Mid24]]</f>
        <v>0</v>
      </c>
      <c r="CQ61" s="19">
        <f>Table1[[#This Row],[Mid27]]+Table1[[#This Row],[Mid30]]+Table1[[#This Row],[Mid33]]+Table1[[#This Row],[Mid36]]+Table1[[#This Row],[Mid39]]</f>
        <v>21</v>
      </c>
      <c r="CR61" t="s">
        <v>136</v>
      </c>
      <c r="CS61" s="19" t="str">
        <f>IF(AND(Table1[[#This Row],[Low41]]=0, Table1[[#This Row],[High43]]=0),"N","Y")</f>
        <v>N</v>
      </c>
    </row>
    <row r="62" spans="1:97" ht="19.5" customHeight="1" x14ac:dyDescent="0.25">
      <c r="A62">
        <v>10059</v>
      </c>
      <c r="B62" t="s">
        <v>113</v>
      </c>
      <c r="C62" t="s">
        <v>250</v>
      </c>
      <c r="D62">
        <v>-26.350277779999999</v>
      </c>
      <c r="E62">
        <v>149.5386111</v>
      </c>
      <c r="F62" t="s">
        <v>359</v>
      </c>
      <c r="G62" t="s">
        <v>225</v>
      </c>
      <c r="H62" t="s">
        <v>360</v>
      </c>
      <c r="I62" t="s">
        <v>118</v>
      </c>
      <c r="J62" t="s">
        <v>119</v>
      </c>
      <c r="K62" t="s">
        <v>190</v>
      </c>
      <c r="L62" t="s">
        <v>18</v>
      </c>
      <c r="M62" t="s">
        <v>356</v>
      </c>
      <c r="N62" s="6" t="s">
        <v>357</v>
      </c>
      <c r="O62" t="s">
        <v>288</v>
      </c>
      <c r="P62" t="s">
        <v>170</v>
      </c>
      <c r="Q62" t="s">
        <v>361</v>
      </c>
      <c r="R62" t="s">
        <v>290</v>
      </c>
      <c r="S62">
        <v>2011</v>
      </c>
      <c r="T62" t="s">
        <v>128</v>
      </c>
      <c r="U62" t="s">
        <v>173</v>
      </c>
      <c r="V62">
        <v>7300</v>
      </c>
      <c r="W62">
        <v>0</v>
      </c>
      <c r="X62">
        <v>8.4</v>
      </c>
      <c r="Y62">
        <v>0</v>
      </c>
      <c r="Z62">
        <v>15.7</v>
      </c>
      <c r="AA62">
        <v>0</v>
      </c>
      <c r="AB62">
        <v>0</v>
      </c>
      <c r="AC62">
        <v>0</v>
      </c>
      <c r="AD62">
        <v>0</v>
      </c>
      <c r="AE62">
        <v>0</v>
      </c>
      <c r="AF62">
        <v>200</v>
      </c>
      <c r="AG62">
        <v>0</v>
      </c>
      <c r="AH62" t="s">
        <v>291</v>
      </c>
      <c r="AI62">
        <v>4</v>
      </c>
      <c r="AJ62">
        <v>0</v>
      </c>
      <c r="AK62">
        <v>0</v>
      </c>
      <c r="AL62">
        <v>0</v>
      </c>
      <c r="AM62" t="s">
        <v>278</v>
      </c>
      <c r="AN62" t="s">
        <v>132</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454</v>
      </c>
      <c r="BX62">
        <v>0</v>
      </c>
      <c r="BY62">
        <v>0</v>
      </c>
      <c r="BZ62">
        <v>0</v>
      </c>
      <c r="CA62">
        <v>0</v>
      </c>
      <c r="CB62">
        <v>0</v>
      </c>
      <c r="CC62">
        <v>0</v>
      </c>
      <c r="CD62">
        <v>0</v>
      </c>
      <c r="CE6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2" s="19">
        <f>SUM(Table1[[#This Row],[Mid39]],Table1[[#This Row],[Mid36]],Table1[[#This Row],[Mid33]],Table1[[#This Row],[Mid30]],Table1[[#This Row],[Mid27]],Table1[[#This Row],[Mid24]],Table1[[#This Row],[Mid21]],Table1[[#This Row],[Mid18]],Table1[[#This Row],[Mid15]],Table1[[#This Row],[Mid12]],Table1[[#This Row],[Mid9]],Table1[[#This Row],[Mid6]],Table1[[#This Row],[Mid3]],Table1[[#This Row],[Mid]])</f>
        <v>454</v>
      </c>
      <c r="CG6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2" t="s">
        <v>157</v>
      </c>
      <c r="CI62" t="s">
        <v>134</v>
      </c>
      <c r="CJ62" t="s">
        <v>158</v>
      </c>
      <c r="CL62" s="19">
        <f>IF(Table1[[#This Row],[Type]]="Petroleum",1,IF(ISERROR(Table1[[#This Row],[Well Density]]*Table1[[#This Row],[Single Well Discovery Area]]),"",IF(Table1[[#This Row],[Well Density]]*Table1[[#This Row],[Single Well Discovery Area]]&gt;1,1,Table1[[#This Row],[Well Density]]*Table1[[#This Row],[Single Well Discovery Area]])))</f>
        <v>0</v>
      </c>
      <c r="CM62" t="s">
        <v>158</v>
      </c>
      <c r="CN62" s="19">
        <f>Table1[[#This Row],[Mid]]</f>
        <v>0</v>
      </c>
      <c r="CO62" s="19">
        <f>Table1[[#This Row],[Mid3]]+Table1[[#This Row],[Mid6]]+Table1[[#This Row],[Mid9]]</f>
        <v>0</v>
      </c>
      <c r="CP62" s="19">
        <f>Table1[[#This Row],[Mid12]]+Table1[[#This Row],[Mid15]]+Table1[[#This Row],[Mid18]]+Table1[[#This Row],[Mid21]]+Table1[[#This Row],[Mid24]]</f>
        <v>0</v>
      </c>
      <c r="CQ62" s="19">
        <f>Table1[[#This Row],[Mid27]]+Table1[[#This Row],[Mid30]]+Table1[[#This Row],[Mid33]]+Table1[[#This Row],[Mid36]]+Table1[[#This Row],[Mid39]]</f>
        <v>454</v>
      </c>
      <c r="CR62" t="s">
        <v>136</v>
      </c>
      <c r="CS62" s="19" t="str">
        <f>IF(AND(Table1[[#This Row],[Low41]]=0, Table1[[#This Row],[High43]]=0),"N","Y")</f>
        <v>N</v>
      </c>
    </row>
    <row r="63" spans="1:97" ht="19.5" customHeight="1" x14ac:dyDescent="0.25">
      <c r="A63">
        <v>10060</v>
      </c>
      <c r="B63" t="s">
        <v>113</v>
      </c>
      <c r="C63" t="s">
        <v>250</v>
      </c>
      <c r="D63">
        <v>-26.350277779999999</v>
      </c>
      <c r="E63">
        <v>149.5386111</v>
      </c>
      <c r="F63" t="s">
        <v>362</v>
      </c>
      <c r="G63" t="s">
        <v>225</v>
      </c>
      <c r="H63" t="s">
        <v>314</v>
      </c>
      <c r="I63" t="s">
        <v>118</v>
      </c>
      <c r="J63" t="s">
        <v>119</v>
      </c>
      <c r="K63" t="s">
        <v>190</v>
      </c>
      <c r="L63" t="s">
        <v>18</v>
      </c>
      <c r="M63" t="s">
        <v>356</v>
      </c>
      <c r="N63" s="6" t="s">
        <v>357</v>
      </c>
      <c r="O63" t="s">
        <v>288</v>
      </c>
      <c r="P63" t="s">
        <v>170</v>
      </c>
      <c r="Q63" t="s">
        <v>363</v>
      </c>
      <c r="R63" t="s">
        <v>290</v>
      </c>
      <c r="S63">
        <v>2011</v>
      </c>
      <c r="T63" t="s">
        <v>128</v>
      </c>
      <c r="U63" t="s">
        <v>173</v>
      </c>
      <c r="V63">
        <v>12748</v>
      </c>
      <c r="W63">
        <v>0</v>
      </c>
      <c r="X63">
        <v>32.700000000000003</v>
      </c>
      <c r="Y63">
        <v>0</v>
      </c>
      <c r="Z63">
        <v>17.600000000000001</v>
      </c>
      <c r="AA63">
        <v>0</v>
      </c>
      <c r="AB63">
        <v>0</v>
      </c>
      <c r="AC63">
        <v>0</v>
      </c>
      <c r="AD63">
        <v>0</v>
      </c>
      <c r="AE63">
        <v>0</v>
      </c>
      <c r="AF63">
        <v>200</v>
      </c>
      <c r="AG63">
        <v>0</v>
      </c>
      <c r="AH63" t="s">
        <v>291</v>
      </c>
      <c r="AI63">
        <v>4</v>
      </c>
      <c r="AJ63">
        <v>0</v>
      </c>
      <c r="AK63">
        <v>0</v>
      </c>
      <c r="AL63">
        <v>0</v>
      </c>
      <c r="AM63" t="s">
        <v>278</v>
      </c>
      <c r="AN63" t="s">
        <v>132</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1198</v>
      </c>
      <c r="BX63">
        <v>0</v>
      </c>
      <c r="BY63">
        <v>0</v>
      </c>
      <c r="BZ63">
        <v>0</v>
      </c>
      <c r="CA63">
        <v>0</v>
      </c>
      <c r="CB63">
        <v>0</v>
      </c>
      <c r="CC63">
        <v>0</v>
      </c>
      <c r="CD63">
        <v>0</v>
      </c>
      <c r="CE6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3" s="19">
        <f>SUM(Table1[[#This Row],[Mid39]],Table1[[#This Row],[Mid36]],Table1[[#This Row],[Mid33]],Table1[[#This Row],[Mid30]],Table1[[#This Row],[Mid27]],Table1[[#This Row],[Mid24]],Table1[[#This Row],[Mid21]],Table1[[#This Row],[Mid18]],Table1[[#This Row],[Mid15]],Table1[[#This Row],[Mid12]],Table1[[#This Row],[Mid9]],Table1[[#This Row],[Mid6]],Table1[[#This Row],[Mid3]],Table1[[#This Row],[Mid]])</f>
        <v>1198</v>
      </c>
      <c r="CG6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3" t="s">
        <v>157</v>
      </c>
      <c r="CI63" t="s">
        <v>134</v>
      </c>
      <c r="CJ63" t="s">
        <v>158</v>
      </c>
      <c r="CL63" s="19">
        <f>IF(Table1[[#This Row],[Type]]="Petroleum",1,IF(ISERROR(Table1[[#This Row],[Well Density]]*Table1[[#This Row],[Single Well Discovery Area]]),"",IF(Table1[[#This Row],[Well Density]]*Table1[[#This Row],[Single Well Discovery Area]]&gt;1,1,Table1[[#This Row],[Well Density]]*Table1[[#This Row],[Single Well Discovery Area]])))</f>
        <v>0</v>
      </c>
      <c r="CM63" t="s">
        <v>158</v>
      </c>
      <c r="CN63" s="19">
        <f>Table1[[#This Row],[Mid]]</f>
        <v>0</v>
      </c>
      <c r="CO63" s="19">
        <f>Table1[[#This Row],[Mid3]]+Table1[[#This Row],[Mid6]]+Table1[[#This Row],[Mid9]]</f>
        <v>0</v>
      </c>
      <c r="CP63" s="19">
        <f>Table1[[#This Row],[Mid12]]+Table1[[#This Row],[Mid15]]+Table1[[#This Row],[Mid18]]+Table1[[#This Row],[Mid21]]+Table1[[#This Row],[Mid24]]</f>
        <v>0</v>
      </c>
      <c r="CQ63" s="19">
        <f>Table1[[#This Row],[Mid27]]+Table1[[#This Row],[Mid30]]+Table1[[#This Row],[Mid33]]+Table1[[#This Row],[Mid36]]+Table1[[#This Row],[Mid39]]</f>
        <v>1198</v>
      </c>
      <c r="CR63" t="s">
        <v>136</v>
      </c>
      <c r="CS63" s="19" t="str">
        <f>IF(AND(Table1[[#This Row],[Low41]]=0, Table1[[#This Row],[High43]]=0),"N","Y")</f>
        <v>N</v>
      </c>
    </row>
    <row r="64" spans="1:97" ht="19.5" customHeight="1" x14ac:dyDescent="0.25">
      <c r="A64">
        <v>10061</v>
      </c>
      <c r="B64" t="s">
        <v>113</v>
      </c>
      <c r="C64" t="s">
        <v>250</v>
      </c>
      <c r="D64">
        <v>-26.350277779999999</v>
      </c>
      <c r="E64">
        <v>149.5386111</v>
      </c>
      <c r="F64" t="s">
        <v>364</v>
      </c>
      <c r="G64" t="s">
        <v>225</v>
      </c>
      <c r="H64" t="s">
        <v>337</v>
      </c>
      <c r="I64" t="s">
        <v>118</v>
      </c>
      <c r="J64" t="s">
        <v>119</v>
      </c>
      <c r="K64" t="s">
        <v>190</v>
      </c>
      <c r="L64" t="s">
        <v>18</v>
      </c>
      <c r="M64" t="s">
        <v>338</v>
      </c>
      <c r="N64" s="6" t="s">
        <v>357</v>
      </c>
      <c r="O64" t="s">
        <v>288</v>
      </c>
      <c r="P64" t="s">
        <v>170</v>
      </c>
      <c r="Q64" t="s">
        <v>365</v>
      </c>
      <c r="R64" t="s">
        <v>366</v>
      </c>
      <c r="S64">
        <v>2011</v>
      </c>
      <c r="T64" t="s">
        <v>128</v>
      </c>
      <c r="U64" t="s">
        <v>173</v>
      </c>
      <c r="V64">
        <v>39491</v>
      </c>
      <c r="W64">
        <v>0</v>
      </c>
      <c r="X64">
        <v>4</v>
      </c>
      <c r="Y64">
        <v>0</v>
      </c>
      <c r="Z64">
        <v>16.8</v>
      </c>
      <c r="AA64">
        <v>0</v>
      </c>
      <c r="AB64">
        <v>0</v>
      </c>
      <c r="AC64">
        <v>0</v>
      </c>
      <c r="AD64">
        <v>0</v>
      </c>
      <c r="AE64">
        <v>0</v>
      </c>
      <c r="AF64">
        <v>200</v>
      </c>
      <c r="AG64">
        <v>0</v>
      </c>
      <c r="AH64" t="s">
        <v>291</v>
      </c>
      <c r="AI64">
        <v>4</v>
      </c>
      <c r="AJ64">
        <v>0</v>
      </c>
      <c r="AK64">
        <v>0</v>
      </c>
      <c r="AL64">
        <v>0</v>
      </c>
      <c r="AM64" t="s">
        <v>278</v>
      </c>
      <c r="AN64" t="s">
        <v>132</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1078.3</v>
      </c>
      <c r="BX64">
        <v>0</v>
      </c>
      <c r="BY64">
        <v>0</v>
      </c>
      <c r="BZ64">
        <v>0</v>
      </c>
      <c r="CA64">
        <v>0</v>
      </c>
      <c r="CB64">
        <v>0</v>
      </c>
      <c r="CC64">
        <v>0</v>
      </c>
      <c r="CD64">
        <v>0</v>
      </c>
      <c r="CE6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4" s="19">
        <f>SUM(Table1[[#This Row],[Mid39]],Table1[[#This Row],[Mid36]],Table1[[#This Row],[Mid33]],Table1[[#This Row],[Mid30]],Table1[[#This Row],[Mid27]],Table1[[#This Row],[Mid24]],Table1[[#This Row],[Mid21]],Table1[[#This Row],[Mid18]],Table1[[#This Row],[Mid15]],Table1[[#This Row],[Mid12]],Table1[[#This Row],[Mid9]],Table1[[#This Row],[Mid6]],Table1[[#This Row],[Mid3]],Table1[[#This Row],[Mid]])</f>
        <v>1078.3</v>
      </c>
      <c r="CG6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4" t="s">
        <v>157</v>
      </c>
      <c r="CI64" t="s">
        <v>134</v>
      </c>
      <c r="CJ64" t="s">
        <v>158</v>
      </c>
      <c r="CL64" s="19">
        <f>IF(Table1[[#This Row],[Type]]="Petroleum",1,IF(ISERROR(Table1[[#This Row],[Well Density]]*Table1[[#This Row],[Single Well Discovery Area]]),"",IF(Table1[[#This Row],[Well Density]]*Table1[[#This Row],[Single Well Discovery Area]]&gt;1,1,Table1[[#This Row],[Well Density]]*Table1[[#This Row],[Single Well Discovery Area]])))</f>
        <v>0</v>
      </c>
      <c r="CM64" t="s">
        <v>158</v>
      </c>
      <c r="CN64" s="19">
        <f>Table1[[#This Row],[Mid]]</f>
        <v>0</v>
      </c>
      <c r="CO64" s="19">
        <f>Table1[[#This Row],[Mid3]]+Table1[[#This Row],[Mid6]]+Table1[[#This Row],[Mid9]]</f>
        <v>0</v>
      </c>
      <c r="CP64" s="19">
        <f>Table1[[#This Row],[Mid12]]+Table1[[#This Row],[Mid15]]+Table1[[#This Row],[Mid18]]+Table1[[#This Row],[Mid21]]+Table1[[#This Row],[Mid24]]</f>
        <v>0</v>
      </c>
      <c r="CQ64" s="19">
        <f>Table1[[#This Row],[Mid27]]+Table1[[#This Row],[Mid30]]+Table1[[#This Row],[Mid33]]+Table1[[#This Row],[Mid36]]+Table1[[#This Row],[Mid39]]</f>
        <v>1078.3</v>
      </c>
      <c r="CR64" t="s">
        <v>136</v>
      </c>
      <c r="CS64" s="19" t="str">
        <f>IF(AND(Table1[[#This Row],[Low41]]=0, Table1[[#This Row],[High43]]=0),"N","Y")</f>
        <v>N</v>
      </c>
    </row>
    <row r="65" spans="1:97" ht="19.5" customHeight="1" x14ac:dyDescent="0.25">
      <c r="A65">
        <v>10062</v>
      </c>
      <c r="B65" t="s">
        <v>113</v>
      </c>
      <c r="C65" t="s">
        <v>258</v>
      </c>
      <c r="D65">
        <v>-38.46083333</v>
      </c>
      <c r="E65">
        <v>141.13638889999999</v>
      </c>
      <c r="F65" t="s">
        <v>367</v>
      </c>
      <c r="G65" t="s">
        <v>211</v>
      </c>
      <c r="H65" t="s">
        <v>368</v>
      </c>
      <c r="I65" t="s">
        <v>118</v>
      </c>
      <c r="J65" t="s">
        <v>119</v>
      </c>
      <c r="K65" t="s">
        <v>190</v>
      </c>
      <c r="L65" t="s">
        <v>18</v>
      </c>
      <c r="M65" t="s">
        <v>369</v>
      </c>
      <c r="N65" s="6" t="s">
        <v>370</v>
      </c>
      <c r="O65" t="s">
        <v>371</v>
      </c>
      <c r="P65" t="s">
        <v>170</v>
      </c>
      <c r="Q65" t="s">
        <v>372</v>
      </c>
      <c r="R65" t="s">
        <v>373</v>
      </c>
      <c r="S65">
        <v>2014</v>
      </c>
      <c r="T65" t="s">
        <v>128</v>
      </c>
      <c r="U65" t="s">
        <v>173</v>
      </c>
      <c r="V65">
        <v>13608</v>
      </c>
      <c r="W65">
        <v>0</v>
      </c>
      <c r="X65">
        <v>500</v>
      </c>
      <c r="Y65">
        <v>0</v>
      </c>
      <c r="Z65">
        <v>10</v>
      </c>
      <c r="AA65">
        <v>500</v>
      </c>
      <c r="AB65">
        <v>0</v>
      </c>
      <c r="AC65">
        <v>0</v>
      </c>
      <c r="AD65">
        <v>0</v>
      </c>
      <c r="AE65">
        <v>0</v>
      </c>
      <c r="AF65">
        <v>200</v>
      </c>
      <c r="AG65">
        <v>0</v>
      </c>
      <c r="AH65" t="s">
        <v>374</v>
      </c>
      <c r="AI65">
        <v>0</v>
      </c>
      <c r="AJ65">
        <v>0</v>
      </c>
      <c r="AK65">
        <v>0</v>
      </c>
      <c r="AL65">
        <v>0</v>
      </c>
      <c r="AM65" t="s">
        <v>268</v>
      </c>
      <c r="AN65" t="s">
        <v>132</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1200</v>
      </c>
      <c r="BX65">
        <v>0</v>
      </c>
      <c r="BY65">
        <v>0</v>
      </c>
      <c r="BZ65">
        <v>0</v>
      </c>
      <c r="CA65">
        <v>0</v>
      </c>
      <c r="CB65">
        <v>0</v>
      </c>
      <c r="CC65">
        <v>0</v>
      </c>
      <c r="CD65">
        <v>0</v>
      </c>
      <c r="CE6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5" s="19">
        <f>SUM(Table1[[#This Row],[Mid39]],Table1[[#This Row],[Mid36]],Table1[[#This Row],[Mid33]],Table1[[#This Row],[Mid30]],Table1[[#This Row],[Mid27]],Table1[[#This Row],[Mid24]],Table1[[#This Row],[Mid21]],Table1[[#This Row],[Mid18]],Table1[[#This Row],[Mid15]],Table1[[#This Row],[Mid12]],Table1[[#This Row],[Mid9]],Table1[[#This Row],[Mid6]],Table1[[#This Row],[Mid3]],Table1[[#This Row],[Mid]])</f>
        <v>1200</v>
      </c>
      <c r="CG6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5" t="s">
        <v>157</v>
      </c>
      <c r="CI65" t="s">
        <v>134</v>
      </c>
      <c r="CJ65" t="s">
        <v>158</v>
      </c>
      <c r="CL65" s="19">
        <f>IF(Table1[[#This Row],[Type]]="Petroleum",1,IF(ISERROR(Table1[[#This Row],[Well Density]]*Table1[[#This Row],[Single Well Discovery Area]]),"",IF(Table1[[#This Row],[Well Density]]*Table1[[#This Row],[Single Well Discovery Area]]&gt;1,1,Table1[[#This Row],[Well Density]]*Table1[[#This Row],[Single Well Discovery Area]])))</f>
        <v>0</v>
      </c>
      <c r="CM65" t="s">
        <v>158</v>
      </c>
      <c r="CN65" s="19">
        <f>Table1[[#This Row],[Mid]]</f>
        <v>0</v>
      </c>
      <c r="CO65" s="19">
        <f>Table1[[#This Row],[Mid3]]+Table1[[#This Row],[Mid6]]+Table1[[#This Row],[Mid9]]</f>
        <v>0</v>
      </c>
      <c r="CP65" s="19">
        <f>Table1[[#This Row],[Mid12]]+Table1[[#This Row],[Mid15]]+Table1[[#This Row],[Mid18]]+Table1[[#This Row],[Mid21]]+Table1[[#This Row],[Mid24]]</f>
        <v>0</v>
      </c>
      <c r="CQ65" s="19">
        <f>Table1[[#This Row],[Mid27]]+Table1[[#This Row],[Mid30]]+Table1[[#This Row],[Mid33]]+Table1[[#This Row],[Mid36]]+Table1[[#This Row],[Mid39]]</f>
        <v>1200</v>
      </c>
      <c r="CR65" t="s">
        <v>136</v>
      </c>
      <c r="CS65" s="19" t="str">
        <f>IF(AND(Table1[[#This Row],[Low41]]=0, Table1[[#This Row],[High43]]=0),"N","Y")</f>
        <v>N</v>
      </c>
    </row>
    <row r="66" spans="1:97" ht="19.5" customHeight="1" x14ac:dyDescent="0.25">
      <c r="A66">
        <v>10063</v>
      </c>
      <c r="B66" t="s">
        <v>113</v>
      </c>
      <c r="C66" t="s">
        <v>258</v>
      </c>
      <c r="D66">
        <v>-38.44055556</v>
      </c>
      <c r="E66">
        <v>147.26166670000001</v>
      </c>
      <c r="F66" t="s">
        <v>375</v>
      </c>
      <c r="G66" t="s">
        <v>197</v>
      </c>
      <c r="H66" t="s">
        <v>376</v>
      </c>
      <c r="I66" t="s">
        <v>118</v>
      </c>
      <c r="J66" t="s">
        <v>119</v>
      </c>
      <c r="K66" t="s">
        <v>190</v>
      </c>
      <c r="L66" t="s">
        <v>121</v>
      </c>
      <c r="M66" t="s">
        <v>122</v>
      </c>
      <c r="N66" s="6" t="s">
        <v>262</v>
      </c>
      <c r="O66" t="s">
        <v>377</v>
      </c>
      <c r="P66" t="s">
        <v>378</v>
      </c>
      <c r="Q66" t="s">
        <v>265</v>
      </c>
      <c r="R66" s="21" t="s">
        <v>379</v>
      </c>
      <c r="S66">
        <v>2013</v>
      </c>
      <c r="T66" t="s">
        <v>128</v>
      </c>
      <c r="U66" t="s">
        <v>173</v>
      </c>
      <c r="V66">
        <v>605</v>
      </c>
      <c r="W66">
        <v>2100</v>
      </c>
      <c r="X66">
        <v>748</v>
      </c>
      <c r="Y66">
        <v>0</v>
      </c>
      <c r="Z66">
        <v>12</v>
      </c>
      <c r="AA66">
        <v>90</v>
      </c>
      <c r="AB66">
        <v>0</v>
      </c>
      <c r="AC66">
        <v>0</v>
      </c>
      <c r="AD66">
        <v>7</v>
      </c>
      <c r="AE66">
        <v>1.1570248E-2</v>
      </c>
      <c r="AF66">
        <v>200</v>
      </c>
      <c r="AG66">
        <v>0</v>
      </c>
      <c r="AH66" t="s">
        <v>380</v>
      </c>
      <c r="AI66">
        <v>2.5</v>
      </c>
      <c r="AJ66">
        <v>0</v>
      </c>
      <c r="AK66">
        <v>0</v>
      </c>
      <c r="AL66">
        <v>0</v>
      </c>
      <c r="AM66" t="s">
        <v>268</v>
      </c>
      <c r="AN66" t="s">
        <v>132</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19</v>
      </c>
      <c r="BK66">
        <v>66</v>
      </c>
      <c r="BL66">
        <v>131</v>
      </c>
      <c r="BM66">
        <v>0</v>
      </c>
      <c r="BN66">
        <v>0</v>
      </c>
      <c r="BO66">
        <v>0</v>
      </c>
      <c r="BP66">
        <v>0</v>
      </c>
      <c r="BQ66">
        <v>0</v>
      </c>
      <c r="BR66">
        <v>0</v>
      </c>
      <c r="BS66">
        <v>0</v>
      </c>
      <c r="BT66">
        <v>0</v>
      </c>
      <c r="BU66">
        <v>0</v>
      </c>
      <c r="BV66">
        <v>0</v>
      </c>
      <c r="BW66">
        <v>0</v>
      </c>
      <c r="BX66">
        <v>0</v>
      </c>
      <c r="BY66">
        <v>0</v>
      </c>
      <c r="BZ66">
        <v>0</v>
      </c>
      <c r="CA66">
        <v>0</v>
      </c>
      <c r="CB66">
        <v>0</v>
      </c>
      <c r="CC66">
        <v>0</v>
      </c>
      <c r="CD66">
        <v>0</v>
      </c>
      <c r="CE66" s="19">
        <f>SUM(Table1[[#This Row],[Low38]],Table1[[#This Row],[Low35]],Table1[[#This Row],[Low32]],Table1[[#This Row],[Low29]],Table1[[#This Row],[Low26]],Table1[[#This Row],[Low23]],Table1[[#This Row],[Low20]],Table1[[#This Row],[Low17]],Table1[[#This Row],[Low14]],Table1[[#This Row],[Low11]],Table1[[#This Row],[Low8]],Table1[[#This Row],[Low5]],Table1[[#This Row],[Low2]],Table1[[#This Row],[Low]])</f>
        <v>19</v>
      </c>
      <c r="CF66" s="19">
        <f>SUM(Table1[[#This Row],[Mid39]],Table1[[#This Row],[Mid36]],Table1[[#This Row],[Mid33]],Table1[[#This Row],[Mid30]],Table1[[#This Row],[Mid27]],Table1[[#This Row],[Mid24]],Table1[[#This Row],[Mid21]],Table1[[#This Row],[Mid18]],Table1[[#This Row],[Mid15]],Table1[[#This Row],[Mid12]],Table1[[#This Row],[Mid9]],Table1[[#This Row],[Mid6]],Table1[[#This Row],[Mid3]],Table1[[#This Row],[Mid]])</f>
        <v>66</v>
      </c>
      <c r="CG6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131</v>
      </c>
      <c r="CH66" t="s">
        <v>157</v>
      </c>
      <c r="CI66" t="s">
        <v>134</v>
      </c>
      <c r="CJ66" t="s">
        <v>158</v>
      </c>
      <c r="CL66" s="19">
        <f>IF(Table1[[#This Row],[Type]]="Petroleum",1,IF(ISERROR(Table1[[#This Row],[Well Density]]*Table1[[#This Row],[Single Well Discovery Area]]),"",IF(Table1[[#This Row],[Well Density]]*Table1[[#This Row],[Single Well Discovery Area]]&gt;1,1,Table1[[#This Row],[Well Density]]*Table1[[#This Row],[Single Well Discovery Area]])))</f>
        <v>1</v>
      </c>
      <c r="CM66" t="s">
        <v>135</v>
      </c>
      <c r="CN66" s="19">
        <f>Table1[[#This Row],[Mid]]</f>
        <v>0</v>
      </c>
      <c r="CO66" s="19">
        <f>Table1[[#This Row],[Mid3]]+Table1[[#This Row],[Mid6]]+Table1[[#This Row],[Mid9]]</f>
        <v>0</v>
      </c>
      <c r="CP66" s="19">
        <f>Table1[[#This Row],[Mid12]]+Table1[[#This Row],[Mid15]]+Table1[[#This Row],[Mid18]]+Table1[[#This Row],[Mid21]]+Table1[[#This Row],[Mid24]]</f>
        <v>66</v>
      </c>
      <c r="CQ66" s="19">
        <f>Table1[[#This Row],[Mid27]]+Table1[[#This Row],[Mid30]]+Table1[[#This Row],[Mid33]]+Table1[[#This Row],[Mid36]]+Table1[[#This Row],[Mid39]]</f>
        <v>0</v>
      </c>
      <c r="CR66" t="s">
        <v>136</v>
      </c>
      <c r="CS66" s="19" t="str">
        <f>IF(AND(Table1[[#This Row],[Low41]]=0, Table1[[#This Row],[High43]]=0),"N","Y")</f>
        <v>Y</v>
      </c>
    </row>
    <row r="67" spans="1:97" ht="19.5" customHeight="1" x14ac:dyDescent="0.25">
      <c r="A67">
        <v>10064</v>
      </c>
      <c r="B67" t="s">
        <v>113</v>
      </c>
      <c r="C67" t="s">
        <v>258</v>
      </c>
      <c r="D67">
        <v>-38.162500000000001</v>
      </c>
      <c r="E67">
        <v>147.6116667</v>
      </c>
      <c r="F67" t="s">
        <v>381</v>
      </c>
      <c r="G67" t="s">
        <v>197</v>
      </c>
      <c r="H67" t="s">
        <v>376</v>
      </c>
      <c r="I67" t="s">
        <v>118</v>
      </c>
      <c r="J67" t="s">
        <v>119</v>
      </c>
      <c r="K67" t="s">
        <v>190</v>
      </c>
      <c r="L67" t="s">
        <v>121</v>
      </c>
      <c r="M67" t="s">
        <v>122</v>
      </c>
      <c r="N67" s="6" t="s">
        <v>262</v>
      </c>
      <c r="O67" t="s">
        <v>377</v>
      </c>
      <c r="P67" t="s">
        <v>378</v>
      </c>
      <c r="Q67" t="s">
        <v>265</v>
      </c>
      <c r="R67" t="s">
        <v>382</v>
      </c>
      <c r="S67">
        <v>2013</v>
      </c>
      <c r="T67" t="s">
        <v>128</v>
      </c>
      <c r="U67" t="s">
        <v>173</v>
      </c>
      <c r="V67">
        <v>517</v>
      </c>
      <c r="W67">
        <v>2100</v>
      </c>
      <c r="X67">
        <v>748</v>
      </c>
      <c r="Y67">
        <v>0</v>
      </c>
      <c r="Z67">
        <v>12</v>
      </c>
      <c r="AA67">
        <v>90</v>
      </c>
      <c r="AB67">
        <v>0</v>
      </c>
      <c r="AC67">
        <v>0</v>
      </c>
      <c r="AD67">
        <v>10</v>
      </c>
      <c r="AE67">
        <v>1.9342359999999999E-2</v>
      </c>
      <c r="AF67">
        <v>200</v>
      </c>
      <c r="AG67">
        <v>0</v>
      </c>
      <c r="AH67" t="s">
        <v>380</v>
      </c>
      <c r="AI67">
        <v>2.5</v>
      </c>
      <c r="AJ67">
        <v>0</v>
      </c>
      <c r="AK67">
        <v>0</v>
      </c>
      <c r="AL67">
        <v>0</v>
      </c>
      <c r="AM67" t="s">
        <v>268</v>
      </c>
      <c r="AN67" t="s">
        <v>132</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29</v>
      </c>
      <c r="BK67">
        <v>98</v>
      </c>
      <c r="BL67">
        <v>193</v>
      </c>
      <c r="BM67">
        <v>0</v>
      </c>
      <c r="BN67">
        <v>0</v>
      </c>
      <c r="BO67">
        <v>0</v>
      </c>
      <c r="BP67">
        <v>0</v>
      </c>
      <c r="BQ67">
        <v>0</v>
      </c>
      <c r="BR67">
        <v>0</v>
      </c>
      <c r="BS67">
        <v>0</v>
      </c>
      <c r="BT67">
        <v>0</v>
      </c>
      <c r="BU67">
        <v>0</v>
      </c>
      <c r="BV67">
        <v>0</v>
      </c>
      <c r="BW67">
        <v>0</v>
      </c>
      <c r="BX67">
        <v>0</v>
      </c>
      <c r="BY67">
        <v>0</v>
      </c>
      <c r="BZ67">
        <v>0</v>
      </c>
      <c r="CA67">
        <v>0</v>
      </c>
      <c r="CB67">
        <v>0</v>
      </c>
      <c r="CC67">
        <v>0</v>
      </c>
      <c r="CD67">
        <v>0</v>
      </c>
      <c r="CE67" s="19">
        <f>SUM(Table1[[#This Row],[Low38]],Table1[[#This Row],[Low35]],Table1[[#This Row],[Low32]],Table1[[#This Row],[Low29]],Table1[[#This Row],[Low26]],Table1[[#This Row],[Low23]],Table1[[#This Row],[Low20]],Table1[[#This Row],[Low17]],Table1[[#This Row],[Low14]],Table1[[#This Row],[Low11]],Table1[[#This Row],[Low8]],Table1[[#This Row],[Low5]],Table1[[#This Row],[Low2]],Table1[[#This Row],[Low]])</f>
        <v>29</v>
      </c>
      <c r="CF67" s="19">
        <f>SUM(Table1[[#This Row],[Mid39]],Table1[[#This Row],[Mid36]],Table1[[#This Row],[Mid33]],Table1[[#This Row],[Mid30]],Table1[[#This Row],[Mid27]],Table1[[#This Row],[Mid24]],Table1[[#This Row],[Mid21]],Table1[[#This Row],[Mid18]],Table1[[#This Row],[Mid15]],Table1[[#This Row],[Mid12]],Table1[[#This Row],[Mid9]],Table1[[#This Row],[Mid6]],Table1[[#This Row],[Mid3]],Table1[[#This Row],[Mid]])</f>
        <v>98</v>
      </c>
      <c r="CG6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193</v>
      </c>
      <c r="CH67" t="s">
        <v>157</v>
      </c>
      <c r="CI67" t="s">
        <v>134</v>
      </c>
      <c r="CJ67" t="s">
        <v>158</v>
      </c>
      <c r="CL67" s="19">
        <f>IF(Table1[[#This Row],[Type]]="Petroleum",1,IF(ISERROR(Table1[[#This Row],[Well Density]]*Table1[[#This Row],[Single Well Discovery Area]]),"",IF(Table1[[#This Row],[Well Density]]*Table1[[#This Row],[Single Well Discovery Area]]&gt;1,1,Table1[[#This Row],[Well Density]]*Table1[[#This Row],[Single Well Discovery Area]])))</f>
        <v>1</v>
      </c>
      <c r="CM67" t="s">
        <v>135</v>
      </c>
      <c r="CN67" s="19">
        <f>Table1[[#This Row],[Mid]]</f>
        <v>0</v>
      </c>
      <c r="CO67" s="19">
        <f>Table1[[#This Row],[Mid3]]+Table1[[#This Row],[Mid6]]+Table1[[#This Row],[Mid9]]</f>
        <v>0</v>
      </c>
      <c r="CP67" s="19">
        <f>Table1[[#This Row],[Mid12]]+Table1[[#This Row],[Mid15]]+Table1[[#This Row],[Mid18]]+Table1[[#This Row],[Mid21]]+Table1[[#This Row],[Mid24]]</f>
        <v>98</v>
      </c>
      <c r="CQ67" s="19">
        <f>Table1[[#This Row],[Mid27]]+Table1[[#This Row],[Mid30]]+Table1[[#This Row],[Mid33]]+Table1[[#This Row],[Mid36]]+Table1[[#This Row],[Mid39]]</f>
        <v>0</v>
      </c>
      <c r="CR67" t="s">
        <v>136</v>
      </c>
      <c r="CS67" s="19" t="str">
        <f>IF(AND(Table1[[#This Row],[Low41]]=0, Table1[[#This Row],[High43]]=0),"N","Y")</f>
        <v>Y</v>
      </c>
    </row>
    <row r="68" spans="1:97" ht="19.5" customHeight="1" x14ac:dyDescent="0.25">
      <c r="A68">
        <v>10065</v>
      </c>
      <c r="B68" t="s">
        <v>113</v>
      </c>
      <c r="C68" t="s">
        <v>383</v>
      </c>
      <c r="D68">
        <v>-29.245277779999999</v>
      </c>
      <c r="E68">
        <v>114.9325</v>
      </c>
      <c r="F68" t="s">
        <v>384</v>
      </c>
      <c r="G68" t="s">
        <v>199</v>
      </c>
      <c r="H68" t="s">
        <v>271</v>
      </c>
      <c r="I68" t="s">
        <v>118</v>
      </c>
      <c r="J68" t="s">
        <v>119</v>
      </c>
      <c r="K68" t="s">
        <v>203</v>
      </c>
      <c r="L68" t="s">
        <v>385</v>
      </c>
      <c r="M68" t="s">
        <v>386</v>
      </c>
      <c r="N68" s="6" t="s">
        <v>273</v>
      </c>
      <c r="O68" t="s">
        <v>274</v>
      </c>
      <c r="P68" t="s">
        <v>387</v>
      </c>
      <c r="Q68" t="s">
        <v>255</v>
      </c>
      <c r="R68" t="s">
        <v>388</v>
      </c>
      <c r="S68">
        <v>2012</v>
      </c>
      <c r="T68" t="s">
        <v>128</v>
      </c>
      <c r="U68" t="s">
        <v>173</v>
      </c>
      <c r="V68">
        <v>44.4</v>
      </c>
      <c r="W68">
        <v>1622</v>
      </c>
      <c r="X68">
        <v>416.5</v>
      </c>
      <c r="Y68">
        <v>0</v>
      </c>
      <c r="Z68">
        <v>0</v>
      </c>
      <c r="AA68">
        <v>0</v>
      </c>
      <c r="AB68">
        <v>0</v>
      </c>
      <c r="AC68">
        <v>0</v>
      </c>
      <c r="AD68">
        <v>35</v>
      </c>
      <c r="AE68">
        <v>0.78828828799999995</v>
      </c>
      <c r="AF68">
        <v>200</v>
      </c>
      <c r="AG68">
        <v>0</v>
      </c>
      <c r="AH68" t="s">
        <v>277</v>
      </c>
      <c r="AI68">
        <v>3</v>
      </c>
      <c r="AJ68">
        <v>0</v>
      </c>
      <c r="AK68">
        <v>0</v>
      </c>
      <c r="AL68">
        <v>0</v>
      </c>
      <c r="AM68" t="s">
        <v>278</v>
      </c>
      <c r="AN68" t="s">
        <v>132</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11.6</v>
      </c>
      <c r="BK68">
        <v>28.85</v>
      </c>
      <c r="BL68">
        <v>46.1</v>
      </c>
      <c r="BM68">
        <v>0</v>
      </c>
      <c r="BN68">
        <v>0</v>
      </c>
      <c r="BO68">
        <v>0</v>
      </c>
      <c r="BP68">
        <v>0</v>
      </c>
      <c r="BQ68">
        <v>0</v>
      </c>
      <c r="BR68">
        <v>0</v>
      </c>
      <c r="BS68">
        <v>0</v>
      </c>
      <c r="BT68">
        <v>0</v>
      </c>
      <c r="BU68">
        <v>0</v>
      </c>
      <c r="BV68">
        <v>0</v>
      </c>
      <c r="BW68">
        <v>0</v>
      </c>
      <c r="BX68">
        <v>0</v>
      </c>
      <c r="BY68">
        <v>0</v>
      </c>
      <c r="BZ68">
        <v>0</v>
      </c>
      <c r="CA68">
        <v>0</v>
      </c>
      <c r="CB68">
        <v>0</v>
      </c>
      <c r="CC68">
        <v>0</v>
      </c>
      <c r="CD68">
        <v>0</v>
      </c>
      <c r="CE68" s="19">
        <f>SUM(Table1[[#This Row],[Low38]],Table1[[#This Row],[Low35]],Table1[[#This Row],[Low32]],Table1[[#This Row],[Low29]],Table1[[#This Row],[Low26]],Table1[[#This Row],[Low23]],Table1[[#This Row],[Low20]],Table1[[#This Row],[Low17]],Table1[[#This Row],[Low14]],Table1[[#This Row],[Low11]],Table1[[#This Row],[Low8]],Table1[[#This Row],[Low5]],Table1[[#This Row],[Low2]],Table1[[#This Row],[Low]])</f>
        <v>11.6</v>
      </c>
      <c r="CF68" s="19">
        <f>SUM(Table1[[#This Row],[Mid39]],Table1[[#This Row],[Mid36]],Table1[[#This Row],[Mid33]],Table1[[#This Row],[Mid30]],Table1[[#This Row],[Mid27]],Table1[[#This Row],[Mid24]],Table1[[#This Row],[Mid21]],Table1[[#This Row],[Mid18]],Table1[[#This Row],[Mid15]],Table1[[#This Row],[Mid12]],Table1[[#This Row],[Mid9]],Table1[[#This Row],[Mid6]],Table1[[#This Row],[Mid3]],Table1[[#This Row],[Mid]])</f>
        <v>28.85</v>
      </c>
      <c r="CG6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46.1</v>
      </c>
      <c r="CH68" t="s">
        <v>157</v>
      </c>
      <c r="CI68" t="s">
        <v>134</v>
      </c>
      <c r="CJ68" t="s">
        <v>135</v>
      </c>
      <c r="CL68" s="19">
        <f>IF(Table1[[#This Row],[Type]]="Petroleum",1,IF(ISERROR(Table1[[#This Row],[Well Density]]*Table1[[#This Row],[Single Well Discovery Area]]),"",IF(Table1[[#This Row],[Well Density]]*Table1[[#This Row],[Single Well Discovery Area]]&gt;1,1,Table1[[#This Row],[Well Density]]*Table1[[#This Row],[Single Well Discovery Area]])))</f>
        <v>1</v>
      </c>
      <c r="CM68" t="s">
        <v>158</v>
      </c>
      <c r="CN68" s="19">
        <f>Table1[[#This Row],[Mid]]</f>
        <v>0</v>
      </c>
      <c r="CO68" s="19">
        <f>Table1[[#This Row],[Mid3]]+Table1[[#This Row],[Mid6]]+Table1[[#This Row],[Mid9]]</f>
        <v>0</v>
      </c>
      <c r="CP68" s="19">
        <f>Table1[[#This Row],[Mid12]]+Table1[[#This Row],[Mid15]]+Table1[[#This Row],[Mid18]]+Table1[[#This Row],[Mid21]]+Table1[[#This Row],[Mid24]]</f>
        <v>28.85</v>
      </c>
      <c r="CQ68" s="19">
        <f>Table1[[#This Row],[Mid27]]+Table1[[#This Row],[Mid30]]+Table1[[#This Row],[Mid33]]+Table1[[#This Row],[Mid36]]+Table1[[#This Row],[Mid39]]</f>
        <v>0</v>
      </c>
      <c r="CR68" t="s">
        <v>136</v>
      </c>
      <c r="CS68" s="19" t="str">
        <f>IF(AND(Table1[[#This Row],[Low41]]=0, Table1[[#This Row],[High43]]=0),"N","Y")</f>
        <v>Y</v>
      </c>
    </row>
    <row r="69" spans="1:97" ht="19.5" customHeight="1" x14ac:dyDescent="0.25">
      <c r="A69">
        <v>10066</v>
      </c>
      <c r="B69" t="s">
        <v>113</v>
      </c>
      <c r="C69" t="s">
        <v>383</v>
      </c>
      <c r="D69">
        <v>-33.029722219999996</v>
      </c>
      <c r="E69">
        <v>115.8461111</v>
      </c>
      <c r="F69" t="s">
        <v>389</v>
      </c>
      <c r="G69" t="s">
        <v>199</v>
      </c>
      <c r="H69" t="s">
        <v>390</v>
      </c>
      <c r="I69" t="s">
        <v>118</v>
      </c>
      <c r="J69" t="s">
        <v>119</v>
      </c>
      <c r="K69" t="s">
        <v>391</v>
      </c>
      <c r="L69" t="s">
        <v>121</v>
      </c>
      <c r="M69" t="s">
        <v>392</v>
      </c>
      <c r="N69" s="6" t="s">
        <v>393</v>
      </c>
      <c r="O69" t="s">
        <v>394</v>
      </c>
      <c r="P69" t="s">
        <v>395</v>
      </c>
      <c r="Q69" t="s">
        <v>396</v>
      </c>
      <c r="R69" t="s">
        <v>397</v>
      </c>
      <c r="S69">
        <v>2017</v>
      </c>
      <c r="T69" t="s">
        <v>128</v>
      </c>
      <c r="U69" t="s">
        <v>173</v>
      </c>
      <c r="V69">
        <v>117</v>
      </c>
      <c r="W69">
        <v>3900</v>
      </c>
      <c r="X69">
        <v>1500</v>
      </c>
      <c r="Y69">
        <v>0</v>
      </c>
      <c r="Z69">
        <v>18</v>
      </c>
      <c r="AA69">
        <v>100</v>
      </c>
      <c r="AB69">
        <v>0</v>
      </c>
      <c r="AC69">
        <v>0</v>
      </c>
      <c r="AD69">
        <v>4</v>
      </c>
      <c r="AE69">
        <v>3.4188033999999999E-2</v>
      </c>
      <c r="AF69">
        <v>200</v>
      </c>
      <c r="AG69">
        <v>0</v>
      </c>
      <c r="AH69" t="s">
        <v>130</v>
      </c>
      <c r="AI69">
        <v>0</v>
      </c>
      <c r="AJ69">
        <v>0</v>
      </c>
      <c r="AK69">
        <v>0</v>
      </c>
      <c r="AL69">
        <v>0</v>
      </c>
      <c r="AM69" t="s">
        <v>268</v>
      </c>
      <c r="AN69" t="s">
        <v>132</v>
      </c>
      <c r="AO69">
        <v>0</v>
      </c>
      <c r="AP69">
        <v>0</v>
      </c>
      <c r="AQ69">
        <v>0</v>
      </c>
      <c r="AR69">
        <v>0</v>
      </c>
      <c r="AS69">
        <v>0</v>
      </c>
      <c r="AT69">
        <v>0</v>
      </c>
      <c r="AU69">
        <v>0</v>
      </c>
      <c r="AV69">
        <v>0</v>
      </c>
      <c r="AW69">
        <v>0</v>
      </c>
      <c r="AX69">
        <v>0</v>
      </c>
      <c r="AY69">
        <v>0</v>
      </c>
      <c r="AZ69">
        <v>0</v>
      </c>
      <c r="BA69">
        <v>0</v>
      </c>
      <c r="BB69">
        <v>0</v>
      </c>
      <c r="BC69">
        <v>0</v>
      </c>
      <c r="BD69">
        <v>0</v>
      </c>
      <c r="BE69">
        <v>0</v>
      </c>
      <c r="BF69">
        <v>0</v>
      </c>
      <c r="BG69">
        <v>0</v>
      </c>
      <c r="BH69">
        <v>24</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9" s="19">
        <f>SUM(Table1[[#This Row],[Mid39]],Table1[[#This Row],[Mid36]],Table1[[#This Row],[Mid33]],Table1[[#This Row],[Mid30]],Table1[[#This Row],[Mid27]],Table1[[#This Row],[Mid24]],Table1[[#This Row],[Mid21]],Table1[[#This Row],[Mid18]],Table1[[#This Row],[Mid15]],Table1[[#This Row],[Mid12]],Table1[[#This Row],[Mid9]],Table1[[#This Row],[Mid6]],Table1[[#This Row],[Mid3]],Table1[[#This Row],[Mid]])</f>
        <v>24</v>
      </c>
      <c r="CG6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9" t="s">
        <v>157</v>
      </c>
      <c r="CI69" t="s">
        <v>176</v>
      </c>
      <c r="CJ69" t="s">
        <v>135</v>
      </c>
      <c r="CL69" s="19">
        <f>IF(Table1[[#This Row],[Type]]="Petroleum",1,IF(ISERROR(Table1[[#This Row],[Well Density]]*Table1[[#This Row],[Single Well Discovery Area]]),"",IF(Table1[[#This Row],[Well Density]]*Table1[[#This Row],[Single Well Discovery Area]]&gt;1,1,Table1[[#This Row],[Well Density]]*Table1[[#This Row],[Single Well Discovery Area]])))</f>
        <v>1</v>
      </c>
      <c r="CM69" t="s">
        <v>135</v>
      </c>
      <c r="CN69" s="19">
        <f>Table1[[#This Row],[Mid]]</f>
        <v>0</v>
      </c>
      <c r="CO69" s="19">
        <f>Table1[[#This Row],[Mid3]]+Table1[[#This Row],[Mid6]]+Table1[[#This Row],[Mid9]]</f>
        <v>0</v>
      </c>
      <c r="CP69" s="19">
        <f>Table1[[#This Row],[Mid12]]+Table1[[#This Row],[Mid15]]+Table1[[#This Row],[Mid18]]+Table1[[#This Row],[Mid21]]+Table1[[#This Row],[Mid24]]</f>
        <v>24</v>
      </c>
      <c r="CQ69" s="19">
        <f>Table1[[#This Row],[Mid27]]+Table1[[#This Row],[Mid30]]+Table1[[#This Row],[Mid33]]+Table1[[#This Row],[Mid36]]+Table1[[#This Row],[Mid39]]</f>
        <v>0</v>
      </c>
      <c r="CR69" t="s">
        <v>136</v>
      </c>
      <c r="CS69" s="19" t="str">
        <f>IF(AND(Table1[[#This Row],[Low41]]=0, Table1[[#This Row],[High43]]=0),"N","Y")</f>
        <v>N</v>
      </c>
    </row>
    <row r="70" spans="1:97" ht="19.5" customHeight="1" x14ac:dyDescent="0.25">
      <c r="A70">
        <v>10067</v>
      </c>
      <c r="B70" t="s">
        <v>113</v>
      </c>
      <c r="C70" t="s">
        <v>383</v>
      </c>
      <c r="D70">
        <v>-29.81138889</v>
      </c>
      <c r="E70">
        <v>115.2666667</v>
      </c>
      <c r="F70" t="s">
        <v>398</v>
      </c>
      <c r="G70" t="s">
        <v>199</v>
      </c>
      <c r="H70" t="s">
        <v>399</v>
      </c>
      <c r="I70" t="s">
        <v>118</v>
      </c>
      <c r="J70" t="s">
        <v>119</v>
      </c>
      <c r="K70" t="s">
        <v>203</v>
      </c>
      <c r="L70" t="s">
        <v>385</v>
      </c>
      <c r="M70" t="s">
        <v>400</v>
      </c>
      <c r="N70" s="6" t="s">
        <v>273</v>
      </c>
      <c r="O70" t="s">
        <v>274</v>
      </c>
      <c r="P70" t="s">
        <v>387</v>
      </c>
      <c r="Q70" t="s">
        <v>401</v>
      </c>
      <c r="R70" t="s">
        <v>402</v>
      </c>
      <c r="S70">
        <v>2012</v>
      </c>
      <c r="T70" t="s">
        <v>128</v>
      </c>
      <c r="U70" t="s">
        <v>173</v>
      </c>
      <c r="V70">
        <v>168.8</v>
      </c>
      <c r="W70">
        <v>2641.6</v>
      </c>
      <c r="X70">
        <v>547</v>
      </c>
      <c r="Y70">
        <v>0</v>
      </c>
      <c r="Z70">
        <v>0</v>
      </c>
      <c r="AA70">
        <v>0</v>
      </c>
      <c r="AB70">
        <v>0</v>
      </c>
      <c r="AC70">
        <v>0</v>
      </c>
      <c r="AD70">
        <v>18</v>
      </c>
      <c r="AE70">
        <v>0.106635071</v>
      </c>
      <c r="AF70">
        <v>200</v>
      </c>
      <c r="AG70">
        <v>0</v>
      </c>
      <c r="AH70" t="s">
        <v>277</v>
      </c>
      <c r="AI70">
        <v>3</v>
      </c>
      <c r="AJ70">
        <v>0</v>
      </c>
      <c r="AK70">
        <v>0</v>
      </c>
      <c r="AL70">
        <v>0</v>
      </c>
      <c r="AM70" t="s">
        <v>278</v>
      </c>
      <c r="AN70" t="s">
        <v>132</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65.5</v>
      </c>
      <c r="BK70">
        <v>137.1</v>
      </c>
      <c r="BL70">
        <v>208.7</v>
      </c>
      <c r="BM70">
        <v>0</v>
      </c>
      <c r="BN70">
        <v>0</v>
      </c>
      <c r="BO70">
        <v>0</v>
      </c>
      <c r="BP70">
        <v>0</v>
      </c>
      <c r="BQ70">
        <v>0</v>
      </c>
      <c r="BR70">
        <v>0</v>
      </c>
      <c r="BS70">
        <v>0</v>
      </c>
      <c r="BT70">
        <v>0</v>
      </c>
      <c r="BU70">
        <v>0</v>
      </c>
      <c r="BV70">
        <v>0</v>
      </c>
      <c r="BW70">
        <v>0</v>
      </c>
      <c r="BX70">
        <v>0</v>
      </c>
      <c r="BY70">
        <v>0</v>
      </c>
      <c r="BZ70">
        <v>0</v>
      </c>
      <c r="CA70">
        <v>0</v>
      </c>
      <c r="CB70">
        <v>0</v>
      </c>
      <c r="CC70">
        <v>0</v>
      </c>
      <c r="CD70">
        <v>0</v>
      </c>
      <c r="CE70" s="19">
        <f>SUM(Table1[[#This Row],[Low38]],Table1[[#This Row],[Low35]],Table1[[#This Row],[Low32]],Table1[[#This Row],[Low29]],Table1[[#This Row],[Low26]],Table1[[#This Row],[Low23]],Table1[[#This Row],[Low20]],Table1[[#This Row],[Low17]],Table1[[#This Row],[Low14]],Table1[[#This Row],[Low11]],Table1[[#This Row],[Low8]],Table1[[#This Row],[Low5]],Table1[[#This Row],[Low2]],Table1[[#This Row],[Low]])</f>
        <v>65.5</v>
      </c>
      <c r="CF70" s="19">
        <f>SUM(Table1[[#This Row],[Mid39]],Table1[[#This Row],[Mid36]],Table1[[#This Row],[Mid33]],Table1[[#This Row],[Mid30]],Table1[[#This Row],[Mid27]],Table1[[#This Row],[Mid24]],Table1[[#This Row],[Mid21]],Table1[[#This Row],[Mid18]],Table1[[#This Row],[Mid15]],Table1[[#This Row],[Mid12]],Table1[[#This Row],[Mid9]],Table1[[#This Row],[Mid6]],Table1[[#This Row],[Mid3]],Table1[[#This Row],[Mid]])</f>
        <v>137.1</v>
      </c>
      <c r="CG7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208.7</v>
      </c>
      <c r="CH70" t="s">
        <v>157</v>
      </c>
      <c r="CI70" t="s">
        <v>134</v>
      </c>
      <c r="CJ70" t="s">
        <v>135</v>
      </c>
      <c r="CL70" s="19">
        <f>IF(Table1[[#This Row],[Type]]="Petroleum",1,IF(ISERROR(Table1[[#This Row],[Well Density]]*Table1[[#This Row],[Single Well Discovery Area]]),"",IF(Table1[[#This Row],[Well Density]]*Table1[[#This Row],[Single Well Discovery Area]]&gt;1,1,Table1[[#This Row],[Well Density]]*Table1[[#This Row],[Single Well Discovery Area]])))</f>
        <v>1</v>
      </c>
      <c r="CM70" t="s">
        <v>158</v>
      </c>
      <c r="CN70" s="19">
        <f>Table1[[#This Row],[Mid]]</f>
        <v>0</v>
      </c>
      <c r="CO70" s="19">
        <f>Table1[[#This Row],[Mid3]]+Table1[[#This Row],[Mid6]]+Table1[[#This Row],[Mid9]]</f>
        <v>0</v>
      </c>
      <c r="CP70" s="19">
        <f>Table1[[#This Row],[Mid12]]+Table1[[#This Row],[Mid15]]+Table1[[#This Row],[Mid18]]+Table1[[#This Row],[Mid21]]+Table1[[#This Row],[Mid24]]</f>
        <v>137.1</v>
      </c>
      <c r="CQ70" s="19">
        <f>Table1[[#This Row],[Mid27]]+Table1[[#This Row],[Mid30]]+Table1[[#This Row],[Mid33]]+Table1[[#This Row],[Mid36]]+Table1[[#This Row],[Mid39]]</f>
        <v>0</v>
      </c>
      <c r="CR70" t="s">
        <v>136</v>
      </c>
      <c r="CS70" s="19" t="str">
        <f>IF(AND(Table1[[#This Row],[Low41]]=0, Table1[[#This Row],[High43]]=0),"N","Y")</f>
        <v>Y</v>
      </c>
    </row>
    <row r="71" spans="1:97" ht="19.5" customHeight="1" x14ac:dyDescent="0.25">
      <c r="A71">
        <v>10068</v>
      </c>
      <c r="B71" t="s">
        <v>113</v>
      </c>
      <c r="C71" t="s">
        <v>383</v>
      </c>
      <c r="D71">
        <v>-29.85</v>
      </c>
      <c r="E71">
        <v>114.99</v>
      </c>
      <c r="F71" t="s">
        <v>403</v>
      </c>
      <c r="G71" t="s">
        <v>199</v>
      </c>
      <c r="H71" t="s">
        <v>404</v>
      </c>
      <c r="I71" t="s">
        <v>118</v>
      </c>
      <c r="J71" t="s">
        <v>119</v>
      </c>
      <c r="K71" t="s">
        <v>203</v>
      </c>
      <c r="L71" t="s">
        <v>18</v>
      </c>
      <c r="M71" t="s">
        <v>272</v>
      </c>
      <c r="N71" s="6" t="s">
        <v>273</v>
      </c>
      <c r="O71" t="s">
        <v>274</v>
      </c>
      <c r="P71" t="s">
        <v>387</v>
      </c>
      <c r="Q71" t="s">
        <v>255</v>
      </c>
      <c r="R71" t="s">
        <v>405</v>
      </c>
      <c r="S71">
        <v>2012</v>
      </c>
      <c r="T71" t="s">
        <v>128</v>
      </c>
      <c r="U71" t="s">
        <v>173</v>
      </c>
      <c r="V71">
        <v>103.4</v>
      </c>
      <c r="W71">
        <v>2825</v>
      </c>
      <c r="X71">
        <v>675</v>
      </c>
      <c r="Y71">
        <v>0</v>
      </c>
      <c r="Z71">
        <v>0</v>
      </c>
      <c r="AA71">
        <v>0</v>
      </c>
      <c r="AB71">
        <v>0</v>
      </c>
      <c r="AC71">
        <v>0</v>
      </c>
      <c r="AD71">
        <v>4</v>
      </c>
      <c r="AE71">
        <v>3.8684719999999999E-2</v>
      </c>
      <c r="AF71">
        <v>200</v>
      </c>
      <c r="AG71">
        <v>0</v>
      </c>
      <c r="AH71" t="s">
        <v>277</v>
      </c>
      <c r="AI71">
        <v>3</v>
      </c>
      <c r="AJ71">
        <v>0</v>
      </c>
      <c r="AK71">
        <v>0</v>
      </c>
      <c r="AL71">
        <v>0</v>
      </c>
      <c r="AM71" t="s">
        <v>278</v>
      </c>
      <c r="AN71" t="s">
        <v>132</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38.549999999999997</v>
      </c>
      <c r="BK71">
        <v>68.55</v>
      </c>
      <c r="BL71">
        <v>98.55</v>
      </c>
      <c r="BM71">
        <v>0</v>
      </c>
      <c r="BN71">
        <v>0</v>
      </c>
      <c r="BO71">
        <v>0</v>
      </c>
      <c r="BP71">
        <v>0</v>
      </c>
      <c r="BQ71">
        <v>0</v>
      </c>
      <c r="BR71">
        <v>0</v>
      </c>
      <c r="BS71">
        <v>12.85</v>
      </c>
      <c r="BT71">
        <v>22.85</v>
      </c>
      <c r="BU71">
        <v>32.85</v>
      </c>
      <c r="BV71">
        <v>0</v>
      </c>
      <c r="BW71">
        <v>0</v>
      </c>
      <c r="BX71">
        <v>0</v>
      </c>
      <c r="BY71">
        <v>0</v>
      </c>
      <c r="BZ71">
        <v>0</v>
      </c>
      <c r="CA71">
        <v>0</v>
      </c>
      <c r="CB71">
        <v>0</v>
      </c>
      <c r="CC71">
        <v>0</v>
      </c>
      <c r="CD71">
        <v>0</v>
      </c>
      <c r="CE71" s="19">
        <f>SUM(Table1[[#This Row],[Low38]],Table1[[#This Row],[Low35]],Table1[[#This Row],[Low32]],Table1[[#This Row],[Low29]],Table1[[#This Row],[Low26]],Table1[[#This Row],[Low23]],Table1[[#This Row],[Low20]],Table1[[#This Row],[Low17]],Table1[[#This Row],[Low14]],Table1[[#This Row],[Low11]],Table1[[#This Row],[Low8]],Table1[[#This Row],[Low5]],Table1[[#This Row],[Low2]],Table1[[#This Row],[Low]])</f>
        <v>51.4</v>
      </c>
      <c r="CF71" s="19">
        <f>SUM(Table1[[#This Row],[Mid39]],Table1[[#This Row],[Mid36]],Table1[[#This Row],[Mid33]],Table1[[#This Row],[Mid30]],Table1[[#This Row],[Mid27]],Table1[[#This Row],[Mid24]],Table1[[#This Row],[Mid21]],Table1[[#This Row],[Mid18]],Table1[[#This Row],[Mid15]],Table1[[#This Row],[Mid12]],Table1[[#This Row],[Mid9]],Table1[[#This Row],[Mid6]],Table1[[#This Row],[Mid3]],Table1[[#This Row],[Mid]])</f>
        <v>91.4</v>
      </c>
      <c r="CG7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131.4</v>
      </c>
      <c r="CH71" t="s">
        <v>157</v>
      </c>
      <c r="CI71" t="s">
        <v>134</v>
      </c>
      <c r="CJ71" t="s">
        <v>158</v>
      </c>
      <c r="CL71" s="19">
        <f>IF(Table1[[#This Row],[Type]]="Petroleum",1,IF(ISERROR(Table1[[#This Row],[Well Density]]*Table1[[#This Row],[Single Well Discovery Area]]),"",IF(Table1[[#This Row],[Well Density]]*Table1[[#This Row],[Single Well Discovery Area]]&gt;1,1,Table1[[#This Row],[Well Density]]*Table1[[#This Row],[Single Well Discovery Area]])))</f>
        <v>1</v>
      </c>
      <c r="CM71" t="s">
        <v>158</v>
      </c>
      <c r="CN71" s="19">
        <f>Table1[[#This Row],[Mid]]</f>
        <v>0</v>
      </c>
      <c r="CO71" s="19">
        <f>Table1[[#This Row],[Mid3]]+Table1[[#This Row],[Mid6]]+Table1[[#This Row],[Mid9]]</f>
        <v>0</v>
      </c>
      <c r="CP71" s="19">
        <f>Table1[[#This Row],[Mid12]]+Table1[[#This Row],[Mid15]]+Table1[[#This Row],[Mid18]]+Table1[[#This Row],[Mid21]]+Table1[[#This Row],[Mid24]]</f>
        <v>68.55</v>
      </c>
      <c r="CQ71" s="19">
        <f>Table1[[#This Row],[Mid27]]+Table1[[#This Row],[Mid30]]+Table1[[#This Row],[Mid33]]+Table1[[#This Row],[Mid36]]+Table1[[#This Row],[Mid39]]</f>
        <v>22.85</v>
      </c>
      <c r="CR71" t="s">
        <v>136</v>
      </c>
      <c r="CS71" s="19" t="str">
        <f>IF(AND(Table1[[#This Row],[Low41]]=0, Table1[[#This Row],[High43]]=0),"N","Y")</f>
        <v>Y</v>
      </c>
    </row>
    <row r="72" spans="1:97" ht="19.5" customHeight="1" x14ac:dyDescent="0.25">
      <c r="A72">
        <v>10069</v>
      </c>
      <c r="B72" t="s">
        <v>113</v>
      </c>
      <c r="C72" t="s">
        <v>383</v>
      </c>
      <c r="D72">
        <v>-29.31</v>
      </c>
      <c r="E72">
        <v>115.1183333</v>
      </c>
      <c r="F72" t="s">
        <v>406</v>
      </c>
      <c r="G72" t="s">
        <v>199</v>
      </c>
      <c r="H72" t="s">
        <v>271</v>
      </c>
      <c r="I72" t="s">
        <v>201</v>
      </c>
      <c r="J72" t="s">
        <v>202</v>
      </c>
      <c r="K72" t="s">
        <v>203</v>
      </c>
      <c r="L72" t="s">
        <v>204</v>
      </c>
      <c r="M72" t="s">
        <v>272</v>
      </c>
      <c r="N72" s="6" t="s">
        <v>273</v>
      </c>
      <c r="O72" t="s">
        <v>274</v>
      </c>
      <c r="P72" t="s">
        <v>387</v>
      </c>
      <c r="Q72" t="s">
        <v>255</v>
      </c>
      <c r="R72" t="s">
        <v>407</v>
      </c>
      <c r="S72">
        <v>2012</v>
      </c>
      <c r="T72" t="s">
        <v>128</v>
      </c>
      <c r="U72" t="s">
        <v>173</v>
      </c>
      <c r="V72">
        <v>25.2</v>
      </c>
      <c r="W72">
        <v>2725</v>
      </c>
      <c r="X72">
        <v>775</v>
      </c>
      <c r="Y72">
        <v>0</v>
      </c>
      <c r="Z72">
        <v>0</v>
      </c>
      <c r="AA72">
        <v>0</v>
      </c>
      <c r="AB72">
        <v>0</v>
      </c>
      <c r="AC72">
        <v>0</v>
      </c>
      <c r="AD72">
        <v>1</v>
      </c>
      <c r="AE72">
        <v>3.9682540000000002E-2</v>
      </c>
      <c r="AF72">
        <v>200</v>
      </c>
      <c r="AG72">
        <v>0</v>
      </c>
      <c r="AH72" t="s">
        <v>277</v>
      </c>
      <c r="AI72">
        <v>3</v>
      </c>
      <c r="AJ72">
        <v>0</v>
      </c>
      <c r="AK72">
        <v>0</v>
      </c>
      <c r="AL72">
        <v>0</v>
      </c>
      <c r="AM72" t="s">
        <v>278</v>
      </c>
      <c r="AN72" t="s">
        <v>132</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13.2</v>
      </c>
      <c r="BQ72">
        <v>28.5</v>
      </c>
      <c r="BR72">
        <v>43.8</v>
      </c>
      <c r="BS72">
        <v>0</v>
      </c>
      <c r="BT72">
        <v>0</v>
      </c>
      <c r="BU72">
        <v>0</v>
      </c>
      <c r="BV72">
        <v>0</v>
      </c>
      <c r="BW72">
        <v>0</v>
      </c>
      <c r="BX72">
        <v>0</v>
      </c>
      <c r="BY72">
        <v>0</v>
      </c>
      <c r="BZ72">
        <v>0</v>
      </c>
      <c r="CA72">
        <v>0</v>
      </c>
      <c r="CB72">
        <v>0</v>
      </c>
      <c r="CC72">
        <v>0</v>
      </c>
      <c r="CD72">
        <v>0</v>
      </c>
      <c r="CE72" s="19">
        <f>SUM(Table1[[#This Row],[Low38]],Table1[[#This Row],[Low35]],Table1[[#This Row],[Low32]],Table1[[#This Row],[Low29]],Table1[[#This Row],[Low26]],Table1[[#This Row],[Low23]],Table1[[#This Row],[Low20]],Table1[[#This Row],[Low17]],Table1[[#This Row],[Low14]],Table1[[#This Row],[Low11]],Table1[[#This Row],[Low8]],Table1[[#This Row],[Low5]],Table1[[#This Row],[Low2]],Table1[[#This Row],[Low]])</f>
        <v>13.2</v>
      </c>
      <c r="CF72" s="19">
        <f>SUM(Table1[[#This Row],[Mid39]],Table1[[#This Row],[Mid36]],Table1[[#This Row],[Mid33]],Table1[[#This Row],[Mid30]],Table1[[#This Row],[Mid27]],Table1[[#This Row],[Mid24]],Table1[[#This Row],[Mid21]],Table1[[#This Row],[Mid18]],Table1[[#This Row],[Mid15]],Table1[[#This Row],[Mid12]],Table1[[#This Row],[Mid9]],Table1[[#This Row],[Mid6]],Table1[[#This Row],[Mid3]],Table1[[#This Row],[Mid]])</f>
        <v>28.5</v>
      </c>
      <c r="CG7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43.8</v>
      </c>
      <c r="CH72" t="s">
        <v>157</v>
      </c>
      <c r="CI72" t="s">
        <v>134</v>
      </c>
      <c r="CJ72" t="s">
        <v>158</v>
      </c>
      <c r="CL72" s="19">
        <f>IF(Table1[[#This Row],[Type]]="Petroleum",1,IF(ISERROR(Table1[[#This Row],[Well Density]]*Table1[[#This Row],[Single Well Discovery Area]]),"",IF(Table1[[#This Row],[Well Density]]*Table1[[#This Row],[Single Well Discovery Area]]&gt;1,1,Table1[[#This Row],[Well Density]]*Table1[[#This Row],[Single Well Discovery Area]])))</f>
        <v>1</v>
      </c>
      <c r="CM72" t="s">
        <v>158</v>
      </c>
      <c r="CN72" s="19">
        <f>Table1[[#This Row],[Mid]]</f>
        <v>0</v>
      </c>
      <c r="CO72" s="19">
        <f>Table1[[#This Row],[Mid3]]+Table1[[#This Row],[Mid6]]+Table1[[#This Row],[Mid9]]</f>
        <v>0</v>
      </c>
      <c r="CP72" s="19">
        <f>Table1[[#This Row],[Mid12]]+Table1[[#This Row],[Mid15]]+Table1[[#This Row],[Mid18]]+Table1[[#This Row],[Mid21]]+Table1[[#This Row],[Mid24]]</f>
        <v>0</v>
      </c>
      <c r="CQ72" s="19">
        <f>Table1[[#This Row],[Mid27]]+Table1[[#This Row],[Mid30]]+Table1[[#This Row],[Mid33]]+Table1[[#This Row],[Mid36]]+Table1[[#This Row],[Mid39]]</f>
        <v>28.5</v>
      </c>
      <c r="CR72" t="s">
        <v>136</v>
      </c>
      <c r="CS72" s="19" t="str">
        <f>IF(AND(Table1[[#This Row],[Low41]]=0, Table1[[#This Row],[High43]]=0),"N","Y")</f>
        <v>Y</v>
      </c>
    </row>
    <row r="73" spans="1:97" ht="19.5" customHeight="1" x14ac:dyDescent="0.25">
      <c r="A73">
        <v>10070</v>
      </c>
      <c r="B73" t="s">
        <v>408</v>
      </c>
      <c r="C73" t="s">
        <v>165</v>
      </c>
      <c r="D73">
        <v>55.123888890000003</v>
      </c>
      <c r="E73">
        <v>8.1163888889999996</v>
      </c>
      <c r="F73" t="s">
        <v>409</v>
      </c>
      <c r="G73" t="s">
        <v>410</v>
      </c>
      <c r="H73" t="s">
        <v>411</v>
      </c>
      <c r="I73" t="s">
        <v>118</v>
      </c>
      <c r="J73" t="s">
        <v>119</v>
      </c>
      <c r="K73" t="s">
        <v>167</v>
      </c>
      <c r="L73" t="s">
        <v>18</v>
      </c>
      <c r="M73" t="s">
        <v>412</v>
      </c>
      <c r="N73" s="6" t="s">
        <v>413</v>
      </c>
      <c r="Q73"/>
      <c r="R73" t="s">
        <v>414</v>
      </c>
      <c r="S73">
        <v>2014</v>
      </c>
      <c r="T73" t="s">
        <v>207</v>
      </c>
      <c r="U73" t="s">
        <v>173</v>
      </c>
      <c r="V73">
        <v>0</v>
      </c>
      <c r="W73">
        <v>0</v>
      </c>
      <c r="X73">
        <v>0</v>
      </c>
      <c r="Y73">
        <v>21</v>
      </c>
      <c r="Z73">
        <v>15</v>
      </c>
      <c r="AA73">
        <v>0</v>
      </c>
      <c r="AB73">
        <v>0</v>
      </c>
      <c r="AC73">
        <v>0</v>
      </c>
      <c r="AD73">
        <v>0</v>
      </c>
      <c r="AF73">
        <v>200</v>
      </c>
      <c r="AG73">
        <v>0</v>
      </c>
      <c r="AI73">
        <v>0</v>
      </c>
      <c r="AJ73">
        <v>0</v>
      </c>
      <c r="AK73">
        <v>0</v>
      </c>
      <c r="AL73">
        <v>0</v>
      </c>
      <c r="AN73" t="s">
        <v>132</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33.6</v>
      </c>
      <c r="BT73">
        <v>67.3</v>
      </c>
      <c r="BU73">
        <v>134.5</v>
      </c>
      <c r="BV73">
        <v>0</v>
      </c>
      <c r="BW73">
        <v>0</v>
      </c>
      <c r="BX73">
        <v>0</v>
      </c>
      <c r="BY73">
        <v>0</v>
      </c>
      <c r="BZ73">
        <v>0</v>
      </c>
      <c r="CA73">
        <v>0</v>
      </c>
      <c r="CB73">
        <v>0</v>
      </c>
      <c r="CC73">
        <v>0</v>
      </c>
      <c r="CD73">
        <v>0</v>
      </c>
      <c r="CE73" s="19">
        <f>SUM(Table1[[#This Row],[Low38]],Table1[[#This Row],[Low35]],Table1[[#This Row],[Low32]],Table1[[#This Row],[Low29]],Table1[[#This Row],[Low26]],Table1[[#This Row],[Low23]],Table1[[#This Row],[Low20]],Table1[[#This Row],[Low17]],Table1[[#This Row],[Low14]],Table1[[#This Row],[Low11]],Table1[[#This Row],[Low8]],Table1[[#This Row],[Low5]],Table1[[#This Row],[Low2]],Table1[[#This Row],[Low]])</f>
        <v>33.6</v>
      </c>
      <c r="CF73" s="19">
        <f>SUM(Table1[[#This Row],[Mid39]],Table1[[#This Row],[Mid36]],Table1[[#This Row],[Mid33]],Table1[[#This Row],[Mid30]],Table1[[#This Row],[Mid27]],Table1[[#This Row],[Mid24]],Table1[[#This Row],[Mid21]],Table1[[#This Row],[Mid18]],Table1[[#This Row],[Mid15]],Table1[[#This Row],[Mid12]],Table1[[#This Row],[Mid9]],Table1[[#This Row],[Mid6]],Table1[[#This Row],[Mid3]],Table1[[#This Row],[Mid]])</f>
        <v>67.3</v>
      </c>
      <c r="CG7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134.5</v>
      </c>
      <c r="CH73" t="s">
        <v>157</v>
      </c>
      <c r="CI73" t="s">
        <v>134</v>
      </c>
      <c r="CJ73" t="s">
        <v>158</v>
      </c>
      <c r="CL73" s="19">
        <f>IF(Table1[[#This Row],[Type]]="Petroleum",1,IF(ISERROR(Table1[[#This Row],[Well Density]]*Table1[[#This Row],[Single Well Discovery Area]]),"",IF(Table1[[#This Row],[Well Density]]*Table1[[#This Row],[Single Well Discovery Area]]&gt;1,1,Table1[[#This Row],[Well Density]]*Table1[[#This Row],[Single Well Discovery Area]])))</f>
        <v>0</v>
      </c>
      <c r="CM73" t="s">
        <v>158</v>
      </c>
      <c r="CN73" s="19">
        <f>Table1[[#This Row],[Mid]]</f>
        <v>0</v>
      </c>
      <c r="CO73" s="19">
        <f>Table1[[#This Row],[Mid3]]+Table1[[#This Row],[Mid6]]+Table1[[#This Row],[Mid9]]</f>
        <v>0</v>
      </c>
      <c r="CP73" s="19">
        <f>Table1[[#This Row],[Mid12]]+Table1[[#This Row],[Mid15]]+Table1[[#This Row],[Mid18]]+Table1[[#This Row],[Mid21]]+Table1[[#This Row],[Mid24]]</f>
        <v>0</v>
      </c>
      <c r="CQ73" s="19">
        <f>Table1[[#This Row],[Mid27]]+Table1[[#This Row],[Mid30]]+Table1[[#This Row],[Mid33]]+Table1[[#This Row],[Mid36]]+Table1[[#This Row],[Mid39]]</f>
        <v>67.3</v>
      </c>
      <c r="CR73" t="s">
        <v>415</v>
      </c>
      <c r="CS73" s="19" t="str">
        <f>IF(AND(Table1[[#This Row],[Low41]]=0, Table1[[#This Row],[High43]]=0),"N","Y")</f>
        <v>Y</v>
      </c>
    </row>
    <row r="74" spans="1:97" ht="19.5" customHeight="1" x14ac:dyDescent="0.25">
      <c r="A74">
        <v>10071</v>
      </c>
      <c r="B74" t="s">
        <v>408</v>
      </c>
      <c r="C74" t="s">
        <v>165</v>
      </c>
      <c r="D74">
        <v>55.401666669999997</v>
      </c>
      <c r="E74">
        <v>7.35</v>
      </c>
      <c r="F74" t="s">
        <v>416</v>
      </c>
      <c r="G74" t="s">
        <v>410</v>
      </c>
      <c r="H74" t="s">
        <v>411</v>
      </c>
      <c r="I74" t="s">
        <v>118</v>
      </c>
      <c r="J74" t="s">
        <v>119</v>
      </c>
      <c r="K74" t="s">
        <v>167</v>
      </c>
      <c r="L74" t="s">
        <v>18</v>
      </c>
      <c r="M74" t="s">
        <v>412</v>
      </c>
      <c r="N74" s="6" t="s">
        <v>413</v>
      </c>
      <c r="Q74"/>
      <c r="R74" t="s">
        <v>414</v>
      </c>
      <c r="S74">
        <v>2014</v>
      </c>
      <c r="T74" t="s">
        <v>207</v>
      </c>
      <c r="U74" t="s">
        <v>173</v>
      </c>
      <c r="V74"/>
      <c r="Y74">
        <v>25</v>
      </c>
      <c r="Z74">
        <v>15</v>
      </c>
      <c r="AF74">
        <v>200</v>
      </c>
      <c r="AG74">
        <v>0</v>
      </c>
      <c r="AK74">
        <v>0</v>
      </c>
      <c r="AL74">
        <v>0</v>
      </c>
      <c r="AN74" t="s">
        <v>132</v>
      </c>
      <c r="BS74">
        <v>364.6</v>
      </c>
      <c r="BT74">
        <v>729</v>
      </c>
      <c r="BU74">
        <v>1458.1</v>
      </c>
      <c r="CE74" s="19">
        <f>SUM(Table1[[#This Row],[Low38]],Table1[[#This Row],[Low35]],Table1[[#This Row],[Low32]],Table1[[#This Row],[Low29]],Table1[[#This Row],[Low26]],Table1[[#This Row],[Low23]],Table1[[#This Row],[Low20]],Table1[[#This Row],[Low17]],Table1[[#This Row],[Low14]],Table1[[#This Row],[Low11]],Table1[[#This Row],[Low8]],Table1[[#This Row],[Low5]],Table1[[#This Row],[Low2]],Table1[[#This Row],[Low]])</f>
        <v>364.6</v>
      </c>
      <c r="CF74" s="19">
        <f>SUM(Table1[[#This Row],[Mid39]],Table1[[#This Row],[Mid36]],Table1[[#This Row],[Mid33]],Table1[[#This Row],[Mid30]],Table1[[#This Row],[Mid27]],Table1[[#This Row],[Mid24]],Table1[[#This Row],[Mid21]],Table1[[#This Row],[Mid18]],Table1[[#This Row],[Mid15]],Table1[[#This Row],[Mid12]],Table1[[#This Row],[Mid9]],Table1[[#This Row],[Mid6]],Table1[[#This Row],[Mid3]],Table1[[#This Row],[Mid]])</f>
        <v>729</v>
      </c>
      <c r="CG7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1458.1</v>
      </c>
      <c r="CH74" t="s">
        <v>158</v>
      </c>
      <c r="CI74" t="s">
        <v>134</v>
      </c>
      <c r="CJ74" t="s">
        <v>158</v>
      </c>
      <c r="CL74" s="19">
        <f>IF(Table1[[#This Row],[Type]]="Petroleum",1,IF(ISERROR(Table1[[#This Row],[Well Density]]*Table1[[#This Row],[Single Well Discovery Area]]),"",IF(Table1[[#This Row],[Well Density]]*Table1[[#This Row],[Single Well Discovery Area]]&gt;1,1,Table1[[#This Row],[Well Density]]*Table1[[#This Row],[Single Well Discovery Area]])))</f>
        <v>0</v>
      </c>
      <c r="CM74" t="s">
        <v>158</v>
      </c>
      <c r="CN74" s="19">
        <f>Table1[[#This Row],[Mid]]</f>
        <v>0</v>
      </c>
      <c r="CO74" s="19">
        <f>Table1[[#This Row],[Mid3]]+Table1[[#This Row],[Mid6]]+Table1[[#This Row],[Mid9]]</f>
        <v>0</v>
      </c>
      <c r="CP74" s="19">
        <f>Table1[[#This Row],[Mid12]]+Table1[[#This Row],[Mid15]]+Table1[[#This Row],[Mid18]]+Table1[[#This Row],[Mid21]]+Table1[[#This Row],[Mid24]]</f>
        <v>0</v>
      </c>
      <c r="CQ74" s="19">
        <f>Table1[[#This Row],[Mid27]]+Table1[[#This Row],[Mid30]]+Table1[[#This Row],[Mid33]]+Table1[[#This Row],[Mid36]]+Table1[[#This Row],[Mid39]]</f>
        <v>729</v>
      </c>
      <c r="CR74" t="s">
        <v>415</v>
      </c>
      <c r="CS74" s="19" t="str">
        <f>IF(AND(Table1[[#This Row],[Low41]]=0, Table1[[#This Row],[High43]]=0),"N","Y")</f>
        <v>Y</v>
      </c>
    </row>
    <row r="75" spans="1:97" ht="19.5" customHeight="1" x14ac:dyDescent="0.25">
      <c r="A75">
        <v>10072</v>
      </c>
      <c r="B75" t="s">
        <v>408</v>
      </c>
      <c r="C75" t="s">
        <v>165</v>
      </c>
      <c r="D75">
        <v>55.462777780000003</v>
      </c>
      <c r="E75">
        <v>7.28</v>
      </c>
      <c r="F75" t="s">
        <v>417</v>
      </c>
      <c r="G75" t="s">
        <v>410</v>
      </c>
      <c r="H75" t="s">
        <v>411</v>
      </c>
      <c r="I75" t="s">
        <v>118</v>
      </c>
      <c r="J75" t="s">
        <v>119</v>
      </c>
      <c r="K75" t="s">
        <v>167</v>
      </c>
      <c r="L75" t="s">
        <v>18</v>
      </c>
      <c r="M75" t="s">
        <v>412</v>
      </c>
      <c r="N75" s="6" t="s">
        <v>413</v>
      </c>
      <c r="Q75"/>
      <c r="R75" t="s">
        <v>414</v>
      </c>
      <c r="S75">
        <v>2014</v>
      </c>
      <c r="T75" t="s">
        <v>207</v>
      </c>
      <c r="U75" t="s">
        <v>173</v>
      </c>
      <c r="V75"/>
      <c r="Y75">
        <v>25</v>
      </c>
      <c r="Z75">
        <v>15</v>
      </c>
      <c r="AF75">
        <v>200</v>
      </c>
      <c r="AG75">
        <v>0</v>
      </c>
      <c r="AK75">
        <v>0</v>
      </c>
      <c r="AL75">
        <v>0</v>
      </c>
      <c r="AN75" t="s">
        <v>132</v>
      </c>
      <c r="BS75">
        <v>24.5</v>
      </c>
      <c r="BT75">
        <v>49</v>
      </c>
      <c r="BU75">
        <v>97.9</v>
      </c>
      <c r="CE75" s="19">
        <f>SUM(Table1[[#This Row],[Low38]],Table1[[#This Row],[Low35]],Table1[[#This Row],[Low32]],Table1[[#This Row],[Low29]],Table1[[#This Row],[Low26]],Table1[[#This Row],[Low23]],Table1[[#This Row],[Low20]],Table1[[#This Row],[Low17]],Table1[[#This Row],[Low14]],Table1[[#This Row],[Low11]],Table1[[#This Row],[Low8]],Table1[[#This Row],[Low5]],Table1[[#This Row],[Low2]],Table1[[#This Row],[Low]])</f>
        <v>24.5</v>
      </c>
      <c r="CF75" s="19">
        <f>SUM(Table1[[#This Row],[Mid39]],Table1[[#This Row],[Mid36]],Table1[[#This Row],[Mid33]],Table1[[#This Row],[Mid30]],Table1[[#This Row],[Mid27]],Table1[[#This Row],[Mid24]],Table1[[#This Row],[Mid21]],Table1[[#This Row],[Mid18]],Table1[[#This Row],[Mid15]],Table1[[#This Row],[Mid12]],Table1[[#This Row],[Mid9]],Table1[[#This Row],[Mid6]],Table1[[#This Row],[Mid3]],Table1[[#This Row],[Mid]])</f>
        <v>49</v>
      </c>
      <c r="CG7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97.9</v>
      </c>
      <c r="CH75" t="s">
        <v>158</v>
      </c>
      <c r="CI75" t="s">
        <v>134</v>
      </c>
      <c r="CJ75" t="s">
        <v>158</v>
      </c>
      <c r="CL75" s="19">
        <f>IF(Table1[[#This Row],[Type]]="Petroleum",1,IF(ISERROR(Table1[[#This Row],[Well Density]]*Table1[[#This Row],[Single Well Discovery Area]]),"",IF(Table1[[#This Row],[Well Density]]*Table1[[#This Row],[Single Well Discovery Area]]&gt;1,1,Table1[[#This Row],[Well Density]]*Table1[[#This Row],[Single Well Discovery Area]])))</f>
        <v>0</v>
      </c>
      <c r="CM75" t="s">
        <v>158</v>
      </c>
      <c r="CN75" s="19">
        <f>Table1[[#This Row],[Mid]]</f>
        <v>0</v>
      </c>
      <c r="CO75" s="19">
        <f>Table1[[#This Row],[Mid3]]+Table1[[#This Row],[Mid6]]+Table1[[#This Row],[Mid9]]</f>
        <v>0</v>
      </c>
      <c r="CP75" s="19">
        <f>Table1[[#This Row],[Mid12]]+Table1[[#This Row],[Mid15]]+Table1[[#This Row],[Mid18]]+Table1[[#This Row],[Mid21]]+Table1[[#This Row],[Mid24]]</f>
        <v>0</v>
      </c>
      <c r="CQ75" s="19">
        <f>Table1[[#This Row],[Mid27]]+Table1[[#This Row],[Mid30]]+Table1[[#This Row],[Mid33]]+Table1[[#This Row],[Mid36]]+Table1[[#This Row],[Mid39]]</f>
        <v>49</v>
      </c>
      <c r="CR75" t="s">
        <v>415</v>
      </c>
      <c r="CS75" s="19" t="str">
        <f>IF(AND(Table1[[#This Row],[Low41]]=0, Table1[[#This Row],[High43]]=0),"N","Y")</f>
        <v>Y</v>
      </c>
    </row>
    <row r="76" spans="1:97" ht="19.5" customHeight="1" x14ac:dyDescent="0.25">
      <c r="A76">
        <v>10073</v>
      </c>
      <c r="B76" t="s">
        <v>408</v>
      </c>
      <c r="C76" t="s">
        <v>165</v>
      </c>
      <c r="D76">
        <v>54.433333330000004</v>
      </c>
      <c r="E76">
        <v>11.82222222</v>
      </c>
      <c r="F76" t="s">
        <v>418</v>
      </c>
      <c r="G76" t="s">
        <v>410</v>
      </c>
      <c r="H76" t="s">
        <v>411</v>
      </c>
      <c r="I76" t="s">
        <v>118</v>
      </c>
      <c r="J76" t="s">
        <v>119</v>
      </c>
      <c r="K76" t="s">
        <v>167</v>
      </c>
      <c r="L76" t="s">
        <v>18</v>
      </c>
      <c r="M76" t="s">
        <v>412</v>
      </c>
      <c r="N76" s="6" t="s">
        <v>413</v>
      </c>
      <c r="Q76"/>
      <c r="R76" t="s">
        <v>414</v>
      </c>
      <c r="S76">
        <v>2014</v>
      </c>
      <c r="T76" t="s">
        <v>207</v>
      </c>
      <c r="U76" t="s">
        <v>173</v>
      </c>
      <c r="V76"/>
      <c r="Y76">
        <v>18</v>
      </c>
      <c r="Z76">
        <v>18</v>
      </c>
      <c r="AD76">
        <v>0</v>
      </c>
      <c r="AF76">
        <v>200</v>
      </c>
      <c r="AG76">
        <v>0</v>
      </c>
      <c r="AK76">
        <v>0</v>
      </c>
      <c r="AL76">
        <v>0</v>
      </c>
      <c r="AN76" t="s">
        <v>132</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61.3</v>
      </c>
      <c r="BT76">
        <v>122.5</v>
      </c>
      <c r="BU76">
        <v>245</v>
      </c>
      <c r="BV76">
        <v>0</v>
      </c>
      <c r="BW76">
        <v>0</v>
      </c>
      <c r="BX76">
        <v>0</v>
      </c>
      <c r="BY76">
        <v>0</v>
      </c>
      <c r="BZ76">
        <v>0</v>
      </c>
      <c r="CA76">
        <v>0</v>
      </c>
      <c r="CB76">
        <v>0</v>
      </c>
      <c r="CC76">
        <v>0</v>
      </c>
      <c r="CD76">
        <v>0</v>
      </c>
      <c r="CE76" s="19">
        <f>SUM(Table1[[#This Row],[Low38]],Table1[[#This Row],[Low35]],Table1[[#This Row],[Low32]],Table1[[#This Row],[Low29]],Table1[[#This Row],[Low26]],Table1[[#This Row],[Low23]],Table1[[#This Row],[Low20]],Table1[[#This Row],[Low17]],Table1[[#This Row],[Low14]],Table1[[#This Row],[Low11]],Table1[[#This Row],[Low8]],Table1[[#This Row],[Low5]],Table1[[#This Row],[Low2]],Table1[[#This Row],[Low]])</f>
        <v>61.3</v>
      </c>
      <c r="CF76" s="19">
        <f>SUM(Table1[[#This Row],[Mid39]],Table1[[#This Row],[Mid36]],Table1[[#This Row],[Mid33]],Table1[[#This Row],[Mid30]],Table1[[#This Row],[Mid27]],Table1[[#This Row],[Mid24]],Table1[[#This Row],[Mid21]],Table1[[#This Row],[Mid18]],Table1[[#This Row],[Mid15]],Table1[[#This Row],[Mid12]],Table1[[#This Row],[Mid9]],Table1[[#This Row],[Mid6]],Table1[[#This Row],[Mid3]],Table1[[#This Row],[Mid]])</f>
        <v>122.5</v>
      </c>
      <c r="CG7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245</v>
      </c>
      <c r="CH76" t="s">
        <v>157</v>
      </c>
      <c r="CI76" t="s">
        <v>134</v>
      </c>
      <c r="CJ76" t="s">
        <v>158</v>
      </c>
      <c r="CL76" s="19">
        <f>IF(Table1[[#This Row],[Type]]="Petroleum",1,IF(ISERROR(Table1[[#This Row],[Well Density]]*Table1[[#This Row],[Single Well Discovery Area]]),"",IF(Table1[[#This Row],[Well Density]]*Table1[[#This Row],[Single Well Discovery Area]]&gt;1,1,Table1[[#This Row],[Well Density]]*Table1[[#This Row],[Single Well Discovery Area]])))</f>
        <v>0</v>
      </c>
      <c r="CM76" t="s">
        <v>158</v>
      </c>
      <c r="CN76" s="19">
        <f>Table1[[#This Row],[Mid]]</f>
        <v>0</v>
      </c>
      <c r="CO76" s="19">
        <f>Table1[[#This Row],[Mid3]]+Table1[[#This Row],[Mid6]]+Table1[[#This Row],[Mid9]]</f>
        <v>0</v>
      </c>
      <c r="CP76" s="19">
        <f>Table1[[#This Row],[Mid12]]+Table1[[#This Row],[Mid15]]+Table1[[#This Row],[Mid18]]+Table1[[#This Row],[Mid21]]+Table1[[#This Row],[Mid24]]</f>
        <v>0</v>
      </c>
      <c r="CQ76" s="19">
        <f>Table1[[#This Row],[Mid27]]+Table1[[#This Row],[Mid30]]+Table1[[#This Row],[Mid33]]+Table1[[#This Row],[Mid36]]+Table1[[#This Row],[Mid39]]</f>
        <v>122.5</v>
      </c>
      <c r="CR76" t="s">
        <v>415</v>
      </c>
      <c r="CS76" s="19" t="str">
        <f>IF(AND(Table1[[#This Row],[Low41]]=0, Table1[[#This Row],[High43]]=0),"N","Y")</f>
        <v>Y</v>
      </c>
    </row>
    <row r="77" spans="1:97" ht="19.5" customHeight="1" x14ac:dyDescent="0.25">
      <c r="A77">
        <v>10074</v>
      </c>
      <c r="B77" t="s">
        <v>419</v>
      </c>
      <c r="C77" t="s">
        <v>165</v>
      </c>
      <c r="D77">
        <v>54.614722219999997</v>
      </c>
      <c r="E77">
        <v>10.341388889999999</v>
      </c>
      <c r="F77" t="s">
        <v>420</v>
      </c>
      <c r="G77" t="s">
        <v>410</v>
      </c>
      <c r="H77" t="s">
        <v>411</v>
      </c>
      <c r="I77" t="s">
        <v>118</v>
      </c>
      <c r="J77" t="s">
        <v>119</v>
      </c>
      <c r="K77" t="s">
        <v>167</v>
      </c>
      <c r="L77" t="s">
        <v>18</v>
      </c>
      <c r="M77" t="s">
        <v>412</v>
      </c>
      <c r="N77" s="6" t="s">
        <v>413</v>
      </c>
      <c r="Q77"/>
      <c r="R77" t="s">
        <v>414</v>
      </c>
      <c r="S77">
        <v>2014</v>
      </c>
      <c r="T77" t="s">
        <v>207</v>
      </c>
      <c r="U77" t="s">
        <v>173</v>
      </c>
      <c r="V77"/>
      <c r="Y77">
        <v>18</v>
      </c>
      <c r="Z77">
        <v>14</v>
      </c>
      <c r="AF77">
        <v>200</v>
      </c>
      <c r="AG77">
        <v>0</v>
      </c>
      <c r="AK77">
        <v>0</v>
      </c>
      <c r="AL77">
        <v>0</v>
      </c>
      <c r="AN77" t="s">
        <v>132</v>
      </c>
      <c r="BS77">
        <v>53.8</v>
      </c>
      <c r="BT77">
        <v>107.6</v>
      </c>
      <c r="BU77">
        <v>215.1</v>
      </c>
      <c r="CE77" s="19">
        <f>SUM(Table1[[#This Row],[Low38]],Table1[[#This Row],[Low35]],Table1[[#This Row],[Low32]],Table1[[#This Row],[Low29]],Table1[[#This Row],[Low26]],Table1[[#This Row],[Low23]],Table1[[#This Row],[Low20]],Table1[[#This Row],[Low17]],Table1[[#This Row],[Low14]],Table1[[#This Row],[Low11]],Table1[[#This Row],[Low8]],Table1[[#This Row],[Low5]],Table1[[#This Row],[Low2]],Table1[[#This Row],[Low]])</f>
        <v>53.8</v>
      </c>
      <c r="CF77" s="19">
        <f>SUM(Table1[[#This Row],[Mid39]],Table1[[#This Row],[Mid36]],Table1[[#This Row],[Mid33]],Table1[[#This Row],[Mid30]],Table1[[#This Row],[Mid27]],Table1[[#This Row],[Mid24]],Table1[[#This Row],[Mid21]],Table1[[#This Row],[Mid18]],Table1[[#This Row],[Mid15]],Table1[[#This Row],[Mid12]],Table1[[#This Row],[Mid9]],Table1[[#This Row],[Mid6]],Table1[[#This Row],[Mid3]],Table1[[#This Row],[Mid]])</f>
        <v>107.6</v>
      </c>
      <c r="CG7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215.1</v>
      </c>
      <c r="CH77" t="s">
        <v>158</v>
      </c>
      <c r="CI77" t="s">
        <v>134</v>
      </c>
      <c r="CJ77" t="s">
        <v>158</v>
      </c>
      <c r="CL77" s="19">
        <f>IF(Table1[[#This Row],[Type]]="Petroleum",1,IF(ISERROR(Table1[[#This Row],[Well Density]]*Table1[[#This Row],[Single Well Discovery Area]]),"",IF(Table1[[#This Row],[Well Density]]*Table1[[#This Row],[Single Well Discovery Area]]&gt;1,1,Table1[[#This Row],[Well Density]]*Table1[[#This Row],[Single Well Discovery Area]])))</f>
        <v>0</v>
      </c>
      <c r="CM77" t="s">
        <v>158</v>
      </c>
      <c r="CN77" s="19">
        <f>Table1[[#This Row],[Mid]]</f>
        <v>0</v>
      </c>
      <c r="CO77" s="19">
        <f>Table1[[#This Row],[Mid3]]+Table1[[#This Row],[Mid6]]+Table1[[#This Row],[Mid9]]</f>
        <v>0</v>
      </c>
      <c r="CP77" s="19">
        <f>Table1[[#This Row],[Mid12]]+Table1[[#This Row],[Mid15]]+Table1[[#This Row],[Mid18]]+Table1[[#This Row],[Mid21]]+Table1[[#This Row],[Mid24]]</f>
        <v>0</v>
      </c>
      <c r="CQ77" s="19">
        <f>Table1[[#This Row],[Mid27]]+Table1[[#This Row],[Mid30]]+Table1[[#This Row],[Mid33]]+Table1[[#This Row],[Mid36]]+Table1[[#This Row],[Mid39]]</f>
        <v>107.6</v>
      </c>
      <c r="CR77" t="s">
        <v>415</v>
      </c>
      <c r="CS77" s="19" t="str">
        <f>IF(AND(Table1[[#This Row],[Low41]]=0, Table1[[#This Row],[High43]]=0),"N","Y")</f>
        <v>Y</v>
      </c>
    </row>
    <row r="78" spans="1:97" ht="19.5" customHeight="1" x14ac:dyDescent="0.25">
      <c r="A78">
        <v>10075</v>
      </c>
      <c r="B78" t="s">
        <v>408</v>
      </c>
      <c r="C78" t="s">
        <v>165</v>
      </c>
      <c r="D78">
        <v>54.551111110000001</v>
      </c>
      <c r="E78">
        <v>11.3475</v>
      </c>
      <c r="F78" t="s">
        <v>421</v>
      </c>
      <c r="G78" t="s">
        <v>410</v>
      </c>
      <c r="H78" t="s">
        <v>411</v>
      </c>
      <c r="I78" t="s">
        <v>118</v>
      </c>
      <c r="J78" t="s">
        <v>119</v>
      </c>
      <c r="K78" t="s">
        <v>167</v>
      </c>
      <c r="L78" t="s">
        <v>18</v>
      </c>
      <c r="M78" t="s">
        <v>412</v>
      </c>
      <c r="N78" s="6" t="s">
        <v>413</v>
      </c>
      <c r="Q78"/>
      <c r="R78" t="s">
        <v>414</v>
      </c>
      <c r="S78">
        <v>2014</v>
      </c>
      <c r="T78" t="s">
        <v>207</v>
      </c>
      <c r="U78" t="s">
        <v>173</v>
      </c>
      <c r="V78"/>
      <c r="Y78">
        <v>23</v>
      </c>
      <c r="Z78">
        <v>19</v>
      </c>
      <c r="AF78">
        <v>200</v>
      </c>
      <c r="AG78">
        <v>0</v>
      </c>
      <c r="AK78">
        <v>0</v>
      </c>
      <c r="AL78">
        <v>0</v>
      </c>
      <c r="AN78" t="s">
        <v>132</v>
      </c>
      <c r="BS78">
        <v>76.099999999999994</v>
      </c>
      <c r="BT78">
        <v>152.30000000000001</v>
      </c>
      <c r="BU78">
        <v>304.60000000000002</v>
      </c>
      <c r="CE78" s="19">
        <f>SUM(Table1[[#This Row],[Low38]],Table1[[#This Row],[Low35]],Table1[[#This Row],[Low32]],Table1[[#This Row],[Low29]],Table1[[#This Row],[Low26]],Table1[[#This Row],[Low23]],Table1[[#This Row],[Low20]],Table1[[#This Row],[Low17]],Table1[[#This Row],[Low14]],Table1[[#This Row],[Low11]],Table1[[#This Row],[Low8]],Table1[[#This Row],[Low5]],Table1[[#This Row],[Low2]],Table1[[#This Row],[Low]])</f>
        <v>76.099999999999994</v>
      </c>
      <c r="CF78" s="19">
        <f>SUM(Table1[[#This Row],[Mid39]],Table1[[#This Row],[Mid36]],Table1[[#This Row],[Mid33]],Table1[[#This Row],[Mid30]],Table1[[#This Row],[Mid27]],Table1[[#This Row],[Mid24]],Table1[[#This Row],[Mid21]],Table1[[#This Row],[Mid18]],Table1[[#This Row],[Mid15]],Table1[[#This Row],[Mid12]],Table1[[#This Row],[Mid9]],Table1[[#This Row],[Mid6]],Table1[[#This Row],[Mid3]],Table1[[#This Row],[Mid]])</f>
        <v>152.30000000000001</v>
      </c>
      <c r="CG7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304.60000000000002</v>
      </c>
      <c r="CH78" t="s">
        <v>158</v>
      </c>
      <c r="CI78" t="s">
        <v>134</v>
      </c>
      <c r="CJ78" t="s">
        <v>158</v>
      </c>
      <c r="CL78" s="19">
        <f>IF(Table1[[#This Row],[Type]]="Petroleum",1,IF(ISERROR(Table1[[#This Row],[Well Density]]*Table1[[#This Row],[Single Well Discovery Area]]),"",IF(Table1[[#This Row],[Well Density]]*Table1[[#This Row],[Single Well Discovery Area]]&gt;1,1,Table1[[#This Row],[Well Density]]*Table1[[#This Row],[Single Well Discovery Area]])))</f>
        <v>0</v>
      </c>
      <c r="CM78" t="s">
        <v>158</v>
      </c>
      <c r="CN78" s="19">
        <f>Table1[[#This Row],[Mid]]</f>
        <v>0</v>
      </c>
      <c r="CO78" s="19">
        <f>Table1[[#This Row],[Mid3]]+Table1[[#This Row],[Mid6]]+Table1[[#This Row],[Mid9]]</f>
        <v>0</v>
      </c>
      <c r="CP78" s="19">
        <f>Table1[[#This Row],[Mid12]]+Table1[[#This Row],[Mid15]]+Table1[[#This Row],[Mid18]]+Table1[[#This Row],[Mid21]]+Table1[[#This Row],[Mid24]]</f>
        <v>0</v>
      </c>
      <c r="CQ78" s="19">
        <f>Table1[[#This Row],[Mid27]]+Table1[[#This Row],[Mid30]]+Table1[[#This Row],[Mid33]]+Table1[[#This Row],[Mid36]]+Table1[[#This Row],[Mid39]]</f>
        <v>152.30000000000001</v>
      </c>
      <c r="CR78" t="s">
        <v>415</v>
      </c>
      <c r="CS78" s="19" t="str">
        <f>IF(AND(Table1[[#This Row],[Low41]]=0, Table1[[#This Row],[High43]]=0),"N","Y")</f>
        <v>Y</v>
      </c>
    </row>
    <row r="79" spans="1:97" ht="19.5" customHeight="1" x14ac:dyDescent="0.25">
      <c r="A79">
        <v>10076</v>
      </c>
      <c r="B79" t="s">
        <v>408</v>
      </c>
      <c r="C79" t="s">
        <v>165</v>
      </c>
      <c r="D79">
        <v>54.754166669999996</v>
      </c>
      <c r="E79">
        <v>10.603611109999999</v>
      </c>
      <c r="F79" t="s">
        <v>422</v>
      </c>
      <c r="G79" t="s">
        <v>410</v>
      </c>
      <c r="H79" t="s">
        <v>411</v>
      </c>
      <c r="I79" t="s">
        <v>118</v>
      </c>
      <c r="J79" t="s">
        <v>119</v>
      </c>
      <c r="K79" t="s">
        <v>167</v>
      </c>
      <c r="L79" t="s">
        <v>18</v>
      </c>
      <c r="M79" t="s">
        <v>412</v>
      </c>
      <c r="N79" s="6" t="s">
        <v>413</v>
      </c>
      <c r="Q79"/>
      <c r="R79" t="s">
        <v>414</v>
      </c>
      <c r="S79">
        <v>2014</v>
      </c>
      <c r="T79" t="s">
        <v>207</v>
      </c>
      <c r="U79" t="s">
        <v>173</v>
      </c>
      <c r="V79"/>
      <c r="Y79">
        <v>17</v>
      </c>
      <c r="Z79">
        <v>14</v>
      </c>
      <c r="AF79">
        <v>200</v>
      </c>
      <c r="AG79">
        <v>0</v>
      </c>
      <c r="AK79">
        <v>0</v>
      </c>
      <c r="AL79">
        <v>0</v>
      </c>
      <c r="AN79" t="s">
        <v>132</v>
      </c>
      <c r="BS79">
        <v>6.4</v>
      </c>
      <c r="BT79">
        <v>12.8</v>
      </c>
      <c r="BU79">
        <v>25.7</v>
      </c>
      <c r="CE79" s="19">
        <f>SUM(Table1[[#This Row],[Low38]],Table1[[#This Row],[Low35]],Table1[[#This Row],[Low32]],Table1[[#This Row],[Low29]],Table1[[#This Row],[Low26]],Table1[[#This Row],[Low23]],Table1[[#This Row],[Low20]],Table1[[#This Row],[Low17]],Table1[[#This Row],[Low14]],Table1[[#This Row],[Low11]],Table1[[#This Row],[Low8]],Table1[[#This Row],[Low5]],Table1[[#This Row],[Low2]],Table1[[#This Row],[Low]])</f>
        <v>6.4</v>
      </c>
      <c r="CF79" s="19">
        <f>SUM(Table1[[#This Row],[Mid39]],Table1[[#This Row],[Mid36]],Table1[[#This Row],[Mid33]],Table1[[#This Row],[Mid30]],Table1[[#This Row],[Mid27]],Table1[[#This Row],[Mid24]],Table1[[#This Row],[Mid21]],Table1[[#This Row],[Mid18]],Table1[[#This Row],[Mid15]],Table1[[#This Row],[Mid12]],Table1[[#This Row],[Mid9]],Table1[[#This Row],[Mid6]],Table1[[#This Row],[Mid3]],Table1[[#This Row],[Mid]])</f>
        <v>12.8</v>
      </c>
      <c r="CG7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25.7</v>
      </c>
      <c r="CH79" t="s">
        <v>158</v>
      </c>
      <c r="CI79" t="s">
        <v>134</v>
      </c>
      <c r="CJ79" t="s">
        <v>158</v>
      </c>
      <c r="CL79" s="19">
        <f>IF(Table1[[#This Row],[Type]]="Petroleum",1,IF(ISERROR(Table1[[#This Row],[Well Density]]*Table1[[#This Row],[Single Well Discovery Area]]),"",IF(Table1[[#This Row],[Well Density]]*Table1[[#This Row],[Single Well Discovery Area]]&gt;1,1,Table1[[#This Row],[Well Density]]*Table1[[#This Row],[Single Well Discovery Area]])))</f>
        <v>0</v>
      </c>
      <c r="CM79" t="s">
        <v>158</v>
      </c>
      <c r="CN79" s="19">
        <f>Table1[[#This Row],[Mid]]</f>
        <v>0</v>
      </c>
      <c r="CO79" s="19">
        <f>Table1[[#This Row],[Mid3]]+Table1[[#This Row],[Mid6]]+Table1[[#This Row],[Mid9]]</f>
        <v>0</v>
      </c>
      <c r="CP79" s="19">
        <f>Table1[[#This Row],[Mid12]]+Table1[[#This Row],[Mid15]]+Table1[[#This Row],[Mid18]]+Table1[[#This Row],[Mid21]]+Table1[[#This Row],[Mid24]]</f>
        <v>0</v>
      </c>
      <c r="CQ79" s="19">
        <f>Table1[[#This Row],[Mid27]]+Table1[[#This Row],[Mid30]]+Table1[[#This Row],[Mid33]]+Table1[[#This Row],[Mid36]]+Table1[[#This Row],[Mid39]]</f>
        <v>12.8</v>
      </c>
      <c r="CR79" t="s">
        <v>415</v>
      </c>
      <c r="CS79" s="19" t="str">
        <f>IF(AND(Table1[[#This Row],[Low41]]=0, Table1[[#This Row],[High43]]=0),"N","Y")</f>
        <v>Y</v>
      </c>
    </row>
    <row r="80" spans="1:97" ht="19.5" customHeight="1" x14ac:dyDescent="0.25">
      <c r="A80">
        <v>10077</v>
      </c>
      <c r="B80" t="s">
        <v>408</v>
      </c>
      <c r="C80" t="s">
        <v>165</v>
      </c>
      <c r="D80">
        <v>54.663888890000003</v>
      </c>
      <c r="E80">
        <v>10.63805556</v>
      </c>
      <c r="F80" t="s">
        <v>423</v>
      </c>
      <c r="G80" t="s">
        <v>410</v>
      </c>
      <c r="H80" t="s">
        <v>411</v>
      </c>
      <c r="I80" t="s">
        <v>118</v>
      </c>
      <c r="J80" t="s">
        <v>119</v>
      </c>
      <c r="K80" t="s">
        <v>167</v>
      </c>
      <c r="L80" t="s">
        <v>18</v>
      </c>
      <c r="M80" t="s">
        <v>412</v>
      </c>
      <c r="N80" s="6" t="s">
        <v>413</v>
      </c>
      <c r="Q80"/>
      <c r="R80" t="s">
        <v>414</v>
      </c>
      <c r="S80">
        <v>2014</v>
      </c>
      <c r="T80" t="s">
        <v>207</v>
      </c>
      <c r="U80" t="s">
        <v>173</v>
      </c>
      <c r="V80"/>
      <c r="Y80">
        <v>29</v>
      </c>
      <c r="Z80">
        <v>14</v>
      </c>
      <c r="AF80">
        <v>200</v>
      </c>
      <c r="AG80">
        <v>0</v>
      </c>
      <c r="AK80">
        <v>0</v>
      </c>
      <c r="AL80">
        <v>0</v>
      </c>
      <c r="AN80" t="s">
        <v>132</v>
      </c>
      <c r="BS80">
        <v>81.900000000000006</v>
      </c>
      <c r="BT80">
        <v>163.80000000000001</v>
      </c>
      <c r="BU80">
        <v>327.5</v>
      </c>
      <c r="CE80" s="19">
        <f>SUM(Table1[[#This Row],[Low38]],Table1[[#This Row],[Low35]],Table1[[#This Row],[Low32]],Table1[[#This Row],[Low29]],Table1[[#This Row],[Low26]],Table1[[#This Row],[Low23]],Table1[[#This Row],[Low20]],Table1[[#This Row],[Low17]],Table1[[#This Row],[Low14]],Table1[[#This Row],[Low11]],Table1[[#This Row],[Low8]],Table1[[#This Row],[Low5]],Table1[[#This Row],[Low2]],Table1[[#This Row],[Low]])</f>
        <v>81.900000000000006</v>
      </c>
      <c r="CF80" s="19">
        <f>SUM(Table1[[#This Row],[Mid39]],Table1[[#This Row],[Mid36]],Table1[[#This Row],[Mid33]],Table1[[#This Row],[Mid30]],Table1[[#This Row],[Mid27]],Table1[[#This Row],[Mid24]],Table1[[#This Row],[Mid21]],Table1[[#This Row],[Mid18]],Table1[[#This Row],[Mid15]],Table1[[#This Row],[Mid12]],Table1[[#This Row],[Mid9]],Table1[[#This Row],[Mid6]],Table1[[#This Row],[Mid3]],Table1[[#This Row],[Mid]])</f>
        <v>163.80000000000001</v>
      </c>
      <c r="CG8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327.5</v>
      </c>
      <c r="CH80" t="s">
        <v>158</v>
      </c>
      <c r="CI80" t="s">
        <v>134</v>
      </c>
      <c r="CJ80" t="s">
        <v>158</v>
      </c>
      <c r="CL80" s="19">
        <f>IF(Table1[[#This Row],[Type]]="Petroleum",1,IF(ISERROR(Table1[[#This Row],[Well Density]]*Table1[[#This Row],[Single Well Discovery Area]]),"",IF(Table1[[#This Row],[Well Density]]*Table1[[#This Row],[Single Well Discovery Area]]&gt;1,1,Table1[[#This Row],[Well Density]]*Table1[[#This Row],[Single Well Discovery Area]])))</f>
        <v>0</v>
      </c>
      <c r="CM80" t="s">
        <v>158</v>
      </c>
      <c r="CN80" s="19">
        <f>Table1[[#This Row],[Mid]]</f>
        <v>0</v>
      </c>
      <c r="CO80" s="19">
        <f>Table1[[#This Row],[Mid3]]+Table1[[#This Row],[Mid6]]+Table1[[#This Row],[Mid9]]</f>
        <v>0</v>
      </c>
      <c r="CP80" s="19">
        <f>Table1[[#This Row],[Mid12]]+Table1[[#This Row],[Mid15]]+Table1[[#This Row],[Mid18]]+Table1[[#This Row],[Mid21]]+Table1[[#This Row],[Mid24]]</f>
        <v>0</v>
      </c>
      <c r="CQ80" s="19">
        <f>Table1[[#This Row],[Mid27]]+Table1[[#This Row],[Mid30]]+Table1[[#This Row],[Mid33]]+Table1[[#This Row],[Mid36]]+Table1[[#This Row],[Mid39]]</f>
        <v>163.80000000000001</v>
      </c>
      <c r="CR80" t="s">
        <v>415</v>
      </c>
      <c r="CS80" s="19" t="str">
        <f>IF(AND(Table1[[#This Row],[Low41]]=0, Table1[[#This Row],[High43]]=0),"N","Y")</f>
        <v>Y</v>
      </c>
    </row>
    <row r="81" spans="1:97" ht="19.5" customHeight="1" x14ac:dyDescent="0.25">
      <c r="A81">
        <v>10078</v>
      </c>
      <c r="B81" t="s">
        <v>408</v>
      </c>
      <c r="C81" t="s">
        <v>165</v>
      </c>
      <c r="D81">
        <v>54.555833329999999</v>
      </c>
      <c r="E81">
        <v>10.659166669999999</v>
      </c>
      <c r="F81" t="s">
        <v>424</v>
      </c>
      <c r="G81" t="s">
        <v>410</v>
      </c>
      <c r="H81" t="s">
        <v>411</v>
      </c>
      <c r="I81" t="s">
        <v>118</v>
      </c>
      <c r="J81" t="s">
        <v>119</v>
      </c>
      <c r="K81" t="s">
        <v>167</v>
      </c>
      <c r="L81" t="s">
        <v>18</v>
      </c>
      <c r="M81" t="s">
        <v>412</v>
      </c>
      <c r="N81" s="6" t="s">
        <v>413</v>
      </c>
      <c r="Q81"/>
      <c r="R81" t="s">
        <v>414</v>
      </c>
      <c r="S81">
        <v>2014</v>
      </c>
      <c r="T81" t="s">
        <v>207</v>
      </c>
      <c r="U81" t="s">
        <v>173</v>
      </c>
      <c r="V81"/>
      <c r="Y81">
        <v>30</v>
      </c>
      <c r="Z81">
        <v>14</v>
      </c>
      <c r="AF81">
        <v>200</v>
      </c>
      <c r="AG81">
        <v>0</v>
      </c>
      <c r="AK81">
        <v>0</v>
      </c>
      <c r="AL81">
        <v>0</v>
      </c>
      <c r="AN81" t="s">
        <v>132</v>
      </c>
      <c r="BS81">
        <v>37.200000000000003</v>
      </c>
      <c r="BT81">
        <v>74.400000000000006</v>
      </c>
      <c r="BU81">
        <v>148.9</v>
      </c>
      <c r="CE81" s="19">
        <f>SUM(Table1[[#This Row],[Low38]],Table1[[#This Row],[Low35]],Table1[[#This Row],[Low32]],Table1[[#This Row],[Low29]],Table1[[#This Row],[Low26]],Table1[[#This Row],[Low23]],Table1[[#This Row],[Low20]],Table1[[#This Row],[Low17]],Table1[[#This Row],[Low14]],Table1[[#This Row],[Low11]],Table1[[#This Row],[Low8]],Table1[[#This Row],[Low5]],Table1[[#This Row],[Low2]],Table1[[#This Row],[Low]])</f>
        <v>37.200000000000003</v>
      </c>
      <c r="CF81" s="19">
        <f>SUM(Table1[[#This Row],[Mid39]],Table1[[#This Row],[Mid36]],Table1[[#This Row],[Mid33]],Table1[[#This Row],[Mid30]],Table1[[#This Row],[Mid27]],Table1[[#This Row],[Mid24]],Table1[[#This Row],[Mid21]],Table1[[#This Row],[Mid18]],Table1[[#This Row],[Mid15]],Table1[[#This Row],[Mid12]],Table1[[#This Row],[Mid9]],Table1[[#This Row],[Mid6]],Table1[[#This Row],[Mid3]],Table1[[#This Row],[Mid]])</f>
        <v>74.400000000000006</v>
      </c>
      <c r="CG8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148.9</v>
      </c>
      <c r="CH81" t="s">
        <v>158</v>
      </c>
      <c r="CI81" t="s">
        <v>134</v>
      </c>
      <c r="CJ81" t="s">
        <v>158</v>
      </c>
      <c r="CL81" s="19">
        <f>IF(Table1[[#This Row],[Type]]="Petroleum",1,IF(ISERROR(Table1[[#This Row],[Well Density]]*Table1[[#This Row],[Single Well Discovery Area]]),"",IF(Table1[[#This Row],[Well Density]]*Table1[[#This Row],[Single Well Discovery Area]]&gt;1,1,Table1[[#This Row],[Well Density]]*Table1[[#This Row],[Single Well Discovery Area]])))</f>
        <v>0</v>
      </c>
      <c r="CM81" t="s">
        <v>158</v>
      </c>
      <c r="CN81" s="19">
        <f>Table1[[#This Row],[Mid]]</f>
        <v>0</v>
      </c>
      <c r="CO81" s="19">
        <f>Table1[[#This Row],[Mid3]]+Table1[[#This Row],[Mid6]]+Table1[[#This Row],[Mid9]]</f>
        <v>0</v>
      </c>
      <c r="CP81" s="19">
        <f>Table1[[#This Row],[Mid12]]+Table1[[#This Row],[Mid15]]+Table1[[#This Row],[Mid18]]+Table1[[#This Row],[Mid21]]+Table1[[#This Row],[Mid24]]</f>
        <v>0</v>
      </c>
      <c r="CQ81" s="19">
        <f>Table1[[#This Row],[Mid27]]+Table1[[#This Row],[Mid30]]+Table1[[#This Row],[Mid33]]+Table1[[#This Row],[Mid36]]+Table1[[#This Row],[Mid39]]</f>
        <v>74.400000000000006</v>
      </c>
      <c r="CR81" t="s">
        <v>415</v>
      </c>
      <c r="CS81" s="19" t="str">
        <f>IF(AND(Table1[[#This Row],[Low41]]=0, Table1[[#This Row],[High43]]=0),"N","Y")</f>
        <v>Y</v>
      </c>
    </row>
    <row r="82" spans="1:97" ht="19.5" customHeight="1" x14ac:dyDescent="0.25">
      <c r="A82">
        <v>10079</v>
      </c>
      <c r="B82" t="s">
        <v>408</v>
      </c>
      <c r="C82" t="s">
        <v>165</v>
      </c>
      <c r="D82">
        <v>54.722777780000001</v>
      </c>
      <c r="E82">
        <v>10.347222220000001</v>
      </c>
      <c r="F82" t="s">
        <v>425</v>
      </c>
      <c r="G82" t="s">
        <v>410</v>
      </c>
      <c r="H82" t="s">
        <v>411</v>
      </c>
      <c r="I82" t="s">
        <v>118</v>
      </c>
      <c r="J82" t="s">
        <v>119</v>
      </c>
      <c r="K82" t="s">
        <v>167</v>
      </c>
      <c r="L82" t="s">
        <v>18</v>
      </c>
      <c r="M82" t="s">
        <v>412</v>
      </c>
      <c r="N82" s="6" t="s">
        <v>413</v>
      </c>
      <c r="Q82"/>
      <c r="R82" t="s">
        <v>414</v>
      </c>
      <c r="S82">
        <v>2014</v>
      </c>
      <c r="T82" t="s">
        <v>207</v>
      </c>
      <c r="U82" t="s">
        <v>173</v>
      </c>
      <c r="V82"/>
      <c r="Y82">
        <v>18</v>
      </c>
      <c r="Z82">
        <v>14</v>
      </c>
      <c r="AF82">
        <v>200</v>
      </c>
      <c r="AG82">
        <v>0</v>
      </c>
      <c r="AK82">
        <v>0</v>
      </c>
      <c r="AL82">
        <v>0</v>
      </c>
      <c r="AN82" t="s">
        <v>132</v>
      </c>
      <c r="BS82">
        <v>65.900000000000006</v>
      </c>
      <c r="BT82">
        <v>131.69999999999999</v>
      </c>
      <c r="BU82">
        <v>263.39999999999998</v>
      </c>
      <c r="CE82" s="19">
        <f>SUM(Table1[[#This Row],[Low38]],Table1[[#This Row],[Low35]],Table1[[#This Row],[Low32]],Table1[[#This Row],[Low29]],Table1[[#This Row],[Low26]],Table1[[#This Row],[Low23]],Table1[[#This Row],[Low20]],Table1[[#This Row],[Low17]],Table1[[#This Row],[Low14]],Table1[[#This Row],[Low11]],Table1[[#This Row],[Low8]],Table1[[#This Row],[Low5]],Table1[[#This Row],[Low2]],Table1[[#This Row],[Low]])</f>
        <v>65.900000000000006</v>
      </c>
      <c r="CF82" s="19">
        <f>SUM(Table1[[#This Row],[Mid39]],Table1[[#This Row],[Mid36]],Table1[[#This Row],[Mid33]],Table1[[#This Row],[Mid30]],Table1[[#This Row],[Mid27]],Table1[[#This Row],[Mid24]],Table1[[#This Row],[Mid21]],Table1[[#This Row],[Mid18]],Table1[[#This Row],[Mid15]],Table1[[#This Row],[Mid12]],Table1[[#This Row],[Mid9]],Table1[[#This Row],[Mid6]],Table1[[#This Row],[Mid3]],Table1[[#This Row],[Mid]])</f>
        <v>131.69999999999999</v>
      </c>
      <c r="CG8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263.39999999999998</v>
      </c>
      <c r="CH82" t="s">
        <v>158</v>
      </c>
      <c r="CI82" t="s">
        <v>134</v>
      </c>
      <c r="CJ82" t="s">
        <v>158</v>
      </c>
      <c r="CL82" s="19">
        <f>IF(Table1[[#This Row],[Type]]="Petroleum",1,IF(ISERROR(Table1[[#This Row],[Well Density]]*Table1[[#This Row],[Single Well Discovery Area]]),"",IF(Table1[[#This Row],[Well Density]]*Table1[[#This Row],[Single Well Discovery Area]]&gt;1,1,Table1[[#This Row],[Well Density]]*Table1[[#This Row],[Single Well Discovery Area]])))</f>
        <v>0</v>
      </c>
      <c r="CM82" t="s">
        <v>158</v>
      </c>
      <c r="CN82" s="19">
        <f>Table1[[#This Row],[Mid]]</f>
        <v>0</v>
      </c>
      <c r="CO82" s="19">
        <f>Table1[[#This Row],[Mid3]]+Table1[[#This Row],[Mid6]]+Table1[[#This Row],[Mid9]]</f>
        <v>0</v>
      </c>
      <c r="CP82" s="19">
        <f>Table1[[#This Row],[Mid12]]+Table1[[#This Row],[Mid15]]+Table1[[#This Row],[Mid18]]+Table1[[#This Row],[Mid21]]+Table1[[#This Row],[Mid24]]</f>
        <v>0</v>
      </c>
      <c r="CQ82" s="19">
        <f>Table1[[#This Row],[Mid27]]+Table1[[#This Row],[Mid30]]+Table1[[#This Row],[Mid33]]+Table1[[#This Row],[Mid36]]+Table1[[#This Row],[Mid39]]</f>
        <v>131.69999999999999</v>
      </c>
      <c r="CR82" t="s">
        <v>415</v>
      </c>
      <c r="CS82" s="19" t="str">
        <f>IF(AND(Table1[[#This Row],[Low41]]=0, Table1[[#This Row],[High43]]=0),"N","Y")</f>
        <v>Y</v>
      </c>
    </row>
    <row r="83" spans="1:97" ht="19.5" customHeight="1" x14ac:dyDescent="0.25">
      <c r="A83">
        <v>10080</v>
      </c>
      <c r="B83" t="s">
        <v>408</v>
      </c>
      <c r="C83" t="s">
        <v>165</v>
      </c>
      <c r="D83">
        <v>54.792777780000002</v>
      </c>
      <c r="E83">
        <v>10.330555560000001</v>
      </c>
      <c r="F83" t="s">
        <v>426</v>
      </c>
      <c r="G83" t="s">
        <v>410</v>
      </c>
      <c r="H83" t="s">
        <v>411</v>
      </c>
      <c r="I83" t="s">
        <v>118</v>
      </c>
      <c r="J83" t="s">
        <v>119</v>
      </c>
      <c r="K83" t="s">
        <v>167</v>
      </c>
      <c r="L83" t="s">
        <v>18</v>
      </c>
      <c r="M83" t="s">
        <v>412</v>
      </c>
      <c r="N83" s="6" t="s">
        <v>413</v>
      </c>
      <c r="Q83"/>
      <c r="R83" t="s">
        <v>414</v>
      </c>
      <c r="S83">
        <v>2014</v>
      </c>
      <c r="T83" t="s">
        <v>207</v>
      </c>
      <c r="U83" t="s">
        <v>173</v>
      </c>
      <c r="V83"/>
      <c r="Y83">
        <v>20</v>
      </c>
      <c r="Z83">
        <v>14</v>
      </c>
      <c r="AF83">
        <v>200</v>
      </c>
      <c r="AG83">
        <v>0</v>
      </c>
      <c r="AI83">
        <v>0</v>
      </c>
      <c r="AK83">
        <v>0</v>
      </c>
      <c r="AL83">
        <v>0</v>
      </c>
      <c r="AN83" t="s">
        <v>132</v>
      </c>
      <c r="BS83">
        <v>12.9</v>
      </c>
      <c r="BT83">
        <v>25.7</v>
      </c>
      <c r="BU83">
        <v>51.4</v>
      </c>
      <c r="CE83" s="19">
        <f>SUM(Table1[[#This Row],[Low38]],Table1[[#This Row],[Low35]],Table1[[#This Row],[Low32]],Table1[[#This Row],[Low29]],Table1[[#This Row],[Low26]],Table1[[#This Row],[Low23]],Table1[[#This Row],[Low20]],Table1[[#This Row],[Low17]],Table1[[#This Row],[Low14]],Table1[[#This Row],[Low11]],Table1[[#This Row],[Low8]],Table1[[#This Row],[Low5]],Table1[[#This Row],[Low2]],Table1[[#This Row],[Low]])</f>
        <v>12.9</v>
      </c>
      <c r="CF83" s="19">
        <f>SUM(Table1[[#This Row],[Mid39]],Table1[[#This Row],[Mid36]],Table1[[#This Row],[Mid33]],Table1[[#This Row],[Mid30]],Table1[[#This Row],[Mid27]],Table1[[#This Row],[Mid24]],Table1[[#This Row],[Mid21]],Table1[[#This Row],[Mid18]],Table1[[#This Row],[Mid15]],Table1[[#This Row],[Mid12]],Table1[[#This Row],[Mid9]],Table1[[#This Row],[Mid6]],Table1[[#This Row],[Mid3]],Table1[[#This Row],[Mid]])</f>
        <v>25.7</v>
      </c>
      <c r="CG8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51.4</v>
      </c>
      <c r="CH83" t="s">
        <v>158</v>
      </c>
      <c r="CI83" t="s">
        <v>134</v>
      </c>
      <c r="CJ83" t="s">
        <v>158</v>
      </c>
      <c r="CL83" s="19">
        <f>IF(Table1[[#This Row],[Type]]="Petroleum",1,IF(ISERROR(Table1[[#This Row],[Well Density]]*Table1[[#This Row],[Single Well Discovery Area]]),"",IF(Table1[[#This Row],[Well Density]]*Table1[[#This Row],[Single Well Discovery Area]]&gt;1,1,Table1[[#This Row],[Well Density]]*Table1[[#This Row],[Single Well Discovery Area]])))</f>
        <v>0</v>
      </c>
      <c r="CM83" t="s">
        <v>158</v>
      </c>
      <c r="CN83" s="19">
        <f>Table1[[#This Row],[Mid]]</f>
        <v>0</v>
      </c>
      <c r="CO83" s="19">
        <f>Table1[[#This Row],[Mid3]]+Table1[[#This Row],[Mid6]]+Table1[[#This Row],[Mid9]]</f>
        <v>0</v>
      </c>
      <c r="CP83" s="19">
        <f>Table1[[#This Row],[Mid12]]+Table1[[#This Row],[Mid15]]+Table1[[#This Row],[Mid18]]+Table1[[#This Row],[Mid21]]+Table1[[#This Row],[Mid24]]</f>
        <v>0</v>
      </c>
      <c r="CQ83" s="19">
        <f>Table1[[#This Row],[Mid27]]+Table1[[#This Row],[Mid30]]+Table1[[#This Row],[Mid33]]+Table1[[#This Row],[Mid36]]+Table1[[#This Row],[Mid39]]</f>
        <v>25.7</v>
      </c>
      <c r="CR83" t="s">
        <v>415</v>
      </c>
      <c r="CS83" s="19" t="str">
        <f>IF(AND(Table1[[#This Row],[Low41]]=0, Table1[[#This Row],[High43]]=0),"N","Y")</f>
        <v>Y</v>
      </c>
    </row>
    <row r="84" spans="1:97" ht="19.5" customHeight="1" x14ac:dyDescent="0.25">
      <c r="A84">
        <v>10081</v>
      </c>
      <c r="B84" t="s">
        <v>408</v>
      </c>
      <c r="C84" t="s">
        <v>165</v>
      </c>
      <c r="D84">
        <v>54.787777779999999</v>
      </c>
      <c r="E84">
        <v>10.06833333</v>
      </c>
      <c r="F84" t="s">
        <v>427</v>
      </c>
      <c r="G84" t="s">
        <v>410</v>
      </c>
      <c r="H84" t="s">
        <v>411</v>
      </c>
      <c r="I84" t="s">
        <v>118</v>
      </c>
      <c r="J84" t="s">
        <v>119</v>
      </c>
      <c r="K84" t="s">
        <v>167</v>
      </c>
      <c r="L84" t="s">
        <v>121</v>
      </c>
      <c r="M84" t="s">
        <v>412</v>
      </c>
      <c r="N84" s="6" t="s">
        <v>413</v>
      </c>
      <c r="Q84"/>
      <c r="R84" t="s">
        <v>414</v>
      </c>
      <c r="S84">
        <v>2014</v>
      </c>
      <c r="T84" t="s">
        <v>207</v>
      </c>
      <c r="U84" t="s">
        <v>173</v>
      </c>
      <c r="V84"/>
      <c r="Y84">
        <v>18</v>
      </c>
      <c r="Z84">
        <v>15</v>
      </c>
      <c r="AF84">
        <v>200</v>
      </c>
      <c r="AG84">
        <v>0</v>
      </c>
      <c r="AK84">
        <v>0</v>
      </c>
      <c r="AL84">
        <v>0</v>
      </c>
      <c r="AN84" t="s">
        <v>132</v>
      </c>
      <c r="BJ84">
        <v>46.7</v>
      </c>
      <c r="BK84">
        <v>93.4</v>
      </c>
      <c r="BL84">
        <v>186.7</v>
      </c>
      <c r="CE84" s="19">
        <f>SUM(Table1[[#This Row],[Low38]],Table1[[#This Row],[Low35]],Table1[[#This Row],[Low32]],Table1[[#This Row],[Low29]],Table1[[#This Row],[Low26]],Table1[[#This Row],[Low23]],Table1[[#This Row],[Low20]],Table1[[#This Row],[Low17]],Table1[[#This Row],[Low14]],Table1[[#This Row],[Low11]],Table1[[#This Row],[Low8]],Table1[[#This Row],[Low5]],Table1[[#This Row],[Low2]],Table1[[#This Row],[Low]])</f>
        <v>46.7</v>
      </c>
      <c r="CF84" s="19">
        <f>SUM(Table1[[#This Row],[Mid39]],Table1[[#This Row],[Mid36]],Table1[[#This Row],[Mid33]],Table1[[#This Row],[Mid30]],Table1[[#This Row],[Mid27]],Table1[[#This Row],[Mid24]],Table1[[#This Row],[Mid21]],Table1[[#This Row],[Mid18]],Table1[[#This Row],[Mid15]],Table1[[#This Row],[Mid12]],Table1[[#This Row],[Mid9]],Table1[[#This Row],[Mid6]],Table1[[#This Row],[Mid3]],Table1[[#This Row],[Mid]])</f>
        <v>93.4</v>
      </c>
      <c r="CG8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186.7</v>
      </c>
      <c r="CH84" t="s">
        <v>158</v>
      </c>
      <c r="CI84" t="s">
        <v>134</v>
      </c>
      <c r="CJ84" t="s">
        <v>158</v>
      </c>
      <c r="CL84" s="19">
        <f>IF(Table1[[#This Row],[Type]]="Petroleum",1,IF(ISERROR(Table1[[#This Row],[Well Density]]*Table1[[#This Row],[Single Well Discovery Area]]),"",IF(Table1[[#This Row],[Well Density]]*Table1[[#This Row],[Single Well Discovery Area]]&gt;1,1,Table1[[#This Row],[Well Density]]*Table1[[#This Row],[Single Well Discovery Area]])))</f>
        <v>0</v>
      </c>
      <c r="CM84" t="s">
        <v>158</v>
      </c>
      <c r="CN84" s="19">
        <f>Table1[[#This Row],[Mid]]</f>
        <v>0</v>
      </c>
      <c r="CO84" s="19">
        <f>Table1[[#This Row],[Mid3]]+Table1[[#This Row],[Mid6]]+Table1[[#This Row],[Mid9]]</f>
        <v>0</v>
      </c>
      <c r="CP84" s="19">
        <f>Table1[[#This Row],[Mid12]]+Table1[[#This Row],[Mid15]]+Table1[[#This Row],[Mid18]]+Table1[[#This Row],[Mid21]]+Table1[[#This Row],[Mid24]]</f>
        <v>93.4</v>
      </c>
      <c r="CQ84" s="19">
        <f>Table1[[#This Row],[Mid27]]+Table1[[#This Row],[Mid30]]+Table1[[#This Row],[Mid33]]+Table1[[#This Row],[Mid36]]+Table1[[#This Row],[Mid39]]</f>
        <v>0</v>
      </c>
      <c r="CR84" t="s">
        <v>415</v>
      </c>
      <c r="CS84" s="19" t="str">
        <f>IF(AND(Table1[[#This Row],[Low41]]=0, Table1[[#This Row],[High43]]=0),"N","Y")</f>
        <v>Y</v>
      </c>
    </row>
    <row r="85" spans="1:97" ht="19.5" customHeight="1" x14ac:dyDescent="0.25">
      <c r="A85">
        <v>10082</v>
      </c>
      <c r="B85" t="s">
        <v>408</v>
      </c>
      <c r="C85" t="s">
        <v>165</v>
      </c>
      <c r="D85">
        <v>54.932777780000002</v>
      </c>
      <c r="E85">
        <v>10.17444444</v>
      </c>
      <c r="F85" t="s">
        <v>428</v>
      </c>
      <c r="G85" t="s">
        <v>410</v>
      </c>
      <c r="H85" t="s">
        <v>411</v>
      </c>
      <c r="I85" t="s">
        <v>118</v>
      </c>
      <c r="J85" t="s">
        <v>119</v>
      </c>
      <c r="K85" t="s">
        <v>167</v>
      </c>
      <c r="L85" t="s">
        <v>18</v>
      </c>
      <c r="M85" t="s">
        <v>412</v>
      </c>
      <c r="N85" s="6" t="s">
        <v>413</v>
      </c>
      <c r="Q85"/>
      <c r="R85" t="s">
        <v>414</v>
      </c>
      <c r="S85">
        <v>2014</v>
      </c>
      <c r="T85" t="s">
        <v>207</v>
      </c>
      <c r="U85" t="s">
        <v>173</v>
      </c>
      <c r="V85"/>
      <c r="Y85">
        <v>16</v>
      </c>
      <c r="Z85">
        <v>14</v>
      </c>
      <c r="AF85">
        <v>200</v>
      </c>
      <c r="AG85">
        <v>0</v>
      </c>
      <c r="AK85">
        <v>0</v>
      </c>
      <c r="AL85">
        <v>0</v>
      </c>
      <c r="AN85" t="s">
        <v>132</v>
      </c>
      <c r="BS85">
        <v>3.6</v>
      </c>
      <c r="BT85">
        <v>7.1</v>
      </c>
      <c r="BU85">
        <v>14.2</v>
      </c>
      <c r="CE85" s="19">
        <f>SUM(Table1[[#This Row],[Low38]],Table1[[#This Row],[Low35]],Table1[[#This Row],[Low32]],Table1[[#This Row],[Low29]],Table1[[#This Row],[Low26]],Table1[[#This Row],[Low23]],Table1[[#This Row],[Low20]],Table1[[#This Row],[Low17]],Table1[[#This Row],[Low14]],Table1[[#This Row],[Low11]],Table1[[#This Row],[Low8]],Table1[[#This Row],[Low5]],Table1[[#This Row],[Low2]],Table1[[#This Row],[Low]])</f>
        <v>3.6</v>
      </c>
      <c r="CF85" s="19">
        <f>SUM(Table1[[#This Row],[Mid39]],Table1[[#This Row],[Mid36]],Table1[[#This Row],[Mid33]],Table1[[#This Row],[Mid30]],Table1[[#This Row],[Mid27]],Table1[[#This Row],[Mid24]],Table1[[#This Row],[Mid21]],Table1[[#This Row],[Mid18]],Table1[[#This Row],[Mid15]],Table1[[#This Row],[Mid12]],Table1[[#This Row],[Mid9]],Table1[[#This Row],[Mid6]],Table1[[#This Row],[Mid3]],Table1[[#This Row],[Mid]])</f>
        <v>7.1</v>
      </c>
      <c r="CG8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14.2</v>
      </c>
      <c r="CH85" t="s">
        <v>158</v>
      </c>
      <c r="CI85" t="s">
        <v>134</v>
      </c>
      <c r="CJ85" t="s">
        <v>158</v>
      </c>
      <c r="CL85" s="19">
        <f>IF(Table1[[#This Row],[Type]]="Petroleum",1,IF(ISERROR(Table1[[#This Row],[Well Density]]*Table1[[#This Row],[Single Well Discovery Area]]),"",IF(Table1[[#This Row],[Well Density]]*Table1[[#This Row],[Single Well Discovery Area]]&gt;1,1,Table1[[#This Row],[Well Density]]*Table1[[#This Row],[Single Well Discovery Area]])))</f>
        <v>0</v>
      </c>
      <c r="CM85" t="s">
        <v>158</v>
      </c>
      <c r="CN85" s="19">
        <f>Table1[[#This Row],[Mid]]</f>
        <v>0</v>
      </c>
      <c r="CO85" s="19">
        <f>Table1[[#This Row],[Mid3]]+Table1[[#This Row],[Mid6]]+Table1[[#This Row],[Mid9]]</f>
        <v>0</v>
      </c>
      <c r="CP85" s="19">
        <f>Table1[[#This Row],[Mid12]]+Table1[[#This Row],[Mid15]]+Table1[[#This Row],[Mid18]]+Table1[[#This Row],[Mid21]]+Table1[[#This Row],[Mid24]]</f>
        <v>0</v>
      </c>
      <c r="CQ85" s="19">
        <f>Table1[[#This Row],[Mid27]]+Table1[[#This Row],[Mid30]]+Table1[[#This Row],[Mid33]]+Table1[[#This Row],[Mid36]]+Table1[[#This Row],[Mid39]]</f>
        <v>7.1</v>
      </c>
      <c r="CR85" t="s">
        <v>415</v>
      </c>
      <c r="CS85" s="19" t="str">
        <f>IF(AND(Table1[[#This Row],[Low41]]=0, Table1[[#This Row],[High43]]=0),"N","Y")</f>
        <v>Y</v>
      </c>
    </row>
    <row r="86" spans="1:97" ht="19.5" customHeight="1" x14ac:dyDescent="0.25">
      <c r="A86">
        <v>10083</v>
      </c>
      <c r="B86" t="s">
        <v>429</v>
      </c>
      <c r="C86" t="s">
        <v>430</v>
      </c>
      <c r="D86">
        <v>23.613055559999999</v>
      </c>
      <c r="E86">
        <v>90.59111111</v>
      </c>
      <c r="F86" t="s">
        <v>431</v>
      </c>
      <c r="G86" t="s">
        <v>432</v>
      </c>
      <c r="I86" t="s">
        <v>433</v>
      </c>
      <c r="J86" t="s">
        <v>202</v>
      </c>
      <c r="K86" t="s">
        <v>203</v>
      </c>
      <c r="L86" t="s">
        <v>121</v>
      </c>
      <c r="N86" s="6" t="s">
        <v>434</v>
      </c>
      <c r="O86" t="s">
        <v>435</v>
      </c>
      <c r="P86" t="s">
        <v>436</v>
      </c>
      <c r="Q86" t="s">
        <v>437</v>
      </c>
      <c r="R86" t="s">
        <v>438</v>
      </c>
      <c r="S86">
        <v>2008</v>
      </c>
      <c r="T86" t="s">
        <v>207</v>
      </c>
      <c r="U86" t="s">
        <v>173</v>
      </c>
      <c r="V86"/>
      <c r="AF86">
        <v>200</v>
      </c>
      <c r="AG86">
        <v>0</v>
      </c>
      <c r="AK86">
        <v>0</v>
      </c>
      <c r="AL86">
        <v>0</v>
      </c>
      <c r="AN86" t="s">
        <v>132</v>
      </c>
      <c r="BN86">
        <v>58</v>
      </c>
      <c r="CE8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6" s="19">
        <f>SUM(Table1[[#This Row],[Mid39]],Table1[[#This Row],[Mid36]],Table1[[#This Row],[Mid33]],Table1[[#This Row],[Mid30]],Table1[[#This Row],[Mid27]],Table1[[#This Row],[Mid24]],Table1[[#This Row],[Mid21]],Table1[[#This Row],[Mid18]],Table1[[#This Row],[Mid15]],Table1[[#This Row],[Mid12]],Table1[[#This Row],[Mid9]],Table1[[#This Row],[Mid6]],Table1[[#This Row],[Mid3]],Table1[[#This Row],[Mid]])</f>
        <v>58</v>
      </c>
      <c r="CG8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6" t="s">
        <v>135</v>
      </c>
      <c r="CI86" t="s">
        <v>189</v>
      </c>
      <c r="CJ86" t="s">
        <v>158</v>
      </c>
      <c r="CL86" s="19">
        <f>IF(Table1[[#This Row],[Type]]="Petroleum",1,IF(ISERROR(Table1[[#This Row],[Well Density]]*Table1[[#This Row],[Single Well Discovery Area]]),"",IF(Table1[[#This Row],[Well Density]]*Table1[[#This Row],[Single Well Discovery Area]]&gt;1,1,Table1[[#This Row],[Well Density]]*Table1[[#This Row],[Single Well Discovery Area]])))</f>
        <v>1</v>
      </c>
      <c r="CM86" t="s">
        <v>158</v>
      </c>
      <c r="CN86" s="19">
        <f>Table1[[#This Row],[Mid]]</f>
        <v>0</v>
      </c>
      <c r="CO86" s="19">
        <f>Table1[[#This Row],[Mid3]]+Table1[[#This Row],[Mid6]]+Table1[[#This Row],[Mid9]]</f>
        <v>0</v>
      </c>
      <c r="CP86" s="19">
        <f>Table1[[#This Row],[Mid12]]+Table1[[#This Row],[Mid15]]+Table1[[#This Row],[Mid18]]+Table1[[#This Row],[Mid21]]+Table1[[#This Row],[Mid24]]</f>
        <v>58</v>
      </c>
      <c r="CQ86" s="19">
        <f>Table1[[#This Row],[Mid27]]+Table1[[#This Row],[Mid30]]+Table1[[#This Row],[Mid33]]+Table1[[#This Row],[Mid36]]+Table1[[#This Row],[Mid39]]</f>
        <v>0</v>
      </c>
      <c r="CR86" t="s">
        <v>439</v>
      </c>
      <c r="CS86" s="19" t="str">
        <f>IF(AND(Table1[[#This Row],[Low41]]=0, Table1[[#This Row],[High43]]=0),"N","Y")</f>
        <v>N</v>
      </c>
    </row>
    <row r="87" spans="1:97" ht="19.5" customHeight="1" x14ac:dyDescent="0.25">
      <c r="A87">
        <v>10084</v>
      </c>
      <c r="B87" t="s">
        <v>429</v>
      </c>
      <c r="C87" t="s">
        <v>430</v>
      </c>
      <c r="D87">
        <v>23.985277780000001</v>
      </c>
      <c r="E87">
        <v>91.082222220000006</v>
      </c>
      <c r="F87" t="s">
        <v>440</v>
      </c>
      <c r="G87" t="s">
        <v>432</v>
      </c>
      <c r="I87" t="s">
        <v>433</v>
      </c>
      <c r="J87" t="s">
        <v>202</v>
      </c>
      <c r="K87" t="s">
        <v>203</v>
      </c>
      <c r="L87" t="s">
        <v>121</v>
      </c>
      <c r="N87" s="6" t="s">
        <v>434</v>
      </c>
      <c r="O87" t="s">
        <v>435</v>
      </c>
      <c r="P87" t="s">
        <v>436</v>
      </c>
      <c r="Q87" t="s">
        <v>437</v>
      </c>
      <c r="R87" t="s">
        <v>438</v>
      </c>
      <c r="S87">
        <v>2008</v>
      </c>
      <c r="T87" t="s">
        <v>207</v>
      </c>
      <c r="U87" t="s">
        <v>173</v>
      </c>
      <c r="V87"/>
      <c r="AF87">
        <v>200</v>
      </c>
      <c r="AG87">
        <v>0</v>
      </c>
      <c r="AK87">
        <v>0</v>
      </c>
      <c r="AL87">
        <v>0</v>
      </c>
      <c r="AN87" t="s">
        <v>132</v>
      </c>
      <c r="BN87">
        <v>9</v>
      </c>
      <c r="CE8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7" s="19">
        <f>SUM(Table1[[#This Row],[Mid39]],Table1[[#This Row],[Mid36]],Table1[[#This Row],[Mid33]],Table1[[#This Row],[Mid30]],Table1[[#This Row],[Mid27]],Table1[[#This Row],[Mid24]],Table1[[#This Row],[Mid21]],Table1[[#This Row],[Mid18]],Table1[[#This Row],[Mid15]],Table1[[#This Row],[Mid12]],Table1[[#This Row],[Mid9]],Table1[[#This Row],[Mid6]],Table1[[#This Row],[Mid3]],Table1[[#This Row],[Mid]])</f>
        <v>9</v>
      </c>
      <c r="CG8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7" t="s">
        <v>135</v>
      </c>
      <c r="CI87" t="s">
        <v>189</v>
      </c>
      <c r="CJ87" t="s">
        <v>158</v>
      </c>
      <c r="CL87" s="19">
        <f>IF(Table1[[#This Row],[Type]]="Petroleum",1,IF(ISERROR(Table1[[#This Row],[Well Density]]*Table1[[#This Row],[Single Well Discovery Area]]),"",IF(Table1[[#This Row],[Well Density]]*Table1[[#This Row],[Single Well Discovery Area]]&gt;1,1,Table1[[#This Row],[Well Density]]*Table1[[#This Row],[Single Well Discovery Area]])))</f>
        <v>1</v>
      </c>
      <c r="CM87" t="s">
        <v>158</v>
      </c>
      <c r="CN87" s="19">
        <f>Table1[[#This Row],[Mid]]</f>
        <v>0</v>
      </c>
      <c r="CO87" s="19">
        <f>Table1[[#This Row],[Mid3]]+Table1[[#This Row],[Mid6]]+Table1[[#This Row],[Mid9]]</f>
        <v>0</v>
      </c>
      <c r="CP87" s="19">
        <f>Table1[[#This Row],[Mid12]]+Table1[[#This Row],[Mid15]]+Table1[[#This Row],[Mid18]]+Table1[[#This Row],[Mid21]]+Table1[[#This Row],[Mid24]]</f>
        <v>9</v>
      </c>
      <c r="CQ87" s="19">
        <f>Table1[[#This Row],[Mid27]]+Table1[[#This Row],[Mid30]]+Table1[[#This Row],[Mid33]]+Table1[[#This Row],[Mid36]]+Table1[[#This Row],[Mid39]]</f>
        <v>0</v>
      </c>
      <c r="CR87" t="s">
        <v>439</v>
      </c>
      <c r="CS87" s="19" t="str">
        <f>IF(AND(Table1[[#This Row],[Low41]]=0, Table1[[#This Row],[High43]]=0),"N","Y")</f>
        <v>N</v>
      </c>
    </row>
    <row r="88" spans="1:97" ht="19.5" customHeight="1" x14ac:dyDescent="0.25">
      <c r="A88">
        <v>10085</v>
      </c>
      <c r="B88" t="s">
        <v>429</v>
      </c>
      <c r="C88" t="s">
        <v>430</v>
      </c>
      <c r="D88">
        <v>23.404444439999999</v>
      </c>
      <c r="E88">
        <v>90.680833329999999</v>
      </c>
      <c r="F88" t="s">
        <v>441</v>
      </c>
      <c r="G88" t="s">
        <v>432</v>
      </c>
      <c r="I88" t="s">
        <v>433</v>
      </c>
      <c r="J88" t="s">
        <v>202</v>
      </c>
      <c r="K88" t="s">
        <v>203</v>
      </c>
      <c r="L88" t="s">
        <v>121</v>
      </c>
      <c r="N88" s="6" t="s">
        <v>434</v>
      </c>
      <c r="O88" t="s">
        <v>435</v>
      </c>
      <c r="P88" t="s">
        <v>436</v>
      </c>
      <c r="Q88" t="s">
        <v>437</v>
      </c>
      <c r="R88" t="s">
        <v>438</v>
      </c>
      <c r="S88">
        <v>2008</v>
      </c>
      <c r="T88" t="s">
        <v>207</v>
      </c>
      <c r="U88" t="s">
        <v>173</v>
      </c>
      <c r="V88"/>
      <c r="AF88">
        <v>200</v>
      </c>
      <c r="AG88">
        <v>0</v>
      </c>
      <c r="AK88">
        <v>0</v>
      </c>
      <c r="AL88">
        <v>0</v>
      </c>
      <c r="AN88" t="s">
        <v>132</v>
      </c>
      <c r="BN88">
        <v>2</v>
      </c>
      <c r="CE8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8" s="19">
        <f>SUM(Table1[[#This Row],[Mid39]],Table1[[#This Row],[Mid36]],Table1[[#This Row],[Mid33]],Table1[[#This Row],[Mid30]],Table1[[#This Row],[Mid27]],Table1[[#This Row],[Mid24]],Table1[[#This Row],[Mid21]],Table1[[#This Row],[Mid18]],Table1[[#This Row],[Mid15]],Table1[[#This Row],[Mid12]],Table1[[#This Row],[Mid9]],Table1[[#This Row],[Mid6]],Table1[[#This Row],[Mid3]],Table1[[#This Row],[Mid]])</f>
        <v>2</v>
      </c>
      <c r="CG8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8" t="s">
        <v>135</v>
      </c>
      <c r="CI88" t="s">
        <v>189</v>
      </c>
      <c r="CJ88" t="s">
        <v>158</v>
      </c>
      <c r="CL88" s="19">
        <f>IF(Table1[[#This Row],[Type]]="Petroleum",1,IF(ISERROR(Table1[[#This Row],[Well Density]]*Table1[[#This Row],[Single Well Discovery Area]]),"",IF(Table1[[#This Row],[Well Density]]*Table1[[#This Row],[Single Well Discovery Area]]&gt;1,1,Table1[[#This Row],[Well Density]]*Table1[[#This Row],[Single Well Discovery Area]])))</f>
        <v>1</v>
      </c>
      <c r="CM88" t="s">
        <v>158</v>
      </c>
      <c r="CN88" s="19">
        <f>Table1[[#This Row],[Mid]]</f>
        <v>0</v>
      </c>
      <c r="CO88" s="19">
        <f>Table1[[#This Row],[Mid3]]+Table1[[#This Row],[Mid6]]+Table1[[#This Row],[Mid9]]</f>
        <v>0</v>
      </c>
      <c r="CP88" s="19">
        <f>Table1[[#This Row],[Mid12]]+Table1[[#This Row],[Mid15]]+Table1[[#This Row],[Mid18]]+Table1[[#This Row],[Mid21]]+Table1[[#This Row],[Mid24]]</f>
        <v>2</v>
      </c>
      <c r="CQ88" s="19">
        <f>Table1[[#This Row],[Mid27]]+Table1[[#This Row],[Mid30]]+Table1[[#This Row],[Mid33]]+Table1[[#This Row],[Mid36]]+Table1[[#This Row],[Mid39]]</f>
        <v>0</v>
      </c>
      <c r="CR88" t="s">
        <v>439</v>
      </c>
      <c r="CS88" s="19" t="str">
        <f>IF(AND(Table1[[#This Row],[Low41]]=0, Table1[[#This Row],[High43]]=0),"N","Y")</f>
        <v>N</v>
      </c>
    </row>
    <row r="89" spans="1:97" ht="19.5" customHeight="1" x14ac:dyDescent="0.25">
      <c r="A89">
        <v>10086</v>
      </c>
      <c r="B89" t="s">
        <v>429</v>
      </c>
      <c r="C89" t="s">
        <v>430</v>
      </c>
      <c r="D89">
        <v>21.767222220000001</v>
      </c>
      <c r="E89">
        <v>89.866666670000001</v>
      </c>
      <c r="F89" t="s">
        <v>442</v>
      </c>
      <c r="G89" t="s">
        <v>432</v>
      </c>
      <c r="I89" t="s">
        <v>118</v>
      </c>
      <c r="J89" t="s">
        <v>119</v>
      </c>
      <c r="K89" t="s">
        <v>167</v>
      </c>
      <c r="L89" t="s">
        <v>18</v>
      </c>
      <c r="N89" s="6" t="s">
        <v>434</v>
      </c>
      <c r="O89" t="s">
        <v>435</v>
      </c>
      <c r="P89" t="s">
        <v>436</v>
      </c>
      <c r="Q89" t="s">
        <v>443</v>
      </c>
      <c r="R89" t="s">
        <v>444</v>
      </c>
      <c r="S89">
        <v>2008</v>
      </c>
      <c r="T89" t="s">
        <v>207</v>
      </c>
      <c r="U89" t="s">
        <v>173</v>
      </c>
      <c r="V89">
        <v>200000</v>
      </c>
      <c r="AE89">
        <v>0</v>
      </c>
      <c r="AF89">
        <v>200</v>
      </c>
      <c r="AG89">
        <v>0</v>
      </c>
      <c r="AK89">
        <v>0</v>
      </c>
      <c r="AL89">
        <v>0</v>
      </c>
      <c r="AN89" t="s">
        <v>132</v>
      </c>
      <c r="CC89">
        <v>20000</v>
      </c>
      <c r="CE8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9" s="19">
        <f>SUM(Table1[[#This Row],[Mid39]],Table1[[#This Row],[Mid36]],Table1[[#This Row],[Mid33]],Table1[[#This Row],[Mid30]],Table1[[#This Row],[Mid27]],Table1[[#This Row],[Mid24]],Table1[[#This Row],[Mid21]],Table1[[#This Row],[Mid18]],Table1[[#This Row],[Mid15]],Table1[[#This Row],[Mid12]],Table1[[#This Row],[Mid9]],Table1[[#This Row],[Mid6]],Table1[[#This Row],[Mid3]],Table1[[#This Row],[Mid]])</f>
        <v>20000</v>
      </c>
      <c r="CG8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9" t="s">
        <v>158</v>
      </c>
      <c r="CI89" t="s">
        <v>189</v>
      </c>
      <c r="CJ89" t="s">
        <v>158</v>
      </c>
      <c r="CL89" s="19">
        <f>IF(Table1[[#This Row],[Type]]="Petroleum",1,IF(ISERROR(Table1[[#This Row],[Well Density]]*Table1[[#This Row],[Single Well Discovery Area]]),"",IF(Table1[[#This Row],[Well Density]]*Table1[[#This Row],[Single Well Discovery Area]]&gt;1,1,Table1[[#This Row],[Well Density]]*Table1[[#This Row],[Single Well Discovery Area]])))</f>
        <v>0</v>
      </c>
      <c r="CM89" t="s">
        <v>158</v>
      </c>
      <c r="CN89" s="19">
        <f>Table1[[#This Row],[Mid]]</f>
        <v>0</v>
      </c>
      <c r="CO89" s="19">
        <f>Table1[[#This Row],[Mid3]]+Table1[[#This Row],[Mid6]]+Table1[[#This Row],[Mid9]]</f>
        <v>0</v>
      </c>
      <c r="CP89" s="19">
        <f>Table1[[#This Row],[Mid12]]+Table1[[#This Row],[Mid15]]+Table1[[#This Row],[Mid18]]+Table1[[#This Row],[Mid21]]+Table1[[#This Row],[Mid24]]</f>
        <v>0</v>
      </c>
      <c r="CQ89" s="19">
        <f>Table1[[#This Row],[Mid27]]+Table1[[#This Row],[Mid30]]+Table1[[#This Row],[Mid33]]+Table1[[#This Row],[Mid36]]+Table1[[#This Row],[Mid39]]</f>
        <v>20000</v>
      </c>
      <c r="CR89" t="s">
        <v>439</v>
      </c>
      <c r="CS89" s="19" t="str">
        <f>IF(AND(Table1[[#This Row],[Low41]]=0, Table1[[#This Row],[High43]]=0),"N","Y")</f>
        <v>N</v>
      </c>
    </row>
    <row r="90" spans="1:97" ht="19.5" customHeight="1" x14ac:dyDescent="0.25">
      <c r="A90">
        <v>10087</v>
      </c>
      <c r="B90" t="s">
        <v>429</v>
      </c>
      <c r="C90" t="s">
        <v>430</v>
      </c>
      <c r="D90">
        <v>23.941388889999999</v>
      </c>
      <c r="E90">
        <v>90.891388890000002</v>
      </c>
      <c r="F90" t="s">
        <v>445</v>
      </c>
      <c r="G90" t="s">
        <v>432</v>
      </c>
      <c r="I90" t="s">
        <v>433</v>
      </c>
      <c r="J90" t="s">
        <v>202</v>
      </c>
      <c r="K90" t="s">
        <v>203</v>
      </c>
      <c r="L90" t="s">
        <v>121</v>
      </c>
      <c r="N90" s="6" t="s">
        <v>434</v>
      </c>
      <c r="O90" t="s">
        <v>435</v>
      </c>
      <c r="P90" t="s">
        <v>436</v>
      </c>
      <c r="Q90" t="s">
        <v>437</v>
      </c>
      <c r="R90" t="s">
        <v>438</v>
      </c>
      <c r="S90">
        <v>2008</v>
      </c>
      <c r="T90" t="s">
        <v>207</v>
      </c>
      <c r="U90" t="s">
        <v>173</v>
      </c>
      <c r="V90"/>
      <c r="AF90">
        <v>200</v>
      </c>
      <c r="AG90">
        <v>0</v>
      </c>
      <c r="AK90">
        <v>0</v>
      </c>
      <c r="AL90">
        <v>0</v>
      </c>
      <c r="AN90" t="s">
        <v>132</v>
      </c>
      <c r="BN90">
        <v>133</v>
      </c>
      <c r="CE9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0" s="19">
        <f>SUM(Table1[[#This Row],[Mid39]],Table1[[#This Row],[Mid36]],Table1[[#This Row],[Mid33]],Table1[[#This Row],[Mid30]],Table1[[#This Row],[Mid27]],Table1[[#This Row],[Mid24]],Table1[[#This Row],[Mid21]],Table1[[#This Row],[Mid18]],Table1[[#This Row],[Mid15]],Table1[[#This Row],[Mid12]],Table1[[#This Row],[Mid9]],Table1[[#This Row],[Mid6]],Table1[[#This Row],[Mid3]],Table1[[#This Row],[Mid]])</f>
        <v>133</v>
      </c>
      <c r="CG9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0" t="s">
        <v>135</v>
      </c>
      <c r="CI90" t="s">
        <v>189</v>
      </c>
      <c r="CJ90" t="s">
        <v>158</v>
      </c>
      <c r="CL90" s="19">
        <f>IF(Table1[[#This Row],[Type]]="Petroleum",1,IF(ISERROR(Table1[[#This Row],[Well Density]]*Table1[[#This Row],[Single Well Discovery Area]]),"",IF(Table1[[#This Row],[Well Density]]*Table1[[#This Row],[Single Well Discovery Area]]&gt;1,1,Table1[[#This Row],[Well Density]]*Table1[[#This Row],[Single Well Discovery Area]])))</f>
        <v>1</v>
      </c>
      <c r="CM90" t="s">
        <v>158</v>
      </c>
      <c r="CN90" s="19">
        <f>Table1[[#This Row],[Mid]]</f>
        <v>0</v>
      </c>
      <c r="CO90" s="19">
        <f>Table1[[#This Row],[Mid3]]+Table1[[#This Row],[Mid6]]+Table1[[#This Row],[Mid9]]</f>
        <v>0</v>
      </c>
      <c r="CP90" s="19">
        <f>Table1[[#This Row],[Mid12]]+Table1[[#This Row],[Mid15]]+Table1[[#This Row],[Mid18]]+Table1[[#This Row],[Mid21]]+Table1[[#This Row],[Mid24]]</f>
        <v>133</v>
      </c>
      <c r="CQ90" s="19">
        <f>Table1[[#This Row],[Mid27]]+Table1[[#This Row],[Mid30]]+Table1[[#This Row],[Mid33]]+Table1[[#This Row],[Mid36]]+Table1[[#This Row],[Mid39]]</f>
        <v>0</v>
      </c>
      <c r="CR90" t="s">
        <v>439</v>
      </c>
      <c r="CS90" s="19" t="str">
        <f>IF(AND(Table1[[#This Row],[Low41]]=0, Table1[[#This Row],[High43]]=0),"N","Y")</f>
        <v>N</v>
      </c>
    </row>
    <row r="91" spans="1:97" ht="19.5" customHeight="1" x14ac:dyDescent="0.25">
      <c r="A91">
        <v>10088</v>
      </c>
      <c r="B91" t="s">
        <v>429</v>
      </c>
      <c r="C91" t="s">
        <v>430</v>
      </c>
      <c r="D91">
        <v>23.81138889</v>
      </c>
      <c r="E91">
        <v>90.476388889999996</v>
      </c>
      <c r="F91" t="s">
        <v>446</v>
      </c>
      <c r="G91" t="s">
        <v>432</v>
      </c>
      <c r="I91" t="s">
        <v>433</v>
      </c>
      <c r="J91" t="s">
        <v>202</v>
      </c>
      <c r="K91" t="s">
        <v>203</v>
      </c>
      <c r="L91" t="s">
        <v>121</v>
      </c>
      <c r="N91" s="6" t="s">
        <v>434</v>
      </c>
      <c r="O91" t="s">
        <v>435</v>
      </c>
      <c r="P91" t="s">
        <v>436</v>
      </c>
      <c r="Q91" t="s">
        <v>437</v>
      </c>
      <c r="R91" t="s">
        <v>438</v>
      </c>
      <c r="S91">
        <v>2008</v>
      </c>
      <c r="T91" t="s">
        <v>207</v>
      </c>
      <c r="U91" t="s">
        <v>173</v>
      </c>
      <c r="V91"/>
      <c r="AF91">
        <v>200</v>
      </c>
      <c r="AG91">
        <v>0</v>
      </c>
      <c r="AK91">
        <v>0</v>
      </c>
      <c r="AL91">
        <v>0</v>
      </c>
      <c r="AN91" t="s">
        <v>132</v>
      </c>
      <c r="BN91">
        <v>26</v>
      </c>
      <c r="CE9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1" s="19">
        <f>SUM(Table1[[#This Row],[Mid39]],Table1[[#This Row],[Mid36]],Table1[[#This Row],[Mid33]],Table1[[#This Row],[Mid30]],Table1[[#This Row],[Mid27]],Table1[[#This Row],[Mid24]],Table1[[#This Row],[Mid21]],Table1[[#This Row],[Mid18]],Table1[[#This Row],[Mid15]],Table1[[#This Row],[Mid12]],Table1[[#This Row],[Mid9]],Table1[[#This Row],[Mid6]],Table1[[#This Row],[Mid3]],Table1[[#This Row],[Mid]])</f>
        <v>26</v>
      </c>
      <c r="CG9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1" t="s">
        <v>135</v>
      </c>
      <c r="CI91" t="s">
        <v>189</v>
      </c>
      <c r="CJ91" t="s">
        <v>158</v>
      </c>
      <c r="CL91" s="19">
        <f>IF(Table1[[#This Row],[Type]]="Petroleum",1,IF(ISERROR(Table1[[#This Row],[Well Density]]*Table1[[#This Row],[Single Well Discovery Area]]),"",IF(Table1[[#This Row],[Well Density]]*Table1[[#This Row],[Single Well Discovery Area]]&gt;1,1,Table1[[#This Row],[Well Density]]*Table1[[#This Row],[Single Well Discovery Area]])))</f>
        <v>1</v>
      </c>
      <c r="CM91" t="s">
        <v>158</v>
      </c>
      <c r="CN91" s="19">
        <f>Table1[[#This Row],[Mid]]</f>
        <v>0</v>
      </c>
      <c r="CO91" s="19">
        <f>Table1[[#This Row],[Mid3]]+Table1[[#This Row],[Mid6]]+Table1[[#This Row],[Mid9]]</f>
        <v>0</v>
      </c>
      <c r="CP91" s="19">
        <f>Table1[[#This Row],[Mid12]]+Table1[[#This Row],[Mid15]]+Table1[[#This Row],[Mid18]]+Table1[[#This Row],[Mid21]]+Table1[[#This Row],[Mid24]]</f>
        <v>26</v>
      </c>
      <c r="CQ91" s="19">
        <f>Table1[[#This Row],[Mid27]]+Table1[[#This Row],[Mid30]]+Table1[[#This Row],[Mid33]]+Table1[[#This Row],[Mid36]]+Table1[[#This Row],[Mid39]]</f>
        <v>0</v>
      </c>
      <c r="CR91" t="s">
        <v>439</v>
      </c>
      <c r="CS91" s="19" t="str">
        <f>IF(AND(Table1[[#This Row],[Low41]]=0, Table1[[#This Row],[High43]]=0),"N","Y")</f>
        <v>N</v>
      </c>
    </row>
    <row r="92" spans="1:97" ht="19.5" customHeight="1" x14ac:dyDescent="0.25">
      <c r="A92">
        <v>10089</v>
      </c>
      <c r="B92" t="s">
        <v>429</v>
      </c>
      <c r="C92" t="s">
        <v>430</v>
      </c>
      <c r="D92">
        <v>23.921944440000001</v>
      </c>
      <c r="E92">
        <v>91.011944439999994</v>
      </c>
      <c r="F92" t="s">
        <v>447</v>
      </c>
      <c r="G92" t="s">
        <v>432</v>
      </c>
      <c r="I92" t="s">
        <v>433</v>
      </c>
      <c r="J92" t="s">
        <v>202</v>
      </c>
      <c r="K92" t="s">
        <v>203</v>
      </c>
      <c r="L92" t="s">
        <v>121</v>
      </c>
      <c r="N92" s="6" t="s">
        <v>434</v>
      </c>
      <c r="O92" t="s">
        <v>435</v>
      </c>
      <c r="P92" t="s">
        <v>436</v>
      </c>
      <c r="Q92" t="s">
        <v>437</v>
      </c>
      <c r="R92" t="s">
        <v>438</v>
      </c>
      <c r="S92">
        <v>2008</v>
      </c>
      <c r="T92" t="s">
        <v>207</v>
      </c>
      <c r="U92" t="s">
        <v>173</v>
      </c>
      <c r="V92"/>
      <c r="AF92">
        <v>200</v>
      </c>
      <c r="AG92">
        <v>0</v>
      </c>
      <c r="AK92">
        <v>0</v>
      </c>
      <c r="AL92">
        <v>0</v>
      </c>
      <c r="AN92" t="s">
        <v>132</v>
      </c>
      <c r="BN92">
        <v>16</v>
      </c>
      <c r="CE9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2" s="19">
        <f>SUM(Table1[[#This Row],[Mid39]],Table1[[#This Row],[Mid36]],Table1[[#This Row],[Mid33]],Table1[[#This Row],[Mid30]],Table1[[#This Row],[Mid27]],Table1[[#This Row],[Mid24]],Table1[[#This Row],[Mid21]],Table1[[#This Row],[Mid18]],Table1[[#This Row],[Mid15]],Table1[[#This Row],[Mid12]],Table1[[#This Row],[Mid9]],Table1[[#This Row],[Mid6]],Table1[[#This Row],[Mid3]],Table1[[#This Row],[Mid]])</f>
        <v>16</v>
      </c>
      <c r="CG9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2" t="s">
        <v>135</v>
      </c>
      <c r="CI92" t="s">
        <v>189</v>
      </c>
      <c r="CJ92" t="s">
        <v>158</v>
      </c>
      <c r="CL92" s="19">
        <f>IF(Table1[[#This Row],[Type]]="Petroleum",1,IF(ISERROR(Table1[[#This Row],[Well Density]]*Table1[[#This Row],[Single Well Discovery Area]]),"",IF(Table1[[#This Row],[Well Density]]*Table1[[#This Row],[Single Well Discovery Area]]&gt;1,1,Table1[[#This Row],[Well Density]]*Table1[[#This Row],[Single Well Discovery Area]])))</f>
        <v>1</v>
      </c>
      <c r="CM92" t="s">
        <v>158</v>
      </c>
      <c r="CN92" s="19">
        <f>Table1[[#This Row],[Mid]]</f>
        <v>0</v>
      </c>
      <c r="CO92" s="19">
        <f>Table1[[#This Row],[Mid3]]+Table1[[#This Row],[Mid6]]+Table1[[#This Row],[Mid9]]</f>
        <v>0</v>
      </c>
      <c r="CP92" s="19">
        <f>Table1[[#This Row],[Mid12]]+Table1[[#This Row],[Mid15]]+Table1[[#This Row],[Mid18]]+Table1[[#This Row],[Mid21]]+Table1[[#This Row],[Mid24]]</f>
        <v>16</v>
      </c>
      <c r="CQ92" s="19">
        <f>Table1[[#This Row],[Mid27]]+Table1[[#This Row],[Mid30]]+Table1[[#This Row],[Mid33]]+Table1[[#This Row],[Mid36]]+Table1[[#This Row],[Mid39]]</f>
        <v>0</v>
      </c>
      <c r="CR92" t="s">
        <v>439</v>
      </c>
      <c r="CS92" s="19" t="str">
        <f>IF(AND(Table1[[#This Row],[Low41]]=0, Table1[[#This Row],[High43]]=0),"N","Y")</f>
        <v>N</v>
      </c>
    </row>
    <row r="93" spans="1:97" ht="19.5" customHeight="1" x14ac:dyDescent="0.25">
      <c r="A93">
        <v>10090</v>
      </c>
      <c r="B93" t="s">
        <v>429</v>
      </c>
      <c r="C93" t="s">
        <v>430</v>
      </c>
      <c r="D93">
        <v>23.385833330000001</v>
      </c>
      <c r="E93">
        <v>90.759166669999999</v>
      </c>
      <c r="F93" t="s">
        <v>448</v>
      </c>
      <c r="G93" t="s">
        <v>432</v>
      </c>
      <c r="I93" t="s">
        <v>433</v>
      </c>
      <c r="J93" t="s">
        <v>202</v>
      </c>
      <c r="K93" t="s">
        <v>203</v>
      </c>
      <c r="L93" t="s">
        <v>121</v>
      </c>
      <c r="N93" s="6" t="s">
        <v>434</v>
      </c>
      <c r="O93" t="s">
        <v>435</v>
      </c>
      <c r="P93" t="s">
        <v>436</v>
      </c>
      <c r="Q93" t="s">
        <v>437</v>
      </c>
      <c r="R93" t="s">
        <v>438</v>
      </c>
      <c r="S93">
        <v>2008</v>
      </c>
      <c r="T93" t="s">
        <v>207</v>
      </c>
      <c r="U93" t="s">
        <v>173</v>
      </c>
      <c r="V93"/>
      <c r="AF93">
        <v>200</v>
      </c>
      <c r="AG93">
        <v>0</v>
      </c>
      <c r="AK93">
        <v>0</v>
      </c>
      <c r="AL93">
        <v>0</v>
      </c>
      <c r="AN93" t="s">
        <v>132</v>
      </c>
      <c r="BN93">
        <v>7</v>
      </c>
      <c r="CE9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3" s="19">
        <f>SUM(Table1[[#This Row],[Mid39]],Table1[[#This Row],[Mid36]],Table1[[#This Row],[Mid33]],Table1[[#This Row],[Mid30]],Table1[[#This Row],[Mid27]],Table1[[#This Row],[Mid24]],Table1[[#This Row],[Mid21]],Table1[[#This Row],[Mid18]],Table1[[#This Row],[Mid15]],Table1[[#This Row],[Mid12]],Table1[[#This Row],[Mid9]],Table1[[#This Row],[Mid6]],Table1[[#This Row],[Mid3]],Table1[[#This Row],[Mid]])</f>
        <v>7</v>
      </c>
      <c r="CG9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3" t="s">
        <v>135</v>
      </c>
      <c r="CI93" t="s">
        <v>189</v>
      </c>
      <c r="CJ93" t="s">
        <v>158</v>
      </c>
      <c r="CL93" s="19">
        <f>IF(Table1[[#This Row],[Type]]="Petroleum",1,IF(ISERROR(Table1[[#This Row],[Well Density]]*Table1[[#This Row],[Single Well Discovery Area]]),"",IF(Table1[[#This Row],[Well Density]]*Table1[[#This Row],[Single Well Discovery Area]]&gt;1,1,Table1[[#This Row],[Well Density]]*Table1[[#This Row],[Single Well Discovery Area]])))</f>
        <v>1</v>
      </c>
      <c r="CM93" t="s">
        <v>158</v>
      </c>
      <c r="CN93" s="19">
        <f>Table1[[#This Row],[Mid]]</f>
        <v>0</v>
      </c>
      <c r="CO93" s="19">
        <f>Table1[[#This Row],[Mid3]]+Table1[[#This Row],[Mid6]]+Table1[[#This Row],[Mid9]]</f>
        <v>0</v>
      </c>
      <c r="CP93" s="19">
        <f>Table1[[#This Row],[Mid12]]+Table1[[#This Row],[Mid15]]+Table1[[#This Row],[Mid18]]+Table1[[#This Row],[Mid21]]+Table1[[#This Row],[Mid24]]</f>
        <v>7</v>
      </c>
      <c r="CQ93" s="19">
        <f>Table1[[#This Row],[Mid27]]+Table1[[#This Row],[Mid30]]+Table1[[#This Row],[Mid33]]+Table1[[#This Row],[Mid36]]+Table1[[#This Row],[Mid39]]</f>
        <v>0</v>
      </c>
      <c r="CR93" t="s">
        <v>439</v>
      </c>
      <c r="CS93" s="19" t="str">
        <f>IF(AND(Table1[[#This Row],[Low41]]=0, Table1[[#This Row],[High43]]=0),"N","Y")</f>
        <v>N</v>
      </c>
    </row>
    <row r="94" spans="1:97" ht="19.5" customHeight="1" x14ac:dyDescent="0.25">
      <c r="A94">
        <v>10091</v>
      </c>
      <c r="B94" t="s">
        <v>429</v>
      </c>
      <c r="C94" t="s">
        <v>430</v>
      </c>
      <c r="D94">
        <v>23.795833330000001</v>
      </c>
      <c r="E94">
        <v>90.824444439999994</v>
      </c>
      <c r="F94" t="s">
        <v>449</v>
      </c>
      <c r="G94" t="s">
        <v>432</v>
      </c>
      <c r="I94" t="s">
        <v>433</v>
      </c>
      <c r="J94" t="s">
        <v>202</v>
      </c>
      <c r="K94" t="s">
        <v>203</v>
      </c>
      <c r="L94" t="s">
        <v>121</v>
      </c>
      <c r="N94" s="6" t="s">
        <v>434</v>
      </c>
      <c r="O94" t="s">
        <v>435</v>
      </c>
      <c r="P94" t="s">
        <v>436</v>
      </c>
      <c r="Q94" t="s">
        <v>437</v>
      </c>
      <c r="R94" t="s">
        <v>438</v>
      </c>
      <c r="S94">
        <v>2008</v>
      </c>
      <c r="T94" t="s">
        <v>207</v>
      </c>
      <c r="U94" t="s">
        <v>173</v>
      </c>
      <c r="V94"/>
      <c r="AF94">
        <v>200</v>
      </c>
      <c r="AG94">
        <v>0</v>
      </c>
      <c r="AK94">
        <v>0</v>
      </c>
      <c r="AL94">
        <v>0</v>
      </c>
      <c r="AN94" t="s">
        <v>132</v>
      </c>
      <c r="BN94">
        <v>213</v>
      </c>
      <c r="CE9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4" s="19">
        <f>SUM(Table1[[#This Row],[Mid39]],Table1[[#This Row],[Mid36]],Table1[[#This Row],[Mid33]],Table1[[#This Row],[Mid30]],Table1[[#This Row],[Mid27]],Table1[[#This Row],[Mid24]],Table1[[#This Row],[Mid21]],Table1[[#This Row],[Mid18]],Table1[[#This Row],[Mid15]],Table1[[#This Row],[Mid12]],Table1[[#This Row],[Mid9]],Table1[[#This Row],[Mid6]],Table1[[#This Row],[Mid3]],Table1[[#This Row],[Mid]])</f>
        <v>213</v>
      </c>
      <c r="CG9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4" t="s">
        <v>135</v>
      </c>
      <c r="CI94" t="s">
        <v>189</v>
      </c>
      <c r="CJ94" t="s">
        <v>158</v>
      </c>
      <c r="CL94" s="19">
        <f>IF(Table1[[#This Row],[Type]]="Petroleum",1,IF(ISERROR(Table1[[#This Row],[Well Density]]*Table1[[#This Row],[Single Well Discovery Area]]),"",IF(Table1[[#This Row],[Well Density]]*Table1[[#This Row],[Single Well Discovery Area]]&gt;1,1,Table1[[#This Row],[Well Density]]*Table1[[#This Row],[Single Well Discovery Area]])))</f>
        <v>1</v>
      </c>
      <c r="CM94" t="s">
        <v>158</v>
      </c>
      <c r="CN94" s="19">
        <f>Table1[[#This Row],[Mid]]</f>
        <v>0</v>
      </c>
      <c r="CO94" s="19">
        <f>Table1[[#This Row],[Mid3]]+Table1[[#This Row],[Mid6]]+Table1[[#This Row],[Mid9]]</f>
        <v>0</v>
      </c>
      <c r="CP94" s="19">
        <f>Table1[[#This Row],[Mid12]]+Table1[[#This Row],[Mid15]]+Table1[[#This Row],[Mid18]]+Table1[[#This Row],[Mid21]]+Table1[[#This Row],[Mid24]]</f>
        <v>213</v>
      </c>
      <c r="CQ94" s="19">
        <f>Table1[[#This Row],[Mid27]]+Table1[[#This Row],[Mid30]]+Table1[[#This Row],[Mid33]]+Table1[[#This Row],[Mid36]]+Table1[[#This Row],[Mid39]]</f>
        <v>0</v>
      </c>
      <c r="CR94" t="s">
        <v>439</v>
      </c>
      <c r="CS94" s="19" t="str">
        <f>IF(AND(Table1[[#This Row],[Low41]]=0, Table1[[#This Row],[High43]]=0),"N","Y")</f>
        <v>N</v>
      </c>
    </row>
    <row r="95" spans="1:97" ht="19.5" customHeight="1" x14ac:dyDescent="0.25">
      <c r="A95">
        <v>10092</v>
      </c>
      <c r="B95" t="s">
        <v>429</v>
      </c>
      <c r="C95" t="s">
        <v>430</v>
      </c>
      <c r="D95">
        <v>24.033333330000001</v>
      </c>
      <c r="E95">
        <v>90.980555559999999</v>
      </c>
      <c r="F95" t="s">
        <v>450</v>
      </c>
      <c r="G95" t="s">
        <v>432</v>
      </c>
      <c r="I95" t="s">
        <v>433</v>
      </c>
      <c r="J95" t="s">
        <v>202</v>
      </c>
      <c r="K95" t="s">
        <v>203</v>
      </c>
      <c r="L95" t="s">
        <v>121</v>
      </c>
      <c r="N95" s="6" t="s">
        <v>434</v>
      </c>
      <c r="O95" t="s">
        <v>435</v>
      </c>
      <c r="P95" t="s">
        <v>436</v>
      </c>
      <c r="Q95" t="s">
        <v>437</v>
      </c>
      <c r="R95" t="s">
        <v>438</v>
      </c>
      <c r="S95">
        <v>2008</v>
      </c>
      <c r="T95" t="s">
        <v>207</v>
      </c>
      <c r="U95" t="s">
        <v>173</v>
      </c>
      <c r="V95"/>
      <c r="AF95">
        <v>200</v>
      </c>
      <c r="AG95">
        <v>0</v>
      </c>
      <c r="AK95">
        <v>0</v>
      </c>
      <c r="AL95">
        <v>0</v>
      </c>
      <c r="AN95" t="s">
        <v>132</v>
      </c>
      <c r="BN95">
        <v>46</v>
      </c>
      <c r="CE9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5" s="19">
        <f>SUM(Table1[[#This Row],[Mid39]],Table1[[#This Row],[Mid36]],Table1[[#This Row],[Mid33]],Table1[[#This Row],[Mid30]],Table1[[#This Row],[Mid27]],Table1[[#This Row],[Mid24]],Table1[[#This Row],[Mid21]],Table1[[#This Row],[Mid18]],Table1[[#This Row],[Mid15]],Table1[[#This Row],[Mid12]],Table1[[#This Row],[Mid9]],Table1[[#This Row],[Mid6]],Table1[[#This Row],[Mid3]],Table1[[#This Row],[Mid]])</f>
        <v>46</v>
      </c>
      <c r="CG9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5" t="s">
        <v>135</v>
      </c>
      <c r="CI95" t="s">
        <v>189</v>
      </c>
      <c r="CJ95" t="s">
        <v>158</v>
      </c>
      <c r="CL95" s="19">
        <f>IF(Table1[[#This Row],[Type]]="Petroleum",1,IF(ISERROR(Table1[[#This Row],[Well Density]]*Table1[[#This Row],[Single Well Discovery Area]]),"",IF(Table1[[#This Row],[Well Density]]*Table1[[#This Row],[Single Well Discovery Area]]&gt;1,1,Table1[[#This Row],[Well Density]]*Table1[[#This Row],[Single Well Discovery Area]])))</f>
        <v>1</v>
      </c>
      <c r="CM95" t="s">
        <v>158</v>
      </c>
      <c r="CN95" s="19">
        <f>Table1[[#This Row],[Mid]]</f>
        <v>0</v>
      </c>
      <c r="CO95" s="19">
        <f>Table1[[#This Row],[Mid3]]+Table1[[#This Row],[Mid6]]+Table1[[#This Row],[Mid9]]</f>
        <v>0</v>
      </c>
      <c r="CP95" s="19">
        <f>Table1[[#This Row],[Mid12]]+Table1[[#This Row],[Mid15]]+Table1[[#This Row],[Mid18]]+Table1[[#This Row],[Mid21]]+Table1[[#This Row],[Mid24]]</f>
        <v>46</v>
      </c>
      <c r="CQ95" s="19">
        <f>Table1[[#This Row],[Mid27]]+Table1[[#This Row],[Mid30]]+Table1[[#This Row],[Mid33]]+Table1[[#This Row],[Mid36]]+Table1[[#This Row],[Mid39]]</f>
        <v>0</v>
      </c>
      <c r="CR95" t="s">
        <v>439</v>
      </c>
      <c r="CS95" s="19" t="str">
        <f>IF(AND(Table1[[#This Row],[Low41]]=0, Table1[[#This Row],[High43]]=0),"N","Y")</f>
        <v>N</v>
      </c>
    </row>
    <row r="96" spans="1:97" ht="19.5" customHeight="1" x14ac:dyDescent="0.25">
      <c r="A96">
        <v>10093</v>
      </c>
      <c r="B96" t="s">
        <v>429</v>
      </c>
      <c r="C96" t="s">
        <v>430</v>
      </c>
      <c r="D96">
        <v>23.81138889</v>
      </c>
      <c r="E96">
        <v>90.409722220000006</v>
      </c>
      <c r="F96" t="s">
        <v>451</v>
      </c>
      <c r="G96" t="s">
        <v>432</v>
      </c>
      <c r="I96" t="s">
        <v>433</v>
      </c>
      <c r="J96" t="s">
        <v>202</v>
      </c>
      <c r="K96" t="s">
        <v>203</v>
      </c>
      <c r="L96" t="s">
        <v>121</v>
      </c>
      <c r="N96" s="6" t="s">
        <v>434</v>
      </c>
      <c r="O96" t="s">
        <v>435</v>
      </c>
      <c r="P96" t="s">
        <v>436</v>
      </c>
      <c r="Q96" t="s">
        <v>437</v>
      </c>
      <c r="R96" t="s">
        <v>438</v>
      </c>
      <c r="S96">
        <v>2008</v>
      </c>
      <c r="T96" t="s">
        <v>207</v>
      </c>
      <c r="U96" t="s">
        <v>173</v>
      </c>
      <c r="V96"/>
      <c r="AF96">
        <v>200</v>
      </c>
      <c r="AG96">
        <v>0</v>
      </c>
      <c r="AK96">
        <v>0</v>
      </c>
      <c r="AL96">
        <v>0</v>
      </c>
      <c r="AN96" t="s">
        <v>132</v>
      </c>
      <c r="BN96">
        <v>105</v>
      </c>
      <c r="CE9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6" s="19">
        <f>SUM(Table1[[#This Row],[Mid39]],Table1[[#This Row],[Mid36]],Table1[[#This Row],[Mid33]],Table1[[#This Row],[Mid30]],Table1[[#This Row],[Mid27]],Table1[[#This Row],[Mid24]],Table1[[#This Row],[Mid21]],Table1[[#This Row],[Mid18]],Table1[[#This Row],[Mid15]],Table1[[#This Row],[Mid12]],Table1[[#This Row],[Mid9]],Table1[[#This Row],[Mid6]],Table1[[#This Row],[Mid3]],Table1[[#This Row],[Mid]])</f>
        <v>105</v>
      </c>
      <c r="CG9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6" t="s">
        <v>135</v>
      </c>
      <c r="CI96" t="s">
        <v>189</v>
      </c>
      <c r="CJ96" t="s">
        <v>158</v>
      </c>
      <c r="CL96" s="19">
        <f>IF(Table1[[#This Row],[Type]]="Petroleum",1,IF(ISERROR(Table1[[#This Row],[Well Density]]*Table1[[#This Row],[Single Well Discovery Area]]),"",IF(Table1[[#This Row],[Well Density]]*Table1[[#This Row],[Single Well Discovery Area]]&gt;1,1,Table1[[#This Row],[Well Density]]*Table1[[#This Row],[Single Well Discovery Area]])))</f>
        <v>1</v>
      </c>
      <c r="CM96" t="s">
        <v>158</v>
      </c>
      <c r="CN96" s="19">
        <f>Table1[[#This Row],[Mid]]</f>
        <v>0</v>
      </c>
      <c r="CO96" s="19">
        <f>Table1[[#This Row],[Mid3]]+Table1[[#This Row],[Mid6]]+Table1[[#This Row],[Mid9]]</f>
        <v>0</v>
      </c>
      <c r="CP96" s="19">
        <f>Table1[[#This Row],[Mid12]]+Table1[[#This Row],[Mid15]]+Table1[[#This Row],[Mid18]]+Table1[[#This Row],[Mid21]]+Table1[[#This Row],[Mid24]]</f>
        <v>105</v>
      </c>
      <c r="CQ96" s="19">
        <f>Table1[[#This Row],[Mid27]]+Table1[[#This Row],[Mid30]]+Table1[[#This Row],[Mid33]]+Table1[[#This Row],[Mid36]]+Table1[[#This Row],[Mid39]]</f>
        <v>0</v>
      </c>
      <c r="CR96" t="s">
        <v>439</v>
      </c>
      <c r="CS96" s="19" t="str">
        <f>IF(AND(Table1[[#This Row],[Low41]]=0, Table1[[#This Row],[High43]]=0),"N","Y")</f>
        <v>N</v>
      </c>
    </row>
    <row r="97" spans="1:97" ht="19.5" customHeight="1" x14ac:dyDescent="0.25">
      <c r="A97">
        <v>10094</v>
      </c>
      <c r="B97" t="s">
        <v>429</v>
      </c>
      <c r="C97" t="s">
        <v>430</v>
      </c>
      <c r="D97">
        <v>23.700555560000002</v>
      </c>
      <c r="E97">
        <v>90.517222219999994</v>
      </c>
      <c r="F97" t="s">
        <v>452</v>
      </c>
      <c r="G97" t="s">
        <v>432</v>
      </c>
      <c r="I97" t="s">
        <v>433</v>
      </c>
      <c r="J97" t="s">
        <v>202</v>
      </c>
      <c r="K97" t="s">
        <v>203</v>
      </c>
      <c r="L97" t="s">
        <v>121</v>
      </c>
      <c r="N97" s="6" t="s">
        <v>434</v>
      </c>
      <c r="O97" t="s">
        <v>435</v>
      </c>
      <c r="P97" t="s">
        <v>436</v>
      </c>
      <c r="Q97" t="s">
        <v>437</v>
      </c>
      <c r="R97" t="s">
        <v>438</v>
      </c>
      <c r="S97">
        <v>2008</v>
      </c>
      <c r="T97" t="s">
        <v>207</v>
      </c>
      <c r="U97" t="s">
        <v>173</v>
      </c>
      <c r="V97"/>
      <c r="AF97">
        <v>200</v>
      </c>
      <c r="AG97">
        <v>0</v>
      </c>
      <c r="AK97">
        <v>0</v>
      </c>
      <c r="AL97">
        <v>0</v>
      </c>
      <c r="AN97" t="s">
        <v>132</v>
      </c>
      <c r="BN97">
        <v>3</v>
      </c>
      <c r="CE9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7" s="19">
        <f>SUM(Table1[[#This Row],[Mid39]],Table1[[#This Row],[Mid36]],Table1[[#This Row],[Mid33]],Table1[[#This Row],[Mid30]],Table1[[#This Row],[Mid27]],Table1[[#This Row],[Mid24]],Table1[[#This Row],[Mid21]],Table1[[#This Row],[Mid18]],Table1[[#This Row],[Mid15]],Table1[[#This Row],[Mid12]],Table1[[#This Row],[Mid9]],Table1[[#This Row],[Mid6]],Table1[[#This Row],[Mid3]],Table1[[#This Row],[Mid]])</f>
        <v>3</v>
      </c>
      <c r="CG9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7" t="s">
        <v>135</v>
      </c>
      <c r="CI97" t="s">
        <v>189</v>
      </c>
      <c r="CJ97" t="s">
        <v>158</v>
      </c>
      <c r="CL97" s="19">
        <f>IF(Table1[[#This Row],[Type]]="Petroleum",1,IF(ISERROR(Table1[[#This Row],[Well Density]]*Table1[[#This Row],[Single Well Discovery Area]]),"",IF(Table1[[#This Row],[Well Density]]*Table1[[#This Row],[Single Well Discovery Area]]&gt;1,1,Table1[[#This Row],[Well Density]]*Table1[[#This Row],[Single Well Discovery Area]])))</f>
        <v>1</v>
      </c>
      <c r="CM97" t="s">
        <v>158</v>
      </c>
      <c r="CN97" s="19">
        <f>Table1[[#This Row],[Mid]]</f>
        <v>0</v>
      </c>
      <c r="CO97" s="19">
        <f>Table1[[#This Row],[Mid3]]+Table1[[#This Row],[Mid6]]+Table1[[#This Row],[Mid9]]</f>
        <v>0</v>
      </c>
      <c r="CP97" s="19">
        <f>Table1[[#This Row],[Mid12]]+Table1[[#This Row],[Mid15]]+Table1[[#This Row],[Mid18]]+Table1[[#This Row],[Mid21]]+Table1[[#This Row],[Mid24]]</f>
        <v>3</v>
      </c>
      <c r="CQ97" s="19">
        <f>Table1[[#This Row],[Mid27]]+Table1[[#This Row],[Mid30]]+Table1[[#This Row],[Mid33]]+Table1[[#This Row],[Mid36]]+Table1[[#This Row],[Mid39]]</f>
        <v>0</v>
      </c>
      <c r="CR97" t="s">
        <v>439</v>
      </c>
      <c r="CS97" s="19" t="str">
        <f>IF(AND(Table1[[#This Row],[Low41]]=0, Table1[[#This Row],[High43]]=0),"N","Y")</f>
        <v>N</v>
      </c>
    </row>
    <row r="98" spans="1:97" ht="19.5" customHeight="1" x14ac:dyDescent="0.25">
      <c r="A98">
        <v>10095</v>
      </c>
      <c r="B98" t="s">
        <v>429</v>
      </c>
      <c r="C98" t="s">
        <v>430</v>
      </c>
      <c r="D98">
        <v>22.999722219999999</v>
      </c>
      <c r="E98">
        <v>90.69</v>
      </c>
      <c r="F98" t="s">
        <v>453</v>
      </c>
      <c r="G98" t="s">
        <v>432</v>
      </c>
      <c r="I98" t="s">
        <v>433</v>
      </c>
      <c r="J98" t="s">
        <v>202</v>
      </c>
      <c r="K98" t="s">
        <v>203</v>
      </c>
      <c r="L98" t="s">
        <v>121</v>
      </c>
      <c r="N98" s="6" t="s">
        <v>434</v>
      </c>
      <c r="O98" t="s">
        <v>435</v>
      </c>
      <c r="P98" t="s">
        <v>436</v>
      </c>
      <c r="Q98" t="s">
        <v>437</v>
      </c>
      <c r="R98" t="s">
        <v>438</v>
      </c>
      <c r="S98">
        <v>2008</v>
      </c>
      <c r="T98" t="s">
        <v>207</v>
      </c>
      <c r="U98" t="s">
        <v>173</v>
      </c>
      <c r="V98"/>
      <c r="AF98">
        <v>200</v>
      </c>
      <c r="AG98">
        <v>0</v>
      </c>
      <c r="AK98">
        <v>0</v>
      </c>
      <c r="AL98">
        <v>0</v>
      </c>
      <c r="AN98" t="s">
        <v>132</v>
      </c>
      <c r="BN98">
        <v>3</v>
      </c>
      <c r="CE9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8" s="19">
        <f>SUM(Table1[[#This Row],[Mid39]],Table1[[#This Row],[Mid36]],Table1[[#This Row],[Mid33]],Table1[[#This Row],[Mid30]],Table1[[#This Row],[Mid27]],Table1[[#This Row],[Mid24]],Table1[[#This Row],[Mid21]],Table1[[#This Row],[Mid18]],Table1[[#This Row],[Mid15]],Table1[[#This Row],[Mid12]],Table1[[#This Row],[Mid9]],Table1[[#This Row],[Mid6]],Table1[[#This Row],[Mid3]],Table1[[#This Row],[Mid]])</f>
        <v>3</v>
      </c>
      <c r="CG9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8" t="s">
        <v>135</v>
      </c>
      <c r="CI98" t="s">
        <v>189</v>
      </c>
      <c r="CJ98" t="s">
        <v>158</v>
      </c>
      <c r="CL98" s="19">
        <f>IF(Table1[[#This Row],[Type]]="Petroleum",1,IF(ISERROR(Table1[[#This Row],[Well Density]]*Table1[[#This Row],[Single Well Discovery Area]]),"",IF(Table1[[#This Row],[Well Density]]*Table1[[#This Row],[Single Well Discovery Area]]&gt;1,1,Table1[[#This Row],[Well Density]]*Table1[[#This Row],[Single Well Discovery Area]])))</f>
        <v>1</v>
      </c>
      <c r="CM98" t="s">
        <v>158</v>
      </c>
      <c r="CN98" s="19">
        <f>Table1[[#This Row],[Mid]]</f>
        <v>0</v>
      </c>
      <c r="CO98" s="19">
        <f>Table1[[#This Row],[Mid3]]+Table1[[#This Row],[Mid6]]+Table1[[#This Row],[Mid9]]</f>
        <v>0</v>
      </c>
      <c r="CP98" s="19">
        <f>Table1[[#This Row],[Mid12]]+Table1[[#This Row],[Mid15]]+Table1[[#This Row],[Mid18]]+Table1[[#This Row],[Mid21]]+Table1[[#This Row],[Mid24]]</f>
        <v>3</v>
      </c>
      <c r="CQ98" s="19">
        <f>Table1[[#This Row],[Mid27]]+Table1[[#This Row],[Mid30]]+Table1[[#This Row],[Mid33]]+Table1[[#This Row],[Mid36]]+Table1[[#This Row],[Mid39]]</f>
        <v>0</v>
      </c>
      <c r="CR98" t="s">
        <v>439</v>
      </c>
      <c r="CS98" s="19" t="str">
        <f>IF(AND(Table1[[#This Row],[Low41]]=0, Table1[[#This Row],[High43]]=0),"N","Y")</f>
        <v>N</v>
      </c>
    </row>
    <row r="99" spans="1:97" ht="19.5" customHeight="1" x14ac:dyDescent="0.25">
      <c r="A99">
        <v>10096</v>
      </c>
      <c r="B99" t="s">
        <v>429</v>
      </c>
      <c r="C99" t="s">
        <v>430</v>
      </c>
      <c r="D99">
        <v>23.81138889</v>
      </c>
      <c r="E99">
        <v>90.426388889999998</v>
      </c>
      <c r="F99" t="s">
        <v>454</v>
      </c>
      <c r="G99" t="s">
        <v>432</v>
      </c>
      <c r="I99" t="s">
        <v>433</v>
      </c>
      <c r="J99" t="s">
        <v>202</v>
      </c>
      <c r="K99" t="s">
        <v>203</v>
      </c>
      <c r="L99" t="s">
        <v>121</v>
      </c>
      <c r="N99" s="6" t="s">
        <v>434</v>
      </c>
      <c r="O99" t="s">
        <v>435</v>
      </c>
      <c r="P99" t="s">
        <v>436</v>
      </c>
      <c r="Q99" t="s">
        <v>437</v>
      </c>
      <c r="R99" t="s">
        <v>438</v>
      </c>
      <c r="S99">
        <v>2008</v>
      </c>
      <c r="T99" t="s">
        <v>207</v>
      </c>
      <c r="U99" t="s">
        <v>173</v>
      </c>
      <c r="V99"/>
      <c r="AF99">
        <v>200</v>
      </c>
      <c r="AG99">
        <v>0</v>
      </c>
      <c r="AK99">
        <v>0</v>
      </c>
      <c r="AL99">
        <v>0</v>
      </c>
      <c r="AN99" t="s">
        <v>132</v>
      </c>
      <c r="BN99">
        <v>7</v>
      </c>
      <c r="CE9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9" s="19">
        <f>SUM(Table1[[#This Row],[Mid39]],Table1[[#This Row],[Mid36]],Table1[[#This Row],[Mid33]],Table1[[#This Row],[Mid30]],Table1[[#This Row],[Mid27]],Table1[[#This Row],[Mid24]],Table1[[#This Row],[Mid21]],Table1[[#This Row],[Mid18]],Table1[[#This Row],[Mid15]],Table1[[#This Row],[Mid12]],Table1[[#This Row],[Mid9]],Table1[[#This Row],[Mid6]],Table1[[#This Row],[Mid3]],Table1[[#This Row],[Mid]])</f>
        <v>7</v>
      </c>
      <c r="CG9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9" t="s">
        <v>135</v>
      </c>
      <c r="CI99" t="s">
        <v>189</v>
      </c>
      <c r="CJ99" t="s">
        <v>158</v>
      </c>
      <c r="CL99" s="19">
        <f>IF(Table1[[#This Row],[Type]]="Petroleum",1,IF(ISERROR(Table1[[#This Row],[Well Density]]*Table1[[#This Row],[Single Well Discovery Area]]),"",IF(Table1[[#This Row],[Well Density]]*Table1[[#This Row],[Single Well Discovery Area]]&gt;1,1,Table1[[#This Row],[Well Density]]*Table1[[#This Row],[Single Well Discovery Area]])))</f>
        <v>1</v>
      </c>
      <c r="CM99" t="s">
        <v>158</v>
      </c>
      <c r="CN99" s="19">
        <f>Table1[[#This Row],[Mid]]</f>
        <v>0</v>
      </c>
      <c r="CO99" s="19">
        <f>Table1[[#This Row],[Mid3]]+Table1[[#This Row],[Mid6]]+Table1[[#This Row],[Mid9]]</f>
        <v>0</v>
      </c>
      <c r="CP99" s="19">
        <f>Table1[[#This Row],[Mid12]]+Table1[[#This Row],[Mid15]]+Table1[[#This Row],[Mid18]]+Table1[[#This Row],[Mid21]]+Table1[[#This Row],[Mid24]]</f>
        <v>7</v>
      </c>
      <c r="CQ99" s="19">
        <f>Table1[[#This Row],[Mid27]]+Table1[[#This Row],[Mid30]]+Table1[[#This Row],[Mid33]]+Table1[[#This Row],[Mid36]]+Table1[[#This Row],[Mid39]]</f>
        <v>0</v>
      </c>
      <c r="CR99" t="s">
        <v>439</v>
      </c>
      <c r="CS99" s="19" t="str">
        <f>IF(AND(Table1[[#This Row],[Low41]]=0, Table1[[#This Row],[High43]]=0),"N","Y")</f>
        <v>N</v>
      </c>
    </row>
    <row r="100" spans="1:97" ht="19.5" customHeight="1" x14ac:dyDescent="0.25">
      <c r="A100">
        <v>10097</v>
      </c>
      <c r="B100" t="s">
        <v>429</v>
      </c>
      <c r="C100" t="s">
        <v>430</v>
      </c>
      <c r="D100">
        <v>23.831388889999999</v>
      </c>
      <c r="E100">
        <v>90.959722220000003</v>
      </c>
      <c r="F100" t="s">
        <v>455</v>
      </c>
      <c r="G100" t="s">
        <v>432</v>
      </c>
      <c r="I100" t="s">
        <v>433</v>
      </c>
      <c r="J100" t="s">
        <v>202</v>
      </c>
      <c r="K100" t="s">
        <v>203</v>
      </c>
      <c r="L100" t="s">
        <v>121</v>
      </c>
      <c r="N100" s="6" t="s">
        <v>434</v>
      </c>
      <c r="O100" t="s">
        <v>435</v>
      </c>
      <c r="P100" t="s">
        <v>436</v>
      </c>
      <c r="Q100" t="s">
        <v>437</v>
      </c>
      <c r="R100" t="s">
        <v>438</v>
      </c>
      <c r="S100">
        <v>2008</v>
      </c>
      <c r="T100" t="s">
        <v>207</v>
      </c>
      <c r="U100" t="s">
        <v>173</v>
      </c>
      <c r="V100"/>
      <c r="AF100">
        <v>200</v>
      </c>
      <c r="AG100">
        <v>0</v>
      </c>
      <c r="AK100">
        <v>0</v>
      </c>
      <c r="AL100">
        <v>0</v>
      </c>
      <c r="AN100" t="s">
        <v>132</v>
      </c>
      <c r="BN100">
        <v>20</v>
      </c>
      <c r="CE10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0" s="19">
        <f>SUM(Table1[[#This Row],[Mid39]],Table1[[#This Row],[Mid36]],Table1[[#This Row],[Mid33]],Table1[[#This Row],[Mid30]],Table1[[#This Row],[Mid27]],Table1[[#This Row],[Mid24]],Table1[[#This Row],[Mid21]],Table1[[#This Row],[Mid18]],Table1[[#This Row],[Mid15]],Table1[[#This Row],[Mid12]],Table1[[#This Row],[Mid9]],Table1[[#This Row],[Mid6]],Table1[[#This Row],[Mid3]],Table1[[#This Row],[Mid]])</f>
        <v>20</v>
      </c>
      <c r="CG10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0" t="s">
        <v>135</v>
      </c>
      <c r="CI100" t="s">
        <v>189</v>
      </c>
      <c r="CJ100" t="s">
        <v>158</v>
      </c>
      <c r="CL100" s="19">
        <f>IF(Table1[[#This Row],[Type]]="Petroleum",1,IF(ISERROR(Table1[[#This Row],[Well Density]]*Table1[[#This Row],[Single Well Discovery Area]]),"",IF(Table1[[#This Row],[Well Density]]*Table1[[#This Row],[Single Well Discovery Area]]&gt;1,1,Table1[[#This Row],[Well Density]]*Table1[[#This Row],[Single Well Discovery Area]])))</f>
        <v>1</v>
      </c>
      <c r="CM100" t="s">
        <v>158</v>
      </c>
      <c r="CN100" s="19">
        <f>Table1[[#This Row],[Mid]]</f>
        <v>0</v>
      </c>
      <c r="CO100" s="19">
        <f>Table1[[#This Row],[Mid3]]+Table1[[#This Row],[Mid6]]+Table1[[#This Row],[Mid9]]</f>
        <v>0</v>
      </c>
      <c r="CP100" s="19">
        <f>Table1[[#This Row],[Mid12]]+Table1[[#This Row],[Mid15]]+Table1[[#This Row],[Mid18]]+Table1[[#This Row],[Mid21]]+Table1[[#This Row],[Mid24]]</f>
        <v>20</v>
      </c>
      <c r="CQ100" s="19">
        <f>Table1[[#This Row],[Mid27]]+Table1[[#This Row],[Mid30]]+Table1[[#This Row],[Mid33]]+Table1[[#This Row],[Mid36]]+Table1[[#This Row],[Mid39]]</f>
        <v>0</v>
      </c>
      <c r="CR100" t="s">
        <v>439</v>
      </c>
      <c r="CS100" s="19" t="str">
        <f>IF(AND(Table1[[#This Row],[Low41]]=0, Table1[[#This Row],[High43]]=0),"N","Y")</f>
        <v>N</v>
      </c>
    </row>
    <row r="101" spans="1:97" ht="19.5" customHeight="1" x14ac:dyDescent="0.25">
      <c r="A101">
        <v>10098</v>
      </c>
      <c r="B101" t="s">
        <v>429</v>
      </c>
      <c r="C101" t="s">
        <v>430</v>
      </c>
      <c r="D101">
        <v>23.81138889</v>
      </c>
      <c r="E101">
        <v>90.443055560000005</v>
      </c>
      <c r="F101" t="s">
        <v>456</v>
      </c>
      <c r="G101" t="s">
        <v>432</v>
      </c>
      <c r="I101" t="s">
        <v>433</v>
      </c>
      <c r="J101" t="s">
        <v>202</v>
      </c>
      <c r="K101" t="s">
        <v>203</v>
      </c>
      <c r="L101" t="s">
        <v>121</v>
      </c>
      <c r="N101" s="6" t="s">
        <v>434</v>
      </c>
      <c r="O101" t="s">
        <v>435</v>
      </c>
      <c r="P101" t="s">
        <v>436</v>
      </c>
      <c r="Q101" t="s">
        <v>437</v>
      </c>
      <c r="R101" t="s">
        <v>438</v>
      </c>
      <c r="S101">
        <v>2008</v>
      </c>
      <c r="T101" t="s">
        <v>207</v>
      </c>
      <c r="U101" t="s">
        <v>173</v>
      </c>
      <c r="V101"/>
      <c r="AF101">
        <v>200</v>
      </c>
      <c r="AG101">
        <v>0</v>
      </c>
      <c r="AK101">
        <v>0</v>
      </c>
      <c r="AL101">
        <v>0</v>
      </c>
      <c r="AN101" t="s">
        <v>132</v>
      </c>
      <c r="BN101">
        <v>12</v>
      </c>
      <c r="CE10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1" s="19">
        <f>SUM(Table1[[#This Row],[Mid39]],Table1[[#This Row],[Mid36]],Table1[[#This Row],[Mid33]],Table1[[#This Row],[Mid30]],Table1[[#This Row],[Mid27]],Table1[[#This Row],[Mid24]],Table1[[#This Row],[Mid21]],Table1[[#This Row],[Mid18]],Table1[[#This Row],[Mid15]],Table1[[#This Row],[Mid12]],Table1[[#This Row],[Mid9]],Table1[[#This Row],[Mid6]],Table1[[#This Row],[Mid3]],Table1[[#This Row],[Mid]])</f>
        <v>12</v>
      </c>
      <c r="CG10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1" t="s">
        <v>135</v>
      </c>
      <c r="CI101" t="s">
        <v>189</v>
      </c>
      <c r="CJ101" t="s">
        <v>158</v>
      </c>
      <c r="CL101" s="19">
        <f>IF(Table1[[#This Row],[Type]]="Petroleum",1,IF(ISERROR(Table1[[#This Row],[Well Density]]*Table1[[#This Row],[Single Well Discovery Area]]),"",IF(Table1[[#This Row],[Well Density]]*Table1[[#This Row],[Single Well Discovery Area]]&gt;1,1,Table1[[#This Row],[Well Density]]*Table1[[#This Row],[Single Well Discovery Area]])))</f>
        <v>1</v>
      </c>
      <c r="CM101" t="s">
        <v>158</v>
      </c>
      <c r="CN101" s="19">
        <f>Table1[[#This Row],[Mid]]</f>
        <v>0</v>
      </c>
      <c r="CO101" s="19">
        <f>Table1[[#This Row],[Mid3]]+Table1[[#This Row],[Mid6]]+Table1[[#This Row],[Mid9]]</f>
        <v>0</v>
      </c>
      <c r="CP101" s="19">
        <f>Table1[[#This Row],[Mid12]]+Table1[[#This Row],[Mid15]]+Table1[[#This Row],[Mid18]]+Table1[[#This Row],[Mid21]]+Table1[[#This Row],[Mid24]]</f>
        <v>12</v>
      </c>
      <c r="CQ101" s="19">
        <f>Table1[[#This Row],[Mid27]]+Table1[[#This Row],[Mid30]]+Table1[[#This Row],[Mid33]]+Table1[[#This Row],[Mid36]]+Table1[[#This Row],[Mid39]]</f>
        <v>0</v>
      </c>
      <c r="CR101" t="s">
        <v>439</v>
      </c>
      <c r="CS101" s="19" t="str">
        <f>IF(AND(Table1[[#This Row],[Low41]]=0, Table1[[#This Row],[High43]]=0),"N","Y")</f>
        <v>N</v>
      </c>
    </row>
    <row r="102" spans="1:97" ht="19.5" customHeight="1" x14ac:dyDescent="0.25">
      <c r="A102">
        <v>10099</v>
      </c>
      <c r="B102" t="s">
        <v>429</v>
      </c>
      <c r="C102" t="s">
        <v>430</v>
      </c>
      <c r="D102">
        <v>23.832777780000001</v>
      </c>
      <c r="E102">
        <v>90.893888889999999</v>
      </c>
      <c r="F102" t="s">
        <v>457</v>
      </c>
      <c r="G102" t="s">
        <v>432</v>
      </c>
      <c r="I102" t="s">
        <v>433</v>
      </c>
      <c r="J102" t="s">
        <v>202</v>
      </c>
      <c r="K102" t="s">
        <v>203</v>
      </c>
      <c r="L102" t="s">
        <v>121</v>
      </c>
      <c r="N102" s="6" t="s">
        <v>434</v>
      </c>
      <c r="O102" t="s">
        <v>435</v>
      </c>
      <c r="P102" t="s">
        <v>436</v>
      </c>
      <c r="Q102" t="s">
        <v>437</v>
      </c>
      <c r="R102" t="s">
        <v>438</v>
      </c>
      <c r="S102">
        <v>2008</v>
      </c>
      <c r="T102" t="s">
        <v>207</v>
      </c>
      <c r="U102" t="s">
        <v>173</v>
      </c>
      <c r="V102"/>
      <c r="AF102">
        <v>200</v>
      </c>
      <c r="AG102">
        <v>0</v>
      </c>
      <c r="AK102">
        <v>0</v>
      </c>
      <c r="AL102">
        <v>0</v>
      </c>
      <c r="AN102" t="s">
        <v>132</v>
      </c>
      <c r="BN102">
        <v>77</v>
      </c>
      <c r="CE10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2" s="19">
        <f>SUM(Table1[[#This Row],[Mid39]],Table1[[#This Row],[Mid36]],Table1[[#This Row],[Mid33]],Table1[[#This Row],[Mid30]],Table1[[#This Row],[Mid27]],Table1[[#This Row],[Mid24]],Table1[[#This Row],[Mid21]],Table1[[#This Row],[Mid18]],Table1[[#This Row],[Mid15]],Table1[[#This Row],[Mid12]],Table1[[#This Row],[Mid9]],Table1[[#This Row],[Mid6]],Table1[[#This Row],[Mid3]],Table1[[#This Row],[Mid]])</f>
        <v>77</v>
      </c>
      <c r="CG10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2" t="s">
        <v>135</v>
      </c>
      <c r="CI102" t="s">
        <v>189</v>
      </c>
      <c r="CJ102" t="s">
        <v>158</v>
      </c>
      <c r="CL102" s="19">
        <f>IF(Table1[[#This Row],[Type]]="Petroleum",1,IF(ISERROR(Table1[[#This Row],[Well Density]]*Table1[[#This Row],[Single Well Discovery Area]]),"",IF(Table1[[#This Row],[Well Density]]*Table1[[#This Row],[Single Well Discovery Area]]&gt;1,1,Table1[[#This Row],[Well Density]]*Table1[[#This Row],[Single Well Discovery Area]])))</f>
        <v>1</v>
      </c>
      <c r="CM102" t="s">
        <v>158</v>
      </c>
      <c r="CN102" s="19">
        <f>Table1[[#This Row],[Mid]]</f>
        <v>0</v>
      </c>
      <c r="CO102" s="19">
        <f>Table1[[#This Row],[Mid3]]+Table1[[#This Row],[Mid6]]+Table1[[#This Row],[Mid9]]</f>
        <v>0</v>
      </c>
      <c r="CP102" s="19">
        <f>Table1[[#This Row],[Mid12]]+Table1[[#This Row],[Mid15]]+Table1[[#This Row],[Mid18]]+Table1[[#This Row],[Mid21]]+Table1[[#This Row],[Mid24]]</f>
        <v>77</v>
      </c>
      <c r="CQ102" s="19">
        <f>Table1[[#This Row],[Mid27]]+Table1[[#This Row],[Mid30]]+Table1[[#This Row],[Mid33]]+Table1[[#This Row],[Mid36]]+Table1[[#This Row],[Mid39]]</f>
        <v>0</v>
      </c>
      <c r="CR102" t="s">
        <v>439</v>
      </c>
      <c r="CS102" s="19" t="str">
        <f>IF(AND(Table1[[#This Row],[Low41]]=0, Table1[[#This Row],[High43]]=0),"N","Y")</f>
        <v>N</v>
      </c>
    </row>
    <row r="103" spans="1:97" ht="19.5" customHeight="1" x14ac:dyDescent="0.25">
      <c r="A103">
        <v>10100</v>
      </c>
      <c r="B103" t="s">
        <v>429</v>
      </c>
      <c r="C103" t="s">
        <v>430</v>
      </c>
      <c r="D103">
        <v>23.81138889</v>
      </c>
      <c r="E103">
        <v>90.459722220000003</v>
      </c>
      <c r="F103" t="s">
        <v>458</v>
      </c>
      <c r="G103" t="s">
        <v>432</v>
      </c>
      <c r="I103" t="s">
        <v>433</v>
      </c>
      <c r="J103" t="s">
        <v>202</v>
      </c>
      <c r="K103" t="s">
        <v>203</v>
      </c>
      <c r="L103" t="s">
        <v>121</v>
      </c>
      <c r="N103" s="6" t="s">
        <v>434</v>
      </c>
      <c r="O103" t="s">
        <v>435</v>
      </c>
      <c r="P103" t="s">
        <v>436</v>
      </c>
      <c r="Q103" t="s">
        <v>437</v>
      </c>
      <c r="R103" t="s">
        <v>438</v>
      </c>
      <c r="S103">
        <v>2008</v>
      </c>
      <c r="T103" t="s">
        <v>207</v>
      </c>
      <c r="U103" t="s">
        <v>173</v>
      </c>
      <c r="V103"/>
      <c r="AF103">
        <v>200</v>
      </c>
      <c r="AG103">
        <v>0</v>
      </c>
      <c r="AK103">
        <v>0</v>
      </c>
      <c r="AL103">
        <v>0</v>
      </c>
      <c r="AN103" t="s">
        <v>132</v>
      </c>
      <c r="BN103">
        <v>6</v>
      </c>
      <c r="CE10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3" s="19">
        <f>SUM(Table1[[#This Row],[Mid39]],Table1[[#This Row],[Mid36]],Table1[[#This Row],[Mid33]],Table1[[#This Row],[Mid30]],Table1[[#This Row],[Mid27]],Table1[[#This Row],[Mid24]],Table1[[#This Row],[Mid21]],Table1[[#This Row],[Mid18]],Table1[[#This Row],[Mid15]],Table1[[#This Row],[Mid12]],Table1[[#This Row],[Mid9]],Table1[[#This Row],[Mid6]],Table1[[#This Row],[Mid3]],Table1[[#This Row],[Mid]])</f>
        <v>6</v>
      </c>
      <c r="CG10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3" t="s">
        <v>135</v>
      </c>
      <c r="CI103" t="s">
        <v>189</v>
      </c>
      <c r="CJ103" t="s">
        <v>158</v>
      </c>
      <c r="CL103" s="19">
        <f>IF(Table1[[#This Row],[Type]]="Petroleum",1,IF(ISERROR(Table1[[#This Row],[Well Density]]*Table1[[#This Row],[Single Well Discovery Area]]),"",IF(Table1[[#This Row],[Well Density]]*Table1[[#This Row],[Single Well Discovery Area]]&gt;1,1,Table1[[#This Row],[Well Density]]*Table1[[#This Row],[Single Well Discovery Area]])))</f>
        <v>1</v>
      </c>
      <c r="CM103" t="s">
        <v>158</v>
      </c>
      <c r="CN103" s="19">
        <f>Table1[[#This Row],[Mid]]</f>
        <v>0</v>
      </c>
      <c r="CO103" s="19">
        <f>Table1[[#This Row],[Mid3]]+Table1[[#This Row],[Mid6]]+Table1[[#This Row],[Mid9]]</f>
        <v>0</v>
      </c>
      <c r="CP103" s="19">
        <f>Table1[[#This Row],[Mid12]]+Table1[[#This Row],[Mid15]]+Table1[[#This Row],[Mid18]]+Table1[[#This Row],[Mid21]]+Table1[[#This Row],[Mid24]]</f>
        <v>6</v>
      </c>
      <c r="CQ103" s="19">
        <f>Table1[[#This Row],[Mid27]]+Table1[[#This Row],[Mid30]]+Table1[[#This Row],[Mid33]]+Table1[[#This Row],[Mid36]]+Table1[[#This Row],[Mid39]]</f>
        <v>0</v>
      </c>
      <c r="CR103" t="s">
        <v>439</v>
      </c>
      <c r="CS103" s="19" t="str">
        <f>IF(AND(Table1[[#This Row],[Low41]]=0, Table1[[#This Row],[High43]]=0),"N","Y")</f>
        <v>N</v>
      </c>
    </row>
    <row r="104" spans="1:97" ht="19.5" customHeight="1" x14ac:dyDescent="0.25">
      <c r="A104">
        <v>10101</v>
      </c>
      <c r="B104" t="s">
        <v>429</v>
      </c>
      <c r="C104" t="s">
        <v>430</v>
      </c>
      <c r="D104">
        <v>23.07944444</v>
      </c>
      <c r="E104">
        <v>90.793888890000005</v>
      </c>
      <c r="F104" t="s">
        <v>459</v>
      </c>
      <c r="G104" t="s">
        <v>432</v>
      </c>
      <c r="I104" t="s">
        <v>433</v>
      </c>
      <c r="J104" t="s">
        <v>202</v>
      </c>
      <c r="K104" t="s">
        <v>203</v>
      </c>
      <c r="L104" t="s">
        <v>121</v>
      </c>
      <c r="N104" s="6" t="s">
        <v>434</v>
      </c>
      <c r="O104" t="s">
        <v>435</v>
      </c>
      <c r="P104" t="s">
        <v>436</v>
      </c>
      <c r="Q104" t="s">
        <v>437</v>
      </c>
      <c r="R104" t="s">
        <v>438</v>
      </c>
      <c r="S104">
        <v>2008</v>
      </c>
      <c r="T104" t="s">
        <v>207</v>
      </c>
      <c r="U104" t="s">
        <v>173</v>
      </c>
      <c r="V104"/>
      <c r="AF104">
        <v>200</v>
      </c>
      <c r="AG104">
        <v>0</v>
      </c>
      <c r="AK104">
        <v>0</v>
      </c>
      <c r="AL104">
        <v>0</v>
      </c>
      <c r="AN104" t="s">
        <v>132</v>
      </c>
      <c r="BN104">
        <v>47</v>
      </c>
      <c r="CE10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4" s="19">
        <f>SUM(Table1[[#This Row],[Mid39]],Table1[[#This Row],[Mid36]],Table1[[#This Row],[Mid33]],Table1[[#This Row],[Mid30]],Table1[[#This Row],[Mid27]],Table1[[#This Row],[Mid24]],Table1[[#This Row],[Mid21]],Table1[[#This Row],[Mid18]],Table1[[#This Row],[Mid15]],Table1[[#This Row],[Mid12]],Table1[[#This Row],[Mid9]],Table1[[#This Row],[Mid6]],Table1[[#This Row],[Mid3]],Table1[[#This Row],[Mid]])</f>
        <v>47</v>
      </c>
      <c r="CG10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4" t="s">
        <v>135</v>
      </c>
      <c r="CI104" t="s">
        <v>189</v>
      </c>
      <c r="CJ104" t="s">
        <v>158</v>
      </c>
      <c r="CL104" s="19">
        <f>IF(Table1[[#This Row],[Type]]="Petroleum",1,IF(ISERROR(Table1[[#This Row],[Well Density]]*Table1[[#This Row],[Single Well Discovery Area]]),"",IF(Table1[[#This Row],[Well Density]]*Table1[[#This Row],[Single Well Discovery Area]]&gt;1,1,Table1[[#This Row],[Well Density]]*Table1[[#This Row],[Single Well Discovery Area]])))</f>
        <v>1</v>
      </c>
      <c r="CM104" t="s">
        <v>158</v>
      </c>
      <c r="CN104" s="19">
        <f>Table1[[#This Row],[Mid]]</f>
        <v>0</v>
      </c>
      <c r="CO104" s="19">
        <f>Table1[[#This Row],[Mid3]]+Table1[[#This Row],[Mid6]]+Table1[[#This Row],[Mid9]]</f>
        <v>0</v>
      </c>
      <c r="CP104" s="19">
        <f>Table1[[#This Row],[Mid12]]+Table1[[#This Row],[Mid15]]+Table1[[#This Row],[Mid18]]+Table1[[#This Row],[Mid21]]+Table1[[#This Row],[Mid24]]</f>
        <v>47</v>
      </c>
      <c r="CQ104" s="19">
        <f>Table1[[#This Row],[Mid27]]+Table1[[#This Row],[Mid30]]+Table1[[#This Row],[Mid33]]+Table1[[#This Row],[Mid36]]+Table1[[#This Row],[Mid39]]</f>
        <v>0</v>
      </c>
      <c r="CR104" t="s">
        <v>439</v>
      </c>
      <c r="CS104" s="19" t="str">
        <f>IF(AND(Table1[[#This Row],[Low41]]=0, Table1[[#This Row],[High43]]=0),"N","Y")</f>
        <v>N</v>
      </c>
    </row>
    <row r="105" spans="1:97" ht="19.5" customHeight="1" x14ac:dyDescent="0.25">
      <c r="A105">
        <v>10102</v>
      </c>
      <c r="B105" t="s">
        <v>429</v>
      </c>
      <c r="C105" t="s">
        <v>430</v>
      </c>
      <c r="D105">
        <v>23.342777779999999</v>
      </c>
      <c r="E105">
        <v>90.876111109999997</v>
      </c>
      <c r="F105" t="s">
        <v>460</v>
      </c>
      <c r="G105" t="s">
        <v>432</v>
      </c>
      <c r="I105" t="s">
        <v>433</v>
      </c>
      <c r="J105" t="s">
        <v>202</v>
      </c>
      <c r="K105" t="s">
        <v>203</v>
      </c>
      <c r="L105" t="s">
        <v>121</v>
      </c>
      <c r="N105" s="6" t="s">
        <v>434</v>
      </c>
      <c r="O105" t="s">
        <v>435</v>
      </c>
      <c r="P105" t="s">
        <v>436</v>
      </c>
      <c r="Q105" t="s">
        <v>437</v>
      </c>
      <c r="R105" t="s">
        <v>438</v>
      </c>
      <c r="S105">
        <v>2008</v>
      </c>
      <c r="T105" t="s">
        <v>207</v>
      </c>
      <c r="U105" t="s">
        <v>173</v>
      </c>
      <c r="V105"/>
      <c r="AF105">
        <v>200</v>
      </c>
      <c r="AG105">
        <v>0</v>
      </c>
      <c r="AK105">
        <v>0</v>
      </c>
      <c r="AL105">
        <v>0</v>
      </c>
      <c r="AN105" t="s">
        <v>132</v>
      </c>
      <c r="BN105">
        <v>8</v>
      </c>
      <c r="CE10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5" s="19">
        <f>SUM(Table1[[#This Row],[Mid39]],Table1[[#This Row],[Mid36]],Table1[[#This Row],[Mid33]],Table1[[#This Row],[Mid30]],Table1[[#This Row],[Mid27]],Table1[[#This Row],[Mid24]],Table1[[#This Row],[Mid21]],Table1[[#This Row],[Mid18]],Table1[[#This Row],[Mid15]],Table1[[#This Row],[Mid12]],Table1[[#This Row],[Mid9]],Table1[[#This Row],[Mid6]],Table1[[#This Row],[Mid3]],Table1[[#This Row],[Mid]])</f>
        <v>8</v>
      </c>
      <c r="CG10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5" t="s">
        <v>135</v>
      </c>
      <c r="CI105" t="s">
        <v>189</v>
      </c>
      <c r="CJ105" t="s">
        <v>158</v>
      </c>
      <c r="CL105" s="19">
        <f>IF(Table1[[#This Row],[Type]]="Petroleum",1,IF(ISERROR(Table1[[#This Row],[Well Density]]*Table1[[#This Row],[Single Well Discovery Area]]),"",IF(Table1[[#This Row],[Well Density]]*Table1[[#This Row],[Single Well Discovery Area]]&gt;1,1,Table1[[#This Row],[Well Density]]*Table1[[#This Row],[Single Well Discovery Area]])))</f>
        <v>1</v>
      </c>
      <c r="CM105" t="s">
        <v>158</v>
      </c>
      <c r="CN105" s="19">
        <f>Table1[[#This Row],[Mid]]</f>
        <v>0</v>
      </c>
      <c r="CO105" s="19">
        <f>Table1[[#This Row],[Mid3]]+Table1[[#This Row],[Mid6]]+Table1[[#This Row],[Mid9]]</f>
        <v>0</v>
      </c>
      <c r="CP105" s="19">
        <f>Table1[[#This Row],[Mid12]]+Table1[[#This Row],[Mid15]]+Table1[[#This Row],[Mid18]]+Table1[[#This Row],[Mid21]]+Table1[[#This Row],[Mid24]]</f>
        <v>8</v>
      </c>
      <c r="CQ105" s="19">
        <f>Table1[[#This Row],[Mid27]]+Table1[[#This Row],[Mid30]]+Table1[[#This Row],[Mid33]]+Table1[[#This Row],[Mid36]]+Table1[[#This Row],[Mid39]]</f>
        <v>0</v>
      </c>
      <c r="CR105" t="s">
        <v>439</v>
      </c>
      <c r="CS105" s="19" t="str">
        <f>IF(AND(Table1[[#This Row],[Low41]]=0, Table1[[#This Row],[High43]]=0),"N","Y")</f>
        <v>N</v>
      </c>
    </row>
    <row r="106" spans="1:97" ht="19.5" customHeight="1" x14ac:dyDescent="0.25">
      <c r="A106">
        <v>10103</v>
      </c>
      <c r="B106" t="s">
        <v>429</v>
      </c>
      <c r="C106" t="s">
        <v>430</v>
      </c>
      <c r="D106">
        <v>23.240833330000001</v>
      </c>
      <c r="E106">
        <v>90.546111109999998</v>
      </c>
      <c r="F106" t="s">
        <v>461</v>
      </c>
      <c r="G106" t="s">
        <v>432</v>
      </c>
      <c r="I106" t="s">
        <v>433</v>
      </c>
      <c r="J106" t="s">
        <v>202</v>
      </c>
      <c r="K106" t="s">
        <v>203</v>
      </c>
      <c r="L106" t="s">
        <v>121</v>
      </c>
      <c r="N106" s="6" t="s">
        <v>434</v>
      </c>
      <c r="O106" t="s">
        <v>435</v>
      </c>
      <c r="P106" t="s">
        <v>436</v>
      </c>
      <c r="Q106" t="s">
        <v>437</v>
      </c>
      <c r="R106" t="s">
        <v>438</v>
      </c>
      <c r="S106">
        <v>2008</v>
      </c>
      <c r="T106" t="s">
        <v>207</v>
      </c>
      <c r="U106" t="s">
        <v>173</v>
      </c>
      <c r="V106"/>
      <c r="AF106">
        <v>200</v>
      </c>
      <c r="AG106">
        <v>0</v>
      </c>
      <c r="AK106">
        <v>0</v>
      </c>
      <c r="AL106">
        <v>0</v>
      </c>
      <c r="AN106" t="s">
        <v>132</v>
      </c>
      <c r="BN106">
        <v>26</v>
      </c>
      <c r="CE10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6" s="19">
        <f>SUM(Table1[[#This Row],[Mid39]],Table1[[#This Row],[Mid36]],Table1[[#This Row],[Mid33]],Table1[[#This Row],[Mid30]],Table1[[#This Row],[Mid27]],Table1[[#This Row],[Mid24]],Table1[[#This Row],[Mid21]],Table1[[#This Row],[Mid18]],Table1[[#This Row],[Mid15]],Table1[[#This Row],[Mid12]],Table1[[#This Row],[Mid9]],Table1[[#This Row],[Mid6]],Table1[[#This Row],[Mid3]],Table1[[#This Row],[Mid]])</f>
        <v>26</v>
      </c>
      <c r="CG10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6" t="s">
        <v>135</v>
      </c>
      <c r="CI106" t="s">
        <v>189</v>
      </c>
      <c r="CJ106" t="s">
        <v>158</v>
      </c>
      <c r="CL106" s="19">
        <f>IF(Table1[[#This Row],[Type]]="Petroleum",1,IF(ISERROR(Table1[[#This Row],[Well Density]]*Table1[[#This Row],[Single Well Discovery Area]]),"",IF(Table1[[#This Row],[Well Density]]*Table1[[#This Row],[Single Well Discovery Area]]&gt;1,1,Table1[[#This Row],[Well Density]]*Table1[[#This Row],[Single Well Discovery Area]])))</f>
        <v>1</v>
      </c>
      <c r="CM106" t="s">
        <v>158</v>
      </c>
      <c r="CN106" s="19">
        <f>Table1[[#This Row],[Mid]]</f>
        <v>0</v>
      </c>
      <c r="CO106" s="19">
        <f>Table1[[#This Row],[Mid3]]+Table1[[#This Row],[Mid6]]+Table1[[#This Row],[Mid9]]</f>
        <v>0</v>
      </c>
      <c r="CP106" s="19">
        <f>Table1[[#This Row],[Mid12]]+Table1[[#This Row],[Mid15]]+Table1[[#This Row],[Mid18]]+Table1[[#This Row],[Mid21]]+Table1[[#This Row],[Mid24]]</f>
        <v>26</v>
      </c>
      <c r="CQ106" s="19">
        <f>Table1[[#This Row],[Mid27]]+Table1[[#This Row],[Mid30]]+Table1[[#This Row],[Mid33]]+Table1[[#This Row],[Mid36]]+Table1[[#This Row],[Mid39]]</f>
        <v>0</v>
      </c>
      <c r="CR106" t="s">
        <v>439</v>
      </c>
      <c r="CS106" s="19" t="str">
        <f>IF(AND(Table1[[#This Row],[Low41]]=0, Table1[[#This Row],[High43]]=0),"N","Y")</f>
        <v>N</v>
      </c>
    </row>
    <row r="107" spans="1:97" ht="19.5" customHeight="1" x14ac:dyDescent="0.25">
      <c r="A107">
        <v>10104</v>
      </c>
      <c r="B107" t="s">
        <v>429</v>
      </c>
      <c r="C107" t="s">
        <v>430</v>
      </c>
      <c r="D107">
        <v>24.036944439999999</v>
      </c>
      <c r="E107">
        <v>91.033333330000005</v>
      </c>
      <c r="F107" t="s">
        <v>462</v>
      </c>
      <c r="G107" t="s">
        <v>432</v>
      </c>
      <c r="I107" t="s">
        <v>433</v>
      </c>
      <c r="J107" t="s">
        <v>202</v>
      </c>
      <c r="K107" t="s">
        <v>203</v>
      </c>
      <c r="L107" t="s">
        <v>121</v>
      </c>
      <c r="N107" s="6" t="s">
        <v>434</v>
      </c>
      <c r="O107" t="s">
        <v>435</v>
      </c>
      <c r="P107" t="s">
        <v>436</v>
      </c>
      <c r="Q107" t="s">
        <v>437</v>
      </c>
      <c r="R107" t="s">
        <v>438</v>
      </c>
      <c r="S107">
        <v>2008</v>
      </c>
      <c r="T107" t="s">
        <v>207</v>
      </c>
      <c r="U107" t="s">
        <v>173</v>
      </c>
      <c r="V107"/>
      <c r="AF107">
        <v>200</v>
      </c>
      <c r="AG107">
        <v>0</v>
      </c>
      <c r="AK107">
        <v>0</v>
      </c>
      <c r="AL107">
        <v>0</v>
      </c>
      <c r="AN107" t="s">
        <v>132</v>
      </c>
      <c r="BN107">
        <v>26</v>
      </c>
      <c r="CE10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7" s="19">
        <f>SUM(Table1[[#This Row],[Mid39]],Table1[[#This Row],[Mid36]],Table1[[#This Row],[Mid33]],Table1[[#This Row],[Mid30]],Table1[[#This Row],[Mid27]],Table1[[#This Row],[Mid24]],Table1[[#This Row],[Mid21]],Table1[[#This Row],[Mid18]],Table1[[#This Row],[Mid15]],Table1[[#This Row],[Mid12]],Table1[[#This Row],[Mid9]],Table1[[#This Row],[Mid6]],Table1[[#This Row],[Mid3]],Table1[[#This Row],[Mid]])</f>
        <v>26</v>
      </c>
      <c r="CG10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7" t="s">
        <v>135</v>
      </c>
      <c r="CI107" t="s">
        <v>189</v>
      </c>
      <c r="CJ107" t="s">
        <v>158</v>
      </c>
      <c r="CL107" s="19">
        <f>IF(Table1[[#This Row],[Type]]="Petroleum",1,IF(ISERROR(Table1[[#This Row],[Well Density]]*Table1[[#This Row],[Single Well Discovery Area]]),"",IF(Table1[[#This Row],[Well Density]]*Table1[[#This Row],[Single Well Discovery Area]]&gt;1,1,Table1[[#This Row],[Well Density]]*Table1[[#This Row],[Single Well Discovery Area]])))</f>
        <v>1</v>
      </c>
      <c r="CM107" t="s">
        <v>158</v>
      </c>
      <c r="CN107" s="19">
        <f>Table1[[#This Row],[Mid]]</f>
        <v>0</v>
      </c>
      <c r="CO107" s="19">
        <f>Table1[[#This Row],[Mid3]]+Table1[[#This Row],[Mid6]]+Table1[[#This Row],[Mid9]]</f>
        <v>0</v>
      </c>
      <c r="CP107" s="19">
        <f>Table1[[#This Row],[Mid12]]+Table1[[#This Row],[Mid15]]+Table1[[#This Row],[Mid18]]+Table1[[#This Row],[Mid21]]+Table1[[#This Row],[Mid24]]</f>
        <v>26</v>
      </c>
      <c r="CQ107" s="19">
        <f>Table1[[#This Row],[Mid27]]+Table1[[#This Row],[Mid30]]+Table1[[#This Row],[Mid33]]+Table1[[#This Row],[Mid36]]+Table1[[#This Row],[Mid39]]</f>
        <v>0</v>
      </c>
      <c r="CR107" t="s">
        <v>439</v>
      </c>
      <c r="CS107" s="19" t="str">
        <f>IF(AND(Table1[[#This Row],[Low41]]=0, Table1[[#This Row],[High43]]=0),"N","Y")</f>
        <v>N</v>
      </c>
    </row>
    <row r="108" spans="1:97" ht="19.5" customHeight="1" x14ac:dyDescent="0.25">
      <c r="A108">
        <v>10105</v>
      </c>
      <c r="B108" t="s">
        <v>429</v>
      </c>
      <c r="C108" t="s">
        <v>430</v>
      </c>
      <c r="D108">
        <v>23.730277780000002</v>
      </c>
      <c r="E108">
        <v>90.736111109999996</v>
      </c>
      <c r="F108" t="s">
        <v>463</v>
      </c>
      <c r="G108" t="s">
        <v>432</v>
      </c>
      <c r="I108" t="s">
        <v>433</v>
      </c>
      <c r="J108" t="s">
        <v>202</v>
      </c>
      <c r="K108" t="s">
        <v>203</v>
      </c>
      <c r="L108" t="s">
        <v>121</v>
      </c>
      <c r="N108" s="6" t="s">
        <v>434</v>
      </c>
      <c r="O108" t="s">
        <v>435</v>
      </c>
      <c r="P108" t="s">
        <v>436</v>
      </c>
      <c r="Q108" t="s">
        <v>437</v>
      </c>
      <c r="R108" t="s">
        <v>438</v>
      </c>
      <c r="S108">
        <v>2008</v>
      </c>
      <c r="T108" t="s">
        <v>207</v>
      </c>
      <c r="U108" t="s">
        <v>173</v>
      </c>
      <c r="V108"/>
      <c r="AF108">
        <v>200</v>
      </c>
      <c r="AG108">
        <v>0</v>
      </c>
      <c r="AK108">
        <v>0</v>
      </c>
      <c r="AL108">
        <v>0</v>
      </c>
      <c r="AN108" t="s">
        <v>132</v>
      </c>
      <c r="BN108">
        <v>283</v>
      </c>
      <c r="CE10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8" s="19">
        <f>SUM(Table1[[#This Row],[Mid39]],Table1[[#This Row],[Mid36]],Table1[[#This Row],[Mid33]],Table1[[#This Row],[Mid30]],Table1[[#This Row],[Mid27]],Table1[[#This Row],[Mid24]],Table1[[#This Row],[Mid21]],Table1[[#This Row],[Mid18]],Table1[[#This Row],[Mid15]],Table1[[#This Row],[Mid12]],Table1[[#This Row],[Mid9]],Table1[[#This Row],[Mid6]],Table1[[#This Row],[Mid3]],Table1[[#This Row],[Mid]])</f>
        <v>283</v>
      </c>
      <c r="CG10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8" t="s">
        <v>135</v>
      </c>
      <c r="CI108" t="s">
        <v>189</v>
      </c>
      <c r="CJ108" t="s">
        <v>158</v>
      </c>
      <c r="CL108" s="19">
        <f>IF(Table1[[#This Row],[Type]]="Petroleum",1,IF(ISERROR(Table1[[#This Row],[Well Density]]*Table1[[#This Row],[Single Well Discovery Area]]),"",IF(Table1[[#This Row],[Well Density]]*Table1[[#This Row],[Single Well Discovery Area]]&gt;1,1,Table1[[#This Row],[Well Density]]*Table1[[#This Row],[Single Well Discovery Area]])))</f>
        <v>1</v>
      </c>
      <c r="CM108" t="s">
        <v>158</v>
      </c>
      <c r="CN108" s="19">
        <f>Table1[[#This Row],[Mid]]</f>
        <v>0</v>
      </c>
      <c r="CO108" s="19">
        <f>Table1[[#This Row],[Mid3]]+Table1[[#This Row],[Mid6]]+Table1[[#This Row],[Mid9]]</f>
        <v>0</v>
      </c>
      <c r="CP108" s="19">
        <f>Table1[[#This Row],[Mid12]]+Table1[[#This Row],[Mid15]]+Table1[[#This Row],[Mid18]]+Table1[[#This Row],[Mid21]]+Table1[[#This Row],[Mid24]]</f>
        <v>283</v>
      </c>
      <c r="CQ108" s="19">
        <f>Table1[[#This Row],[Mid27]]+Table1[[#This Row],[Mid30]]+Table1[[#This Row],[Mid33]]+Table1[[#This Row],[Mid36]]+Table1[[#This Row],[Mid39]]</f>
        <v>0</v>
      </c>
      <c r="CR108" t="s">
        <v>439</v>
      </c>
      <c r="CS108" s="19" t="str">
        <f>IF(AND(Table1[[#This Row],[Low41]]=0, Table1[[#This Row],[High43]]=0),"N","Y")</f>
        <v>N</v>
      </c>
    </row>
    <row r="109" spans="1:97" ht="19.5" customHeight="1" x14ac:dyDescent="0.25">
      <c r="A109">
        <v>10106</v>
      </c>
      <c r="B109" t="s">
        <v>464</v>
      </c>
      <c r="C109" t="s">
        <v>165</v>
      </c>
      <c r="D109">
        <v>-22.14944444</v>
      </c>
      <c r="E109">
        <v>-40.191666669999996</v>
      </c>
      <c r="F109" t="s">
        <v>465</v>
      </c>
      <c r="G109" t="s">
        <v>466</v>
      </c>
      <c r="I109" t="s">
        <v>201</v>
      </c>
      <c r="J109" t="s">
        <v>202</v>
      </c>
      <c r="K109" t="s">
        <v>203</v>
      </c>
      <c r="L109" t="s">
        <v>121</v>
      </c>
      <c r="M109" t="s">
        <v>122</v>
      </c>
      <c r="N109" s="6" t="s">
        <v>467</v>
      </c>
      <c r="O109" t="s">
        <v>468</v>
      </c>
      <c r="P109" t="s">
        <v>170</v>
      </c>
      <c r="Q109" t="s">
        <v>469</v>
      </c>
      <c r="R109" t="s">
        <v>470</v>
      </c>
      <c r="S109">
        <v>2014</v>
      </c>
      <c r="T109" t="s">
        <v>207</v>
      </c>
      <c r="U109" t="s">
        <v>173</v>
      </c>
      <c r="V109"/>
      <c r="AF109">
        <v>200</v>
      </c>
      <c r="AG109">
        <v>0</v>
      </c>
      <c r="AK109">
        <v>0</v>
      </c>
      <c r="AL109">
        <v>0</v>
      </c>
      <c r="AN109" t="s">
        <v>132</v>
      </c>
      <c r="BN109">
        <v>163.1</v>
      </c>
      <c r="CE10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9" s="19">
        <f>SUM(Table1[[#This Row],[Mid39]],Table1[[#This Row],[Mid36]],Table1[[#This Row],[Mid33]],Table1[[#This Row],[Mid30]],Table1[[#This Row],[Mid27]],Table1[[#This Row],[Mid24]],Table1[[#This Row],[Mid21]],Table1[[#This Row],[Mid18]],Table1[[#This Row],[Mid15]],Table1[[#This Row],[Mid12]],Table1[[#This Row],[Mid9]],Table1[[#This Row],[Mid6]],Table1[[#This Row],[Mid3]],Table1[[#This Row],[Mid]])</f>
        <v>163.1</v>
      </c>
      <c r="CG10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9" t="s">
        <v>135</v>
      </c>
      <c r="CI109" t="s">
        <v>134</v>
      </c>
      <c r="CJ109" t="s">
        <v>158</v>
      </c>
      <c r="CL109" s="19">
        <f>IF(Table1[[#This Row],[Type]]="Petroleum",1,IF(ISERROR(Table1[[#This Row],[Well Density]]*Table1[[#This Row],[Single Well Discovery Area]]),"",IF(Table1[[#This Row],[Well Density]]*Table1[[#This Row],[Single Well Discovery Area]]&gt;1,1,Table1[[#This Row],[Well Density]]*Table1[[#This Row],[Single Well Discovery Area]])))</f>
        <v>1</v>
      </c>
      <c r="CM109" t="s">
        <v>158</v>
      </c>
      <c r="CN109" s="19">
        <f>Table1[[#This Row],[Mid]]</f>
        <v>0</v>
      </c>
      <c r="CO109" s="19">
        <f>Table1[[#This Row],[Mid3]]+Table1[[#This Row],[Mid6]]+Table1[[#This Row],[Mid9]]</f>
        <v>0</v>
      </c>
      <c r="CP109" s="19">
        <f>Table1[[#This Row],[Mid12]]+Table1[[#This Row],[Mid15]]+Table1[[#This Row],[Mid18]]+Table1[[#This Row],[Mid21]]+Table1[[#This Row],[Mid24]]</f>
        <v>163.1</v>
      </c>
      <c r="CQ109" s="19">
        <f>Table1[[#This Row],[Mid27]]+Table1[[#This Row],[Mid30]]+Table1[[#This Row],[Mid33]]+Table1[[#This Row],[Mid36]]+Table1[[#This Row],[Mid39]]</f>
        <v>0</v>
      </c>
      <c r="CR109" t="s">
        <v>471</v>
      </c>
      <c r="CS109" s="19" t="str">
        <f>IF(AND(Table1[[#This Row],[Low41]]=0, Table1[[#This Row],[High43]]=0),"N","Y")</f>
        <v>N</v>
      </c>
    </row>
    <row r="110" spans="1:97" ht="19.5" customHeight="1" x14ac:dyDescent="0.25">
      <c r="A110">
        <v>10107</v>
      </c>
      <c r="B110" t="s">
        <v>464</v>
      </c>
      <c r="C110" t="s">
        <v>165</v>
      </c>
      <c r="D110">
        <v>-22.34638889</v>
      </c>
      <c r="E110">
        <v>-40.542499999999997</v>
      </c>
      <c r="F110" t="s">
        <v>472</v>
      </c>
      <c r="G110" t="s">
        <v>466</v>
      </c>
      <c r="H110" t="s">
        <v>473</v>
      </c>
      <c r="I110" t="s">
        <v>201</v>
      </c>
      <c r="J110" t="s">
        <v>202</v>
      </c>
      <c r="K110" t="s">
        <v>203</v>
      </c>
      <c r="L110" t="s">
        <v>121</v>
      </c>
      <c r="N110" s="6" t="s">
        <v>467</v>
      </c>
      <c r="O110" t="s">
        <v>468</v>
      </c>
      <c r="P110" t="s">
        <v>170</v>
      </c>
      <c r="Q110" t="s">
        <v>469</v>
      </c>
      <c r="R110" t="s">
        <v>470</v>
      </c>
      <c r="S110">
        <v>2014</v>
      </c>
      <c r="T110" t="s">
        <v>207</v>
      </c>
      <c r="U110" t="s">
        <v>173</v>
      </c>
      <c r="V110"/>
      <c r="AF110">
        <v>200</v>
      </c>
      <c r="AG110">
        <v>0</v>
      </c>
      <c r="AK110">
        <v>0</v>
      </c>
      <c r="AL110">
        <v>0</v>
      </c>
      <c r="AN110" t="s">
        <v>132</v>
      </c>
      <c r="BN110">
        <v>2.6</v>
      </c>
      <c r="CE11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0" s="19">
        <f>SUM(Table1[[#This Row],[Mid39]],Table1[[#This Row],[Mid36]],Table1[[#This Row],[Mid33]],Table1[[#This Row],[Mid30]],Table1[[#This Row],[Mid27]],Table1[[#This Row],[Mid24]],Table1[[#This Row],[Mid21]],Table1[[#This Row],[Mid18]],Table1[[#This Row],[Mid15]],Table1[[#This Row],[Mid12]],Table1[[#This Row],[Mid9]],Table1[[#This Row],[Mid6]],Table1[[#This Row],[Mid3]],Table1[[#This Row],[Mid]])</f>
        <v>2.6</v>
      </c>
      <c r="CG1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0" t="s">
        <v>135</v>
      </c>
      <c r="CI110" t="s">
        <v>176</v>
      </c>
      <c r="CJ110" t="s">
        <v>158</v>
      </c>
      <c r="CL110" s="19">
        <f>IF(Table1[[#This Row],[Type]]="Petroleum",1,IF(ISERROR(Table1[[#This Row],[Well Density]]*Table1[[#This Row],[Single Well Discovery Area]]),"",IF(Table1[[#This Row],[Well Density]]*Table1[[#This Row],[Single Well Discovery Area]]&gt;1,1,Table1[[#This Row],[Well Density]]*Table1[[#This Row],[Single Well Discovery Area]])))</f>
        <v>1</v>
      </c>
      <c r="CM110" t="s">
        <v>158</v>
      </c>
      <c r="CN110" s="19">
        <f>Table1[[#This Row],[Mid]]</f>
        <v>0</v>
      </c>
      <c r="CO110" s="19">
        <f>Table1[[#This Row],[Mid3]]+Table1[[#This Row],[Mid6]]+Table1[[#This Row],[Mid9]]</f>
        <v>0</v>
      </c>
      <c r="CP110" s="19">
        <f>Table1[[#This Row],[Mid12]]+Table1[[#This Row],[Mid15]]+Table1[[#This Row],[Mid18]]+Table1[[#This Row],[Mid21]]+Table1[[#This Row],[Mid24]]</f>
        <v>2.6</v>
      </c>
      <c r="CQ110" s="19">
        <f>Table1[[#This Row],[Mid27]]+Table1[[#This Row],[Mid30]]+Table1[[#This Row],[Mid33]]+Table1[[#This Row],[Mid36]]+Table1[[#This Row],[Mid39]]</f>
        <v>0</v>
      </c>
      <c r="CR110" t="s">
        <v>471</v>
      </c>
      <c r="CS110" s="19" t="str">
        <f>IF(AND(Table1[[#This Row],[Low41]]=0, Table1[[#This Row],[High43]]=0),"N","Y")</f>
        <v>N</v>
      </c>
    </row>
    <row r="111" spans="1:97" ht="19.5" customHeight="1" x14ac:dyDescent="0.25">
      <c r="A111">
        <v>10108</v>
      </c>
      <c r="B111" t="s">
        <v>464</v>
      </c>
      <c r="C111" t="s">
        <v>165</v>
      </c>
      <c r="D111">
        <v>-16.53611111</v>
      </c>
      <c r="E111">
        <v>-38.375277779999998</v>
      </c>
      <c r="F111" t="s">
        <v>474</v>
      </c>
      <c r="G111" t="s">
        <v>474</v>
      </c>
      <c r="I111" t="s">
        <v>201</v>
      </c>
      <c r="J111" t="s">
        <v>202</v>
      </c>
      <c r="K111" t="s">
        <v>203</v>
      </c>
      <c r="L111" t="s">
        <v>121</v>
      </c>
      <c r="N111" s="6" t="s">
        <v>475</v>
      </c>
      <c r="O111" t="s">
        <v>476</v>
      </c>
      <c r="P111" t="s">
        <v>170</v>
      </c>
      <c r="Q111" t="s">
        <v>469</v>
      </c>
      <c r="R111" t="s">
        <v>470</v>
      </c>
      <c r="S111">
        <v>2011</v>
      </c>
      <c r="T111" t="s">
        <v>153</v>
      </c>
      <c r="U111" t="s">
        <v>154</v>
      </c>
      <c r="V111"/>
      <c r="AF111">
        <v>200</v>
      </c>
      <c r="AG111">
        <v>0</v>
      </c>
      <c r="AK111">
        <v>0</v>
      </c>
      <c r="AL111">
        <v>0</v>
      </c>
      <c r="AN111" t="s">
        <v>132</v>
      </c>
      <c r="BN111">
        <v>27.8</v>
      </c>
      <c r="CE11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1" s="19">
        <f>SUM(Table1[[#This Row],[Mid39]],Table1[[#This Row],[Mid36]],Table1[[#This Row],[Mid33]],Table1[[#This Row],[Mid30]],Table1[[#This Row],[Mid27]],Table1[[#This Row],[Mid24]],Table1[[#This Row],[Mid21]],Table1[[#This Row],[Mid18]],Table1[[#This Row],[Mid15]],Table1[[#This Row],[Mid12]],Table1[[#This Row],[Mid9]],Table1[[#This Row],[Mid6]],Table1[[#This Row],[Mid3]],Table1[[#This Row],[Mid]])</f>
        <v>27.8</v>
      </c>
      <c r="CG1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1" t="s">
        <v>135</v>
      </c>
      <c r="CI111" t="s">
        <v>134</v>
      </c>
      <c r="CJ111" t="s">
        <v>158</v>
      </c>
      <c r="CL111" s="19">
        <f>IF(Table1[[#This Row],[Type]]="Petroleum",1,IF(ISERROR(Table1[[#This Row],[Well Density]]*Table1[[#This Row],[Single Well Discovery Area]]),"",IF(Table1[[#This Row],[Well Density]]*Table1[[#This Row],[Single Well Discovery Area]]&gt;1,1,Table1[[#This Row],[Well Density]]*Table1[[#This Row],[Single Well Discovery Area]])))</f>
        <v>1</v>
      </c>
      <c r="CM111" t="s">
        <v>158</v>
      </c>
      <c r="CN111" s="19">
        <f>Table1[[#This Row],[Mid]]</f>
        <v>0</v>
      </c>
      <c r="CO111" s="19">
        <f>Table1[[#This Row],[Mid3]]+Table1[[#This Row],[Mid6]]+Table1[[#This Row],[Mid9]]</f>
        <v>0</v>
      </c>
      <c r="CP111" s="19">
        <f>Table1[[#This Row],[Mid12]]+Table1[[#This Row],[Mid15]]+Table1[[#This Row],[Mid18]]+Table1[[#This Row],[Mid21]]+Table1[[#This Row],[Mid24]]</f>
        <v>27.8</v>
      </c>
      <c r="CQ111" s="19">
        <f>Table1[[#This Row],[Mid27]]+Table1[[#This Row],[Mid30]]+Table1[[#This Row],[Mid33]]+Table1[[#This Row],[Mid36]]+Table1[[#This Row],[Mid39]]</f>
        <v>0</v>
      </c>
      <c r="CR111" t="s">
        <v>471</v>
      </c>
      <c r="CS111" s="19" t="str">
        <f>IF(AND(Table1[[#This Row],[Low41]]=0, Table1[[#This Row],[High43]]=0),"N","Y")</f>
        <v>N</v>
      </c>
    </row>
    <row r="112" spans="1:97" ht="19.5" customHeight="1" x14ac:dyDescent="0.25">
      <c r="A112">
        <v>10109</v>
      </c>
      <c r="B112" t="s">
        <v>464</v>
      </c>
      <c r="C112" t="s">
        <v>165</v>
      </c>
      <c r="D112">
        <v>-22.308888889999999</v>
      </c>
      <c r="E112">
        <v>-40.335277779999998</v>
      </c>
      <c r="F112" t="s">
        <v>477</v>
      </c>
      <c r="G112" t="s">
        <v>466</v>
      </c>
      <c r="H112" t="s">
        <v>466</v>
      </c>
      <c r="I112" t="s">
        <v>201</v>
      </c>
      <c r="J112" t="s">
        <v>202</v>
      </c>
      <c r="K112" t="s">
        <v>203</v>
      </c>
      <c r="L112" t="s">
        <v>121</v>
      </c>
      <c r="M112" t="s">
        <v>478</v>
      </c>
      <c r="N112" s="6" t="s">
        <v>467</v>
      </c>
      <c r="O112" t="s">
        <v>468</v>
      </c>
      <c r="P112" t="s">
        <v>170</v>
      </c>
      <c r="Q112" t="s">
        <v>469</v>
      </c>
      <c r="R112" t="s">
        <v>470</v>
      </c>
      <c r="S112">
        <v>2014</v>
      </c>
      <c r="T112" t="s">
        <v>207</v>
      </c>
      <c r="U112" t="s">
        <v>173</v>
      </c>
      <c r="V112"/>
      <c r="AF112">
        <v>200</v>
      </c>
      <c r="AG112">
        <v>0</v>
      </c>
      <c r="AK112">
        <v>0</v>
      </c>
      <c r="AL112">
        <v>0</v>
      </c>
      <c r="AN112" t="s">
        <v>132</v>
      </c>
      <c r="BN112">
        <v>117.5</v>
      </c>
      <c r="CE11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2" s="19">
        <f>SUM(Table1[[#This Row],[Mid39]],Table1[[#This Row],[Mid36]],Table1[[#This Row],[Mid33]],Table1[[#This Row],[Mid30]],Table1[[#This Row],[Mid27]],Table1[[#This Row],[Mid24]],Table1[[#This Row],[Mid21]],Table1[[#This Row],[Mid18]],Table1[[#This Row],[Mid15]],Table1[[#This Row],[Mid12]],Table1[[#This Row],[Mid9]],Table1[[#This Row],[Mid6]],Table1[[#This Row],[Mid3]],Table1[[#This Row],[Mid]])</f>
        <v>117.5</v>
      </c>
      <c r="CG1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2" t="s">
        <v>135</v>
      </c>
      <c r="CI112" t="s">
        <v>134</v>
      </c>
      <c r="CJ112" t="s">
        <v>158</v>
      </c>
      <c r="CL112" s="19">
        <f>IF(Table1[[#This Row],[Type]]="Petroleum",1,IF(ISERROR(Table1[[#This Row],[Well Density]]*Table1[[#This Row],[Single Well Discovery Area]]),"",IF(Table1[[#This Row],[Well Density]]*Table1[[#This Row],[Single Well Discovery Area]]&gt;1,1,Table1[[#This Row],[Well Density]]*Table1[[#This Row],[Single Well Discovery Area]])))</f>
        <v>1</v>
      </c>
      <c r="CM112" t="s">
        <v>158</v>
      </c>
      <c r="CN112" s="19">
        <f>Table1[[#This Row],[Mid]]</f>
        <v>0</v>
      </c>
      <c r="CO112" s="19">
        <f>Table1[[#This Row],[Mid3]]+Table1[[#This Row],[Mid6]]+Table1[[#This Row],[Mid9]]</f>
        <v>0</v>
      </c>
      <c r="CP112" s="19">
        <f>Table1[[#This Row],[Mid12]]+Table1[[#This Row],[Mid15]]+Table1[[#This Row],[Mid18]]+Table1[[#This Row],[Mid21]]+Table1[[#This Row],[Mid24]]</f>
        <v>117.5</v>
      </c>
      <c r="CQ112" s="19">
        <f>Table1[[#This Row],[Mid27]]+Table1[[#This Row],[Mid30]]+Table1[[#This Row],[Mid33]]+Table1[[#This Row],[Mid36]]+Table1[[#This Row],[Mid39]]</f>
        <v>0</v>
      </c>
      <c r="CR112" t="s">
        <v>471</v>
      </c>
      <c r="CS112" s="19" t="str">
        <f>IF(AND(Table1[[#This Row],[Low41]]=0, Table1[[#This Row],[High43]]=0),"N","Y")</f>
        <v>N</v>
      </c>
    </row>
    <row r="113" spans="1:97" ht="19.5" customHeight="1" x14ac:dyDescent="0.25">
      <c r="A113">
        <v>10110</v>
      </c>
      <c r="B113" t="s">
        <v>464</v>
      </c>
      <c r="C113" t="s">
        <v>165</v>
      </c>
      <c r="D113">
        <v>-22.221111109999999</v>
      </c>
      <c r="E113">
        <v>-40.125277779999998</v>
      </c>
      <c r="F113" t="s">
        <v>466</v>
      </c>
      <c r="G113" t="s">
        <v>466</v>
      </c>
      <c r="I113" t="s">
        <v>201</v>
      </c>
      <c r="J113" t="s">
        <v>202</v>
      </c>
      <c r="K113" t="s">
        <v>203</v>
      </c>
      <c r="L113" t="s">
        <v>121</v>
      </c>
      <c r="N113" s="6" t="s">
        <v>475</v>
      </c>
      <c r="O113" t="s">
        <v>476</v>
      </c>
      <c r="P113" t="s">
        <v>170</v>
      </c>
      <c r="Q113" t="s">
        <v>479</v>
      </c>
      <c r="R113" t="s">
        <v>480</v>
      </c>
      <c r="S113">
        <v>2011</v>
      </c>
      <c r="T113" t="s">
        <v>153</v>
      </c>
      <c r="U113" t="s">
        <v>154</v>
      </c>
      <c r="V113"/>
      <c r="AF113">
        <v>200</v>
      </c>
      <c r="AG113">
        <v>0</v>
      </c>
      <c r="AK113">
        <v>0</v>
      </c>
      <c r="AL113">
        <v>0</v>
      </c>
      <c r="AN113" t="s">
        <v>132</v>
      </c>
      <c r="BN113">
        <v>818.5</v>
      </c>
      <c r="CE11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3" s="19">
        <f>SUM(Table1[[#This Row],[Mid39]],Table1[[#This Row],[Mid36]],Table1[[#This Row],[Mid33]],Table1[[#This Row],[Mid30]],Table1[[#This Row],[Mid27]],Table1[[#This Row],[Mid24]],Table1[[#This Row],[Mid21]],Table1[[#This Row],[Mid18]],Table1[[#This Row],[Mid15]],Table1[[#This Row],[Mid12]],Table1[[#This Row],[Mid9]],Table1[[#This Row],[Mid6]],Table1[[#This Row],[Mid3]],Table1[[#This Row],[Mid]])</f>
        <v>818.5</v>
      </c>
      <c r="CG1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3" t="s">
        <v>135</v>
      </c>
      <c r="CI113" t="s">
        <v>134</v>
      </c>
      <c r="CJ113" t="s">
        <v>158</v>
      </c>
      <c r="CL113" s="19">
        <f>IF(Table1[[#This Row],[Type]]="Petroleum",1,IF(ISERROR(Table1[[#This Row],[Well Density]]*Table1[[#This Row],[Single Well Discovery Area]]),"",IF(Table1[[#This Row],[Well Density]]*Table1[[#This Row],[Single Well Discovery Area]]&gt;1,1,Table1[[#This Row],[Well Density]]*Table1[[#This Row],[Single Well Discovery Area]])))</f>
        <v>1</v>
      </c>
      <c r="CM113" t="s">
        <v>158</v>
      </c>
      <c r="CN113" s="19">
        <f>Table1[[#This Row],[Mid]]</f>
        <v>0</v>
      </c>
      <c r="CO113" s="19">
        <f>Table1[[#This Row],[Mid3]]+Table1[[#This Row],[Mid6]]+Table1[[#This Row],[Mid9]]</f>
        <v>0</v>
      </c>
      <c r="CP113" s="19">
        <f>Table1[[#This Row],[Mid12]]+Table1[[#This Row],[Mid15]]+Table1[[#This Row],[Mid18]]+Table1[[#This Row],[Mid21]]+Table1[[#This Row],[Mid24]]</f>
        <v>818.5</v>
      </c>
      <c r="CQ113" s="19">
        <f>Table1[[#This Row],[Mid27]]+Table1[[#This Row],[Mid30]]+Table1[[#This Row],[Mid33]]+Table1[[#This Row],[Mid36]]+Table1[[#This Row],[Mid39]]</f>
        <v>0</v>
      </c>
      <c r="CR113" t="s">
        <v>471</v>
      </c>
      <c r="CS113" s="19" t="str">
        <f>IF(AND(Table1[[#This Row],[Low41]]=0, Table1[[#This Row],[High43]]=0),"N","Y")</f>
        <v>N</v>
      </c>
    </row>
    <row r="114" spans="1:97" ht="19.5" customHeight="1" x14ac:dyDescent="0.25">
      <c r="A114">
        <v>10111</v>
      </c>
      <c r="B114" t="s">
        <v>464</v>
      </c>
      <c r="C114" t="s">
        <v>165</v>
      </c>
      <c r="D114">
        <v>-22.195277780000001</v>
      </c>
      <c r="E114">
        <v>-40.395000000000003</v>
      </c>
      <c r="F114" t="s">
        <v>481</v>
      </c>
      <c r="G114" t="s">
        <v>466</v>
      </c>
      <c r="H114" t="s">
        <v>482</v>
      </c>
      <c r="I114" t="s">
        <v>201</v>
      </c>
      <c r="J114" t="s">
        <v>202</v>
      </c>
      <c r="K114" t="s">
        <v>203</v>
      </c>
      <c r="L114" t="s">
        <v>121</v>
      </c>
      <c r="M114" t="s">
        <v>122</v>
      </c>
      <c r="N114" s="6" t="s">
        <v>467</v>
      </c>
      <c r="O114" t="s">
        <v>468</v>
      </c>
      <c r="P114" t="s">
        <v>170</v>
      </c>
      <c r="Q114" t="s">
        <v>469</v>
      </c>
      <c r="R114" t="s">
        <v>470</v>
      </c>
      <c r="S114">
        <v>2014</v>
      </c>
      <c r="T114" t="s">
        <v>207</v>
      </c>
      <c r="U114" t="s">
        <v>173</v>
      </c>
      <c r="V114"/>
      <c r="AF114">
        <v>200</v>
      </c>
      <c r="AG114">
        <v>0</v>
      </c>
      <c r="AK114">
        <v>0</v>
      </c>
      <c r="AL114">
        <v>0</v>
      </c>
      <c r="AN114" t="s">
        <v>132</v>
      </c>
      <c r="BN114">
        <v>17</v>
      </c>
      <c r="CE11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4" s="19">
        <f>SUM(Table1[[#This Row],[Mid39]],Table1[[#This Row],[Mid36]],Table1[[#This Row],[Mid33]],Table1[[#This Row],[Mid30]],Table1[[#This Row],[Mid27]],Table1[[#This Row],[Mid24]],Table1[[#This Row],[Mid21]],Table1[[#This Row],[Mid18]],Table1[[#This Row],[Mid15]],Table1[[#This Row],[Mid12]],Table1[[#This Row],[Mid9]],Table1[[#This Row],[Mid6]],Table1[[#This Row],[Mid3]],Table1[[#This Row],[Mid]])</f>
        <v>17</v>
      </c>
      <c r="CG1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4" t="s">
        <v>135</v>
      </c>
      <c r="CI114" t="s">
        <v>134</v>
      </c>
      <c r="CJ114" t="s">
        <v>158</v>
      </c>
      <c r="CL114" s="19">
        <f>IF(Table1[[#This Row],[Type]]="Petroleum",1,IF(ISERROR(Table1[[#This Row],[Well Density]]*Table1[[#This Row],[Single Well Discovery Area]]),"",IF(Table1[[#This Row],[Well Density]]*Table1[[#This Row],[Single Well Discovery Area]]&gt;1,1,Table1[[#This Row],[Well Density]]*Table1[[#This Row],[Single Well Discovery Area]])))</f>
        <v>1</v>
      </c>
      <c r="CM114" t="s">
        <v>158</v>
      </c>
      <c r="CN114" s="19">
        <f>Table1[[#This Row],[Mid]]</f>
        <v>0</v>
      </c>
      <c r="CO114" s="19">
        <f>Table1[[#This Row],[Mid3]]+Table1[[#This Row],[Mid6]]+Table1[[#This Row],[Mid9]]</f>
        <v>0</v>
      </c>
      <c r="CP114" s="19">
        <f>Table1[[#This Row],[Mid12]]+Table1[[#This Row],[Mid15]]+Table1[[#This Row],[Mid18]]+Table1[[#This Row],[Mid21]]+Table1[[#This Row],[Mid24]]</f>
        <v>17</v>
      </c>
      <c r="CQ114" s="19">
        <f>Table1[[#This Row],[Mid27]]+Table1[[#This Row],[Mid30]]+Table1[[#This Row],[Mid33]]+Table1[[#This Row],[Mid36]]+Table1[[#This Row],[Mid39]]</f>
        <v>0</v>
      </c>
      <c r="CR114" t="s">
        <v>471</v>
      </c>
      <c r="CS114" s="19" t="str">
        <f>IF(AND(Table1[[#This Row],[Low41]]=0, Table1[[#This Row],[High43]]=0),"N","Y")</f>
        <v>N</v>
      </c>
    </row>
    <row r="115" spans="1:97" ht="19.5" customHeight="1" x14ac:dyDescent="0.25">
      <c r="A115">
        <v>10112</v>
      </c>
      <c r="B115" t="s">
        <v>464</v>
      </c>
      <c r="C115" t="s">
        <v>165</v>
      </c>
      <c r="D115">
        <v>-22.336388889999998</v>
      </c>
      <c r="E115">
        <v>-40.360555560000002</v>
      </c>
      <c r="F115" t="s">
        <v>483</v>
      </c>
      <c r="G115" t="s">
        <v>466</v>
      </c>
      <c r="I115" t="s">
        <v>201</v>
      </c>
      <c r="J115" t="s">
        <v>202</v>
      </c>
      <c r="K115" t="s">
        <v>203</v>
      </c>
      <c r="L115" t="s">
        <v>121</v>
      </c>
      <c r="M115" t="s">
        <v>478</v>
      </c>
      <c r="N115" s="6" t="s">
        <v>467</v>
      </c>
      <c r="O115" t="s">
        <v>468</v>
      </c>
      <c r="P115" t="s">
        <v>170</v>
      </c>
      <c r="Q115" t="s">
        <v>469</v>
      </c>
      <c r="R115" t="s">
        <v>470</v>
      </c>
      <c r="S115">
        <v>2014</v>
      </c>
      <c r="T115" t="s">
        <v>207</v>
      </c>
      <c r="U115" t="s">
        <v>173</v>
      </c>
      <c r="V115"/>
      <c r="AF115">
        <v>200</v>
      </c>
      <c r="AG115">
        <v>0</v>
      </c>
      <c r="AK115">
        <v>0</v>
      </c>
      <c r="AL115">
        <v>0</v>
      </c>
      <c r="AN115" t="s">
        <v>132</v>
      </c>
      <c r="BN115">
        <v>43</v>
      </c>
      <c r="CE11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5" s="19">
        <f>SUM(Table1[[#This Row],[Mid39]],Table1[[#This Row],[Mid36]],Table1[[#This Row],[Mid33]],Table1[[#This Row],[Mid30]],Table1[[#This Row],[Mid27]],Table1[[#This Row],[Mid24]],Table1[[#This Row],[Mid21]],Table1[[#This Row],[Mid18]],Table1[[#This Row],[Mid15]],Table1[[#This Row],[Mid12]],Table1[[#This Row],[Mid9]],Table1[[#This Row],[Mid6]],Table1[[#This Row],[Mid3]],Table1[[#This Row],[Mid]])</f>
        <v>43</v>
      </c>
      <c r="CG1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5" t="s">
        <v>135</v>
      </c>
      <c r="CI115" t="s">
        <v>134</v>
      </c>
      <c r="CJ115" t="s">
        <v>158</v>
      </c>
      <c r="CL115" s="19">
        <f>IF(Table1[[#This Row],[Type]]="Petroleum",1,IF(ISERROR(Table1[[#This Row],[Well Density]]*Table1[[#This Row],[Single Well Discovery Area]]),"",IF(Table1[[#This Row],[Well Density]]*Table1[[#This Row],[Single Well Discovery Area]]&gt;1,1,Table1[[#This Row],[Well Density]]*Table1[[#This Row],[Single Well Discovery Area]])))</f>
        <v>1</v>
      </c>
      <c r="CM115" t="s">
        <v>158</v>
      </c>
      <c r="CN115" s="19">
        <f>Table1[[#This Row],[Mid]]</f>
        <v>0</v>
      </c>
      <c r="CO115" s="19">
        <f>Table1[[#This Row],[Mid3]]+Table1[[#This Row],[Mid6]]+Table1[[#This Row],[Mid9]]</f>
        <v>0</v>
      </c>
      <c r="CP115" s="19">
        <f>Table1[[#This Row],[Mid12]]+Table1[[#This Row],[Mid15]]+Table1[[#This Row],[Mid18]]+Table1[[#This Row],[Mid21]]+Table1[[#This Row],[Mid24]]</f>
        <v>43</v>
      </c>
      <c r="CQ115" s="19">
        <f>Table1[[#This Row],[Mid27]]+Table1[[#This Row],[Mid30]]+Table1[[#This Row],[Mid33]]+Table1[[#This Row],[Mid36]]+Table1[[#This Row],[Mid39]]</f>
        <v>0</v>
      </c>
      <c r="CR115" t="s">
        <v>471</v>
      </c>
      <c r="CS115" s="19" t="str">
        <f>IF(AND(Table1[[#This Row],[Low41]]=0, Table1[[#This Row],[High43]]=0),"N","Y")</f>
        <v>N</v>
      </c>
    </row>
    <row r="116" spans="1:97" ht="19.5" customHeight="1" x14ac:dyDescent="0.25">
      <c r="A116">
        <v>10113</v>
      </c>
      <c r="B116" t="s">
        <v>464</v>
      </c>
      <c r="C116" t="s">
        <v>165</v>
      </c>
      <c r="D116">
        <v>-2.7936111110000001</v>
      </c>
      <c r="E116">
        <v>-38.872222219999998</v>
      </c>
      <c r="F116" t="s">
        <v>484</v>
      </c>
      <c r="G116" t="s">
        <v>485</v>
      </c>
      <c r="I116" t="s">
        <v>201</v>
      </c>
      <c r="J116" t="s">
        <v>202</v>
      </c>
      <c r="K116" t="s">
        <v>203</v>
      </c>
      <c r="L116" t="s">
        <v>121</v>
      </c>
      <c r="N116" s="6" t="s">
        <v>475</v>
      </c>
      <c r="O116" t="s">
        <v>476</v>
      </c>
      <c r="P116" t="s">
        <v>170</v>
      </c>
      <c r="Q116" t="s">
        <v>469</v>
      </c>
      <c r="R116" t="s">
        <v>470</v>
      </c>
      <c r="S116">
        <v>2011</v>
      </c>
      <c r="T116" t="s">
        <v>153</v>
      </c>
      <c r="U116" t="s">
        <v>154</v>
      </c>
      <c r="V116"/>
      <c r="AF116">
        <v>200</v>
      </c>
      <c r="AG116">
        <v>0</v>
      </c>
      <c r="AK116">
        <v>0</v>
      </c>
      <c r="AL116">
        <v>0</v>
      </c>
      <c r="AN116" t="s">
        <v>132</v>
      </c>
      <c r="BN116">
        <v>13.3</v>
      </c>
      <c r="CE11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6" s="19">
        <f>SUM(Table1[[#This Row],[Mid39]],Table1[[#This Row],[Mid36]],Table1[[#This Row],[Mid33]],Table1[[#This Row],[Mid30]],Table1[[#This Row],[Mid27]],Table1[[#This Row],[Mid24]],Table1[[#This Row],[Mid21]],Table1[[#This Row],[Mid18]],Table1[[#This Row],[Mid15]],Table1[[#This Row],[Mid12]],Table1[[#This Row],[Mid9]],Table1[[#This Row],[Mid6]],Table1[[#This Row],[Mid3]],Table1[[#This Row],[Mid]])</f>
        <v>13.3</v>
      </c>
      <c r="CG1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6" t="s">
        <v>135</v>
      </c>
      <c r="CI116" t="s">
        <v>134</v>
      </c>
      <c r="CJ116" t="s">
        <v>158</v>
      </c>
      <c r="CL116" s="19">
        <f>IF(Table1[[#This Row],[Type]]="Petroleum",1,IF(ISERROR(Table1[[#This Row],[Well Density]]*Table1[[#This Row],[Single Well Discovery Area]]),"",IF(Table1[[#This Row],[Well Density]]*Table1[[#This Row],[Single Well Discovery Area]]&gt;1,1,Table1[[#This Row],[Well Density]]*Table1[[#This Row],[Single Well Discovery Area]])))</f>
        <v>1</v>
      </c>
      <c r="CM116" t="s">
        <v>158</v>
      </c>
      <c r="CN116" s="19">
        <f>Table1[[#This Row],[Mid]]</f>
        <v>0</v>
      </c>
      <c r="CO116" s="19">
        <f>Table1[[#This Row],[Mid3]]+Table1[[#This Row],[Mid6]]+Table1[[#This Row],[Mid9]]</f>
        <v>0</v>
      </c>
      <c r="CP116" s="19">
        <f>Table1[[#This Row],[Mid12]]+Table1[[#This Row],[Mid15]]+Table1[[#This Row],[Mid18]]+Table1[[#This Row],[Mid21]]+Table1[[#This Row],[Mid24]]</f>
        <v>13.3</v>
      </c>
      <c r="CQ116" s="19">
        <f>Table1[[#This Row],[Mid27]]+Table1[[#This Row],[Mid30]]+Table1[[#This Row],[Mid33]]+Table1[[#This Row],[Mid36]]+Table1[[#This Row],[Mid39]]</f>
        <v>0</v>
      </c>
      <c r="CR116" t="s">
        <v>471</v>
      </c>
      <c r="CS116" s="19" t="str">
        <f>IF(AND(Table1[[#This Row],[Low41]]=0, Table1[[#This Row],[High43]]=0),"N","Y")</f>
        <v>N</v>
      </c>
    </row>
    <row r="117" spans="1:97" ht="19.5" customHeight="1" x14ac:dyDescent="0.25">
      <c r="A117">
        <v>10114</v>
      </c>
      <c r="B117" t="s">
        <v>464</v>
      </c>
      <c r="C117" t="s">
        <v>165</v>
      </c>
      <c r="D117">
        <v>-22.307777779999999</v>
      </c>
      <c r="E117">
        <v>-40.429166670000001</v>
      </c>
      <c r="F117" t="s">
        <v>486</v>
      </c>
      <c r="G117" t="s">
        <v>466</v>
      </c>
      <c r="H117" t="s">
        <v>482</v>
      </c>
      <c r="I117" t="s">
        <v>201</v>
      </c>
      <c r="J117" t="s">
        <v>202</v>
      </c>
      <c r="K117" t="s">
        <v>203</v>
      </c>
      <c r="L117" t="s">
        <v>121</v>
      </c>
      <c r="M117" t="s">
        <v>487</v>
      </c>
      <c r="N117" s="6" t="s">
        <v>467</v>
      </c>
      <c r="O117" t="s">
        <v>468</v>
      </c>
      <c r="P117" t="s">
        <v>170</v>
      </c>
      <c r="Q117" t="s">
        <v>469</v>
      </c>
      <c r="R117" t="s">
        <v>470</v>
      </c>
      <c r="S117">
        <v>2014</v>
      </c>
      <c r="T117" t="s">
        <v>207</v>
      </c>
      <c r="U117" t="s">
        <v>173</v>
      </c>
      <c r="V117"/>
      <c r="AF117">
        <v>200</v>
      </c>
      <c r="AG117">
        <v>0</v>
      </c>
      <c r="AK117">
        <v>0</v>
      </c>
      <c r="AL117">
        <v>0</v>
      </c>
      <c r="AN117" t="s">
        <v>132</v>
      </c>
      <c r="BN117">
        <v>6.9</v>
      </c>
      <c r="CE11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7" s="19">
        <f>SUM(Table1[[#This Row],[Mid39]],Table1[[#This Row],[Mid36]],Table1[[#This Row],[Mid33]],Table1[[#This Row],[Mid30]],Table1[[#This Row],[Mid27]],Table1[[#This Row],[Mid24]],Table1[[#This Row],[Mid21]],Table1[[#This Row],[Mid18]],Table1[[#This Row],[Mid15]],Table1[[#This Row],[Mid12]],Table1[[#This Row],[Mid9]],Table1[[#This Row],[Mid6]],Table1[[#This Row],[Mid3]],Table1[[#This Row],[Mid]])</f>
        <v>6.9</v>
      </c>
      <c r="CG1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7" t="s">
        <v>135</v>
      </c>
      <c r="CI117" t="s">
        <v>134</v>
      </c>
      <c r="CJ117" t="s">
        <v>158</v>
      </c>
      <c r="CL117" s="19">
        <f>IF(Table1[[#This Row],[Type]]="Petroleum",1,IF(ISERROR(Table1[[#This Row],[Well Density]]*Table1[[#This Row],[Single Well Discovery Area]]),"",IF(Table1[[#This Row],[Well Density]]*Table1[[#This Row],[Single Well Discovery Area]]&gt;1,1,Table1[[#This Row],[Well Density]]*Table1[[#This Row],[Single Well Discovery Area]])))</f>
        <v>1</v>
      </c>
      <c r="CM117" t="s">
        <v>158</v>
      </c>
      <c r="CN117" s="19">
        <f>Table1[[#This Row],[Mid]]</f>
        <v>0</v>
      </c>
      <c r="CO117" s="19">
        <f>Table1[[#This Row],[Mid3]]+Table1[[#This Row],[Mid6]]+Table1[[#This Row],[Mid9]]</f>
        <v>0</v>
      </c>
      <c r="CP117" s="19">
        <f>Table1[[#This Row],[Mid12]]+Table1[[#This Row],[Mid15]]+Table1[[#This Row],[Mid18]]+Table1[[#This Row],[Mid21]]+Table1[[#This Row],[Mid24]]</f>
        <v>6.9</v>
      </c>
      <c r="CQ117" s="19">
        <f>Table1[[#This Row],[Mid27]]+Table1[[#This Row],[Mid30]]+Table1[[#This Row],[Mid33]]+Table1[[#This Row],[Mid36]]+Table1[[#This Row],[Mid39]]</f>
        <v>0</v>
      </c>
      <c r="CR117" t="s">
        <v>471</v>
      </c>
      <c r="CS117" s="19" t="str">
        <f>IF(AND(Table1[[#This Row],[Low41]]=0, Table1[[#This Row],[High43]]=0),"N","Y")</f>
        <v>N</v>
      </c>
    </row>
    <row r="118" spans="1:97" ht="19.5" customHeight="1" x14ac:dyDescent="0.25">
      <c r="A118">
        <v>10115</v>
      </c>
      <c r="B118" t="s">
        <v>464</v>
      </c>
      <c r="C118" t="s">
        <v>165</v>
      </c>
      <c r="D118">
        <v>-22.352499999999999</v>
      </c>
      <c r="E118">
        <v>-40.479722219999999</v>
      </c>
      <c r="F118" t="s">
        <v>488</v>
      </c>
      <c r="G118" t="s">
        <v>466</v>
      </c>
      <c r="H118" t="s">
        <v>482</v>
      </c>
      <c r="I118" t="s">
        <v>201</v>
      </c>
      <c r="J118" t="s">
        <v>202</v>
      </c>
      <c r="K118" t="s">
        <v>203</v>
      </c>
      <c r="L118" t="s">
        <v>121</v>
      </c>
      <c r="M118" t="s">
        <v>487</v>
      </c>
      <c r="N118" s="6" t="s">
        <v>467</v>
      </c>
      <c r="O118" t="s">
        <v>468</v>
      </c>
      <c r="P118" t="s">
        <v>170</v>
      </c>
      <c r="Q118" t="s">
        <v>469</v>
      </c>
      <c r="R118" t="s">
        <v>470</v>
      </c>
      <c r="S118">
        <v>2014</v>
      </c>
      <c r="T118" t="s">
        <v>207</v>
      </c>
      <c r="U118" t="s">
        <v>173</v>
      </c>
      <c r="V118"/>
      <c r="AF118">
        <v>200</v>
      </c>
      <c r="AG118">
        <v>0</v>
      </c>
      <c r="AK118">
        <v>0</v>
      </c>
      <c r="AL118">
        <v>0</v>
      </c>
      <c r="AN118" t="s">
        <v>132</v>
      </c>
      <c r="BN118">
        <v>18.100000000000001</v>
      </c>
      <c r="CE11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8" s="19">
        <f>SUM(Table1[[#This Row],[Mid39]],Table1[[#This Row],[Mid36]],Table1[[#This Row],[Mid33]],Table1[[#This Row],[Mid30]],Table1[[#This Row],[Mid27]],Table1[[#This Row],[Mid24]],Table1[[#This Row],[Mid21]],Table1[[#This Row],[Mid18]],Table1[[#This Row],[Mid15]],Table1[[#This Row],[Mid12]],Table1[[#This Row],[Mid9]],Table1[[#This Row],[Mid6]],Table1[[#This Row],[Mid3]],Table1[[#This Row],[Mid]])</f>
        <v>18.100000000000001</v>
      </c>
      <c r="CG11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8" t="s">
        <v>135</v>
      </c>
      <c r="CI118" t="s">
        <v>134</v>
      </c>
      <c r="CJ118" t="s">
        <v>158</v>
      </c>
      <c r="CL118" s="19">
        <f>IF(Table1[[#This Row],[Type]]="Petroleum",1,IF(ISERROR(Table1[[#This Row],[Well Density]]*Table1[[#This Row],[Single Well Discovery Area]]),"",IF(Table1[[#This Row],[Well Density]]*Table1[[#This Row],[Single Well Discovery Area]]&gt;1,1,Table1[[#This Row],[Well Density]]*Table1[[#This Row],[Single Well Discovery Area]])))</f>
        <v>1</v>
      </c>
      <c r="CM118" t="s">
        <v>158</v>
      </c>
      <c r="CN118" s="19">
        <f>Table1[[#This Row],[Mid]]</f>
        <v>0</v>
      </c>
      <c r="CO118" s="19">
        <f>Table1[[#This Row],[Mid3]]+Table1[[#This Row],[Mid6]]+Table1[[#This Row],[Mid9]]</f>
        <v>0</v>
      </c>
      <c r="CP118" s="19">
        <f>Table1[[#This Row],[Mid12]]+Table1[[#This Row],[Mid15]]+Table1[[#This Row],[Mid18]]+Table1[[#This Row],[Mid21]]+Table1[[#This Row],[Mid24]]</f>
        <v>18.100000000000001</v>
      </c>
      <c r="CQ118" s="19">
        <f>Table1[[#This Row],[Mid27]]+Table1[[#This Row],[Mid30]]+Table1[[#This Row],[Mid33]]+Table1[[#This Row],[Mid36]]+Table1[[#This Row],[Mid39]]</f>
        <v>0</v>
      </c>
      <c r="CR118" t="s">
        <v>471</v>
      </c>
      <c r="CS118" s="19" t="str">
        <f>IF(AND(Table1[[#This Row],[Low41]]=0, Table1[[#This Row],[High43]]=0),"N","Y")</f>
        <v>N</v>
      </c>
    </row>
    <row r="119" spans="1:97" ht="19.5" customHeight="1" x14ac:dyDescent="0.25">
      <c r="A119">
        <v>10116</v>
      </c>
      <c r="B119" t="s">
        <v>464</v>
      </c>
      <c r="C119" t="s">
        <v>165</v>
      </c>
      <c r="D119">
        <v>-19.31472222</v>
      </c>
      <c r="E119">
        <v>-38.715000000000003</v>
      </c>
      <c r="F119" t="s">
        <v>489</v>
      </c>
      <c r="G119" t="s">
        <v>490</v>
      </c>
      <c r="I119" t="s">
        <v>201</v>
      </c>
      <c r="J119" t="s">
        <v>202</v>
      </c>
      <c r="K119" t="s">
        <v>203</v>
      </c>
      <c r="L119" t="s">
        <v>121</v>
      </c>
      <c r="N119" s="6" t="s">
        <v>475</v>
      </c>
      <c r="O119" t="s">
        <v>476</v>
      </c>
      <c r="P119" t="s">
        <v>170</v>
      </c>
      <c r="Q119" t="s">
        <v>469</v>
      </c>
      <c r="R119" t="s">
        <v>470</v>
      </c>
      <c r="S119">
        <v>2011</v>
      </c>
      <c r="T119" t="s">
        <v>153</v>
      </c>
      <c r="U119" t="s">
        <v>154</v>
      </c>
      <c r="V119"/>
      <c r="AF119">
        <v>200</v>
      </c>
      <c r="AG119">
        <v>0</v>
      </c>
      <c r="AK119">
        <v>0</v>
      </c>
      <c r="AL119">
        <v>0</v>
      </c>
      <c r="AN119" t="s">
        <v>132</v>
      </c>
      <c r="BN119">
        <v>106</v>
      </c>
      <c r="CE11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9" s="19">
        <f>SUM(Table1[[#This Row],[Mid39]],Table1[[#This Row],[Mid36]],Table1[[#This Row],[Mid33]],Table1[[#This Row],[Mid30]],Table1[[#This Row],[Mid27]],Table1[[#This Row],[Mid24]],Table1[[#This Row],[Mid21]],Table1[[#This Row],[Mid18]],Table1[[#This Row],[Mid15]],Table1[[#This Row],[Mid12]],Table1[[#This Row],[Mid9]],Table1[[#This Row],[Mid6]],Table1[[#This Row],[Mid3]],Table1[[#This Row],[Mid]])</f>
        <v>106</v>
      </c>
      <c r="CG1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9" t="s">
        <v>135</v>
      </c>
      <c r="CI119" t="s">
        <v>134</v>
      </c>
      <c r="CJ119" t="s">
        <v>158</v>
      </c>
      <c r="CL119" s="19">
        <f>IF(Table1[[#This Row],[Type]]="Petroleum",1,IF(ISERROR(Table1[[#This Row],[Well Density]]*Table1[[#This Row],[Single Well Discovery Area]]),"",IF(Table1[[#This Row],[Well Density]]*Table1[[#This Row],[Single Well Discovery Area]]&gt;1,1,Table1[[#This Row],[Well Density]]*Table1[[#This Row],[Single Well Discovery Area]])))</f>
        <v>1</v>
      </c>
      <c r="CM119" t="s">
        <v>158</v>
      </c>
      <c r="CN119" s="19">
        <f>Table1[[#This Row],[Mid]]</f>
        <v>0</v>
      </c>
      <c r="CO119" s="19">
        <f>Table1[[#This Row],[Mid3]]+Table1[[#This Row],[Mid6]]+Table1[[#This Row],[Mid9]]</f>
        <v>0</v>
      </c>
      <c r="CP119" s="19">
        <f>Table1[[#This Row],[Mid12]]+Table1[[#This Row],[Mid15]]+Table1[[#This Row],[Mid18]]+Table1[[#This Row],[Mid21]]+Table1[[#This Row],[Mid24]]</f>
        <v>106</v>
      </c>
      <c r="CQ119" s="19">
        <f>Table1[[#This Row],[Mid27]]+Table1[[#This Row],[Mid30]]+Table1[[#This Row],[Mid33]]+Table1[[#This Row],[Mid36]]+Table1[[#This Row],[Mid39]]</f>
        <v>0</v>
      </c>
      <c r="CR119" t="s">
        <v>471</v>
      </c>
      <c r="CS119" s="19" t="str">
        <f>IF(AND(Table1[[#This Row],[Low41]]=0, Table1[[#This Row],[High43]]=0),"N","Y")</f>
        <v>N</v>
      </c>
    </row>
    <row r="120" spans="1:97" ht="19.5" customHeight="1" x14ac:dyDescent="0.25">
      <c r="A120">
        <v>10117</v>
      </c>
      <c r="B120" t="s">
        <v>464</v>
      </c>
      <c r="C120" t="s">
        <v>165</v>
      </c>
      <c r="D120">
        <v>-22.243055559999998</v>
      </c>
      <c r="E120">
        <v>-40.390555560000003</v>
      </c>
      <c r="F120" t="s">
        <v>491</v>
      </c>
      <c r="G120" t="s">
        <v>466</v>
      </c>
      <c r="H120" t="s">
        <v>492</v>
      </c>
      <c r="I120" t="s">
        <v>201</v>
      </c>
      <c r="J120" t="s">
        <v>202</v>
      </c>
      <c r="K120" t="s">
        <v>203</v>
      </c>
      <c r="L120" t="s">
        <v>121</v>
      </c>
      <c r="M120" t="s">
        <v>148</v>
      </c>
      <c r="N120" s="6" t="s">
        <v>467</v>
      </c>
      <c r="O120" t="s">
        <v>468</v>
      </c>
      <c r="P120" t="s">
        <v>170</v>
      </c>
      <c r="Q120" t="s">
        <v>469</v>
      </c>
      <c r="R120" t="s">
        <v>470</v>
      </c>
      <c r="S120">
        <v>2014</v>
      </c>
      <c r="T120" t="s">
        <v>207</v>
      </c>
      <c r="U120" t="s">
        <v>173</v>
      </c>
      <c r="V120"/>
      <c r="AF120">
        <v>200</v>
      </c>
      <c r="AG120">
        <v>0</v>
      </c>
      <c r="AK120">
        <v>0</v>
      </c>
      <c r="AL120">
        <v>0</v>
      </c>
      <c r="AN120" t="s">
        <v>132</v>
      </c>
      <c r="BN120">
        <v>4.8</v>
      </c>
      <c r="CE12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0" s="19">
        <f>SUM(Table1[[#This Row],[Mid39]],Table1[[#This Row],[Mid36]],Table1[[#This Row],[Mid33]],Table1[[#This Row],[Mid30]],Table1[[#This Row],[Mid27]],Table1[[#This Row],[Mid24]],Table1[[#This Row],[Mid21]],Table1[[#This Row],[Mid18]],Table1[[#This Row],[Mid15]],Table1[[#This Row],[Mid12]],Table1[[#This Row],[Mid9]],Table1[[#This Row],[Mid6]],Table1[[#This Row],[Mid3]],Table1[[#This Row],[Mid]])</f>
        <v>4.8</v>
      </c>
      <c r="CG1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0" t="s">
        <v>135</v>
      </c>
      <c r="CI120" t="s">
        <v>176</v>
      </c>
      <c r="CJ120" t="s">
        <v>158</v>
      </c>
      <c r="CL120" s="19">
        <f>IF(Table1[[#This Row],[Type]]="Petroleum",1,IF(ISERROR(Table1[[#This Row],[Well Density]]*Table1[[#This Row],[Single Well Discovery Area]]),"",IF(Table1[[#This Row],[Well Density]]*Table1[[#This Row],[Single Well Discovery Area]]&gt;1,1,Table1[[#This Row],[Well Density]]*Table1[[#This Row],[Single Well Discovery Area]])))</f>
        <v>1</v>
      </c>
      <c r="CM120" t="s">
        <v>158</v>
      </c>
      <c r="CN120" s="19">
        <f>Table1[[#This Row],[Mid]]</f>
        <v>0</v>
      </c>
      <c r="CO120" s="19">
        <f>Table1[[#This Row],[Mid3]]+Table1[[#This Row],[Mid6]]+Table1[[#This Row],[Mid9]]</f>
        <v>0</v>
      </c>
      <c r="CP120" s="19">
        <f>Table1[[#This Row],[Mid12]]+Table1[[#This Row],[Mid15]]+Table1[[#This Row],[Mid18]]+Table1[[#This Row],[Mid21]]+Table1[[#This Row],[Mid24]]</f>
        <v>4.8</v>
      </c>
      <c r="CQ120" s="19">
        <f>Table1[[#This Row],[Mid27]]+Table1[[#This Row],[Mid30]]+Table1[[#This Row],[Mid33]]+Table1[[#This Row],[Mid36]]+Table1[[#This Row],[Mid39]]</f>
        <v>0</v>
      </c>
      <c r="CR120" t="s">
        <v>471</v>
      </c>
      <c r="CS120" s="19" t="str">
        <f>IF(AND(Table1[[#This Row],[Low41]]=0, Table1[[#This Row],[High43]]=0),"N","Y")</f>
        <v>N</v>
      </c>
    </row>
    <row r="121" spans="1:97" ht="19.5" customHeight="1" x14ac:dyDescent="0.25">
      <c r="A121">
        <v>10118</v>
      </c>
      <c r="B121" t="s">
        <v>464</v>
      </c>
      <c r="C121" t="s">
        <v>165</v>
      </c>
      <c r="D121">
        <v>-21.8825</v>
      </c>
      <c r="E121">
        <v>-40.236944440000002</v>
      </c>
      <c r="F121" t="s">
        <v>493</v>
      </c>
      <c r="G121" t="s">
        <v>466</v>
      </c>
      <c r="I121" t="s">
        <v>201</v>
      </c>
      <c r="J121" t="s">
        <v>202</v>
      </c>
      <c r="K121" t="s">
        <v>203</v>
      </c>
      <c r="L121" t="s">
        <v>121</v>
      </c>
      <c r="M121" t="s">
        <v>191</v>
      </c>
      <c r="N121" s="6" t="s">
        <v>467</v>
      </c>
      <c r="O121" t="s">
        <v>468</v>
      </c>
      <c r="P121" t="s">
        <v>170</v>
      </c>
      <c r="Q121" t="s">
        <v>469</v>
      </c>
      <c r="R121" t="s">
        <v>470</v>
      </c>
      <c r="S121">
        <v>2014</v>
      </c>
      <c r="T121" t="s">
        <v>207</v>
      </c>
      <c r="U121" t="s">
        <v>173</v>
      </c>
      <c r="V121"/>
      <c r="AF121">
        <v>200</v>
      </c>
      <c r="AG121">
        <v>0</v>
      </c>
      <c r="AK121">
        <v>0</v>
      </c>
      <c r="AL121">
        <v>0</v>
      </c>
      <c r="AN121" t="s">
        <v>132</v>
      </c>
      <c r="BN121">
        <v>61.3</v>
      </c>
      <c r="CE12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1" s="19">
        <f>SUM(Table1[[#This Row],[Mid39]],Table1[[#This Row],[Mid36]],Table1[[#This Row],[Mid33]],Table1[[#This Row],[Mid30]],Table1[[#This Row],[Mid27]],Table1[[#This Row],[Mid24]],Table1[[#This Row],[Mid21]],Table1[[#This Row],[Mid18]],Table1[[#This Row],[Mid15]],Table1[[#This Row],[Mid12]],Table1[[#This Row],[Mid9]],Table1[[#This Row],[Mid6]],Table1[[#This Row],[Mid3]],Table1[[#This Row],[Mid]])</f>
        <v>61.3</v>
      </c>
      <c r="CG1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1" t="s">
        <v>135</v>
      </c>
      <c r="CI121" t="s">
        <v>134</v>
      </c>
      <c r="CJ121" t="s">
        <v>158</v>
      </c>
      <c r="CL121" s="19">
        <f>IF(Table1[[#This Row],[Type]]="Petroleum",1,IF(ISERROR(Table1[[#This Row],[Well Density]]*Table1[[#This Row],[Single Well Discovery Area]]),"",IF(Table1[[#This Row],[Well Density]]*Table1[[#This Row],[Single Well Discovery Area]]&gt;1,1,Table1[[#This Row],[Well Density]]*Table1[[#This Row],[Single Well Discovery Area]])))</f>
        <v>1</v>
      </c>
      <c r="CM121" t="s">
        <v>158</v>
      </c>
      <c r="CN121" s="19">
        <f>Table1[[#This Row],[Mid]]</f>
        <v>0</v>
      </c>
      <c r="CO121" s="19">
        <f>Table1[[#This Row],[Mid3]]+Table1[[#This Row],[Mid6]]+Table1[[#This Row],[Mid9]]</f>
        <v>0</v>
      </c>
      <c r="CP121" s="19">
        <f>Table1[[#This Row],[Mid12]]+Table1[[#This Row],[Mid15]]+Table1[[#This Row],[Mid18]]+Table1[[#This Row],[Mid21]]+Table1[[#This Row],[Mid24]]</f>
        <v>61.3</v>
      </c>
      <c r="CQ121" s="19">
        <f>Table1[[#This Row],[Mid27]]+Table1[[#This Row],[Mid30]]+Table1[[#This Row],[Mid33]]+Table1[[#This Row],[Mid36]]+Table1[[#This Row],[Mid39]]</f>
        <v>0</v>
      </c>
      <c r="CR121" t="s">
        <v>471</v>
      </c>
      <c r="CS121" s="19" t="str">
        <f>IF(AND(Table1[[#This Row],[Low41]]=0, Table1[[#This Row],[High43]]=0),"N","Y")</f>
        <v>N</v>
      </c>
    </row>
    <row r="122" spans="1:97" ht="19.5" customHeight="1" x14ac:dyDescent="0.25">
      <c r="A122">
        <v>10119</v>
      </c>
      <c r="B122" t="s">
        <v>464</v>
      </c>
      <c r="C122" t="s">
        <v>165</v>
      </c>
      <c r="D122">
        <v>-22.367777780000001</v>
      </c>
      <c r="E122">
        <v>-40.534999999999997</v>
      </c>
      <c r="F122" t="s">
        <v>494</v>
      </c>
      <c r="G122" t="s">
        <v>466</v>
      </c>
      <c r="H122" t="s">
        <v>495</v>
      </c>
      <c r="I122" t="s">
        <v>201</v>
      </c>
      <c r="J122" t="s">
        <v>202</v>
      </c>
      <c r="K122" t="s">
        <v>203</v>
      </c>
      <c r="L122" t="s">
        <v>121</v>
      </c>
      <c r="M122" t="s">
        <v>122</v>
      </c>
      <c r="N122" s="6" t="s">
        <v>467</v>
      </c>
      <c r="O122" t="s">
        <v>468</v>
      </c>
      <c r="P122" t="s">
        <v>170</v>
      </c>
      <c r="Q122" t="s">
        <v>469</v>
      </c>
      <c r="R122" t="s">
        <v>470</v>
      </c>
      <c r="S122">
        <v>2014</v>
      </c>
      <c r="T122" t="s">
        <v>207</v>
      </c>
      <c r="U122" t="s">
        <v>173</v>
      </c>
      <c r="V122"/>
      <c r="AF122">
        <v>200</v>
      </c>
      <c r="AG122">
        <v>0</v>
      </c>
      <c r="AK122">
        <v>0</v>
      </c>
      <c r="AL122">
        <v>0</v>
      </c>
      <c r="AN122" t="s">
        <v>132</v>
      </c>
      <c r="BN122">
        <v>5</v>
      </c>
      <c r="CE12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2" s="19">
        <f>SUM(Table1[[#This Row],[Mid39]],Table1[[#This Row],[Mid36]],Table1[[#This Row],[Mid33]],Table1[[#This Row],[Mid30]],Table1[[#This Row],[Mid27]],Table1[[#This Row],[Mid24]],Table1[[#This Row],[Mid21]],Table1[[#This Row],[Mid18]],Table1[[#This Row],[Mid15]],Table1[[#This Row],[Mid12]],Table1[[#This Row],[Mid9]],Table1[[#This Row],[Mid6]],Table1[[#This Row],[Mid3]],Table1[[#This Row],[Mid]])</f>
        <v>5</v>
      </c>
      <c r="CG1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2" t="s">
        <v>135</v>
      </c>
      <c r="CI122" t="s">
        <v>176</v>
      </c>
      <c r="CJ122" t="s">
        <v>158</v>
      </c>
      <c r="CL122" s="19">
        <f>IF(Table1[[#This Row],[Type]]="Petroleum",1,IF(ISERROR(Table1[[#This Row],[Well Density]]*Table1[[#This Row],[Single Well Discovery Area]]),"",IF(Table1[[#This Row],[Well Density]]*Table1[[#This Row],[Single Well Discovery Area]]&gt;1,1,Table1[[#This Row],[Well Density]]*Table1[[#This Row],[Single Well Discovery Area]])))</f>
        <v>1</v>
      </c>
      <c r="CM122" t="s">
        <v>158</v>
      </c>
      <c r="CN122" s="19">
        <f>Table1[[#This Row],[Mid]]</f>
        <v>0</v>
      </c>
      <c r="CO122" s="19">
        <f>Table1[[#This Row],[Mid3]]+Table1[[#This Row],[Mid6]]+Table1[[#This Row],[Mid9]]</f>
        <v>0</v>
      </c>
      <c r="CP122" s="19">
        <f>Table1[[#This Row],[Mid12]]+Table1[[#This Row],[Mid15]]+Table1[[#This Row],[Mid18]]+Table1[[#This Row],[Mid21]]+Table1[[#This Row],[Mid24]]</f>
        <v>5</v>
      </c>
      <c r="CQ122" s="19">
        <f>Table1[[#This Row],[Mid27]]+Table1[[#This Row],[Mid30]]+Table1[[#This Row],[Mid33]]+Table1[[#This Row],[Mid36]]+Table1[[#This Row],[Mid39]]</f>
        <v>0</v>
      </c>
      <c r="CR122" t="s">
        <v>471</v>
      </c>
      <c r="CS122" s="19" t="str">
        <f>IF(AND(Table1[[#This Row],[Low41]]=0, Table1[[#This Row],[High43]]=0),"N","Y")</f>
        <v>N</v>
      </c>
    </row>
    <row r="123" spans="1:97" ht="19.5" customHeight="1" x14ac:dyDescent="0.25">
      <c r="A123">
        <v>10120</v>
      </c>
      <c r="B123" t="s">
        <v>464</v>
      </c>
      <c r="C123" t="s">
        <v>165</v>
      </c>
      <c r="D123">
        <v>-22.288611110000002</v>
      </c>
      <c r="E123">
        <v>-40.423888890000001</v>
      </c>
      <c r="F123" t="s">
        <v>496</v>
      </c>
      <c r="G123" t="s">
        <v>466</v>
      </c>
      <c r="H123" t="s">
        <v>482</v>
      </c>
      <c r="I123" t="s">
        <v>201</v>
      </c>
      <c r="J123" t="s">
        <v>202</v>
      </c>
      <c r="K123" t="s">
        <v>203</v>
      </c>
      <c r="L123" t="s">
        <v>121</v>
      </c>
      <c r="M123" t="s">
        <v>487</v>
      </c>
      <c r="N123" s="6" t="s">
        <v>467</v>
      </c>
      <c r="O123" t="s">
        <v>468</v>
      </c>
      <c r="P123" t="s">
        <v>170</v>
      </c>
      <c r="Q123" t="s">
        <v>469</v>
      </c>
      <c r="R123" t="s">
        <v>470</v>
      </c>
      <c r="S123">
        <v>2014</v>
      </c>
      <c r="T123" t="s">
        <v>207</v>
      </c>
      <c r="U123" t="s">
        <v>173</v>
      </c>
      <c r="V123"/>
      <c r="AF123">
        <v>200</v>
      </c>
      <c r="AG123">
        <v>0</v>
      </c>
      <c r="AK123">
        <v>0</v>
      </c>
      <c r="AL123">
        <v>0</v>
      </c>
      <c r="AN123" t="s">
        <v>132</v>
      </c>
      <c r="BN123">
        <v>3</v>
      </c>
      <c r="CE12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3" s="19">
        <f>SUM(Table1[[#This Row],[Mid39]],Table1[[#This Row],[Mid36]],Table1[[#This Row],[Mid33]],Table1[[#This Row],[Mid30]],Table1[[#This Row],[Mid27]],Table1[[#This Row],[Mid24]],Table1[[#This Row],[Mid21]],Table1[[#This Row],[Mid18]],Table1[[#This Row],[Mid15]],Table1[[#This Row],[Mid12]],Table1[[#This Row],[Mid9]],Table1[[#This Row],[Mid6]],Table1[[#This Row],[Mid3]],Table1[[#This Row],[Mid]])</f>
        <v>3</v>
      </c>
      <c r="CG1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3" t="s">
        <v>135</v>
      </c>
      <c r="CI123" t="s">
        <v>134</v>
      </c>
      <c r="CJ123" t="s">
        <v>158</v>
      </c>
      <c r="CL123" s="19">
        <f>IF(Table1[[#This Row],[Type]]="Petroleum",1,IF(ISERROR(Table1[[#This Row],[Well Density]]*Table1[[#This Row],[Single Well Discovery Area]]),"",IF(Table1[[#This Row],[Well Density]]*Table1[[#This Row],[Single Well Discovery Area]]&gt;1,1,Table1[[#This Row],[Well Density]]*Table1[[#This Row],[Single Well Discovery Area]])))</f>
        <v>1</v>
      </c>
      <c r="CM123" t="s">
        <v>158</v>
      </c>
      <c r="CN123" s="19">
        <f>Table1[[#This Row],[Mid]]</f>
        <v>0</v>
      </c>
      <c r="CO123" s="19">
        <f>Table1[[#This Row],[Mid3]]+Table1[[#This Row],[Mid6]]+Table1[[#This Row],[Mid9]]</f>
        <v>0</v>
      </c>
      <c r="CP123" s="19">
        <f>Table1[[#This Row],[Mid12]]+Table1[[#This Row],[Mid15]]+Table1[[#This Row],[Mid18]]+Table1[[#This Row],[Mid21]]+Table1[[#This Row],[Mid24]]</f>
        <v>3</v>
      </c>
      <c r="CQ123" s="19">
        <f>Table1[[#This Row],[Mid27]]+Table1[[#This Row],[Mid30]]+Table1[[#This Row],[Mid33]]+Table1[[#This Row],[Mid36]]+Table1[[#This Row],[Mid39]]</f>
        <v>0</v>
      </c>
      <c r="CR123" t="s">
        <v>471</v>
      </c>
      <c r="CS123" s="19" t="str">
        <f>IF(AND(Table1[[#This Row],[Low41]]=0, Table1[[#This Row],[High43]]=0),"N","Y")</f>
        <v>N</v>
      </c>
    </row>
    <row r="124" spans="1:97" ht="19.5" customHeight="1" x14ac:dyDescent="0.25">
      <c r="A124">
        <v>10121</v>
      </c>
      <c r="B124" t="s">
        <v>464</v>
      </c>
      <c r="C124" t="s">
        <v>165</v>
      </c>
      <c r="D124">
        <v>-22.340277780000001</v>
      </c>
      <c r="E124">
        <v>-40.438055560000002</v>
      </c>
      <c r="F124" t="s">
        <v>497</v>
      </c>
      <c r="G124" t="s">
        <v>466</v>
      </c>
      <c r="H124" t="s">
        <v>466</v>
      </c>
      <c r="I124" t="s">
        <v>201</v>
      </c>
      <c r="J124" t="s">
        <v>202</v>
      </c>
      <c r="K124" t="s">
        <v>203</v>
      </c>
      <c r="L124" t="s">
        <v>121</v>
      </c>
      <c r="M124" t="s">
        <v>122</v>
      </c>
      <c r="N124" s="6" t="s">
        <v>467</v>
      </c>
      <c r="O124" t="s">
        <v>468</v>
      </c>
      <c r="P124" t="s">
        <v>170</v>
      </c>
      <c r="Q124" t="s">
        <v>469</v>
      </c>
      <c r="R124" t="s">
        <v>470</v>
      </c>
      <c r="S124">
        <v>2014</v>
      </c>
      <c r="T124" t="s">
        <v>207</v>
      </c>
      <c r="U124" t="s">
        <v>173</v>
      </c>
      <c r="V124"/>
      <c r="AF124">
        <v>200</v>
      </c>
      <c r="AG124">
        <v>0</v>
      </c>
      <c r="AK124">
        <v>0</v>
      </c>
      <c r="AL124">
        <v>0</v>
      </c>
      <c r="AN124" t="s">
        <v>132</v>
      </c>
      <c r="BN124">
        <v>11.3</v>
      </c>
      <c r="CE12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4" s="19">
        <f>SUM(Table1[[#This Row],[Mid39]],Table1[[#This Row],[Mid36]],Table1[[#This Row],[Mid33]],Table1[[#This Row],[Mid30]],Table1[[#This Row],[Mid27]],Table1[[#This Row],[Mid24]],Table1[[#This Row],[Mid21]],Table1[[#This Row],[Mid18]],Table1[[#This Row],[Mid15]],Table1[[#This Row],[Mid12]],Table1[[#This Row],[Mid9]],Table1[[#This Row],[Mid6]],Table1[[#This Row],[Mid3]],Table1[[#This Row],[Mid]])</f>
        <v>11.3</v>
      </c>
      <c r="CG1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4" t="s">
        <v>135</v>
      </c>
      <c r="CI124" t="s">
        <v>189</v>
      </c>
      <c r="CJ124" t="s">
        <v>158</v>
      </c>
      <c r="CL124" s="19">
        <f>IF(Table1[[#This Row],[Type]]="Petroleum",1,IF(ISERROR(Table1[[#This Row],[Well Density]]*Table1[[#This Row],[Single Well Discovery Area]]),"",IF(Table1[[#This Row],[Well Density]]*Table1[[#This Row],[Single Well Discovery Area]]&gt;1,1,Table1[[#This Row],[Well Density]]*Table1[[#This Row],[Single Well Discovery Area]])))</f>
        <v>1</v>
      </c>
      <c r="CM124" t="s">
        <v>158</v>
      </c>
      <c r="CN124" s="19">
        <f>Table1[[#This Row],[Mid]]</f>
        <v>0</v>
      </c>
      <c r="CO124" s="19">
        <f>Table1[[#This Row],[Mid3]]+Table1[[#This Row],[Mid6]]+Table1[[#This Row],[Mid9]]</f>
        <v>0</v>
      </c>
      <c r="CP124" s="19">
        <f>Table1[[#This Row],[Mid12]]+Table1[[#This Row],[Mid15]]+Table1[[#This Row],[Mid18]]+Table1[[#This Row],[Mid21]]+Table1[[#This Row],[Mid24]]</f>
        <v>11.3</v>
      </c>
      <c r="CQ124" s="19">
        <f>Table1[[#This Row],[Mid27]]+Table1[[#This Row],[Mid30]]+Table1[[#This Row],[Mid33]]+Table1[[#This Row],[Mid36]]+Table1[[#This Row],[Mid39]]</f>
        <v>0</v>
      </c>
      <c r="CR124" t="s">
        <v>471</v>
      </c>
      <c r="CS124" s="19" t="str">
        <f>IF(AND(Table1[[#This Row],[Low41]]=0, Table1[[#This Row],[High43]]=0),"N","Y")</f>
        <v>N</v>
      </c>
    </row>
    <row r="125" spans="1:97" ht="19.5" customHeight="1" x14ac:dyDescent="0.25">
      <c r="A125">
        <v>10122</v>
      </c>
      <c r="B125" t="s">
        <v>464</v>
      </c>
      <c r="C125" t="s">
        <v>165</v>
      </c>
      <c r="D125">
        <v>-22.268888889999999</v>
      </c>
      <c r="E125">
        <v>-40.259166669999999</v>
      </c>
      <c r="F125" t="s">
        <v>498</v>
      </c>
      <c r="G125" t="s">
        <v>466</v>
      </c>
      <c r="H125" t="s">
        <v>482</v>
      </c>
      <c r="I125" t="s">
        <v>201</v>
      </c>
      <c r="J125" t="s">
        <v>202</v>
      </c>
      <c r="K125" t="s">
        <v>203</v>
      </c>
      <c r="L125" t="s">
        <v>121</v>
      </c>
      <c r="M125" t="s">
        <v>478</v>
      </c>
      <c r="N125" s="6" t="s">
        <v>467</v>
      </c>
      <c r="O125" t="s">
        <v>468</v>
      </c>
      <c r="P125" t="s">
        <v>170</v>
      </c>
      <c r="Q125" t="s">
        <v>469</v>
      </c>
      <c r="R125" t="s">
        <v>470</v>
      </c>
      <c r="S125">
        <v>2014</v>
      </c>
      <c r="T125" t="s">
        <v>207</v>
      </c>
      <c r="U125" t="s">
        <v>173</v>
      </c>
      <c r="V125"/>
      <c r="AF125">
        <v>200</v>
      </c>
      <c r="AG125">
        <v>0</v>
      </c>
      <c r="AK125">
        <v>0</v>
      </c>
      <c r="AL125">
        <v>0</v>
      </c>
      <c r="AN125" t="s">
        <v>132</v>
      </c>
      <c r="BN125">
        <v>174.3</v>
      </c>
      <c r="CE12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5" s="19">
        <f>SUM(Table1[[#This Row],[Mid39]],Table1[[#This Row],[Mid36]],Table1[[#This Row],[Mid33]],Table1[[#This Row],[Mid30]],Table1[[#This Row],[Mid27]],Table1[[#This Row],[Mid24]],Table1[[#This Row],[Mid21]],Table1[[#This Row],[Mid18]],Table1[[#This Row],[Mid15]],Table1[[#This Row],[Mid12]],Table1[[#This Row],[Mid9]],Table1[[#This Row],[Mid6]],Table1[[#This Row],[Mid3]],Table1[[#This Row],[Mid]])</f>
        <v>174.3</v>
      </c>
      <c r="CG1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5" t="s">
        <v>135</v>
      </c>
      <c r="CI125" t="s">
        <v>134</v>
      </c>
      <c r="CJ125" t="s">
        <v>158</v>
      </c>
      <c r="CL125" s="19">
        <f>IF(Table1[[#This Row],[Type]]="Petroleum",1,IF(ISERROR(Table1[[#This Row],[Well Density]]*Table1[[#This Row],[Single Well Discovery Area]]),"",IF(Table1[[#This Row],[Well Density]]*Table1[[#This Row],[Single Well Discovery Area]]&gt;1,1,Table1[[#This Row],[Well Density]]*Table1[[#This Row],[Single Well Discovery Area]])))</f>
        <v>1</v>
      </c>
      <c r="CM125" t="s">
        <v>158</v>
      </c>
      <c r="CN125" s="19">
        <f>Table1[[#This Row],[Mid]]</f>
        <v>0</v>
      </c>
      <c r="CO125" s="19">
        <f>Table1[[#This Row],[Mid3]]+Table1[[#This Row],[Mid6]]+Table1[[#This Row],[Mid9]]</f>
        <v>0</v>
      </c>
      <c r="CP125" s="19">
        <f>Table1[[#This Row],[Mid12]]+Table1[[#This Row],[Mid15]]+Table1[[#This Row],[Mid18]]+Table1[[#This Row],[Mid21]]+Table1[[#This Row],[Mid24]]</f>
        <v>174.3</v>
      </c>
      <c r="CQ125" s="19">
        <f>Table1[[#This Row],[Mid27]]+Table1[[#This Row],[Mid30]]+Table1[[#This Row],[Mid33]]+Table1[[#This Row],[Mid36]]+Table1[[#This Row],[Mid39]]</f>
        <v>0</v>
      </c>
      <c r="CR125" t="s">
        <v>471</v>
      </c>
      <c r="CS125" s="19" t="str">
        <f>IF(AND(Table1[[#This Row],[Low41]]=0, Table1[[#This Row],[High43]]=0),"N","Y")</f>
        <v>N</v>
      </c>
    </row>
    <row r="126" spans="1:97" ht="19.5" customHeight="1" x14ac:dyDescent="0.25">
      <c r="A126">
        <v>10123</v>
      </c>
      <c r="B126" t="s">
        <v>464</v>
      </c>
      <c r="C126" t="s">
        <v>165</v>
      </c>
      <c r="D126">
        <v>-22.26694444</v>
      </c>
      <c r="E126">
        <v>-40.387500000000003</v>
      </c>
      <c r="F126" t="s">
        <v>499</v>
      </c>
      <c r="G126" t="s">
        <v>466</v>
      </c>
      <c r="H126" t="s">
        <v>492</v>
      </c>
      <c r="I126" t="s">
        <v>201</v>
      </c>
      <c r="J126" t="s">
        <v>202</v>
      </c>
      <c r="K126" t="s">
        <v>203</v>
      </c>
      <c r="L126" t="s">
        <v>121</v>
      </c>
      <c r="M126" t="s">
        <v>191</v>
      </c>
      <c r="N126" s="6" t="s">
        <v>467</v>
      </c>
      <c r="O126" t="s">
        <v>468</v>
      </c>
      <c r="P126" t="s">
        <v>170</v>
      </c>
      <c r="Q126" t="s">
        <v>469</v>
      </c>
      <c r="R126" t="s">
        <v>470</v>
      </c>
      <c r="S126">
        <v>2014</v>
      </c>
      <c r="T126" t="s">
        <v>207</v>
      </c>
      <c r="U126" t="s">
        <v>173</v>
      </c>
      <c r="V126"/>
      <c r="AF126">
        <v>200</v>
      </c>
      <c r="AG126">
        <v>0</v>
      </c>
      <c r="AK126">
        <v>0</v>
      </c>
      <c r="AL126">
        <v>0</v>
      </c>
      <c r="AN126" t="s">
        <v>132</v>
      </c>
      <c r="BN126">
        <v>25.5</v>
      </c>
      <c r="CE12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6" s="19">
        <f>SUM(Table1[[#This Row],[Mid39]],Table1[[#This Row],[Mid36]],Table1[[#This Row],[Mid33]],Table1[[#This Row],[Mid30]],Table1[[#This Row],[Mid27]],Table1[[#This Row],[Mid24]],Table1[[#This Row],[Mid21]],Table1[[#This Row],[Mid18]],Table1[[#This Row],[Mid15]],Table1[[#This Row],[Mid12]],Table1[[#This Row],[Mid9]],Table1[[#This Row],[Mid6]],Table1[[#This Row],[Mid3]],Table1[[#This Row],[Mid]])</f>
        <v>25.5</v>
      </c>
      <c r="CG1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6" t="s">
        <v>135</v>
      </c>
      <c r="CI126" t="s">
        <v>134</v>
      </c>
      <c r="CJ126" t="s">
        <v>158</v>
      </c>
      <c r="CL126" s="19">
        <f>IF(Table1[[#This Row],[Type]]="Petroleum",1,IF(ISERROR(Table1[[#This Row],[Well Density]]*Table1[[#This Row],[Single Well Discovery Area]]),"",IF(Table1[[#This Row],[Well Density]]*Table1[[#This Row],[Single Well Discovery Area]]&gt;1,1,Table1[[#This Row],[Well Density]]*Table1[[#This Row],[Single Well Discovery Area]])))</f>
        <v>1</v>
      </c>
      <c r="CM126" t="s">
        <v>158</v>
      </c>
      <c r="CN126" s="19">
        <f>Table1[[#This Row],[Mid]]</f>
        <v>0</v>
      </c>
      <c r="CO126" s="19">
        <f>Table1[[#This Row],[Mid3]]+Table1[[#This Row],[Mid6]]+Table1[[#This Row],[Mid9]]</f>
        <v>0</v>
      </c>
      <c r="CP126" s="19">
        <f>Table1[[#This Row],[Mid12]]+Table1[[#This Row],[Mid15]]+Table1[[#This Row],[Mid18]]+Table1[[#This Row],[Mid21]]+Table1[[#This Row],[Mid24]]</f>
        <v>25.5</v>
      </c>
      <c r="CQ126" s="19">
        <f>Table1[[#This Row],[Mid27]]+Table1[[#This Row],[Mid30]]+Table1[[#This Row],[Mid33]]+Table1[[#This Row],[Mid36]]+Table1[[#This Row],[Mid39]]</f>
        <v>0</v>
      </c>
      <c r="CR126" t="s">
        <v>471</v>
      </c>
      <c r="CS126" s="19" t="str">
        <f>IF(AND(Table1[[#This Row],[Low41]]=0, Table1[[#This Row],[High43]]=0),"N","Y")</f>
        <v>N</v>
      </c>
    </row>
    <row r="127" spans="1:97" ht="19.5" customHeight="1" x14ac:dyDescent="0.25">
      <c r="A127">
        <v>10124</v>
      </c>
      <c r="B127" t="s">
        <v>464</v>
      </c>
      <c r="C127" t="s">
        <v>165</v>
      </c>
      <c r="D127">
        <v>-22.38472222</v>
      </c>
      <c r="E127">
        <v>-40.520555559999998</v>
      </c>
      <c r="F127" t="s">
        <v>500</v>
      </c>
      <c r="G127" t="s">
        <v>466</v>
      </c>
      <c r="H127" t="s">
        <v>501</v>
      </c>
      <c r="I127" t="s">
        <v>201</v>
      </c>
      <c r="J127" t="s">
        <v>202</v>
      </c>
      <c r="K127" t="s">
        <v>203</v>
      </c>
      <c r="L127" t="s">
        <v>121</v>
      </c>
      <c r="M127" t="s">
        <v>191</v>
      </c>
      <c r="N127" s="6" t="s">
        <v>467</v>
      </c>
      <c r="O127" t="s">
        <v>468</v>
      </c>
      <c r="P127" t="s">
        <v>170</v>
      </c>
      <c r="Q127" t="s">
        <v>469</v>
      </c>
      <c r="R127" t="s">
        <v>470</v>
      </c>
      <c r="S127">
        <v>2014</v>
      </c>
      <c r="T127" t="s">
        <v>207</v>
      </c>
      <c r="U127" t="s">
        <v>173</v>
      </c>
      <c r="V127"/>
      <c r="AF127">
        <v>200</v>
      </c>
      <c r="AG127">
        <v>0</v>
      </c>
      <c r="AK127">
        <v>0</v>
      </c>
      <c r="AL127">
        <v>0</v>
      </c>
      <c r="AN127" t="s">
        <v>132</v>
      </c>
      <c r="BN127">
        <v>20.2</v>
      </c>
      <c r="CE12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7" s="19">
        <f>SUM(Table1[[#This Row],[Mid39]],Table1[[#This Row],[Mid36]],Table1[[#This Row],[Mid33]],Table1[[#This Row],[Mid30]],Table1[[#This Row],[Mid27]],Table1[[#This Row],[Mid24]],Table1[[#This Row],[Mid21]],Table1[[#This Row],[Mid18]],Table1[[#This Row],[Mid15]],Table1[[#This Row],[Mid12]],Table1[[#This Row],[Mid9]],Table1[[#This Row],[Mid6]],Table1[[#This Row],[Mid3]],Table1[[#This Row],[Mid]])</f>
        <v>20.2</v>
      </c>
      <c r="CG1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7" t="s">
        <v>135</v>
      </c>
      <c r="CI127" t="s">
        <v>176</v>
      </c>
      <c r="CJ127" t="s">
        <v>158</v>
      </c>
      <c r="CL127" s="19">
        <f>IF(Table1[[#This Row],[Type]]="Petroleum",1,IF(ISERROR(Table1[[#This Row],[Well Density]]*Table1[[#This Row],[Single Well Discovery Area]]),"",IF(Table1[[#This Row],[Well Density]]*Table1[[#This Row],[Single Well Discovery Area]]&gt;1,1,Table1[[#This Row],[Well Density]]*Table1[[#This Row],[Single Well Discovery Area]])))</f>
        <v>1</v>
      </c>
      <c r="CM127" t="s">
        <v>158</v>
      </c>
      <c r="CN127" s="19">
        <f>Table1[[#This Row],[Mid]]</f>
        <v>0</v>
      </c>
      <c r="CO127" s="19">
        <f>Table1[[#This Row],[Mid3]]+Table1[[#This Row],[Mid6]]+Table1[[#This Row],[Mid9]]</f>
        <v>0</v>
      </c>
      <c r="CP127" s="19">
        <f>Table1[[#This Row],[Mid12]]+Table1[[#This Row],[Mid15]]+Table1[[#This Row],[Mid18]]+Table1[[#This Row],[Mid21]]+Table1[[#This Row],[Mid24]]</f>
        <v>20.2</v>
      </c>
      <c r="CQ127" s="19">
        <f>Table1[[#This Row],[Mid27]]+Table1[[#This Row],[Mid30]]+Table1[[#This Row],[Mid33]]+Table1[[#This Row],[Mid36]]+Table1[[#This Row],[Mid39]]</f>
        <v>0</v>
      </c>
      <c r="CR127" t="s">
        <v>471</v>
      </c>
      <c r="CS127" s="19" t="str">
        <f>IF(AND(Table1[[#This Row],[Low41]]=0, Table1[[#This Row],[High43]]=0),"N","Y")</f>
        <v>N</v>
      </c>
    </row>
    <row r="128" spans="1:97" ht="19.5" customHeight="1" x14ac:dyDescent="0.25">
      <c r="A128">
        <v>10125</v>
      </c>
      <c r="B128" t="s">
        <v>464</v>
      </c>
      <c r="C128" t="s">
        <v>165</v>
      </c>
      <c r="D128">
        <v>-4.619722222</v>
      </c>
      <c r="E128">
        <v>-36.928333330000001</v>
      </c>
      <c r="F128" t="s">
        <v>502</v>
      </c>
      <c r="G128" t="s">
        <v>502</v>
      </c>
      <c r="I128" t="s">
        <v>201</v>
      </c>
      <c r="J128" t="s">
        <v>202</v>
      </c>
      <c r="K128" t="s">
        <v>203</v>
      </c>
      <c r="L128" t="s">
        <v>121</v>
      </c>
      <c r="N128" s="6" t="s">
        <v>475</v>
      </c>
      <c r="O128" t="s">
        <v>476</v>
      </c>
      <c r="P128" t="s">
        <v>170</v>
      </c>
      <c r="Q128" t="s">
        <v>469</v>
      </c>
      <c r="R128" t="s">
        <v>470</v>
      </c>
      <c r="S128">
        <v>2011</v>
      </c>
      <c r="T128" t="s">
        <v>153</v>
      </c>
      <c r="U128" t="s">
        <v>154</v>
      </c>
      <c r="V128"/>
      <c r="AF128">
        <v>200</v>
      </c>
      <c r="AG128">
        <v>0</v>
      </c>
      <c r="AK128">
        <v>0</v>
      </c>
      <c r="AL128">
        <v>0</v>
      </c>
      <c r="AN128" t="s">
        <v>132</v>
      </c>
      <c r="BN128">
        <v>97</v>
      </c>
      <c r="CE12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8" s="19">
        <f>SUM(Table1[[#This Row],[Mid39]],Table1[[#This Row],[Mid36]],Table1[[#This Row],[Mid33]],Table1[[#This Row],[Mid30]],Table1[[#This Row],[Mid27]],Table1[[#This Row],[Mid24]],Table1[[#This Row],[Mid21]],Table1[[#This Row],[Mid18]],Table1[[#This Row],[Mid15]],Table1[[#This Row],[Mid12]],Table1[[#This Row],[Mid9]],Table1[[#This Row],[Mid6]],Table1[[#This Row],[Mid3]],Table1[[#This Row],[Mid]])</f>
        <v>97</v>
      </c>
      <c r="CG1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8" t="s">
        <v>135</v>
      </c>
      <c r="CI128" t="s">
        <v>134</v>
      </c>
      <c r="CJ128" t="s">
        <v>158</v>
      </c>
      <c r="CL128" s="19">
        <f>IF(Table1[[#This Row],[Type]]="Petroleum",1,IF(ISERROR(Table1[[#This Row],[Well Density]]*Table1[[#This Row],[Single Well Discovery Area]]),"",IF(Table1[[#This Row],[Well Density]]*Table1[[#This Row],[Single Well Discovery Area]]&gt;1,1,Table1[[#This Row],[Well Density]]*Table1[[#This Row],[Single Well Discovery Area]])))</f>
        <v>1</v>
      </c>
      <c r="CM128" t="s">
        <v>158</v>
      </c>
      <c r="CN128" s="19">
        <f>Table1[[#This Row],[Mid]]</f>
        <v>0</v>
      </c>
      <c r="CO128" s="19">
        <f>Table1[[#This Row],[Mid3]]+Table1[[#This Row],[Mid6]]+Table1[[#This Row],[Mid9]]</f>
        <v>0</v>
      </c>
      <c r="CP128" s="19">
        <f>Table1[[#This Row],[Mid12]]+Table1[[#This Row],[Mid15]]+Table1[[#This Row],[Mid18]]+Table1[[#This Row],[Mid21]]+Table1[[#This Row],[Mid24]]</f>
        <v>97</v>
      </c>
      <c r="CQ128" s="19">
        <f>Table1[[#This Row],[Mid27]]+Table1[[#This Row],[Mid30]]+Table1[[#This Row],[Mid33]]+Table1[[#This Row],[Mid36]]+Table1[[#This Row],[Mid39]]</f>
        <v>0</v>
      </c>
      <c r="CR128" t="s">
        <v>471</v>
      </c>
      <c r="CS128" s="19" t="str">
        <f>IF(AND(Table1[[#This Row],[Low41]]=0, Table1[[#This Row],[High43]]=0),"N","Y")</f>
        <v>N</v>
      </c>
    </row>
    <row r="129" spans="1:97" ht="19.5" customHeight="1" x14ac:dyDescent="0.25">
      <c r="A129">
        <v>10126</v>
      </c>
      <c r="B129" t="s">
        <v>464</v>
      </c>
      <c r="C129" t="s">
        <v>165</v>
      </c>
      <c r="D129">
        <v>-22.094999999999999</v>
      </c>
      <c r="E129">
        <v>-40.145555559999998</v>
      </c>
      <c r="F129" t="s">
        <v>503</v>
      </c>
      <c r="G129" t="s">
        <v>466</v>
      </c>
      <c r="H129" t="s">
        <v>504</v>
      </c>
      <c r="I129" t="s">
        <v>201</v>
      </c>
      <c r="J129" t="s">
        <v>202</v>
      </c>
      <c r="K129" t="s">
        <v>203</v>
      </c>
      <c r="L129" t="s">
        <v>121</v>
      </c>
      <c r="M129" t="s">
        <v>191</v>
      </c>
      <c r="N129" s="6" t="s">
        <v>467</v>
      </c>
      <c r="O129" t="s">
        <v>468</v>
      </c>
      <c r="P129" t="s">
        <v>170</v>
      </c>
      <c r="Q129" t="s">
        <v>469</v>
      </c>
      <c r="R129" t="s">
        <v>470</v>
      </c>
      <c r="S129">
        <v>2014</v>
      </c>
      <c r="T129" t="s">
        <v>207</v>
      </c>
      <c r="U129" t="s">
        <v>173</v>
      </c>
      <c r="V129"/>
      <c r="AF129">
        <v>200</v>
      </c>
      <c r="AG129">
        <v>0</v>
      </c>
      <c r="AK129">
        <v>0</v>
      </c>
      <c r="AL129">
        <v>0</v>
      </c>
      <c r="AN129" t="s">
        <v>132</v>
      </c>
      <c r="BN129">
        <v>265.2</v>
      </c>
      <c r="CE12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9" s="19">
        <f>SUM(Table1[[#This Row],[Mid39]],Table1[[#This Row],[Mid36]],Table1[[#This Row],[Mid33]],Table1[[#This Row],[Mid30]],Table1[[#This Row],[Mid27]],Table1[[#This Row],[Mid24]],Table1[[#This Row],[Mid21]],Table1[[#This Row],[Mid18]],Table1[[#This Row],[Mid15]],Table1[[#This Row],[Mid12]],Table1[[#This Row],[Mid9]],Table1[[#This Row],[Mid6]],Table1[[#This Row],[Mid3]],Table1[[#This Row],[Mid]])</f>
        <v>265.2</v>
      </c>
      <c r="CG1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9" t="s">
        <v>135</v>
      </c>
      <c r="CI129" t="s">
        <v>134</v>
      </c>
      <c r="CJ129" t="s">
        <v>158</v>
      </c>
      <c r="CL129" s="19">
        <f>IF(Table1[[#This Row],[Type]]="Petroleum",1,IF(ISERROR(Table1[[#This Row],[Well Density]]*Table1[[#This Row],[Single Well Discovery Area]]),"",IF(Table1[[#This Row],[Well Density]]*Table1[[#This Row],[Single Well Discovery Area]]&gt;1,1,Table1[[#This Row],[Well Density]]*Table1[[#This Row],[Single Well Discovery Area]])))</f>
        <v>1</v>
      </c>
      <c r="CM129" t="s">
        <v>158</v>
      </c>
      <c r="CN129" s="19">
        <f>Table1[[#This Row],[Mid]]</f>
        <v>0</v>
      </c>
      <c r="CO129" s="19">
        <f>Table1[[#This Row],[Mid3]]+Table1[[#This Row],[Mid6]]+Table1[[#This Row],[Mid9]]</f>
        <v>0</v>
      </c>
      <c r="CP129" s="19">
        <f>Table1[[#This Row],[Mid12]]+Table1[[#This Row],[Mid15]]+Table1[[#This Row],[Mid18]]+Table1[[#This Row],[Mid21]]+Table1[[#This Row],[Mid24]]</f>
        <v>265.2</v>
      </c>
      <c r="CQ129" s="19">
        <f>Table1[[#This Row],[Mid27]]+Table1[[#This Row],[Mid30]]+Table1[[#This Row],[Mid33]]+Table1[[#This Row],[Mid36]]+Table1[[#This Row],[Mid39]]</f>
        <v>0</v>
      </c>
      <c r="CR129" t="s">
        <v>471</v>
      </c>
      <c r="CS129" s="19" t="str">
        <f>IF(AND(Table1[[#This Row],[Low41]]=0, Table1[[#This Row],[High43]]=0),"N","Y")</f>
        <v>N</v>
      </c>
    </row>
    <row r="130" spans="1:97" ht="19.5" customHeight="1" x14ac:dyDescent="0.25">
      <c r="A130">
        <v>10127</v>
      </c>
      <c r="B130" t="s">
        <v>464</v>
      </c>
      <c r="C130" t="s">
        <v>165</v>
      </c>
      <c r="D130">
        <v>-25.875833329999999</v>
      </c>
      <c r="E130">
        <v>-44.349722219999997</v>
      </c>
      <c r="F130" t="s">
        <v>505</v>
      </c>
      <c r="G130" t="s">
        <v>505</v>
      </c>
      <c r="I130" t="s">
        <v>201</v>
      </c>
      <c r="J130" t="s">
        <v>202</v>
      </c>
      <c r="K130" t="s">
        <v>203</v>
      </c>
      <c r="L130" t="s">
        <v>121</v>
      </c>
      <c r="N130" s="6" t="s">
        <v>475</v>
      </c>
      <c r="O130" t="s">
        <v>476</v>
      </c>
      <c r="P130" t="s">
        <v>170</v>
      </c>
      <c r="Q130" t="s">
        <v>469</v>
      </c>
      <c r="R130" t="s">
        <v>470</v>
      </c>
      <c r="S130">
        <v>2011</v>
      </c>
      <c r="T130" t="s">
        <v>153</v>
      </c>
      <c r="U130" t="s">
        <v>154</v>
      </c>
      <c r="V130"/>
      <c r="AF130">
        <v>200</v>
      </c>
      <c r="AG130">
        <v>0</v>
      </c>
      <c r="AK130">
        <v>0</v>
      </c>
      <c r="AL130">
        <v>0</v>
      </c>
      <c r="AN130" t="s">
        <v>132</v>
      </c>
      <c r="BN130">
        <v>166.7</v>
      </c>
      <c r="CE13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0" s="19">
        <f>SUM(Table1[[#This Row],[Mid39]],Table1[[#This Row],[Mid36]],Table1[[#This Row],[Mid33]],Table1[[#This Row],[Mid30]],Table1[[#This Row],[Mid27]],Table1[[#This Row],[Mid24]],Table1[[#This Row],[Mid21]],Table1[[#This Row],[Mid18]],Table1[[#This Row],[Mid15]],Table1[[#This Row],[Mid12]],Table1[[#This Row],[Mid9]],Table1[[#This Row],[Mid6]],Table1[[#This Row],[Mid3]],Table1[[#This Row],[Mid]])</f>
        <v>166.7</v>
      </c>
      <c r="CG1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30" t="s">
        <v>135</v>
      </c>
      <c r="CI130" t="s">
        <v>134</v>
      </c>
      <c r="CJ130" t="s">
        <v>158</v>
      </c>
      <c r="CL130" s="19">
        <f>IF(Table1[[#This Row],[Type]]="Petroleum",1,IF(ISERROR(Table1[[#This Row],[Well Density]]*Table1[[#This Row],[Single Well Discovery Area]]),"",IF(Table1[[#This Row],[Well Density]]*Table1[[#This Row],[Single Well Discovery Area]]&gt;1,1,Table1[[#This Row],[Well Density]]*Table1[[#This Row],[Single Well Discovery Area]])))</f>
        <v>1</v>
      </c>
      <c r="CM130" t="s">
        <v>158</v>
      </c>
      <c r="CN130" s="19">
        <f>Table1[[#This Row],[Mid]]</f>
        <v>0</v>
      </c>
      <c r="CO130" s="19">
        <f>Table1[[#This Row],[Mid3]]+Table1[[#This Row],[Mid6]]+Table1[[#This Row],[Mid9]]</f>
        <v>0</v>
      </c>
      <c r="CP130" s="19">
        <f>Table1[[#This Row],[Mid12]]+Table1[[#This Row],[Mid15]]+Table1[[#This Row],[Mid18]]+Table1[[#This Row],[Mid21]]+Table1[[#This Row],[Mid24]]</f>
        <v>166.7</v>
      </c>
      <c r="CQ130" s="19">
        <f>Table1[[#This Row],[Mid27]]+Table1[[#This Row],[Mid30]]+Table1[[#This Row],[Mid33]]+Table1[[#This Row],[Mid36]]+Table1[[#This Row],[Mid39]]</f>
        <v>0</v>
      </c>
      <c r="CR130" t="s">
        <v>471</v>
      </c>
      <c r="CS130" s="19" t="str">
        <f>IF(AND(Table1[[#This Row],[Low41]]=0, Table1[[#This Row],[High43]]=0),"N","Y")</f>
        <v>N</v>
      </c>
    </row>
    <row r="131" spans="1:97" ht="19.5" customHeight="1" x14ac:dyDescent="0.25">
      <c r="A131">
        <v>10128</v>
      </c>
      <c r="B131" t="s">
        <v>464</v>
      </c>
      <c r="C131" t="s">
        <v>165</v>
      </c>
      <c r="D131">
        <v>-10.214722220000001</v>
      </c>
      <c r="E131">
        <v>-35.699166669999997</v>
      </c>
      <c r="F131" t="s">
        <v>506</v>
      </c>
      <c r="G131" t="s">
        <v>507</v>
      </c>
      <c r="I131" t="s">
        <v>201</v>
      </c>
      <c r="J131" t="s">
        <v>202</v>
      </c>
      <c r="K131" t="s">
        <v>203</v>
      </c>
      <c r="L131" t="s">
        <v>121</v>
      </c>
      <c r="N131" s="6" t="s">
        <v>475</v>
      </c>
      <c r="O131" t="s">
        <v>476</v>
      </c>
      <c r="P131" t="s">
        <v>170</v>
      </c>
      <c r="Q131" t="s">
        <v>469</v>
      </c>
      <c r="R131" t="s">
        <v>470</v>
      </c>
      <c r="S131">
        <v>2011</v>
      </c>
      <c r="T131" t="s">
        <v>153</v>
      </c>
      <c r="U131" t="s">
        <v>154</v>
      </c>
      <c r="V131"/>
      <c r="AF131">
        <v>200</v>
      </c>
      <c r="AG131">
        <v>0</v>
      </c>
      <c r="AK131">
        <v>0</v>
      </c>
      <c r="AL131">
        <v>0</v>
      </c>
      <c r="AN131" t="s">
        <v>132</v>
      </c>
      <c r="BN131">
        <v>61.2</v>
      </c>
      <c r="CE1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1" s="19">
        <f>SUM(Table1[[#This Row],[Mid39]],Table1[[#This Row],[Mid36]],Table1[[#This Row],[Mid33]],Table1[[#This Row],[Mid30]],Table1[[#This Row],[Mid27]],Table1[[#This Row],[Mid24]],Table1[[#This Row],[Mid21]],Table1[[#This Row],[Mid18]],Table1[[#This Row],[Mid15]],Table1[[#This Row],[Mid12]],Table1[[#This Row],[Mid9]],Table1[[#This Row],[Mid6]],Table1[[#This Row],[Mid3]],Table1[[#This Row],[Mid]])</f>
        <v>61.2</v>
      </c>
      <c r="CG1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31" t="s">
        <v>135</v>
      </c>
      <c r="CI131" t="s">
        <v>134</v>
      </c>
      <c r="CJ131" t="s">
        <v>158</v>
      </c>
      <c r="CL131" s="19">
        <f>IF(Table1[[#This Row],[Type]]="Petroleum",1,IF(ISERROR(Table1[[#This Row],[Well Density]]*Table1[[#This Row],[Single Well Discovery Area]]),"",IF(Table1[[#This Row],[Well Density]]*Table1[[#This Row],[Single Well Discovery Area]]&gt;1,1,Table1[[#This Row],[Well Density]]*Table1[[#This Row],[Single Well Discovery Area]])))</f>
        <v>1</v>
      </c>
      <c r="CM131" t="s">
        <v>158</v>
      </c>
      <c r="CN131" s="19">
        <f>Table1[[#This Row],[Mid]]</f>
        <v>0</v>
      </c>
      <c r="CO131" s="19">
        <f>Table1[[#This Row],[Mid3]]+Table1[[#This Row],[Mid6]]+Table1[[#This Row],[Mid9]]</f>
        <v>0</v>
      </c>
      <c r="CP131" s="19">
        <f>Table1[[#This Row],[Mid12]]+Table1[[#This Row],[Mid15]]+Table1[[#This Row],[Mid18]]+Table1[[#This Row],[Mid21]]+Table1[[#This Row],[Mid24]]</f>
        <v>61.2</v>
      </c>
      <c r="CQ131" s="19">
        <f>Table1[[#This Row],[Mid27]]+Table1[[#This Row],[Mid30]]+Table1[[#This Row],[Mid33]]+Table1[[#This Row],[Mid36]]+Table1[[#This Row],[Mid39]]</f>
        <v>0</v>
      </c>
      <c r="CR131" t="s">
        <v>471</v>
      </c>
      <c r="CS131" s="19" t="str">
        <f>IF(AND(Table1[[#This Row],[Low41]]=0, Table1[[#This Row],[High43]]=0),"N","Y")</f>
        <v>N</v>
      </c>
    </row>
    <row r="132" spans="1:97" ht="19.5" customHeight="1" x14ac:dyDescent="0.25">
      <c r="A132">
        <v>10129</v>
      </c>
      <c r="B132" t="s">
        <v>464</v>
      </c>
      <c r="C132" t="s">
        <v>165</v>
      </c>
      <c r="D132">
        <v>-22.173333329999998</v>
      </c>
      <c r="E132">
        <v>-40.340555559999999</v>
      </c>
      <c r="F132" t="s">
        <v>508</v>
      </c>
      <c r="G132" t="s">
        <v>466</v>
      </c>
      <c r="H132" t="s">
        <v>482</v>
      </c>
      <c r="I132" t="s">
        <v>201</v>
      </c>
      <c r="J132" t="s">
        <v>202</v>
      </c>
      <c r="K132" t="s">
        <v>203</v>
      </c>
      <c r="L132" t="s">
        <v>121</v>
      </c>
      <c r="M132" t="s">
        <v>191</v>
      </c>
      <c r="N132" s="6" t="s">
        <v>467</v>
      </c>
      <c r="O132" t="s">
        <v>468</v>
      </c>
      <c r="P132" t="s">
        <v>170</v>
      </c>
      <c r="Q132" t="s">
        <v>469</v>
      </c>
      <c r="R132" t="s">
        <v>470</v>
      </c>
      <c r="S132">
        <v>2014</v>
      </c>
      <c r="T132" t="s">
        <v>207</v>
      </c>
      <c r="U132" t="s">
        <v>173</v>
      </c>
      <c r="V132"/>
      <c r="AF132">
        <v>200</v>
      </c>
      <c r="AG132">
        <v>0</v>
      </c>
      <c r="AK132">
        <v>0</v>
      </c>
      <c r="AL132">
        <v>0</v>
      </c>
      <c r="AN132" t="s">
        <v>132</v>
      </c>
      <c r="BN132">
        <v>10.4</v>
      </c>
      <c r="CE13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2" s="19">
        <f>SUM(Table1[[#This Row],[Mid39]],Table1[[#This Row],[Mid36]],Table1[[#This Row],[Mid33]],Table1[[#This Row],[Mid30]],Table1[[#This Row],[Mid27]],Table1[[#This Row],[Mid24]],Table1[[#This Row],[Mid21]],Table1[[#This Row],[Mid18]],Table1[[#This Row],[Mid15]],Table1[[#This Row],[Mid12]],Table1[[#This Row],[Mid9]],Table1[[#This Row],[Mid6]],Table1[[#This Row],[Mid3]],Table1[[#This Row],[Mid]])</f>
        <v>10.4</v>
      </c>
      <c r="CG1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32" t="s">
        <v>157</v>
      </c>
      <c r="CI132" t="s">
        <v>176</v>
      </c>
      <c r="CJ132" t="s">
        <v>158</v>
      </c>
      <c r="CL132" s="19">
        <f>IF(Table1[[#This Row],[Type]]="Petroleum",1,IF(ISERROR(Table1[[#This Row],[Well Density]]*Table1[[#This Row],[Single Well Discovery Area]]),"",IF(Table1[[#This Row],[Well Density]]*Table1[[#This Row],[Single Well Discovery Area]]&gt;1,1,Table1[[#This Row],[Well Density]]*Table1[[#This Row],[Single Well Discovery Area]])))</f>
        <v>1</v>
      </c>
      <c r="CM132" t="s">
        <v>158</v>
      </c>
      <c r="CN132" s="19">
        <f>Table1[[#This Row],[Mid]]</f>
        <v>0</v>
      </c>
      <c r="CO132" s="19">
        <f>Table1[[#This Row],[Mid3]]+Table1[[#This Row],[Mid6]]+Table1[[#This Row],[Mid9]]</f>
        <v>0</v>
      </c>
      <c r="CP132" s="19">
        <f>Table1[[#This Row],[Mid12]]+Table1[[#This Row],[Mid15]]+Table1[[#This Row],[Mid18]]+Table1[[#This Row],[Mid21]]+Table1[[#This Row],[Mid24]]</f>
        <v>10.4</v>
      </c>
      <c r="CQ132" s="19">
        <f>Table1[[#This Row],[Mid27]]+Table1[[#This Row],[Mid30]]+Table1[[#This Row],[Mid33]]+Table1[[#This Row],[Mid36]]+Table1[[#This Row],[Mid39]]</f>
        <v>0</v>
      </c>
      <c r="CR132" t="s">
        <v>471</v>
      </c>
      <c r="CS132" s="19" t="str">
        <f>IF(AND(Table1[[#This Row],[Low41]]=0, Table1[[#This Row],[High43]]=0),"N","Y")</f>
        <v>N</v>
      </c>
    </row>
    <row r="133" spans="1:97" ht="19.5" customHeight="1" x14ac:dyDescent="0.25">
      <c r="A133">
        <v>10130</v>
      </c>
      <c r="B133" t="s">
        <v>464</v>
      </c>
      <c r="C133" t="s">
        <v>223</v>
      </c>
      <c r="D133">
        <v>-15.7925</v>
      </c>
      <c r="E133">
        <v>-47.882777779999998</v>
      </c>
      <c r="F133" t="s">
        <v>509</v>
      </c>
      <c r="G133" t="s">
        <v>510</v>
      </c>
      <c r="I133" t="s">
        <v>201</v>
      </c>
      <c r="J133" t="s">
        <v>202</v>
      </c>
      <c r="K133" t="s">
        <v>203</v>
      </c>
      <c r="L133" t="s">
        <v>121</v>
      </c>
      <c r="N133" s="6" t="s">
        <v>511</v>
      </c>
      <c r="O133" t="s">
        <v>468</v>
      </c>
      <c r="P133" t="s">
        <v>512</v>
      </c>
      <c r="Q133" t="s">
        <v>469</v>
      </c>
      <c r="R133" t="s">
        <v>513</v>
      </c>
      <c r="S133">
        <v>2014</v>
      </c>
      <c r="T133" t="s">
        <v>207</v>
      </c>
      <c r="U133" t="s">
        <v>173</v>
      </c>
      <c r="V133"/>
      <c r="AF133">
        <v>200</v>
      </c>
      <c r="AG133">
        <v>0</v>
      </c>
      <c r="AK133">
        <v>0</v>
      </c>
      <c r="AL133">
        <v>0</v>
      </c>
      <c r="AN133" t="s">
        <v>132</v>
      </c>
      <c r="AP133">
        <v>0.6</v>
      </c>
      <c r="CE13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3" s="19">
        <f>SUM(Table1[[#This Row],[Mid39]],Table1[[#This Row],[Mid36]],Table1[[#This Row],[Mid33]],Table1[[#This Row],[Mid30]],Table1[[#This Row],[Mid27]],Table1[[#This Row],[Mid24]],Table1[[#This Row],[Mid21]],Table1[[#This Row],[Mid18]],Table1[[#This Row],[Mid15]],Table1[[#This Row],[Mid12]],Table1[[#This Row],[Mid9]],Table1[[#This Row],[Mid6]],Table1[[#This Row],[Mid3]],Table1[[#This Row],[Mid]])</f>
        <v>0.6</v>
      </c>
      <c r="CG1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33" t="s">
        <v>135</v>
      </c>
      <c r="CI133" t="s">
        <v>189</v>
      </c>
      <c r="CJ133" t="s">
        <v>158</v>
      </c>
      <c r="CL133" s="19">
        <f>IF(Table1[[#This Row],[Type]]="Petroleum",1,IF(ISERROR(Table1[[#This Row],[Well Density]]*Table1[[#This Row],[Single Well Discovery Area]]),"",IF(Table1[[#This Row],[Well Density]]*Table1[[#This Row],[Single Well Discovery Area]]&gt;1,1,Table1[[#This Row],[Well Density]]*Table1[[#This Row],[Single Well Discovery Area]])))</f>
        <v>1</v>
      </c>
      <c r="CM133" t="s">
        <v>158</v>
      </c>
      <c r="CN133" s="19">
        <f>Table1[[#This Row],[Mid]]</f>
        <v>0.6</v>
      </c>
      <c r="CO133" s="19">
        <f>Table1[[#This Row],[Mid3]]+Table1[[#This Row],[Mid6]]+Table1[[#This Row],[Mid9]]</f>
        <v>0</v>
      </c>
      <c r="CP133" s="19">
        <f>Table1[[#This Row],[Mid12]]+Table1[[#This Row],[Mid15]]+Table1[[#This Row],[Mid18]]+Table1[[#This Row],[Mid21]]+Table1[[#This Row],[Mid24]]</f>
        <v>0</v>
      </c>
      <c r="CQ133" s="19">
        <f>Table1[[#This Row],[Mid27]]+Table1[[#This Row],[Mid30]]+Table1[[#This Row],[Mid33]]+Table1[[#This Row],[Mid36]]+Table1[[#This Row],[Mid39]]</f>
        <v>0</v>
      </c>
      <c r="CR133" t="s">
        <v>471</v>
      </c>
      <c r="CS133" s="19" t="str">
        <f>IF(AND(Table1[[#This Row],[Low41]]=0, Table1[[#This Row],[High43]]=0),"N","Y")</f>
        <v>N</v>
      </c>
    </row>
    <row r="134" spans="1:97" ht="19.5" customHeight="1" x14ac:dyDescent="0.25">
      <c r="A134">
        <v>10131</v>
      </c>
      <c r="B134" t="s">
        <v>464</v>
      </c>
      <c r="C134" t="s">
        <v>223</v>
      </c>
      <c r="D134">
        <v>-12.38888889</v>
      </c>
      <c r="E134">
        <v>-38.400555560000001</v>
      </c>
      <c r="F134" t="s">
        <v>510</v>
      </c>
      <c r="G134" t="s">
        <v>510</v>
      </c>
      <c r="I134" t="s">
        <v>201</v>
      </c>
      <c r="J134" t="s">
        <v>202</v>
      </c>
      <c r="K134" t="s">
        <v>203</v>
      </c>
      <c r="L134" t="s">
        <v>121</v>
      </c>
      <c r="N134" s="6" t="s">
        <v>475</v>
      </c>
      <c r="O134" t="s">
        <v>476</v>
      </c>
      <c r="P134" t="s">
        <v>170</v>
      </c>
      <c r="Q134" t="s">
        <v>469</v>
      </c>
      <c r="R134" t="s">
        <v>470</v>
      </c>
      <c r="S134">
        <v>2011</v>
      </c>
      <c r="T134" t="s">
        <v>153</v>
      </c>
      <c r="U134" t="s">
        <v>154</v>
      </c>
      <c r="V134"/>
      <c r="AF134">
        <v>200</v>
      </c>
      <c r="AG134">
        <v>0</v>
      </c>
      <c r="AK134">
        <v>0</v>
      </c>
      <c r="AL134">
        <v>0</v>
      </c>
      <c r="AN134" t="s">
        <v>132</v>
      </c>
      <c r="BN134">
        <v>64.900000000000006</v>
      </c>
      <c r="CE13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4" s="19">
        <f>SUM(Table1[[#This Row],[Mid39]],Table1[[#This Row],[Mid36]],Table1[[#This Row],[Mid33]],Table1[[#This Row],[Mid30]],Table1[[#This Row],[Mid27]],Table1[[#This Row],[Mid24]],Table1[[#This Row],[Mid21]],Table1[[#This Row],[Mid18]],Table1[[#This Row],[Mid15]],Table1[[#This Row],[Mid12]],Table1[[#This Row],[Mid9]],Table1[[#This Row],[Mid6]],Table1[[#This Row],[Mid3]],Table1[[#This Row],[Mid]])</f>
        <v>64.900000000000006</v>
      </c>
      <c r="CG1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34" t="s">
        <v>135</v>
      </c>
      <c r="CI134" t="s">
        <v>134</v>
      </c>
      <c r="CJ134" t="s">
        <v>158</v>
      </c>
      <c r="CL134" s="19">
        <f>IF(Table1[[#This Row],[Type]]="Petroleum",1,IF(ISERROR(Table1[[#This Row],[Well Density]]*Table1[[#This Row],[Single Well Discovery Area]]),"",IF(Table1[[#This Row],[Well Density]]*Table1[[#This Row],[Single Well Discovery Area]]&gt;1,1,Table1[[#This Row],[Well Density]]*Table1[[#This Row],[Single Well Discovery Area]])))</f>
        <v>1</v>
      </c>
      <c r="CM134" t="s">
        <v>158</v>
      </c>
      <c r="CN134" s="19">
        <f>Table1[[#This Row],[Mid]]</f>
        <v>0</v>
      </c>
      <c r="CO134" s="19">
        <f>Table1[[#This Row],[Mid3]]+Table1[[#This Row],[Mid6]]+Table1[[#This Row],[Mid9]]</f>
        <v>0</v>
      </c>
      <c r="CP134" s="19">
        <f>Table1[[#This Row],[Mid12]]+Table1[[#This Row],[Mid15]]+Table1[[#This Row],[Mid18]]+Table1[[#This Row],[Mid21]]+Table1[[#This Row],[Mid24]]</f>
        <v>64.900000000000006</v>
      </c>
      <c r="CQ134" s="19">
        <f>Table1[[#This Row],[Mid27]]+Table1[[#This Row],[Mid30]]+Table1[[#This Row],[Mid33]]+Table1[[#This Row],[Mid36]]+Table1[[#This Row],[Mid39]]</f>
        <v>0</v>
      </c>
      <c r="CR134" t="s">
        <v>471</v>
      </c>
      <c r="CS134" s="19" t="str">
        <f>IF(AND(Table1[[#This Row],[Low41]]=0, Table1[[#This Row],[High43]]=0),"N","Y")</f>
        <v>N</v>
      </c>
    </row>
    <row r="135" spans="1:97" ht="19.5" customHeight="1" x14ac:dyDescent="0.25">
      <c r="A135">
        <v>10132</v>
      </c>
      <c r="B135" t="s">
        <v>464</v>
      </c>
      <c r="C135" t="s">
        <v>223</v>
      </c>
      <c r="D135">
        <v>-5.1386111110000003</v>
      </c>
      <c r="E135">
        <v>-66.976388889999996</v>
      </c>
      <c r="F135" t="s">
        <v>514</v>
      </c>
      <c r="G135" t="s">
        <v>514</v>
      </c>
      <c r="I135" t="s">
        <v>201</v>
      </c>
      <c r="J135" t="s">
        <v>202</v>
      </c>
      <c r="K135" t="s">
        <v>203</v>
      </c>
      <c r="L135" t="s">
        <v>121</v>
      </c>
      <c r="N135" s="6" t="s">
        <v>475</v>
      </c>
      <c r="O135" t="s">
        <v>476</v>
      </c>
      <c r="P135" t="s">
        <v>170</v>
      </c>
      <c r="Q135" t="s">
        <v>469</v>
      </c>
      <c r="R135" t="s">
        <v>470</v>
      </c>
      <c r="S135">
        <v>2011</v>
      </c>
      <c r="T135" t="s">
        <v>153</v>
      </c>
      <c r="U135" t="s">
        <v>154</v>
      </c>
      <c r="V135"/>
      <c r="AF135">
        <v>200</v>
      </c>
      <c r="AG135">
        <v>0</v>
      </c>
      <c r="AK135">
        <v>0</v>
      </c>
      <c r="AL135">
        <v>0</v>
      </c>
      <c r="AN135" t="s">
        <v>132</v>
      </c>
      <c r="BN135">
        <v>162.9</v>
      </c>
      <c r="CE13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5" s="19">
        <f>SUM(Table1[[#This Row],[Mid39]],Table1[[#This Row],[Mid36]],Table1[[#This Row],[Mid33]],Table1[[#This Row],[Mid30]],Table1[[#This Row],[Mid27]],Table1[[#This Row],[Mid24]],Table1[[#This Row],[Mid21]],Table1[[#This Row],[Mid18]],Table1[[#This Row],[Mid15]],Table1[[#This Row],[Mid12]],Table1[[#This Row],[Mid9]],Table1[[#This Row],[Mid6]],Table1[[#This Row],[Mid3]],Table1[[#This Row],[Mid]])</f>
        <v>162.9</v>
      </c>
      <c r="CG1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35" t="s">
        <v>135</v>
      </c>
      <c r="CI135" t="s">
        <v>134</v>
      </c>
      <c r="CJ135" t="s">
        <v>158</v>
      </c>
      <c r="CL135" s="19">
        <f>IF(Table1[[#This Row],[Type]]="Petroleum",1,IF(ISERROR(Table1[[#This Row],[Well Density]]*Table1[[#This Row],[Single Well Discovery Area]]),"",IF(Table1[[#This Row],[Well Density]]*Table1[[#This Row],[Single Well Discovery Area]]&gt;1,1,Table1[[#This Row],[Well Density]]*Table1[[#This Row],[Single Well Discovery Area]])))</f>
        <v>1</v>
      </c>
      <c r="CM135" t="s">
        <v>158</v>
      </c>
      <c r="CN135" s="19">
        <f>Table1[[#This Row],[Mid]]</f>
        <v>0</v>
      </c>
      <c r="CO135" s="19">
        <f>Table1[[#This Row],[Mid3]]+Table1[[#This Row],[Mid6]]+Table1[[#This Row],[Mid9]]</f>
        <v>0</v>
      </c>
      <c r="CP135" s="19">
        <f>Table1[[#This Row],[Mid12]]+Table1[[#This Row],[Mid15]]+Table1[[#This Row],[Mid18]]+Table1[[#This Row],[Mid21]]+Table1[[#This Row],[Mid24]]</f>
        <v>162.9</v>
      </c>
      <c r="CQ135" s="19">
        <f>Table1[[#This Row],[Mid27]]+Table1[[#This Row],[Mid30]]+Table1[[#This Row],[Mid33]]+Table1[[#This Row],[Mid36]]+Table1[[#This Row],[Mid39]]</f>
        <v>0</v>
      </c>
      <c r="CR135" t="s">
        <v>471</v>
      </c>
      <c r="CS135" s="19" t="str">
        <f>IF(AND(Table1[[#This Row],[Low41]]=0, Table1[[#This Row],[High43]]=0),"N","Y")</f>
        <v>N</v>
      </c>
    </row>
    <row r="136" spans="1:97" ht="19.5" customHeight="1" x14ac:dyDescent="0.25">
      <c r="A136">
        <v>10133</v>
      </c>
      <c r="B136" t="s">
        <v>464</v>
      </c>
      <c r="C136" t="s">
        <v>223</v>
      </c>
      <c r="D136">
        <v>-10.531388890000001</v>
      </c>
      <c r="E136">
        <v>-38.501111109999997</v>
      </c>
      <c r="F136" t="s">
        <v>515</v>
      </c>
      <c r="G136" t="s">
        <v>515</v>
      </c>
      <c r="I136" t="s">
        <v>201</v>
      </c>
      <c r="J136" t="s">
        <v>202</v>
      </c>
      <c r="K136" t="s">
        <v>203</v>
      </c>
      <c r="L136" t="s">
        <v>121</v>
      </c>
      <c r="N136" s="6" t="s">
        <v>475</v>
      </c>
      <c r="O136" t="s">
        <v>476</v>
      </c>
      <c r="P136" t="s">
        <v>170</v>
      </c>
      <c r="Q136" t="s">
        <v>469</v>
      </c>
      <c r="R136" t="s">
        <v>470</v>
      </c>
      <c r="S136">
        <v>2011</v>
      </c>
      <c r="T136" t="s">
        <v>153</v>
      </c>
      <c r="U136" t="s">
        <v>154</v>
      </c>
      <c r="V136"/>
      <c r="AF136">
        <v>200</v>
      </c>
      <c r="AG136">
        <v>0</v>
      </c>
      <c r="AK136">
        <v>0</v>
      </c>
      <c r="AL136">
        <v>0</v>
      </c>
      <c r="AN136" t="s">
        <v>132</v>
      </c>
      <c r="BN136">
        <v>1.8</v>
      </c>
      <c r="CE1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6" s="19">
        <f>SUM(Table1[[#This Row],[Mid39]],Table1[[#This Row],[Mid36]],Table1[[#This Row],[Mid33]],Table1[[#This Row],[Mid30]],Table1[[#This Row],[Mid27]],Table1[[#This Row],[Mid24]],Table1[[#This Row],[Mid21]],Table1[[#This Row],[Mid18]],Table1[[#This Row],[Mid15]],Table1[[#This Row],[Mid12]],Table1[[#This Row],[Mid9]],Table1[[#This Row],[Mid6]],Table1[[#This Row],[Mid3]],Table1[[#This Row],[Mid]])</f>
        <v>1.8</v>
      </c>
      <c r="CG1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36" t="s">
        <v>135</v>
      </c>
      <c r="CI136" t="s">
        <v>134</v>
      </c>
      <c r="CJ136" t="s">
        <v>158</v>
      </c>
      <c r="CL136" s="19">
        <f>IF(Table1[[#This Row],[Type]]="Petroleum",1,IF(ISERROR(Table1[[#This Row],[Well Density]]*Table1[[#This Row],[Single Well Discovery Area]]),"",IF(Table1[[#This Row],[Well Density]]*Table1[[#This Row],[Single Well Discovery Area]]&gt;1,1,Table1[[#This Row],[Well Density]]*Table1[[#This Row],[Single Well Discovery Area]])))</f>
        <v>1</v>
      </c>
      <c r="CM136" t="s">
        <v>158</v>
      </c>
      <c r="CN136" s="19">
        <f>Table1[[#This Row],[Mid]]</f>
        <v>0</v>
      </c>
      <c r="CO136" s="19">
        <f>Table1[[#This Row],[Mid3]]+Table1[[#This Row],[Mid6]]+Table1[[#This Row],[Mid9]]</f>
        <v>0</v>
      </c>
      <c r="CP136" s="19">
        <f>Table1[[#This Row],[Mid12]]+Table1[[#This Row],[Mid15]]+Table1[[#This Row],[Mid18]]+Table1[[#This Row],[Mid21]]+Table1[[#This Row],[Mid24]]</f>
        <v>1.8</v>
      </c>
      <c r="CQ136" s="19">
        <f>Table1[[#This Row],[Mid27]]+Table1[[#This Row],[Mid30]]+Table1[[#This Row],[Mid33]]+Table1[[#This Row],[Mid36]]+Table1[[#This Row],[Mid39]]</f>
        <v>0</v>
      </c>
      <c r="CR136" t="s">
        <v>471</v>
      </c>
      <c r="CS136" s="19" t="str">
        <f>IF(AND(Table1[[#This Row],[Low41]]=0, Table1[[#This Row],[High43]]=0),"N","Y")</f>
        <v>N</v>
      </c>
    </row>
    <row r="137" spans="1:97" ht="19.5" customHeight="1" x14ac:dyDescent="0.25">
      <c r="A137">
        <v>10134</v>
      </c>
      <c r="B137" t="s">
        <v>516</v>
      </c>
      <c r="C137" t="s">
        <v>517</v>
      </c>
      <c r="D137">
        <v>54.5</v>
      </c>
      <c r="E137">
        <v>-115</v>
      </c>
      <c r="F137" t="s">
        <v>518</v>
      </c>
      <c r="G137" t="s">
        <v>519</v>
      </c>
      <c r="I137" t="s">
        <v>520</v>
      </c>
      <c r="J137" t="s">
        <v>202</v>
      </c>
      <c r="K137" t="s">
        <v>203</v>
      </c>
      <c r="L137" t="s">
        <v>121</v>
      </c>
      <c r="N137" s="6" t="s">
        <v>521</v>
      </c>
      <c r="O137" t="s">
        <v>522</v>
      </c>
      <c r="P137" t="s">
        <v>436</v>
      </c>
      <c r="Q137" t="s">
        <v>523</v>
      </c>
      <c r="R137" t="s">
        <v>524</v>
      </c>
      <c r="S137">
        <v>2015</v>
      </c>
      <c r="T137" t="s">
        <v>153</v>
      </c>
      <c r="U137" t="s">
        <v>129</v>
      </c>
      <c r="V137"/>
      <c r="AF137">
        <v>200</v>
      </c>
      <c r="AG137">
        <v>0</v>
      </c>
      <c r="AH137" t="s">
        <v>525</v>
      </c>
      <c r="AK137">
        <v>0</v>
      </c>
      <c r="AL137">
        <v>0</v>
      </c>
      <c r="AM137" t="s">
        <v>526</v>
      </c>
      <c r="AN137" t="s">
        <v>132</v>
      </c>
      <c r="BN137">
        <v>398</v>
      </c>
      <c r="BO137">
        <v>3172</v>
      </c>
      <c r="CE13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7" s="19">
        <f>SUM(Table1[[#This Row],[Mid39]],Table1[[#This Row],[Mid36]],Table1[[#This Row],[Mid33]],Table1[[#This Row],[Mid30]],Table1[[#This Row],[Mid27]],Table1[[#This Row],[Mid24]],Table1[[#This Row],[Mid21]],Table1[[#This Row],[Mid18]],Table1[[#This Row],[Mid15]],Table1[[#This Row],[Mid12]],Table1[[#This Row],[Mid9]],Table1[[#This Row],[Mid6]],Table1[[#This Row],[Mid3]],Table1[[#This Row],[Mid]])</f>
        <v>398</v>
      </c>
      <c r="CG1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3172</v>
      </c>
      <c r="CH137" t="s">
        <v>133</v>
      </c>
      <c r="CI137" t="s">
        <v>176</v>
      </c>
      <c r="CJ137" t="s">
        <v>158</v>
      </c>
      <c r="CL137" s="19">
        <f>IF(Table1[[#This Row],[Type]]="Petroleum",1,IF(ISERROR(Table1[[#This Row],[Well Density]]*Table1[[#This Row],[Single Well Discovery Area]]),"",IF(Table1[[#This Row],[Well Density]]*Table1[[#This Row],[Single Well Discovery Area]]&gt;1,1,Table1[[#This Row],[Well Density]]*Table1[[#This Row],[Single Well Discovery Area]])))</f>
        <v>1</v>
      </c>
      <c r="CM137" t="s">
        <v>158</v>
      </c>
      <c r="CN137" s="19">
        <f>Table1[[#This Row],[Mid]]</f>
        <v>0</v>
      </c>
      <c r="CO137" s="19">
        <f>Table1[[#This Row],[Mid3]]+Table1[[#This Row],[Mid6]]+Table1[[#This Row],[Mid9]]</f>
        <v>0</v>
      </c>
      <c r="CP137" s="19">
        <f>Table1[[#This Row],[Mid12]]+Table1[[#This Row],[Mid15]]+Table1[[#This Row],[Mid18]]+Table1[[#This Row],[Mid21]]+Table1[[#This Row],[Mid24]]</f>
        <v>398</v>
      </c>
      <c r="CQ137" s="19">
        <f>Table1[[#This Row],[Mid27]]+Table1[[#This Row],[Mid30]]+Table1[[#This Row],[Mid33]]+Table1[[#This Row],[Mid36]]+Table1[[#This Row],[Mid39]]</f>
        <v>0</v>
      </c>
      <c r="CR137" t="s">
        <v>471</v>
      </c>
      <c r="CS137" s="19" t="str">
        <f>IF(AND(Table1[[#This Row],[Low41]]=0, Table1[[#This Row],[High43]]=0),"N","Y")</f>
        <v>Y</v>
      </c>
    </row>
    <row r="138" spans="1:97" ht="19.5" customHeight="1" x14ac:dyDescent="0.25">
      <c r="A138">
        <v>10135</v>
      </c>
      <c r="B138" t="s">
        <v>516</v>
      </c>
      <c r="C138" t="s">
        <v>517</v>
      </c>
      <c r="D138">
        <v>54.501111109999997</v>
      </c>
      <c r="E138">
        <v>-115.0011111</v>
      </c>
      <c r="F138" t="s">
        <v>527</v>
      </c>
      <c r="G138" t="s">
        <v>519</v>
      </c>
      <c r="I138" t="s">
        <v>118</v>
      </c>
      <c r="J138" t="s">
        <v>119</v>
      </c>
      <c r="K138" t="s">
        <v>190</v>
      </c>
      <c r="L138" t="s">
        <v>18</v>
      </c>
      <c r="N138" s="6" t="s">
        <v>521</v>
      </c>
      <c r="O138" s="21" t="s">
        <v>528</v>
      </c>
      <c r="P138" t="s">
        <v>170</v>
      </c>
      <c r="Q138" s="21" t="s">
        <v>529</v>
      </c>
      <c r="R138" s="21" t="s">
        <v>530</v>
      </c>
      <c r="S138">
        <v>2015</v>
      </c>
      <c r="T138" t="s">
        <v>153</v>
      </c>
      <c r="U138" t="s">
        <v>129</v>
      </c>
      <c r="V138"/>
      <c r="AF138">
        <v>200</v>
      </c>
      <c r="AG138">
        <v>0</v>
      </c>
      <c r="AH138" t="s">
        <v>531</v>
      </c>
      <c r="AI138">
        <v>2</v>
      </c>
      <c r="AK138">
        <v>0</v>
      </c>
      <c r="AL138">
        <v>0</v>
      </c>
      <c r="AM138" t="s">
        <v>532</v>
      </c>
      <c r="AN138" t="s">
        <v>132</v>
      </c>
      <c r="CE13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8"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38" t="s">
        <v>157</v>
      </c>
      <c r="CI138" t="s">
        <v>134</v>
      </c>
      <c r="CJ138" t="s">
        <v>158</v>
      </c>
      <c r="CL138" s="19">
        <f>IF(Table1[[#This Row],[Type]]="Petroleum",1,IF(ISERROR(Table1[[#This Row],[Well Density]]*Table1[[#This Row],[Single Well Discovery Area]]),"",IF(Table1[[#This Row],[Well Density]]*Table1[[#This Row],[Single Well Discovery Area]]&gt;1,1,Table1[[#This Row],[Well Density]]*Table1[[#This Row],[Single Well Discovery Area]])))</f>
        <v>0</v>
      </c>
      <c r="CM138" t="s">
        <v>158</v>
      </c>
      <c r="CN138" s="19">
        <f>Table1[[#This Row],[Mid]]</f>
        <v>0</v>
      </c>
      <c r="CO138" s="19">
        <f>Table1[[#This Row],[Mid3]]+Table1[[#This Row],[Mid6]]+Table1[[#This Row],[Mid9]]</f>
        <v>0</v>
      </c>
      <c r="CP138" s="19">
        <f>Table1[[#This Row],[Mid12]]+Table1[[#This Row],[Mid15]]+Table1[[#This Row],[Mid18]]+Table1[[#This Row],[Mid21]]+Table1[[#This Row],[Mid24]]</f>
        <v>0</v>
      </c>
      <c r="CQ138" s="19">
        <f>Table1[[#This Row],[Mid27]]+Table1[[#This Row],[Mid30]]+Table1[[#This Row],[Mid33]]+Table1[[#This Row],[Mid36]]+Table1[[#This Row],[Mid39]]</f>
        <v>0</v>
      </c>
      <c r="CR138" t="s">
        <v>471</v>
      </c>
      <c r="CS138" s="19" t="str">
        <f>IF(AND(Table1[[#This Row],[Low41]]=0, Table1[[#This Row],[High43]]=0),"N","Y")</f>
        <v>N</v>
      </c>
    </row>
    <row r="139" spans="1:97" ht="19.5" customHeight="1" x14ac:dyDescent="0.25">
      <c r="A139">
        <v>10136</v>
      </c>
      <c r="B139" t="s">
        <v>516</v>
      </c>
      <c r="C139" t="s">
        <v>517</v>
      </c>
      <c r="D139">
        <v>54.125277779999998</v>
      </c>
      <c r="E139">
        <v>-114.62638889999999</v>
      </c>
      <c r="F139" t="s">
        <v>533</v>
      </c>
      <c r="G139" t="s">
        <v>519</v>
      </c>
      <c r="H139" t="s">
        <v>534</v>
      </c>
      <c r="I139" t="s">
        <v>118</v>
      </c>
      <c r="J139" t="s">
        <v>119</v>
      </c>
      <c r="K139" t="s">
        <v>120</v>
      </c>
      <c r="L139" t="s">
        <v>147</v>
      </c>
      <c r="M139" t="s">
        <v>535</v>
      </c>
      <c r="N139" s="6" t="s">
        <v>536</v>
      </c>
      <c r="O139" t="s">
        <v>537</v>
      </c>
      <c r="P139" t="s">
        <v>538</v>
      </c>
      <c r="Q139" t="s">
        <v>539</v>
      </c>
      <c r="R139" t="s">
        <v>540</v>
      </c>
      <c r="S139">
        <v>2014</v>
      </c>
      <c r="T139" t="s">
        <v>153</v>
      </c>
      <c r="U139" t="s">
        <v>129</v>
      </c>
      <c r="V139">
        <v>126000</v>
      </c>
      <c r="W139">
        <v>1625</v>
      </c>
      <c r="X139">
        <v>50</v>
      </c>
      <c r="Y139">
        <v>43</v>
      </c>
      <c r="Z139">
        <v>4</v>
      </c>
      <c r="AD139">
        <v>8305</v>
      </c>
      <c r="AE139">
        <v>6.5912698000000006E-2</v>
      </c>
      <c r="AF139">
        <v>200</v>
      </c>
      <c r="AG139">
        <v>0</v>
      </c>
      <c r="AH139" t="s">
        <v>541</v>
      </c>
      <c r="AI139">
        <v>2</v>
      </c>
      <c r="AK139">
        <v>0</v>
      </c>
      <c r="AL139">
        <v>0</v>
      </c>
      <c r="AM139" t="s">
        <v>542</v>
      </c>
      <c r="AN139" t="s">
        <v>132</v>
      </c>
      <c r="BH139">
        <v>1064.4000000000001</v>
      </c>
      <c r="BN139">
        <v>396.4</v>
      </c>
      <c r="CE13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9" s="19">
        <f>SUM(Table1[[#This Row],[Mid39]],Table1[[#This Row],[Mid36]],Table1[[#This Row],[Mid33]],Table1[[#This Row],[Mid30]],Table1[[#This Row],[Mid27]],Table1[[#This Row],[Mid24]],Table1[[#This Row],[Mid21]],Table1[[#This Row],[Mid18]],Table1[[#This Row],[Mid15]],Table1[[#This Row],[Mid12]],Table1[[#This Row],[Mid9]],Table1[[#This Row],[Mid6]],Table1[[#This Row],[Mid3]],Table1[[#This Row],[Mid]])</f>
        <v>1460.8000000000002</v>
      </c>
      <c r="CG1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39" t="s">
        <v>133</v>
      </c>
      <c r="CI139" t="s">
        <v>176</v>
      </c>
      <c r="CJ139" t="s">
        <v>158</v>
      </c>
      <c r="CL139" s="19">
        <f>IF(Table1[[#This Row],[Type]]="Petroleum",1,IF(ISERROR(Table1[[#This Row],[Well Density]]*Table1[[#This Row],[Single Well Discovery Area]]),"",IF(Table1[[#This Row],[Well Density]]*Table1[[#This Row],[Single Well Discovery Area]]&gt;1,1,Table1[[#This Row],[Well Density]]*Table1[[#This Row],[Single Well Discovery Area]])))</f>
        <v>1</v>
      </c>
      <c r="CM139" t="s">
        <v>158</v>
      </c>
      <c r="CN139" s="19">
        <f>Table1[[#This Row],[Mid]]</f>
        <v>0</v>
      </c>
      <c r="CO139" s="19">
        <f>Table1[[#This Row],[Mid3]]+Table1[[#This Row],[Mid6]]+Table1[[#This Row],[Mid9]]</f>
        <v>0</v>
      </c>
      <c r="CP139" s="19">
        <f>Table1[[#This Row],[Mid12]]+Table1[[#This Row],[Mid15]]+Table1[[#This Row],[Mid18]]+Table1[[#This Row],[Mid21]]+Table1[[#This Row],[Mid24]]</f>
        <v>1460.8000000000002</v>
      </c>
      <c r="CQ139" s="19">
        <f>Table1[[#This Row],[Mid27]]+Table1[[#This Row],[Mid30]]+Table1[[#This Row],[Mid33]]+Table1[[#This Row],[Mid36]]+Table1[[#This Row],[Mid39]]</f>
        <v>0</v>
      </c>
      <c r="CR139" t="s">
        <v>471</v>
      </c>
      <c r="CS139" s="19" t="str">
        <f>IF(AND(Table1[[#This Row],[Low41]]=0, Table1[[#This Row],[High43]]=0),"N","Y")</f>
        <v>N</v>
      </c>
    </row>
    <row r="140" spans="1:97" ht="19.5" customHeight="1" x14ac:dyDescent="0.25">
      <c r="A140">
        <v>10137</v>
      </c>
      <c r="B140" t="s">
        <v>516</v>
      </c>
      <c r="C140" t="s">
        <v>517</v>
      </c>
      <c r="D140">
        <v>54.415833329999998</v>
      </c>
      <c r="E140">
        <v>-113.5786111</v>
      </c>
      <c r="F140" t="s">
        <v>543</v>
      </c>
      <c r="G140" t="s">
        <v>519</v>
      </c>
      <c r="H140" t="s">
        <v>544</v>
      </c>
      <c r="I140" t="s">
        <v>118</v>
      </c>
      <c r="J140" t="s">
        <v>119</v>
      </c>
      <c r="K140" t="s">
        <v>120</v>
      </c>
      <c r="L140" t="s">
        <v>147</v>
      </c>
      <c r="M140" t="s">
        <v>535</v>
      </c>
      <c r="N140" s="6" t="s">
        <v>536</v>
      </c>
      <c r="O140" t="s">
        <v>537</v>
      </c>
      <c r="P140" t="s">
        <v>545</v>
      </c>
      <c r="Q140" t="s">
        <v>539</v>
      </c>
      <c r="R140" t="s">
        <v>546</v>
      </c>
      <c r="S140">
        <v>2014</v>
      </c>
      <c r="T140" t="s">
        <v>153</v>
      </c>
      <c r="U140" t="s">
        <v>129</v>
      </c>
      <c r="V140">
        <v>126000</v>
      </c>
      <c r="W140">
        <v>1000</v>
      </c>
      <c r="X140">
        <v>25</v>
      </c>
      <c r="Y140">
        <v>100</v>
      </c>
      <c r="Z140">
        <v>4</v>
      </c>
      <c r="AD140">
        <v>8305</v>
      </c>
      <c r="AE140">
        <v>6.5912698000000006E-2</v>
      </c>
      <c r="AF140">
        <v>200</v>
      </c>
      <c r="AG140">
        <v>0</v>
      </c>
      <c r="AH140" t="s">
        <v>541</v>
      </c>
      <c r="AI140">
        <v>2</v>
      </c>
      <c r="AK140">
        <v>0</v>
      </c>
      <c r="AL140">
        <v>0</v>
      </c>
      <c r="AM140" t="s">
        <v>542</v>
      </c>
      <c r="AN140" t="s">
        <v>132</v>
      </c>
      <c r="BH140">
        <v>487.3</v>
      </c>
      <c r="BN140">
        <v>92.4</v>
      </c>
      <c r="CE14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0" s="19">
        <f>SUM(Table1[[#This Row],[Mid39]],Table1[[#This Row],[Mid36]],Table1[[#This Row],[Mid33]],Table1[[#This Row],[Mid30]],Table1[[#This Row],[Mid27]],Table1[[#This Row],[Mid24]],Table1[[#This Row],[Mid21]],Table1[[#This Row],[Mid18]],Table1[[#This Row],[Mid15]],Table1[[#This Row],[Mid12]],Table1[[#This Row],[Mid9]],Table1[[#This Row],[Mid6]],Table1[[#This Row],[Mid3]],Table1[[#This Row],[Mid]])</f>
        <v>579.70000000000005</v>
      </c>
      <c r="CG1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40" t="s">
        <v>133</v>
      </c>
      <c r="CI140" t="s">
        <v>176</v>
      </c>
      <c r="CJ140" t="s">
        <v>158</v>
      </c>
      <c r="CL140" s="19">
        <f>IF(Table1[[#This Row],[Type]]="Petroleum",1,IF(ISERROR(Table1[[#This Row],[Well Density]]*Table1[[#This Row],[Single Well Discovery Area]]),"",IF(Table1[[#This Row],[Well Density]]*Table1[[#This Row],[Single Well Discovery Area]]&gt;1,1,Table1[[#This Row],[Well Density]]*Table1[[#This Row],[Single Well Discovery Area]])))</f>
        <v>1</v>
      </c>
      <c r="CM140" t="s">
        <v>158</v>
      </c>
      <c r="CN140" s="19">
        <f>Table1[[#This Row],[Mid]]</f>
        <v>0</v>
      </c>
      <c r="CO140" s="19">
        <f>Table1[[#This Row],[Mid3]]+Table1[[#This Row],[Mid6]]+Table1[[#This Row],[Mid9]]</f>
        <v>0</v>
      </c>
      <c r="CP140" s="19">
        <f>Table1[[#This Row],[Mid12]]+Table1[[#This Row],[Mid15]]+Table1[[#This Row],[Mid18]]+Table1[[#This Row],[Mid21]]+Table1[[#This Row],[Mid24]]</f>
        <v>579.70000000000005</v>
      </c>
      <c r="CQ140" s="19">
        <f>Table1[[#This Row],[Mid27]]+Table1[[#This Row],[Mid30]]+Table1[[#This Row],[Mid33]]+Table1[[#This Row],[Mid36]]+Table1[[#This Row],[Mid39]]</f>
        <v>0</v>
      </c>
      <c r="CR140" t="s">
        <v>471</v>
      </c>
      <c r="CS140" s="19" t="str">
        <f>IF(AND(Table1[[#This Row],[Low41]]=0, Table1[[#This Row],[High43]]=0),"N","Y")</f>
        <v>N</v>
      </c>
    </row>
    <row r="141" spans="1:97" ht="19.5" customHeight="1" x14ac:dyDescent="0.25">
      <c r="A141">
        <v>10138</v>
      </c>
      <c r="B141" t="s">
        <v>516</v>
      </c>
      <c r="C141" t="s">
        <v>517</v>
      </c>
      <c r="D141">
        <v>64.069722220000003</v>
      </c>
      <c r="E141">
        <v>-152.27944439999999</v>
      </c>
      <c r="F141" t="s">
        <v>547</v>
      </c>
      <c r="G141" t="s">
        <v>519</v>
      </c>
      <c r="I141" t="s">
        <v>433</v>
      </c>
      <c r="J141" t="s">
        <v>202</v>
      </c>
      <c r="K141" t="s">
        <v>203</v>
      </c>
      <c r="L141" t="s">
        <v>121</v>
      </c>
      <c r="M141" t="s">
        <v>548</v>
      </c>
      <c r="N141" s="6" t="s">
        <v>549</v>
      </c>
      <c r="O141" t="s">
        <v>550</v>
      </c>
      <c r="P141" t="s">
        <v>551</v>
      </c>
      <c r="Q141" t="s">
        <v>552</v>
      </c>
      <c r="R141" t="s">
        <v>553</v>
      </c>
      <c r="S141">
        <v>2014</v>
      </c>
      <c r="T141" t="s">
        <v>153</v>
      </c>
      <c r="U141" t="s">
        <v>129</v>
      </c>
      <c r="V141">
        <v>126000</v>
      </c>
      <c r="AE141">
        <v>0</v>
      </c>
      <c r="AF141">
        <v>200</v>
      </c>
      <c r="AG141">
        <v>0</v>
      </c>
      <c r="AH141" t="s">
        <v>554</v>
      </c>
      <c r="AI141">
        <v>70</v>
      </c>
      <c r="AK141">
        <v>0</v>
      </c>
      <c r="AL141">
        <v>0</v>
      </c>
      <c r="AM141" t="s">
        <v>555</v>
      </c>
      <c r="AN141" t="s">
        <v>132</v>
      </c>
      <c r="BN141">
        <v>466</v>
      </c>
      <c r="CE14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1" s="19">
        <f>SUM(Table1[[#This Row],[Mid39]],Table1[[#This Row],[Mid36]],Table1[[#This Row],[Mid33]],Table1[[#This Row],[Mid30]],Table1[[#This Row],[Mid27]],Table1[[#This Row],[Mid24]],Table1[[#This Row],[Mid21]],Table1[[#This Row],[Mid18]],Table1[[#This Row],[Mid15]],Table1[[#This Row],[Mid12]],Table1[[#This Row],[Mid9]],Table1[[#This Row],[Mid6]],Table1[[#This Row],[Mid3]],Table1[[#This Row],[Mid]])</f>
        <v>466</v>
      </c>
      <c r="CG1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41" t="s">
        <v>157</v>
      </c>
      <c r="CI141" t="s">
        <v>176</v>
      </c>
      <c r="CJ141" t="s">
        <v>158</v>
      </c>
      <c r="CL141" s="19">
        <f>IF(Table1[[#This Row],[Type]]="Petroleum",1,IF(ISERROR(Table1[[#This Row],[Well Density]]*Table1[[#This Row],[Single Well Discovery Area]]),"",IF(Table1[[#This Row],[Well Density]]*Table1[[#This Row],[Single Well Discovery Area]]&gt;1,1,Table1[[#This Row],[Well Density]]*Table1[[#This Row],[Single Well Discovery Area]])))</f>
        <v>1</v>
      </c>
      <c r="CM141" t="s">
        <v>158</v>
      </c>
      <c r="CN141" s="19">
        <f>Table1[[#This Row],[Mid]]</f>
        <v>0</v>
      </c>
      <c r="CO141" s="19">
        <f>Table1[[#This Row],[Mid3]]+Table1[[#This Row],[Mid6]]+Table1[[#This Row],[Mid9]]</f>
        <v>0</v>
      </c>
      <c r="CP141" s="19">
        <f>Table1[[#This Row],[Mid12]]+Table1[[#This Row],[Mid15]]+Table1[[#This Row],[Mid18]]+Table1[[#This Row],[Mid21]]+Table1[[#This Row],[Mid24]]</f>
        <v>466</v>
      </c>
      <c r="CQ141" s="19">
        <f>Table1[[#This Row],[Mid27]]+Table1[[#This Row],[Mid30]]+Table1[[#This Row],[Mid33]]+Table1[[#This Row],[Mid36]]+Table1[[#This Row],[Mid39]]</f>
        <v>0</v>
      </c>
      <c r="CR141" t="s">
        <v>471</v>
      </c>
      <c r="CS141" s="19" t="str">
        <f>IF(AND(Table1[[#This Row],[Low41]]=0, Table1[[#This Row],[High43]]=0),"N","Y")</f>
        <v>N</v>
      </c>
    </row>
    <row r="142" spans="1:97" ht="19.5" customHeight="1" x14ac:dyDescent="0.25">
      <c r="A142">
        <v>10139</v>
      </c>
      <c r="B142" t="s">
        <v>516</v>
      </c>
      <c r="C142" t="s">
        <v>517</v>
      </c>
      <c r="D142">
        <v>55.170277779999999</v>
      </c>
      <c r="E142">
        <v>-114.7338889</v>
      </c>
      <c r="F142" t="s">
        <v>556</v>
      </c>
      <c r="G142" t="s">
        <v>519</v>
      </c>
      <c r="H142" t="s">
        <v>557</v>
      </c>
      <c r="I142" t="s">
        <v>118</v>
      </c>
      <c r="J142" t="s">
        <v>119</v>
      </c>
      <c r="K142" t="s">
        <v>120</v>
      </c>
      <c r="L142" t="s">
        <v>147</v>
      </c>
      <c r="M142" t="s">
        <v>548</v>
      </c>
      <c r="N142" s="6" t="s">
        <v>536</v>
      </c>
      <c r="O142" t="s">
        <v>537</v>
      </c>
      <c r="P142" t="s">
        <v>558</v>
      </c>
      <c r="Q142" t="s">
        <v>539</v>
      </c>
      <c r="R142" t="s">
        <v>559</v>
      </c>
      <c r="S142">
        <v>2014</v>
      </c>
      <c r="T142" t="s">
        <v>153</v>
      </c>
      <c r="U142" t="s">
        <v>129</v>
      </c>
      <c r="V142">
        <v>126000</v>
      </c>
      <c r="W142">
        <v>2250</v>
      </c>
      <c r="X142">
        <v>31</v>
      </c>
      <c r="Y142">
        <v>92</v>
      </c>
      <c r="Z142">
        <v>4</v>
      </c>
      <c r="AD142">
        <v>8305</v>
      </c>
      <c r="AE142">
        <v>6.5912698000000006E-2</v>
      </c>
      <c r="AF142">
        <v>200</v>
      </c>
      <c r="AG142">
        <v>0</v>
      </c>
      <c r="AH142" t="s">
        <v>541</v>
      </c>
      <c r="AI142">
        <v>2.4</v>
      </c>
      <c r="AK142">
        <v>0</v>
      </c>
      <c r="AL142">
        <v>0</v>
      </c>
      <c r="AM142" t="s">
        <v>542</v>
      </c>
      <c r="AN142" t="s">
        <v>132</v>
      </c>
      <c r="BH142">
        <v>448.9</v>
      </c>
      <c r="BN142">
        <v>39.1</v>
      </c>
      <c r="CE1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2" s="19">
        <f>SUM(Table1[[#This Row],[Mid39]],Table1[[#This Row],[Mid36]],Table1[[#This Row],[Mid33]],Table1[[#This Row],[Mid30]],Table1[[#This Row],[Mid27]],Table1[[#This Row],[Mid24]],Table1[[#This Row],[Mid21]],Table1[[#This Row],[Mid18]],Table1[[#This Row],[Mid15]],Table1[[#This Row],[Mid12]],Table1[[#This Row],[Mid9]],Table1[[#This Row],[Mid6]],Table1[[#This Row],[Mid3]],Table1[[#This Row],[Mid]])</f>
        <v>488</v>
      </c>
      <c r="CG1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42" t="s">
        <v>133</v>
      </c>
      <c r="CI142" t="s">
        <v>134</v>
      </c>
      <c r="CJ142" t="s">
        <v>158</v>
      </c>
      <c r="CL142" s="19">
        <f>IF(Table1[[#This Row],[Type]]="Petroleum",1,IF(ISERROR(Table1[[#This Row],[Well Density]]*Table1[[#This Row],[Single Well Discovery Area]]),"",IF(Table1[[#This Row],[Well Density]]*Table1[[#This Row],[Single Well Discovery Area]]&gt;1,1,Table1[[#This Row],[Well Density]]*Table1[[#This Row],[Single Well Discovery Area]])))</f>
        <v>1</v>
      </c>
      <c r="CM142" t="s">
        <v>158</v>
      </c>
      <c r="CN142" s="19">
        <f>Table1[[#This Row],[Mid]]</f>
        <v>0</v>
      </c>
      <c r="CO142" s="19">
        <f>Table1[[#This Row],[Mid3]]+Table1[[#This Row],[Mid6]]+Table1[[#This Row],[Mid9]]</f>
        <v>0</v>
      </c>
      <c r="CP142" s="19">
        <f>Table1[[#This Row],[Mid12]]+Table1[[#This Row],[Mid15]]+Table1[[#This Row],[Mid18]]+Table1[[#This Row],[Mid21]]+Table1[[#This Row],[Mid24]]</f>
        <v>488</v>
      </c>
      <c r="CQ142" s="19">
        <f>Table1[[#This Row],[Mid27]]+Table1[[#This Row],[Mid30]]+Table1[[#This Row],[Mid33]]+Table1[[#This Row],[Mid36]]+Table1[[#This Row],[Mid39]]</f>
        <v>0</v>
      </c>
      <c r="CR142" t="s">
        <v>471</v>
      </c>
      <c r="CS142" s="19" t="str">
        <f>IF(AND(Table1[[#This Row],[Low41]]=0, Table1[[#This Row],[High43]]=0),"N","Y")</f>
        <v>N</v>
      </c>
    </row>
    <row r="143" spans="1:97" ht="19.5" customHeight="1" x14ac:dyDescent="0.25">
      <c r="A143">
        <v>10140</v>
      </c>
      <c r="B143" t="s">
        <v>516</v>
      </c>
      <c r="C143" t="s">
        <v>517</v>
      </c>
      <c r="D143">
        <v>55.461388890000002</v>
      </c>
      <c r="E143">
        <v>-115.97</v>
      </c>
      <c r="F143" t="s">
        <v>560</v>
      </c>
      <c r="G143" t="s">
        <v>519</v>
      </c>
      <c r="H143" t="s">
        <v>561</v>
      </c>
      <c r="I143" t="s">
        <v>118</v>
      </c>
      <c r="J143" t="s">
        <v>119</v>
      </c>
      <c r="K143" t="s">
        <v>120</v>
      </c>
      <c r="L143" t="s">
        <v>147</v>
      </c>
      <c r="M143" t="s">
        <v>562</v>
      </c>
      <c r="N143" s="6" t="s">
        <v>536</v>
      </c>
      <c r="O143" t="s">
        <v>537</v>
      </c>
      <c r="P143" t="s">
        <v>563</v>
      </c>
      <c r="Q143" t="s">
        <v>539</v>
      </c>
      <c r="R143" t="s">
        <v>564</v>
      </c>
      <c r="S143">
        <v>2014</v>
      </c>
      <c r="T143" t="s">
        <v>153</v>
      </c>
      <c r="U143" t="s">
        <v>129</v>
      </c>
      <c r="V143">
        <v>126000</v>
      </c>
      <c r="W143">
        <v>1813</v>
      </c>
      <c r="X143">
        <v>25</v>
      </c>
      <c r="Y143">
        <v>95</v>
      </c>
      <c r="Z143">
        <v>4</v>
      </c>
      <c r="AD143">
        <v>8305</v>
      </c>
      <c r="AE143">
        <v>6.5912698000000006E-2</v>
      </c>
      <c r="AF143">
        <v>200</v>
      </c>
      <c r="AG143">
        <v>0</v>
      </c>
      <c r="AH143" t="s">
        <v>541</v>
      </c>
      <c r="AI143">
        <v>2.4</v>
      </c>
      <c r="AK143">
        <v>0</v>
      </c>
      <c r="AL143">
        <v>0</v>
      </c>
      <c r="AM143" t="s">
        <v>542</v>
      </c>
      <c r="AN143" t="s">
        <v>132</v>
      </c>
      <c r="BH143">
        <v>504.3</v>
      </c>
      <c r="BN143">
        <v>20.7</v>
      </c>
      <c r="CE14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3" s="19">
        <f>SUM(Table1[[#This Row],[Mid39]],Table1[[#This Row],[Mid36]],Table1[[#This Row],[Mid33]],Table1[[#This Row],[Mid30]],Table1[[#This Row],[Mid27]],Table1[[#This Row],[Mid24]],Table1[[#This Row],[Mid21]],Table1[[#This Row],[Mid18]],Table1[[#This Row],[Mid15]],Table1[[#This Row],[Mid12]],Table1[[#This Row],[Mid9]],Table1[[#This Row],[Mid6]],Table1[[#This Row],[Mid3]],Table1[[#This Row],[Mid]])</f>
        <v>525</v>
      </c>
      <c r="CG1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43" t="s">
        <v>133</v>
      </c>
      <c r="CI143" t="s">
        <v>134</v>
      </c>
      <c r="CJ143" t="s">
        <v>158</v>
      </c>
      <c r="CL143" s="19">
        <f>IF(Table1[[#This Row],[Type]]="Petroleum",1,IF(ISERROR(Table1[[#This Row],[Well Density]]*Table1[[#This Row],[Single Well Discovery Area]]),"",IF(Table1[[#This Row],[Well Density]]*Table1[[#This Row],[Single Well Discovery Area]]&gt;1,1,Table1[[#This Row],[Well Density]]*Table1[[#This Row],[Single Well Discovery Area]])))</f>
        <v>1</v>
      </c>
      <c r="CM143" t="s">
        <v>158</v>
      </c>
      <c r="CN143" s="19">
        <f>Table1[[#This Row],[Mid]]</f>
        <v>0</v>
      </c>
      <c r="CO143" s="19">
        <f>Table1[[#This Row],[Mid3]]+Table1[[#This Row],[Mid6]]+Table1[[#This Row],[Mid9]]</f>
        <v>0</v>
      </c>
      <c r="CP143" s="19">
        <f>Table1[[#This Row],[Mid12]]+Table1[[#This Row],[Mid15]]+Table1[[#This Row],[Mid18]]+Table1[[#This Row],[Mid21]]+Table1[[#This Row],[Mid24]]</f>
        <v>525</v>
      </c>
      <c r="CQ143" s="19">
        <f>Table1[[#This Row],[Mid27]]+Table1[[#This Row],[Mid30]]+Table1[[#This Row],[Mid33]]+Table1[[#This Row],[Mid36]]+Table1[[#This Row],[Mid39]]</f>
        <v>0</v>
      </c>
      <c r="CR143" t="s">
        <v>471</v>
      </c>
      <c r="CS143" s="19" t="str">
        <f>IF(AND(Table1[[#This Row],[Low41]]=0, Table1[[#This Row],[High43]]=0),"N","Y")</f>
        <v>N</v>
      </c>
    </row>
    <row r="144" spans="1:97" ht="19.5" customHeight="1" x14ac:dyDescent="0.25">
      <c r="A144">
        <v>10141</v>
      </c>
      <c r="B144" t="s">
        <v>516</v>
      </c>
      <c r="C144" t="s">
        <v>517</v>
      </c>
      <c r="D144">
        <v>54.831666669999997</v>
      </c>
      <c r="E144">
        <v>-113.92027779999999</v>
      </c>
      <c r="F144" t="s">
        <v>565</v>
      </c>
      <c r="G144" t="s">
        <v>519</v>
      </c>
      <c r="H144" t="s">
        <v>566</v>
      </c>
      <c r="I144" t="s">
        <v>118</v>
      </c>
      <c r="J144" t="s">
        <v>119</v>
      </c>
      <c r="K144" t="s">
        <v>120</v>
      </c>
      <c r="L144" t="s">
        <v>147</v>
      </c>
      <c r="M144" t="s">
        <v>535</v>
      </c>
      <c r="N144" s="6" t="s">
        <v>536</v>
      </c>
      <c r="O144" t="s">
        <v>537</v>
      </c>
      <c r="P144" t="s">
        <v>567</v>
      </c>
      <c r="Q144" t="s">
        <v>539</v>
      </c>
      <c r="R144" t="s">
        <v>568</v>
      </c>
      <c r="S144">
        <v>2014</v>
      </c>
      <c r="T144" t="s">
        <v>153</v>
      </c>
      <c r="U144" t="s">
        <v>129</v>
      </c>
      <c r="V144">
        <v>126000</v>
      </c>
      <c r="W144">
        <v>1088</v>
      </c>
      <c r="X144">
        <v>125</v>
      </c>
      <c r="Y144">
        <v>96</v>
      </c>
      <c r="Z144">
        <v>4</v>
      </c>
      <c r="AD144">
        <v>8305</v>
      </c>
      <c r="AE144">
        <v>6.5912698000000006E-2</v>
      </c>
      <c r="AF144">
        <v>200</v>
      </c>
      <c r="AG144">
        <v>0</v>
      </c>
      <c r="AH144" t="s">
        <v>541</v>
      </c>
      <c r="AI144">
        <v>2</v>
      </c>
      <c r="AK144">
        <v>0</v>
      </c>
      <c r="AL144">
        <v>0</v>
      </c>
      <c r="AM144" t="s">
        <v>542</v>
      </c>
      <c r="AN144" t="s">
        <v>132</v>
      </c>
      <c r="BH144">
        <v>352</v>
      </c>
      <c r="BN144">
        <v>1354.9</v>
      </c>
      <c r="CE14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4" s="19">
        <f>SUM(Table1[[#This Row],[Mid39]],Table1[[#This Row],[Mid36]],Table1[[#This Row],[Mid33]],Table1[[#This Row],[Mid30]],Table1[[#This Row],[Mid27]],Table1[[#This Row],[Mid24]],Table1[[#This Row],[Mid21]],Table1[[#This Row],[Mid18]],Table1[[#This Row],[Mid15]],Table1[[#This Row],[Mid12]],Table1[[#This Row],[Mid9]],Table1[[#This Row],[Mid6]],Table1[[#This Row],[Mid3]],Table1[[#This Row],[Mid]])</f>
        <v>1706.9</v>
      </c>
      <c r="CG1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44" t="s">
        <v>133</v>
      </c>
      <c r="CI144" t="s">
        <v>176</v>
      </c>
      <c r="CJ144" t="s">
        <v>158</v>
      </c>
      <c r="CL144" s="19">
        <f>IF(Table1[[#This Row],[Type]]="Petroleum",1,IF(ISERROR(Table1[[#This Row],[Well Density]]*Table1[[#This Row],[Single Well Discovery Area]]),"",IF(Table1[[#This Row],[Well Density]]*Table1[[#This Row],[Single Well Discovery Area]]&gt;1,1,Table1[[#This Row],[Well Density]]*Table1[[#This Row],[Single Well Discovery Area]])))</f>
        <v>1</v>
      </c>
      <c r="CM144" t="s">
        <v>158</v>
      </c>
      <c r="CN144" s="19">
        <f>Table1[[#This Row],[Mid]]</f>
        <v>0</v>
      </c>
      <c r="CO144" s="19">
        <f>Table1[[#This Row],[Mid3]]+Table1[[#This Row],[Mid6]]+Table1[[#This Row],[Mid9]]</f>
        <v>0</v>
      </c>
      <c r="CP144" s="19">
        <f>Table1[[#This Row],[Mid12]]+Table1[[#This Row],[Mid15]]+Table1[[#This Row],[Mid18]]+Table1[[#This Row],[Mid21]]+Table1[[#This Row],[Mid24]]</f>
        <v>1706.9</v>
      </c>
      <c r="CQ144" s="19">
        <f>Table1[[#This Row],[Mid27]]+Table1[[#This Row],[Mid30]]+Table1[[#This Row],[Mid33]]+Table1[[#This Row],[Mid36]]+Table1[[#This Row],[Mid39]]</f>
        <v>0</v>
      </c>
      <c r="CR144" t="s">
        <v>471</v>
      </c>
      <c r="CS144" s="19" t="str">
        <f>IF(AND(Table1[[#This Row],[Low41]]=0, Table1[[#This Row],[High43]]=0),"N","Y")</f>
        <v>N</v>
      </c>
    </row>
    <row r="145" spans="1:97" ht="19.5" customHeight="1" x14ac:dyDescent="0.25">
      <c r="A145">
        <v>10142</v>
      </c>
      <c r="B145" t="s">
        <v>516</v>
      </c>
      <c r="C145" t="s">
        <v>517</v>
      </c>
      <c r="D145">
        <v>55.520555559999998</v>
      </c>
      <c r="E145">
        <v>-112.3972222</v>
      </c>
      <c r="F145" t="s">
        <v>569</v>
      </c>
      <c r="G145" t="s">
        <v>519</v>
      </c>
      <c r="H145" t="s">
        <v>570</v>
      </c>
      <c r="I145" t="s">
        <v>118</v>
      </c>
      <c r="J145" t="s">
        <v>119</v>
      </c>
      <c r="K145" t="s">
        <v>120</v>
      </c>
      <c r="L145" t="s">
        <v>147</v>
      </c>
      <c r="M145" t="s">
        <v>548</v>
      </c>
      <c r="N145" s="6" t="s">
        <v>536</v>
      </c>
      <c r="O145" t="s">
        <v>537</v>
      </c>
      <c r="P145" t="s">
        <v>571</v>
      </c>
      <c r="Q145" t="s">
        <v>539</v>
      </c>
      <c r="R145" t="s">
        <v>572</v>
      </c>
      <c r="S145">
        <v>2014</v>
      </c>
      <c r="T145" t="s">
        <v>153</v>
      </c>
      <c r="U145" t="s">
        <v>129</v>
      </c>
      <c r="V145">
        <v>126000</v>
      </c>
      <c r="W145">
        <v>1438</v>
      </c>
      <c r="X145">
        <v>50</v>
      </c>
      <c r="Y145">
        <v>71</v>
      </c>
      <c r="Z145">
        <v>4</v>
      </c>
      <c r="AD145">
        <v>8305</v>
      </c>
      <c r="AE145">
        <v>6.5912698000000006E-2</v>
      </c>
      <c r="AF145">
        <v>200</v>
      </c>
      <c r="AG145">
        <v>0</v>
      </c>
      <c r="AH145" t="s">
        <v>541</v>
      </c>
      <c r="AI145">
        <v>2</v>
      </c>
      <c r="AK145">
        <v>0</v>
      </c>
      <c r="AL145">
        <v>0</v>
      </c>
      <c r="AM145" t="s">
        <v>542</v>
      </c>
      <c r="AN145" t="s">
        <v>132</v>
      </c>
      <c r="BH145">
        <v>7620.5</v>
      </c>
      <c r="BN145">
        <v>3060.5</v>
      </c>
      <c r="CE14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5" s="19">
        <f>SUM(Table1[[#This Row],[Mid39]],Table1[[#This Row],[Mid36]],Table1[[#This Row],[Mid33]],Table1[[#This Row],[Mid30]],Table1[[#This Row],[Mid27]],Table1[[#This Row],[Mid24]],Table1[[#This Row],[Mid21]],Table1[[#This Row],[Mid18]],Table1[[#This Row],[Mid15]],Table1[[#This Row],[Mid12]],Table1[[#This Row],[Mid9]],Table1[[#This Row],[Mid6]],Table1[[#This Row],[Mid3]],Table1[[#This Row],[Mid]])</f>
        <v>10681</v>
      </c>
      <c r="CG1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45" t="s">
        <v>133</v>
      </c>
      <c r="CI145" t="s">
        <v>176</v>
      </c>
      <c r="CJ145" t="s">
        <v>158</v>
      </c>
      <c r="CL145" s="19">
        <f>IF(Table1[[#This Row],[Type]]="Petroleum",1,IF(ISERROR(Table1[[#This Row],[Well Density]]*Table1[[#This Row],[Single Well Discovery Area]]),"",IF(Table1[[#This Row],[Well Density]]*Table1[[#This Row],[Single Well Discovery Area]]&gt;1,1,Table1[[#This Row],[Well Density]]*Table1[[#This Row],[Single Well Discovery Area]])))</f>
        <v>1</v>
      </c>
      <c r="CM145" t="s">
        <v>158</v>
      </c>
      <c r="CN145" s="19">
        <f>Table1[[#This Row],[Mid]]</f>
        <v>0</v>
      </c>
      <c r="CO145" s="19">
        <f>Table1[[#This Row],[Mid3]]+Table1[[#This Row],[Mid6]]+Table1[[#This Row],[Mid9]]</f>
        <v>0</v>
      </c>
      <c r="CP145" s="19">
        <f>Table1[[#This Row],[Mid12]]+Table1[[#This Row],[Mid15]]+Table1[[#This Row],[Mid18]]+Table1[[#This Row],[Mid21]]+Table1[[#This Row],[Mid24]]</f>
        <v>10681</v>
      </c>
      <c r="CQ145" s="19">
        <f>Table1[[#This Row],[Mid27]]+Table1[[#This Row],[Mid30]]+Table1[[#This Row],[Mid33]]+Table1[[#This Row],[Mid36]]+Table1[[#This Row],[Mid39]]</f>
        <v>0</v>
      </c>
      <c r="CR145" t="s">
        <v>471</v>
      </c>
      <c r="CS145" s="19" t="str">
        <f>IF(AND(Table1[[#This Row],[Low41]]=0, Table1[[#This Row],[High43]]=0),"N","Y")</f>
        <v>N</v>
      </c>
    </row>
    <row r="146" spans="1:97" ht="19.5" customHeight="1" x14ac:dyDescent="0.25">
      <c r="A146">
        <v>10143</v>
      </c>
      <c r="B146" t="s">
        <v>516</v>
      </c>
      <c r="C146" t="s">
        <v>517</v>
      </c>
      <c r="D146">
        <v>54.415833329999998</v>
      </c>
      <c r="E146">
        <v>-113.5786111</v>
      </c>
      <c r="F146" t="s">
        <v>573</v>
      </c>
      <c r="G146" t="s">
        <v>519</v>
      </c>
      <c r="H146" t="s">
        <v>574</v>
      </c>
      <c r="I146" t="s">
        <v>118</v>
      </c>
      <c r="J146" t="s">
        <v>119</v>
      </c>
      <c r="K146" t="s">
        <v>120</v>
      </c>
      <c r="L146" t="s">
        <v>147</v>
      </c>
      <c r="M146" t="s">
        <v>535</v>
      </c>
      <c r="N146" s="6" t="s">
        <v>536</v>
      </c>
      <c r="O146" t="s">
        <v>537</v>
      </c>
      <c r="P146" t="s">
        <v>575</v>
      </c>
      <c r="Q146" t="s">
        <v>539</v>
      </c>
      <c r="R146" t="s">
        <v>576</v>
      </c>
      <c r="S146">
        <v>2014</v>
      </c>
      <c r="T146" t="s">
        <v>153</v>
      </c>
      <c r="U146" t="s">
        <v>129</v>
      </c>
      <c r="V146">
        <v>126000</v>
      </c>
      <c r="W146">
        <v>1013</v>
      </c>
      <c r="X146">
        <v>25</v>
      </c>
      <c r="Y146">
        <v>100</v>
      </c>
      <c r="Z146">
        <v>4</v>
      </c>
      <c r="AD146">
        <v>8305</v>
      </c>
      <c r="AE146">
        <v>6.5912698000000006E-2</v>
      </c>
      <c r="AF146">
        <v>200</v>
      </c>
      <c r="AG146">
        <v>0</v>
      </c>
      <c r="AH146" t="s">
        <v>541</v>
      </c>
      <c r="AI146">
        <v>2.7</v>
      </c>
      <c r="AK146">
        <v>0</v>
      </c>
      <c r="AL146">
        <v>0</v>
      </c>
      <c r="AM146" t="s">
        <v>542</v>
      </c>
      <c r="AN146" t="s">
        <v>132</v>
      </c>
      <c r="BH146">
        <v>287.60000000000002</v>
      </c>
      <c r="BN146">
        <v>146.4</v>
      </c>
      <c r="CE14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6" s="19">
        <f>SUM(Table1[[#This Row],[Mid39]],Table1[[#This Row],[Mid36]],Table1[[#This Row],[Mid33]],Table1[[#This Row],[Mid30]],Table1[[#This Row],[Mid27]],Table1[[#This Row],[Mid24]],Table1[[#This Row],[Mid21]],Table1[[#This Row],[Mid18]],Table1[[#This Row],[Mid15]],Table1[[#This Row],[Mid12]],Table1[[#This Row],[Mid9]],Table1[[#This Row],[Mid6]],Table1[[#This Row],[Mid3]],Table1[[#This Row],[Mid]])</f>
        <v>434</v>
      </c>
      <c r="CG1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46" t="s">
        <v>133</v>
      </c>
      <c r="CI146" t="s">
        <v>176</v>
      </c>
      <c r="CJ146" t="s">
        <v>158</v>
      </c>
      <c r="CL146" s="19">
        <f>IF(Table1[[#This Row],[Type]]="Petroleum",1,IF(ISERROR(Table1[[#This Row],[Well Density]]*Table1[[#This Row],[Single Well Discovery Area]]),"",IF(Table1[[#This Row],[Well Density]]*Table1[[#This Row],[Single Well Discovery Area]]&gt;1,1,Table1[[#This Row],[Well Density]]*Table1[[#This Row],[Single Well Discovery Area]])))</f>
        <v>1</v>
      </c>
      <c r="CM146" t="s">
        <v>158</v>
      </c>
      <c r="CN146" s="19">
        <f>Table1[[#This Row],[Mid]]</f>
        <v>0</v>
      </c>
      <c r="CO146" s="19">
        <f>Table1[[#This Row],[Mid3]]+Table1[[#This Row],[Mid6]]+Table1[[#This Row],[Mid9]]</f>
        <v>0</v>
      </c>
      <c r="CP146" s="19">
        <f>Table1[[#This Row],[Mid12]]+Table1[[#This Row],[Mid15]]+Table1[[#This Row],[Mid18]]+Table1[[#This Row],[Mid21]]+Table1[[#This Row],[Mid24]]</f>
        <v>434</v>
      </c>
      <c r="CQ146" s="19">
        <f>Table1[[#This Row],[Mid27]]+Table1[[#This Row],[Mid30]]+Table1[[#This Row],[Mid33]]+Table1[[#This Row],[Mid36]]+Table1[[#This Row],[Mid39]]</f>
        <v>0</v>
      </c>
      <c r="CR146" t="s">
        <v>471</v>
      </c>
      <c r="CS146" s="19" t="str">
        <f>IF(AND(Table1[[#This Row],[Low41]]=0, Table1[[#This Row],[High43]]=0),"N","Y")</f>
        <v>N</v>
      </c>
    </row>
    <row r="147" spans="1:97" s="23" customFormat="1" ht="19.5" customHeight="1" x14ac:dyDescent="0.25">
      <c r="A147">
        <v>10144</v>
      </c>
      <c r="B147" t="s">
        <v>516</v>
      </c>
      <c r="C147" t="s">
        <v>517</v>
      </c>
      <c r="D147">
        <v>56.28611111</v>
      </c>
      <c r="E147">
        <v>-115.9938889</v>
      </c>
      <c r="F147" t="s">
        <v>577</v>
      </c>
      <c r="G147" t="s">
        <v>519</v>
      </c>
      <c r="H147" t="s">
        <v>578</v>
      </c>
      <c r="I147" t="s">
        <v>118</v>
      </c>
      <c r="J147" t="s">
        <v>119</v>
      </c>
      <c r="K147" t="s">
        <v>120</v>
      </c>
      <c r="L147" t="s">
        <v>147</v>
      </c>
      <c r="M147" t="s">
        <v>535</v>
      </c>
      <c r="N147" s="6" t="s">
        <v>536</v>
      </c>
      <c r="O147" t="s">
        <v>537</v>
      </c>
      <c r="P147" t="s">
        <v>579</v>
      </c>
      <c r="Q147" t="s">
        <v>539</v>
      </c>
      <c r="R147" t="s">
        <v>580</v>
      </c>
      <c r="S147">
        <v>2014</v>
      </c>
      <c r="T147" t="s">
        <v>153</v>
      </c>
      <c r="U147" t="s">
        <v>129</v>
      </c>
      <c r="V147">
        <v>126000</v>
      </c>
      <c r="W147">
        <v>1700</v>
      </c>
      <c r="X147">
        <v>50</v>
      </c>
      <c r="Y147">
        <v>97</v>
      </c>
      <c r="Z147">
        <v>4</v>
      </c>
      <c r="AA147"/>
      <c r="AB147"/>
      <c r="AC147"/>
      <c r="AD147">
        <v>8305</v>
      </c>
      <c r="AE147">
        <v>6.5912698000000006E-2</v>
      </c>
      <c r="AF147">
        <v>200</v>
      </c>
      <c r="AG147">
        <v>0</v>
      </c>
      <c r="AH147" t="s">
        <v>541</v>
      </c>
      <c r="AI147">
        <v>2</v>
      </c>
      <c r="AJ147"/>
      <c r="AK147">
        <v>0</v>
      </c>
      <c r="AL147">
        <v>0</v>
      </c>
      <c r="AM147" t="s">
        <v>542</v>
      </c>
      <c r="AN147" t="s">
        <v>132</v>
      </c>
      <c r="AO147"/>
      <c r="AP147"/>
      <c r="AQ147"/>
      <c r="AR147"/>
      <c r="AS147"/>
      <c r="AT147"/>
      <c r="AU147"/>
      <c r="AV147"/>
      <c r="AW147"/>
      <c r="AX147"/>
      <c r="AY147"/>
      <c r="AZ147"/>
      <c r="BA147"/>
      <c r="BB147"/>
      <c r="BC147"/>
      <c r="BD147"/>
      <c r="BE147"/>
      <c r="BF147"/>
      <c r="BG147"/>
      <c r="BH147">
        <v>2217.3000000000002</v>
      </c>
      <c r="BI147"/>
      <c r="BJ147"/>
      <c r="BK147"/>
      <c r="BL147"/>
      <c r="BM147"/>
      <c r="BN147">
        <v>856.1</v>
      </c>
      <c r="BO147"/>
      <c r="BP147"/>
      <c r="BQ147"/>
      <c r="BR147"/>
      <c r="BS147"/>
      <c r="BT147"/>
      <c r="BU147"/>
      <c r="BV147"/>
      <c r="BW147"/>
      <c r="BX147"/>
      <c r="BY147"/>
      <c r="BZ147"/>
      <c r="CA147"/>
      <c r="CB147"/>
      <c r="CC147"/>
      <c r="CD147"/>
      <c r="CE14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7" s="19">
        <f>SUM(Table1[[#This Row],[Mid39]],Table1[[#This Row],[Mid36]],Table1[[#This Row],[Mid33]],Table1[[#This Row],[Mid30]],Table1[[#This Row],[Mid27]],Table1[[#This Row],[Mid24]],Table1[[#This Row],[Mid21]],Table1[[#This Row],[Mid18]],Table1[[#This Row],[Mid15]],Table1[[#This Row],[Mid12]],Table1[[#This Row],[Mid9]],Table1[[#This Row],[Mid6]],Table1[[#This Row],[Mid3]],Table1[[#This Row],[Mid]])</f>
        <v>3073.4</v>
      </c>
      <c r="CG1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47" t="s">
        <v>133</v>
      </c>
      <c r="CI147" t="s">
        <v>176</v>
      </c>
      <c r="CJ147" t="s">
        <v>158</v>
      </c>
      <c r="CK147"/>
      <c r="CL147" s="19">
        <f>IF(Table1[[#This Row],[Type]]="Petroleum",1,IF(ISERROR(Table1[[#This Row],[Well Density]]*Table1[[#This Row],[Single Well Discovery Area]]),"",IF(Table1[[#This Row],[Well Density]]*Table1[[#This Row],[Single Well Discovery Area]]&gt;1,1,Table1[[#This Row],[Well Density]]*Table1[[#This Row],[Single Well Discovery Area]])))</f>
        <v>1</v>
      </c>
      <c r="CM147" t="s">
        <v>158</v>
      </c>
      <c r="CN147" s="19">
        <f>Table1[[#This Row],[Mid]]</f>
        <v>0</v>
      </c>
      <c r="CO147" s="19">
        <f>Table1[[#This Row],[Mid3]]+Table1[[#This Row],[Mid6]]+Table1[[#This Row],[Mid9]]</f>
        <v>0</v>
      </c>
      <c r="CP147" s="19">
        <f>Table1[[#This Row],[Mid12]]+Table1[[#This Row],[Mid15]]+Table1[[#This Row],[Mid18]]+Table1[[#This Row],[Mid21]]+Table1[[#This Row],[Mid24]]</f>
        <v>3073.4</v>
      </c>
      <c r="CQ147" s="19">
        <f>Table1[[#This Row],[Mid27]]+Table1[[#This Row],[Mid30]]+Table1[[#This Row],[Mid33]]+Table1[[#This Row],[Mid36]]+Table1[[#This Row],[Mid39]]</f>
        <v>0</v>
      </c>
      <c r="CR147" t="s">
        <v>471</v>
      </c>
      <c r="CS147" s="22" t="str">
        <f>IF(AND(Table1[[#This Row],[Low41]]=0, Table1[[#This Row],[High43]]=0),"N","Y")</f>
        <v>N</v>
      </c>
    </row>
    <row r="148" spans="1:97" ht="19.5" customHeight="1" x14ac:dyDescent="0.25">
      <c r="A148">
        <v>10145</v>
      </c>
      <c r="B148" t="s">
        <v>516</v>
      </c>
      <c r="C148" t="s">
        <v>517</v>
      </c>
      <c r="D148">
        <v>64.068611110000006</v>
      </c>
      <c r="E148">
        <v>-152.27833330000001</v>
      </c>
      <c r="F148" t="s">
        <v>581</v>
      </c>
      <c r="G148" t="s">
        <v>519</v>
      </c>
      <c r="I148" t="s">
        <v>582</v>
      </c>
      <c r="J148" t="s">
        <v>202</v>
      </c>
      <c r="K148" t="s">
        <v>203</v>
      </c>
      <c r="L148" t="s">
        <v>121</v>
      </c>
      <c r="M148" t="s">
        <v>548</v>
      </c>
      <c r="N148" s="6" t="s">
        <v>583</v>
      </c>
      <c r="O148" t="s">
        <v>584</v>
      </c>
      <c r="P148" t="s">
        <v>551</v>
      </c>
      <c r="Q148" t="s">
        <v>552</v>
      </c>
      <c r="R148" t="s">
        <v>585</v>
      </c>
      <c r="S148">
        <v>2014</v>
      </c>
      <c r="T148" t="s">
        <v>153</v>
      </c>
      <c r="U148" t="s">
        <v>129</v>
      </c>
      <c r="V148">
        <v>126000</v>
      </c>
      <c r="AE148">
        <v>0</v>
      </c>
      <c r="AF148">
        <v>200</v>
      </c>
      <c r="AG148">
        <v>0</v>
      </c>
      <c r="AH148" t="s">
        <v>554</v>
      </c>
      <c r="AI148">
        <v>40</v>
      </c>
      <c r="AK148">
        <v>0</v>
      </c>
      <c r="AL148">
        <v>0</v>
      </c>
      <c r="AM148" t="s">
        <v>586</v>
      </c>
      <c r="AN148" t="s">
        <v>132</v>
      </c>
      <c r="BN148">
        <v>119</v>
      </c>
      <c r="CE14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8" s="19">
        <f>SUM(Table1[[#This Row],[Mid39]],Table1[[#This Row],[Mid36]],Table1[[#This Row],[Mid33]],Table1[[#This Row],[Mid30]],Table1[[#This Row],[Mid27]],Table1[[#This Row],[Mid24]],Table1[[#This Row],[Mid21]],Table1[[#This Row],[Mid18]],Table1[[#This Row],[Mid15]],Table1[[#This Row],[Mid12]],Table1[[#This Row],[Mid9]],Table1[[#This Row],[Mid6]],Table1[[#This Row],[Mid3]],Table1[[#This Row],[Mid]])</f>
        <v>119</v>
      </c>
      <c r="CG14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48" t="s">
        <v>157</v>
      </c>
      <c r="CI148" t="s">
        <v>176</v>
      </c>
      <c r="CJ148" t="s">
        <v>158</v>
      </c>
      <c r="CL148" s="19">
        <f>IF(Table1[[#This Row],[Type]]="Petroleum",1,IF(ISERROR(Table1[[#This Row],[Well Density]]*Table1[[#This Row],[Single Well Discovery Area]]),"",IF(Table1[[#This Row],[Well Density]]*Table1[[#This Row],[Single Well Discovery Area]]&gt;1,1,Table1[[#This Row],[Well Density]]*Table1[[#This Row],[Single Well Discovery Area]])))</f>
        <v>1</v>
      </c>
      <c r="CM148" t="s">
        <v>158</v>
      </c>
      <c r="CN148" s="19">
        <f>Table1[[#This Row],[Mid]]</f>
        <v>0</v>
      </c>
      <c r="CO148" s="19">
        <f>Table1[[#This Row],[Mid3]]+Table1[[#This Row],[Mid6]]+Table1[[#This Row],[Mid9]]</f>
        <v>0</v>
      </c>
      <c r="CP148" s="19">
        <f>Table1[[#This Row],[Mid12]]+Table1[[#This Row],[Mid15]]+Table1[[#This Row],[Mid18]]+Table1[[#This Row],[Mid21]]+Table1[[#This Row],[Mid24]]</f>
        <v>119</v>
      </c>
      <c r="CQ148" s="19">
        <f>Table1[[#This Row],[Mid27]]+Table1[[#This Row],[Mid30]]+Table1[[#This Row],[Mid33]]+Table1[[#This Row],[Mid36]]+Table1[[#This Row],[Mid39]]</f>
        <v>0</v>
      </c>
      <c r="CR148" t="s">
        <v>471</v>
      </c>
      <c r="CS148" s="19" t="str">
        <f>IF(AND(Table1[[#This Row],[Low41]]=0, Table1[[#This Row],[High43]]=0),"N","Y")</f>
        <v>N</v>
      </c>
    </row>
    <row r="149" spans="1:97" ht="19.5" customHeight="1" x14ac:dyDescent="0.25">
      <c r="A149">
        <v>10146</v>
      </c>
      <c r="B149" t="s">
        <v>516</v>
      </c>
      <c r="C149" t="s">
        <v>517</v>
      </c>
      <c r="D149">
        <v>56.28611111</v>
      </c>
      <c r="E149">
        <v>-115.9938889</v>
      </c>
      <c r="F149" t="s">
        <v>587</v>
      </c>
      <c r="G149" t="s">
        <v>519</v>
      </c>
      <c r="H149" t="s">
        <v>557</v>
      </c>
      <c r="I149" t="s">
        <v>118</v>
      </c>
      <c r="J149" t="s">
        <v>119</v>
      </c>
      <c r="K149" t="s">
        <v>120</v>
      </c>
      <c r="L149" t="s">
        <v>147</v>
      </c>
      <c r="M149" t="s">
        <v>548</v>
      </c>
      <c r="N149" s="6" t="s">
        <v>536</v>
      </c>
      <c r="O149" t="s">
        <v>537</v>
      </c>
      <c r="P149" t="s">
        <v>588</v>
      </c>
      <c r="Q149" t="s">
        <v>539</v>
      </c>
      <c r="R149" t="s">
        <v>589</v>
      </c>
      <c r="S149">
        <v>2014</v>
      </c>
      <c r="T149" t="s">
        <v>153</v>
      </c>
      <c r="U149" t="s">
        <v>129</v>
      </c>
      <c r="V149">
        <v>126000</v>
      </c>
      <c r="W149">
        <v>1688</v>
      </c>
      <c r="X149">
        <v>18.75</v>
      </c>
      <c r="Y149">
        <v>58</v>
      </c>
      <c r="Z149">
        <v>4</v>
      </c>
      <c r="AD149">
        <v>8305</v>
      </c>
      <c r="AE149">
        <v>6.5912698000000006E-2</v>
      </c>
      <c r="AF149">
        <v>200</v>
      </c>
      <c r="AG149">
        <v>0</v>
      </c>
      <c r="AH149" t="s">
        <v>541</v>
      </c>
      <c r="AI149">
        <v>2</v>
      </c>
      <c r="AK149">
        <v>0</v>
      </c>
      <c r="AL149">
        <v>0</v>
      </c>
      <c r="AM149" t="s">
        <v>542</v>
      </c>
      <c r="AN149" t="s">
        <v>132</v>
      </c>
      <c r="BH149">
        <v>92.6</v>
      </c>
      <c r="BN149">
        <v>14</v>
      </c>
      <c r="CE14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9" s="19">
        <f>SUM(Table1[[#This Row],[Mid39]],Table1[[#This Row],[Mid36]],Table1[[#This Row],[Mid33]],Table1[[#This Row],[Mid30]],Table1[[#This Row],[Mid27]],Table1[[#This Row],[Mid24]],Table1[[#This Row],[Mid21]],Table1[[#This Row],[Mid18]],Table1[[#This Row],[Mid15]],Table1[[#This Row],[Mid12]],Table1[[#This Row],[Mid9]],Table1[[#This Row],[Mid6]],Table1[[#This Row],[Mid3]],Table1[[#This Row],[Mid]])</f>
        <v>106.6</v>
      </c>
      <c r="CG1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49" t="s">
        <v>133</v>
      </c>
      <c r="CI149" t="s">
        <v>176</v>
      </c>
      <c r="CJ149" t="s">
        <v>158</v>
      </c>
      <c r="CL149" s="19">
        <f>IF(Table1[[#This Row],[Type]]="Petroleum",1,IF(ISERROR(Table1[[#This Row],[Well Density]]*Table1[[#This Row],[Single Well Discovery Area]]),"",IF(Table1[[#This Row],[Well Density]]*Table1[[#This Row],[Single Well Discovery Area]]&gt;1,1,Table1[[#This Row],[Well Density]]*Table1[[#This Row],[Single Well Discovery Area]])))</f>
        <v>1</v>
      </c>
      <c r="CM149" t="s">
        <v>158</v>
      </c>
      <c r="CN149" s="19">
        <f>Table1[[#This Row],[Mid]]</f>
        <v>0</v>
      </c>
      <c r="CO149" s="19">
        <f>Table1[[#This Row],[Mid3]]+Table1[[#This Row],[Mid6]]+Table1[[#This Row],[Mid9]]</f>
        <v>0</v>
      </c>
      <c r="CP149" s="19">
        <f>Table1[[#This Row],[Mid12]]+Table1[[#This Row],[Mid15]]+Table1[[#This Row],[Mid18]]+Table1[[#This Row],[Mid21]]+Table1[[#This Row],[Mid24]]</f>
        <v>106.6</v>
      </c>
      <c r="CQ149" s="19">
        <f>Table1[[#This Row],[Mid27]]+Table1[[#This Row],[Mid30]]+Table1[[#This Row],[Mid33]]+Table1[[#This Row],[Mid36]]+Table1[[#This Row],[Mid39]]</f>
        <v>0</v>
      </c>
      <c r="CR149" t="s">
        <v>471</v>
      </c>
      <c r="CS149" s="19" t="str">
        <f>IF(AND(Table1[[#This Row],[Low41]]=0, Table1[[#This Row],[High43]]=0),"N","Y")</f>
        <v>N</v>
      </c>
    </row>
    <row r="150" spans="1:97" ht="19.5" customHeight="1" x14ac:dyDescent="0.25">
      <c r="A150">
        <v>10147</v>
      </c>
      <c r="B150" t="s">
        <v>516</v>
      </c>
      <c r="C150" t="s">
        <v>517</v>
      </c>
      <c r="D150">
        <v>53.840833330000002</v>
      </c>
      <c r="E150">
        <v>-114.7422222</v>
      </c>
      <c r="F150" t="s">
        <v>590</v>
      </c>
      <c r="G150" t="s">
        <v>519</v>
      </c>
      <c r="H150" t="s">
        <v>591</v>
      </c>
      <c r="I150" t="s">
        <v>118</v>
      </c>
      <c r="J150" t="s">
        <v>119</v>
      </c>
      <c r="K150" t="s">
        <v>120</v>
      </c>
      <c r="L150" t="s">
        <v>147</v>
      </c>
      <c r="M150" t="s">
        <v>535</v>
      </c>
      <c r="N150" s="6" t="s">
        <v>536</v>
      </c>
      <c r="O150" t="s">
        <v>537</v>
      </c>
      <c r="P150" t="s">
        <v>592</v>
      </c>
      <c r="Q150" t="s">
        <v>539</v>
      </c>
      <c r="R150" t="s">
        <v>593</v>
      </c>
      <c r="S150">
        <v>2014</v>
      </c>
      <c r="T150" t="s">
        <v>153</v>
      </c>
      <c r="U150" t="s">
        <v>129</v>
      </c>
      <c r="V150">
        <v>126000</v>
      </c>
      <c r="W150">
        <v>1500</v>
      </c>
      <c r="X150">
        <v>238</v>
      </c>
      <c r="Y150">
        <v>71</v>
      </c>
      <c r="Z150">
        <v>4</v>
      </c>
      <c r="AD150">
        <v>8305</v>
      </c>
      <c r="AE150">
        <v>6.5912698000000006E-2</v>
      </c>
      <c r="AF150">
        <v>200</v>
      </c>
      <c r="AG150">
        <v>0</v>
      </c>
      <c r="AH150" t="s">
        <v>541</v>
      </c>
      <c r="AI150">
        <v>2</v>
      </c>
      <c r="AK150">
        <v>0</v>
      </c>
      <c r="AL150">
        <v>0</v>
      </c>
      <c r="AM150" t="s">
        <v>542</v>
      </c>
      <c r="AN150" t="s">
        <v>132</v>
      </c>
      <c r="BH150">
        <v>1851.4</v>
      </c>
      <c r="BN150">
        <v>1830.9</v>
      </c>
      <c r="CE15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0" s="19">
        <f>SUM(Table1[[#This Row],[Mid39]],Table1[[#This Row],[Mid36]],Table1[[#This Row],[Mid33]],Table1[[#This Row],[Mid30]],Table1[[#This Row],[Mid27]],Table1[[#This Row],[Mid24]],Table1[[#This Row],[Mid21]],Table1[[#This Row],[Mid18]],Table1[[#This Row],[Mid15]],Table1[[#This Row],[Mid12]],Table1[[#This Row],[Mid9]],Table1[[#This Row],[Mid6]],Table1[[#This Row],[Mid3]],Table1[[#This Row],[Mid]])</f>
        <v>3682.3</v>
      </c>
      <c r="CG1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50" t="s">
        <v>133</v>
      </c>
      <c r="CI150" t="s">
        <v>176</v>
      </c>
      <c r="CJ150" t="s">
        <v>158</v>
      </c>
      <c r="CL150" s="19">
        <f>IF(Table1[[#This Row],[Type]]="Petroleum",1,IF(ISERROR(Table1[[#This Row],[Well Density]]*Table1[[#This Row],[Single Well Discovery Area]]),"",IF(Table1[[#This Row],[Well Density]]*Table1[[#This Row],[Single Well Discovery Area]]&gt;1,1,Table1[[#This Row],[Well Density]]*Table1[[#This Row],[Single Well Discovery Area]])))</f>
        <v>1</v>
      </c>
      <c r="CM150" t="s">
        <v>158</v>
      </c>
      <c r="CN150" s="19">
        <f>Table1[[#This Row],[Mid]]</f>
        <v>0</v>
      </c>
      <c r="CO150" s="19">
        <f>Table1[[#This Row],[Mid3]]+Table1[[#This Row],[Mid6]]+Table1[[#This Row],[Mid9]]</f>
        <v>0</v>
      </c>
      <c r="CP150" s="19">
        <f>Table1[[#This Row],[Mid12]]+Table1[[#This Row],[Mid15]]+Table1[[#This Row],[Mid18]]+Table1[[#This Row],[Mid21]]+Table1[[#This Row],[Mid24]]</f>
        <v>3682.3</v>
      </c>
      <c r="CQ150" s="19">
        <f>Table1[[#This Row],[Mid27]]+Table1[[#This Row],[Mid30]]+Table1[[#This Row],[Mid33]]+Table1[[#This Row],[Mid36]]+Table1[[#This Row],[Mid39]]</f>
        <v>0</v>
      </c>
      <c r="CR150" t="s">
        <v>471</v>
      </c>
      <c r="CS150" s="19" t="str">
        <f>IF(AND(Table1[[#This Row],[Low41]]=0, Table1[[#This Row],[High43]]=0),"N","Y")</f>
        <v>N</v>
      </c>
    </row>
    <row r="151" spans="1:97" ht="19.5" customHeight="1" x14ac:dyDescent="0.25">
      <c r="A151">
        <v>10148</v>
      </c>
      <c r="B151" t="s">
        <v>516</v>
      </c>
      <c r="C151" t="s">
        <v>517</v>
      </c>
      <c r="D151">
        <v>54.266944440000003</v>
      </c>
      <c r="E151">
        <v>-110.7397222</v>
      </c>
      <c r="F151" t="s">
        <v>594</v>
      </c>
      <c r="G151" t="s">
        <v>595</v>
      </c>
      <c r="H151" t="s">
        <v>596</v>
      </c>
      <c r="I151" t="s">
        <v>118</v>
      </c>
      <c r="J151" t="s">
        <v>119</v>
      </c>
      <c r="K151" t="s">
        <v>120</v>
      </c>
      <c r="L151" t="s">
        <v>121</v>
      </c>
      <c r="M151" t="s">
        <v>597</v>
      </c>
      <c r="N151" s="6" t="s">
        <v>598</v>
      </c>
      <c r="O151" t="s">
        <v>599</v>
      </c>
      <c r="P151" t="s">
        <v>600</v>
      </c>
      <c r="Q151" t="s">
        <v>601</v>
      </c>
      <c r="R151" t="s">
        <v>602</v>
      </c>
      <c r="S151">
        <v>2014</v>
      </c>
      <c r="T151" t="s">
        <v>153</v>
      </c>
      <c r="U151" t="s">
        <v>129</v>
      </c>
      <c r="V151"/>
      <c r="AC151">
        <v>819.3</v>
      </c>
      <c r="AF151">
        <v>200</v>
      </c>
      <c r="AG151">
        <v>0</v>
      </c>
      <c r="AK151">
        <v>0</v>
      </c>
      <c r="AL151">
        <v>0</v>
      </c>
      <c r="AM151" t="s">
        <v>603</v>
      </c>
      <c r="AN151" t="s">
        <v>132</v>
      </c>
      <c r="BH151">
        <v>900</v>
      </c>
      <c r="CE1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1" s="19">
        <f>SUM(Table1[[#This Row],[Mid39]],Table1[[#This Row],[Mid36]],Table1[[#This Row],[Mid33]],Table1[[#This Row],[Mid30]],Table1[[#This Row],[Mid27]],Table1[[#This Row],[Mid24]],Table1[[#This Row],[Mid21]],Table1[[#This Row],[Mid18]],Table1[[#This Row],[Mid15]],Table1[[#This Row],[Mid12]],Table1[[#This Row],[Mid9]],Table1[[#This Row],[Mid6]],Table1[[#This Row],[Mid3]],Table1[[#This Row],[Mid]])</f>
        <v>900</v>
      </c>
      <c r="CG1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51" t="s">
        <v>157</v>
      </c>
      <c r="CI151" t="s">
        <v>134</v>
      </c>
      <c r="CJ151" t="s">
        <v>135</v>
      </c>
      <c r="CL151" s="19">
        <f>IF(Table1[[#This Row],[Type]]="Petroleum",1,IF(ISERROR(Table1[[#This Row],[Well Density]]*Table1[[#This Row],[Single Well Discovery Area]]),"",IF(Table1[[#This Row],[Well Density]]*Table1[[#This Row],[Single Well Discovery Area]]&gt;1,1,Table1[[#This Row],[Well Density]]*Table1[[#This Row],[Single Well Discovery Area]])))</f>
        <v>0</v>
      </c>
      <c r="CM151" t="s">
        <v>135</v>
      </c>
      <c r="CN151" s="19">
        <f>Table1[[#This Row],[Mid]]</f>
        <v>0</v>
      </c>
      <c r="CO151" s="19">
        <f>Table1[[#This Row],[Mid3]]+Table1[[#This Row],[Mid6]]+Table1[[#This Row],[Mid9]]</f>
        <v>0</v>
      </c>
      <c r="CP151" s="19">
        <f>Table1[[#This Row],[Mid12]]+Table1[[#This Row],[Mid15]]+Table1[[#This Row],[Mid18]]+Table1[[#This Row],[Mid21]]+Table1[[#This Row],[Mid24]]</f>
        <v>900</v>
      </c>
      <c r="CQ151" s="19">
        <f>Table1[[#This Row],[Mid27]]+Table1[[#This Row],[Mid30]]+Table1[[#This Row],[Mid33]]+Table1[[#This Row],[Mid36]]+Table1[[#This Row],[Mid39]]</f>
        <v>0</v>
      </c>
      <c r="CR151" t="s">
        <v>471</v>
      </c>
      <c r="CS151" s="19" t="str">
        <f>IF(AND(Table1[[#This Row],[Low41]]=0, Table1[[#This Row],[High43]]=0),"N","Y")</f>
        <v>N</v>
      </c>
    </row>
    <row r="152" spans="1:97" ht="19.5" customHeight="1" x14ac:dyDescent="0.25">
      <c r="A152">
        <v>10149</v>
      </c>
      <c r="B152" t="s">
        <v>516</v>
      </c>
      <c r="C152" t="s">
        <v>517</v>
      </c>
      <c r="D152">
        <v>52.97888889</v>
      </c>
      <c r="E152">
        <v>-115.8358333</v>
      </c>
      <c r="F152" t="s">
        <v>604</v>
      </c>
      <c r="G152" t="s">
        <v>519</v>
      </c>
      <c r="H152" t="s">
        <v>605</v>
      </c>
      <c r="I152" t="s">
        <v>433</v>
      </c>
      <c r="J152" t="s">
        <v>202</v>
      </c>
      <c r="K152" t="s">
        <v>203</v>
      </c>
      <c r="L152" t="s">
        <v>121</v>
      </c>
      <c r="M152" t="s">
        <v>606</v>
      </c>
      <c r="N152" s="6" t="s">
        <v>607</v>
      </c>
      <c r="O152" t="s">
        <v>608</v>
      </c>
      <c r="P152" t="s">
        <v>609</v>
      </c>
      <c r="Q152" t="s">
        <v>610</v>
      </c>
      <c r="R152" t="s">
        <v>611</v>
      </c>
      <c r="S152">
        <v>2004</v>
      </c>
      <c r="T152" t="s">
        <v>153</v>
      </c>
      <c r="U152" t="s">
        <v>129</v>
      </c>
      <c r="V152"/>
      <c r="W152">
        <v>3012</v>
      </c>
      <c r="Z152">
        <v>7.5</v>
      </c>
      <c r="AD152">
        <v>0</v>
      </c>
      <c r="AF152">
        <v>200</v>
      </c>
      <c r="AG152">
        <v>0</v>
      </c>
      <c r="AH152" t="s">
        <v>612</v>
      </c>
      <c r="AK152">
        <v>0</v>
      </c>
      <c r="AL152">
        <v>0</v>
      </c>
      <c r="AM152" t="s">
        <v>613</v>
      </c>
      <c r="AN152" t="s">
        <v>132</v>
      </c>
      <c r="BN152">
        <v>34.5</v>
      </c>
      <c r="CE1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2" s="19">
        <f>SUM(Table1[[#This Row],[Mid39]],Table1[[#This Row],[Mid36]],Table1[[#This Row],[Mid33]],Table1[[#This Row],[Mid30]],Table1[[#This Row],[Mid27]],Table1[[#This Row],[Mid24]],Table1[[#This Row],[Mid21]],Table1[[#This Row],[Mid18]],Table1[[#This Row],[Mid15]],Table1[[#This Row],[Mid12]],Table1[[#This Row],[Mid9]],Table1[[#This Row],[Mid6]],Table1[[#This Row],[Mid3]],Table1[[#This Row],[Mid]])</f>
        <v>34.5</v>
      </c>
      <c r="CG1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52" t="s">
        <v>157</v>
      </c>
      <c r="CI152" t="s">
        <v>176</v>
      </c>
      <c r="CJ152" t="s">
        <v>158</v>
      </c>
      <c r="CL152" s="19">
        <f>IF(Table1[[#This Row],[Type]]="Petroleum",1,IF(ISERROR(Table1[[#This Row],[Well Density]]*Table1[[#This Row],[Single Well Discovery Area]]),"",IF(Table1[[#This Row],[Well Density]]*Table1[[#This Row],[Single Well Discovery Area]]&gt;1,1,Table1[[#This Row],[Well Density]]*Table1[[#This Row],[Single Well Discovery Area]])))</f>
        <v>1</v>
      </c>
      <c r="CM152" t="s">
        <v>158</v>
      </c>
      <c r="CN152" s="19">
        <f>Table1[[#This Row],[Mid]]</f>
        <v>0</v>
      </c>
      <c r="CO152" s="19">
        <f>Table1[[#This Row],[Mid3]]+Table1[[#This Row],[Mid6]]+Table1[[#This Row],[Mid9]]</f>
        <v>0</v>
      </c>
      <c r="CP152" s="19">
        <f>Table1[[#This Row],[Mid12]]+Table1[[#This Row],[Mid15]]+Table1[[#This Row],[Mid18]]+Table1[[#This Row],[Mid21]]+Table1[[#This Row],[Mid24]]</f>
        <v>34.5</v>
      </c>
      <c r="CQ152" s="19">
        <f>Table1[[#This Row],[Mid27]]+Table1[[#This Row],[Mid30]]+Table1[[#This Row],[Mid33]]+Table1[[#This Row],[Mid36]]+Table1[[#This Row],[Mid39]]</f>
        <v>0</v>
      </c>
      <c r="CR152" t="s">
        <v>471</v>
      </c>
      <c r="CS152" s="19" t="str">
        <f>IF(AND(Table1[[#This Row],[Low41]]=0, Table1[[#This Row],[High43]]=0),"N","Y")</f>
        <v>N</v>
      </c>
    </row>
    <row r="153" spans="1:97" ht="19.5" customHeight="1" x14ac:dyDescent="0.25">
      <c r="A153">
        <v>10150</v>
      </c>
      <c r="B153" t="s">
        <v>516</v>
      </c>
      <c r="C153" t="s">
        <v>517</v>
      </c>
      <c r="D153">
        <v>51.168888889999998</v>
      </c>
      <c r="E153">
        <v>-113.9744444</v>
      </c>
      <c r="F153" t="s">
        <v>614</v>
      </c>
      <c r="G153" t="s">
        <v>519</v>
      </c>
      <c r="H153" t="s">
        <v>615</v>
      </c>
      <c r="I153" t="s">
        <v>433</v>
      </c>
      <c r="J153" t="s">
        <v>202</v>
      </c>
      <c r="K153" t="s">
        <v>203</v>
      </c>
      <c r="L153" t="s">
        <v>121</v>
      </c>
      <c r="M153" t="s">
        <v>616</v>
      </c>
      <c r="N153" s="6" t="s">
        <v>607</v>
      </c>
      <c r="O153" t="s">
        <v>608</v>
      </c>
      <c r="P153" t="s">
        <v>617</v>
      </c>
      <c r="Q153" t="s">
        <v>618</v>
      </c>
      <c r="R153" t="s">
        <v>619</v>
      </c>
      <c r="S153">
        <v>2004</v>
      </c>
      <c r="T153" t="s">
        <v>153</v>
      </c>
      <c r="U153" t="s">
        <v>129</v>
      </c>
      <c r="V153">
        <v>88.79</v>
      </c>
      <c r="W153">
        <v>2255</v>
      </c>
      <c r="Z153">
        <v>7</v>
      </c>
      <c r="AE153">
        <v>0</v>
      </c>
      <c r="AF153">
        <v>200</v>
      </c>
      <c r="AG153">
        <v>0</v>
      </c>
      <c r="AH153" t="s">
        <v>612</v>
      </c>
      <c r="AK153">
        <v>0</v>
      </c>
      <c r="AL153">
        <v>0</v>
      </c>
      <c r="AM153" t="s">
        <v>613</v>
      </c>
      <c r="AN153" t="s">
        <v>132</v>
      </c>
      <c r="BN153">
        <v>80.900000000000006</v>
      </c>
      <c r="CE1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3" s="19">
        <f>SUM(Table1[[#This Row],[Mid39]],Table1[[#This Row],[Mid36]],Table1[[#This Row],[Mid33]],Table1[[#This Row],[Mid30]],Table1[[#This Row],[Mid27]],Table1[[#This Row],[Mid24]],Table1[[#This Row],[Mid21]],Table1[[#This Row],[Mid18]],Table1[[#This Row],[Mid15]],Table1[[#This Row],[Mid12]],Table1[[#This Row],[Mid9]],Table1[[#This Row],[Mid6]],Table1[[#This Row],[Mid3]],Table1[[#This Row],[Mid]])</f>
        <v>80.900000000000006</v>
      </c>
      <c r="CG1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53" t="s">
        <v>157</v>
      </c>
      <c r="CI153" t="s">
        <v>176</v>
      </c>
      <c r="CJ153" t="s">
        <v>158</v>
      </c>
      <c r="CL153" s="19">
        <f>IF(Table1[[#This Row],[Type]]="Petroleum",1,IF(ISERROR(Table1[[#This Row],[Well Density]]*Table1[[#This Row],[Single Well Discovery Area]]),"",IF(Table1[[#This Row],[Well Density]]*Table1[[#This Row],[Single Well Discovery Area]]&gt;1,1,Table1[[#This Row],[Well Density]]*Table1[[#This Row],[Single Well Discovery Area]])))</f>
        <v>1</v>
      </c>
      <c r="CM153" t="s">
        <v>158</v>
      </c>
      <c r="CN153" s="19">
        <f>Table1[[#This Row],[Mid]]</f>
        <v>0</v>
      </c>
      <c r="CO153" s="19">
        <f>Table1[[#This Row],[Mid3]]+Table1[[#This Row],[Mid6]]+Table1[[#This Row],[Mid9]]</f>
        <v>0</v>
      </c>
      <c r="CP153" s="19">
        <f>Table1[[#This Row],[Mid12]]+Table1[[#This Row],[Mid15]]+Table1[[#This Row],[Mid18]]+Table1[[#This Row],[Mid21]]+Table1[[#This Row],[Mid24]]</f>
        <v>80.900000000000006</v>
      </c>
      <c r="CQ153" s="19">
        <f>Table1[[#This Row],[Mid27]]+Table1[[#This Row],[Mid30]]+Table1[[#This Row],[Mid33]]+Table1[[#This Row],[Mid36]]+Table1[[#This Row],[Mid39]]</f>
        <v>0</v>
      </c>
      <c r="CR153" t="s">
        <v>471</v>
      </c>
      <c r="CS153" s="19" t="str">
        <f>IF(AND(Table1[[#This Row],[Low41]]=0, Table1[[#This Row],[High43]]=0),"N","Y")</f>
        <v>N</v>
      </c>
    </row>
    <row r="154" spans="1:97" ht="19.5" customHeight="1" x14ac:dyDescent="0.25">
      <c r="A154">
        <v>10151</v>
      </c>
      <c r="B154" t="s">
        <v>516</v>
      </c>
      <c r="C154" t="s">
        <v>517</v>
      </c>
      <c r="D154">
        <v>51.16416667</v>
      </c>
      <c r="E154">
        <v>-113.9</v>
      </c>
      <c r="F154" t="s">
        <v>620</v>
      </c>
      <c r="G154" t="s">
        <v>519</v>
      </c>
      <c r="H154" t="s">
        <v>591</v>
      </c>
      <c r="I154" t="s">
        <v>433</v>
      </c>
      <c r="J154" t="s">
        <v>202</v>
      </c>
      <c r="K154" t="s">
        <v>203</v>
      </c>
      <c r="L154" t="s">
        <v>121</v>
      </c>
      <c r="M154" t="s">
        <v>535</v>
      </c>
      <c r="N154" s="6" t="s">
        <v>607</v>
      </c>
      <c r="O154" t="s">
        <v>621</v>
      </c>
      <c r="P154" t="s">
        <v>622</v>
      </c>
      <c r="Q154" t="s">
        <v>623</v>
      </c>
      <c r="R154" t="s">
        <v>624</v>
      </c>
      <c r="S154">
        <v>2004</v>
      </c>
      <c r="T154" t="s">
        <v>153</v>
      </c>
      <c r="U154" t="s">
        <v>129</v>
      </c>
      <c r="V154">
        <v>314.45</v>
      </c>
      <c r="W154">
        <v>2508</v>
      </c>
      <c r="X154">
        <v>30.7</v>
      </c>
      <c r="Y154">
        <v>75</v>
      </c>
      <c r="Z154">
        <v>7</v>
      </c>
      <c r="AE154">
        <v>0</v>
      </c>
      <c r="AF154">
        <v>200</v>
      </c>
      <c r="AG154">
        <v>0</v>
      </c>
      <c r="AH154" t="s">
        <v>612</v>
      </c>
      <c r="AK154">
        <v>0</v>
      </c>
      <c r="AL154">
        <v>0</v>
      </c>
      <c r="AM154" t="s">
        <v>613</v>
      </c>
      <c r="AN154" t="s">
        <v>132</v>
      </c>
      <c r="BN154">
        <v>69.3</v>
      </c>
      <c r="CE15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4" s="19">
        <f>SUM(Table1[[#This Row],[Mid39]],Table1[[#This Row],[Mid36]],Table1[[#This Row],[Mid33]],Table1[[#This Row],[Mid30]],Table1[[#This Row],[Mid27]],Table1[[#This Row],[Mid24]],Table1[[#This Row],[Mid21]],Table1[[#This Row],[Mid18]],Table1[[#This Row],[Mid15]],Table1[[#This Row],[Mid12]],Table1[[#This Row],[Mid9]],Table1[[#This Row],[Mid6]],Table1[[#This Row],[Mid3]],Table1[[#This Row],[Mid]])</f>
        <v>69.3</v>
      </c>
      <c r="CG15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54" t="s">
        <v>157</v>
      </c>
      <c r="CI154" t="s">
        <v>176</v>
      </c>
      <c r="CJ154" t="s">
        <v>158</v>
      </c>
      <c r="CL154" s="19">
        <f>IF(Table1[[#This Row],[Type]]="Petroleum",1,IF(ISERROR(Table1[[#This Row],[Well Density]]*Table1[[#This Row],[Single Well Discovery Area]]),"",IF(Table1[[#This Row],[Well Density]]*Table1[[#This Row],[Single Well Discovery Area]]&gt;1,1,Table1[[#This Row],[Well Density]]*Table1[[#This Row],[Single Well Discovery Area]])))</f>
        <v>1</v>
      </c>
      <c r="CM154" t="s">
        <v>158</v>
      </c>
      <c r="CN154" s="19">
        <f>Table1[[#This Row],[Mid]]</f>
        <v>0</v>
      </c>
      <c r="CO154" s="19">
        <f>Table1[[#This Row],[Mid3]]+Table1[[#This Row],[Mid6]]+Table1[[#This Row],[Mid9]]</f>
        <v>0</v>
      </c>
      <c r="CP154" s="19">
        <f>Table1[[#This Row],[Mid12]]+Table1[[#This Row],[Mid15]]+Table1[[#This Row],[Mid18]]+Table1[[#This Row],[Mid21]]+Table1[[#This Row],[Mid24]]</f>
        <v>69.3</v>
      </c>
      <c r="CQ154" s="19">
        <f>Table1[[#This Row],[Mid27]]+Table1[[#This Row],[Mid30]]+Table1[[#This Row],[Mid33]]+Table1[[#This Row],[Mid36]]+Table1[[#This Row],[Mid39]]</f>
        <v>0</v>
      </c>
      <c r="CR154" t="s">
        <v>471</v>
      </c>
      <c r="CS154" s="19" t="str">
        <f>IF(AND(Table1[[#This Row],[Low41]]=0, Table1[[#This Row],[High43]]=0),"N","Y")</f>
        <v>N</v>
      </c>
    </row>
    <row r="155" spans="1:97" ht="19.5" customHeight="1" x14ac:dyDescent="0.25">
      <c r="A155">
        <v>10152</v>
      </c>
      <c r="B155" t="s">
        <v>516</v>
      </c>
      <c r="C155" t="s">
        <v>517</v>
      </c>
      <c r="D155">
        <v>51.495833330000004</v>
      </c>
      <c r="E155">
        <v>-114.02249999999999</v>
      </c>
      <c r="F155" t="s">
        <v>625</v>
      </c>
      <c r="G155" t="s">
        <v>519</v>
      </c>
      <c r="H155" t="s">
        <v>591</v>
      </c>
      <c r="I155" t="s">
        <v>433</v>
      </c>
      <c r="J155" t="s">
        <v>202</v>
      </c>
      <c r="K155" t="s">
        <v>203</v>
      </c>
      <c r="L155" t="s">
        <v>121</v>
      </c>
      <c r="M155" t="s">
        <v>535</v>
      </c>
      <c r="N155" s="6" t="s">
        <v>607</v>
      </c>
      <c r="O155" t="s">
        <v>621</v>
      </c>
      <c r="P155" t="s">
        <v>626</v>
      </c>
      <c r="Q155" t="s">
        <v>610</v>
      </c>
      <c r="R155" t="s">
        <v>627</v>
      </c>
      <c r="S155">
        <v>2004</v>
      </c>
      <c r="T155" t="s">
        <v>153</v>
      </c>
      <c r="U155" t="s">
        <v>129</v>
      </c>
      <c r="V155">
        <v>292.83</v>
      </c>
      <c r="W155">
        <v>2641.8</v>
      </c>
      <c r="X155">
        <v>21.6</v>
      </c>
      <c r="Y155">
        <v>47.5</v>
      </c>
      <c r="Z155">
        <v>5.7</v>
      </c>
      <c r="AE155">
        <v>0</v>
      </c>
      <c r="AF155">
        <v>200</v>
      </c>
      <c r="AG155">
        <v>0</v>
      </c>
      <c r="AH155" t="s">
        <v>612</v>
      </c>
      <c r="AK155">
        <v>0</v>
      </c>
      <c r="AL155">
        <v>0</v>
      </c>
      <c r="AM155" t="s">
        <v>613</v>
      </c>
      <c r="AN155" t="s">
        <v>132</v>
      </c>
      <c r="BN155">
        <v>59.9</v>
      </c>
      <c r="CE15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5" s="19">
        <f>SUM(Table1[[#This Row],[Mid39]],Table1[[#This Row],[Mid36]],Table1[[#This Row],[Mid33]],Table1[[#This Row],[Mid30]],Table1[[#This Row],[Mid27]],Table1[[#This Row],[Mid24]],Table1[[#This Row],[Mid21]],Table1[[#This Row],[Mid18]],Table1[[#This Row],[Mid15]],Table1[[#This Row],[Mid12]],Table1[[#This Row],[Mid9]],Table1[[#This Row],[Mid6]],Table1[[#This Row],[Mid3]],Table1[[#This Row],[Mid]])</f>
        <v>59.9</v>
      </c>
      <c r="CG15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55" t="s">
        <v>157</v>
      </c>
      <c r="CI155" t="s">
        <v>176</v>
      </c>
      <c r="CJ155" t="s">
        <v>158</v>
      </c>
      <c r="CL155" s="19">
        <f>IF(Table1[[#This Row],[Type]]="Petroleum",1,IF(ISERROR(Table1[[#This Row],[Well Density]]*Table1[[#This Row],[Single Well Discovery Area]]),"",IF(Table1[[#This Row],[Well Density]]*Table1[[#This Row],[Single Well Discovery Area]]&gt;1,1,Table1[[#This Row],[Well Density]]*Table1[[#This Row],[Single Well Discovery Area]])))</f>
        <v>1</v>
      </c>
      <c r="CM155" t="s">
        <v>158</v>
      </c>
      <c r="CN155" s="19">
        <f>Table1[[#This Row],[Mid]]</f>
        <v>0</v>
      </c>
      <c r="CO155" s="19">
        <f>Table1[[#This Row],[Mid3]]+Table1[[#This Row],[Mid6]]+Table1[[#This Row],[Mid9]]</f>
        <v>0</v>
      </c>
      <c r="CP155" s="19">
        <f>Table1[[#This Row],[Mid12]]+Table1[[#This Row],[Mid15]]+Table1[[#This Row],[Mid18]]+Table1[[#This Row],[Mid21]]+Table1[[#This Row],[Mid24]]</f>
        <v>59.9</v>
      </c>
      <c r="CQ155" s="19">
        <f>Table1[[#This Row],[Mid27]]+Table1[[#This Row],[Mid30]]+Table1[[#This Row],[Mid33]]+Table1[[#This Row],[Mid36]]+Table1[[#This Row],[Mid39]]</f>
        <v>0</v>
      </c>
      <c r="CR155" t="s">
        <v>471</v>
      </c>
      <c r="CS155" s="19" t="str">
        <f>IF(AND(Table1[[#This Row],[Low41]]=0, Table1[[#This Row],[High43]]=0),"N","Y")</f>
        <v>N</v>
      </c>
    </row>
    <row r="156" spans="1:97" ht="19.5" customHeight="1" x14ac:dyDescent="0.25">
      <c r="A156">
        <v>10153</v>
      </c>
      <c r="B156" t="s">
        <v>516</v>
      </c>
      <c r="C156" t="s">
        <v>517</v>
      </c>
      <c r="D156">
        <v>53.448333329999997</v>
      </c>
      <c r="E156">
        <v>-114.45027779999999</v>
      </c>
      <c r="F156" t="s">
        <v>628</v>
      </c>
      <c r="G156" t="s">
        <v>519</v>
      </c>
      <c r="H156" t="s">
        <v>629</v>
      </c>
      <c r="I156" t="s">
        <v>118</v>
      </c>
      <c r="J156" t="s">
        <v>119</v>
      </c>
      <c r="K156" t="s">
        <v>120</v>
      </c>
      <c r="L156" t="s">
        <v>121</v>
      </c>
      <c r="M156" t="s">
        <v>597</v>
      </c>
      <c r="N156" s="6" t="s">
        <v>630</v>
      </c>
      <c r="O156" s="21" t="s">
        <v>631</v>
      </c>
      <c r="P156" t="s">
        <v>632</v>
      </c>
      <c r="Q156" s="21" t="s">
        <v>633</v>
      </c>
      <c r="R156" s="21" t="s">
        <v>634</v>
      </c>
      <c r="S156">
        <v>2014</v>
      </c>
      <c r="T156" t="s">
        <v>153</v>
      </c>
      <c r="U156" t="s">
        <v>129</v>
      </c>
      <c r="V156"/>
      <c r="AF156">
        <v>200</v>
      </c>
      <c r="AG156">
        <v>0</v>
      </c>
      <c r="AI156">
        <v>0</v>
      </c>
      <c r="AK156">
        <v>0</v>
      </c>
      <c r="AL156">
        <v>0</v>
      </c>
      <c r="AM156" t="s">
        <v>635</v>
      </c>
      <c r="AN156" t="s">
        <v>132</v>
      </c>
      <c r="BH156">
        <v>298</v>
      </c>
      <c r="BI156">
        <v>1280</v>
      </c>
      <c r="CE15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6" s="19">
        <f>SUM(Table1[[#This Row],[Mid39]],Table1[[#This Row],[Mid36]],Table1[[#This Row],[Mid33]],Table1[[#This Row],[Mid30]],Table1[[#This Row],[Mid27]],Table1[[#This Row],[Mid24]],Table1[[#This Row],[Mid21]],Table1[[#This Row],[Mid18]],Table1[[#This Row],[Mid15]],Table1[[#This Row],[Mid12]],Table1[[#This Row],[Mid9]],Table1[[#This Row],[Mid6]],Table1[[#This Row],[Mid3]],Table1[[#This Row],[Mid]])</f>
        <v>298</v>
      </c>
      <c r="CG15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1280</v>
      </c>
      <c r="CH156" t="s">
        <v>157</v>
      </c>
      <c r="CI156" t="s">
        <v>134</v>
      </c>
      <c r="CJ156" t="s">
        <v>135</v>
      </c>
      <c r="CL156" s="19">
        <f>IF(Table1[[#This Row],[Type]]="Petroleum",1,IF(ISERROR(Table1[[#This Row],[Well Density]]*Table1[[#This Row],[Single Well Discovery Area]]),"",IF(Table1[[#This Row],[Well Density]]*Table1[[#This Row],[Single Well Discovery Area]]&gt;1,1,Table1[[#This Row],[Well Density]]*Table1[[#This Row],[Single Well Discovery Area]])))</f>
        <v>0</v>
      </c>
      <c r="CM156" t="s">
        <v>135</v>
      </c>
      <c r="CN156" s="19">
        <f>Table1[[#This Row],[Mid]]</f>
        <v>0</v>
      </c>
      <c r="CO156" s="19">
        <f>Table1[[#This Row],[Mid3]]+Table1[[#This Row],[Mid6]]+Table1[[#This Row],[Mid9]]</f>
        <v>0</v>
      </c>
      <c r="CP156" s="19">
        <f>Table1[[#This Row],[Mid12]]+Table1[[#This Row],[Mid15]]+Table1[[#This Row],[Mid18]]+Table1[[#This Row],[Mid21]]+Table1[[#This Row],[Mid24]]</f>
        <v>298</v>
      </c>
      <c r="CQ156" s="19">
        <f>Table1[[#This Row],[Mid27]]+Table1[[#This Row],[Mid30]]+Table1[[#This Row],[Mid33]]+Table1[[#This Row],[Mid36]]+Table1[[#This Row],[Mid39]]</f>
        <v>0</v>
      </c>
      <c r="CR156" t="s">
        <v>471</v>
      </c>
      <c r="CS156" s="19" t="str">
        <f>IF(AND(Table1[[#This Row],[Low41]]=0, Table1[[#This Row],[High43]]=0),"N","Y")</f>
        <v>Y</v>
      </c>
    </row>
    <row r="157" spans="1:97" ht="19.5" customHeight="1" x14ac:dyDescent="0.25">
      <c r="A157">
        <v>10154</v>
      </c>
      <c r="B157" t="s">
        <v>516</v>
      </c>
      <c r="C157" t="s">
        <v>517</v>
      </c>
      <c r="D157">
        <v>57.376111109999997</v>
      </c>
      <c r="E157">
        <v>-119.78</v>
      </c>
      <c r="F157" t="s">
        <v>636</v>
      </c>
      <c r="G157" t="s">
        <v>519</v>
      </c>
      <c r="H157" t="s">
        <v>591</v>
      </c>
      <c r="I157" t="s">
        <v>433</v>
      </c>
      <c r="J157" t="s">
        <v>202</v>
      </c>
      <c r="K157" t="s">
        <v>203</v>
      </c>
      <c r="L157" t="s">
        <v>121</v>
      </c>
      <c r="M157" t="s">
        <v>535</v>
      </c>
      <c r="N157" s="6" t="s">
        <v>607</v>
      </c>
      <c r="O157" t="s">
        <v>621</v>
      </c>
      <c r="P157" t="s">
        <v>637</v>
      </c>
      <c r="Q157" t="s">
        <v>638</v>
      </c>
      <c r="R157" t="s">
        <v>639</v>
      </c>
      <c r="S157">
        <v>2004</v>
      </c>
      <c r="T157" t="s">
        <v>153</v>
      </c>
      <c r="U157" t="s">
        <v>129</v>
      </c>
      <c r="V157">
        <v>46.86</v>
      </c>
      <c r="W157">
        <v>2543.75</v>
      </c>
      <c r="X157">
        <v>20.100000000000001</v>
      </c>
      <c r="Y157">
        <v>82</v>
      </c>
      <c r="Z157">
        <v>10.4</v>
      </c>
      <c r="AE157">
        <v>0</v>
      </c>
      <c r="AF157">
        <v>200</v>
      </c>
      <c r="AG157">
        <v>0</v>
      </c>
      <c r="AH157" t="s">
        <v>612</v>
      </c>
      <c r="AK157">
        <v>0</v>
      </c>
      <c r="AL157">
        <v>0</v>
      </c>
      <c r="AM157" t="s">
        <v>613</v>
      </c>
      <c r="AN157" t="s">
        <v>132</v>
      </c>
      <c r="BN157">
        <v>28</v>
      </c>
      <c r="CE15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7" s="19">
        <f>SUM(Table1[[#This Row],[Mid39]],Table1[[#This Row],[Mid36]],Table1[[#This Row],[Mid33]],Table1[[#This Row],[Mid30]],Table1[[#This Row],[Mid27]],Table1[[#This Row],[Mid24]],Table1[[#This Row],[Mid21]],Table1[[#This Row],[Mid18]],Table1[[#This Row],[Mid15]],Table1[[#This Row],[Mid12]],Table1[[#This Row],[Mid9]],Table1[[#This Row],[Mid6]],Table1[[#This Row],[Mid3]],Table1[[#This Row],[Mid]])</f>
        <v>28</v>
      </c>
      <c r="CG15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57" t="s">
        <v>157</v>
      </c>
      <c r="CI157" t="s">
        <v>176</v>
      </c>
      <c r="CJ157" t="s">
        <v>158</v>
      </c>
      <c r="CL157" s="19">
        <f>IF(Table1[[#This Row],[Type]]="Petroleum",1,IF(ISERROR(Table1[[#This Row],[Well Density]]*Table1[[#This Row],[Single Well Discovery Area]]),"",IF(Table1[[#This Row],[Well Density]]*Table1[[#This Row],[Single Well Discovery Area]]&gt;1,1,Table1[[#This Row],[Well Density]]*Table1[[#This Row],[Single Well Discovery Area]])))</f>
        <v>1</v>
      </c>
      <c r="CM157" t="s">
        <v>158</v>
      </c>
      <c r="CN157" s="19">
        <f>Table1[[#This Row],[Mid]]</f>
        <v>0</v>
      </c>
      <c r="CO157" s="19">
        <f>Table1[[#This Row],[Mid3]]+Table1[[#This Row],[Mid6]]+Table1[[#This Row],[Mid9]]</f>
        <v>0</v>
      </c>
      <c r="CP157" s="19">
        <f>Table1[[#This Row],[Mid12]]+Table1[[#This Row],[Mid15]]+Table1[[#This Row],[Mid18]]+Table1[[#This Row],[Mid21]]+Table1[[#This Row],[Mid24]]</f>
        <v>28</v>
      </c>
      <c r="CQ157" s="19">
        <f>Table1[[#This Row],[Mid27]]+Table1[[#This Row],[Mid30]]+Table1[[#This Row],[Mid33]]+Table1[[#This Row],[Mid36]]+Table1[[#This Row],[Mid39]]</f>
        <v>0</v>
      </c>
      <c r="CR157" t="s">
        <v>471</v>
      </c>
      <c r="CS157" s="19" t="str">
        <f>IF(AND(Table1[[#This Row],[Low41]]=0, Table1[[#This Row],[High43]]=0),"N","Y")</f>
        <v>N</v>
      </c>
    </row>
    <row r="158" spans="1:97" ht="19.5" customHeight="1" x14ac:dyDescent="0.25">
      <c r="A158">
        <v>10155</v>
      </c>
      <c r="B158" t="s">
        <v>516</v>
      </c>
      <c r="C158" t="s">
        <v>517</v>
      </c>
      <c r="D158">
        <v>53.943888889999997</v>
      </c>
      <c r="E158">
        <v>-113.1394444</v>
      </c>
      <c r="F158" t="s">
        <v>640</v>
      </c>
      <c r="G158" t="s">
        <v>519</v>
      </c>
      <c r="H158" t="s">
        <v>641</v>
      </c>
      <c r="I158" t="s">
        <v>118</v>
      </c>
      <c r="J158" t="s">
        <v>119</v>
      </c>
      <c r="K158" t="s">
        <v>190</v>
      </c>
      <c r="L158" t="s">
        <v>147</v>
      </c>
      <c r="M158" t="s">
        <v>548</v>
      </c>
      <c r="N158" s="6" t="s">
        <v>642</v>
      </c>
      <c r="O158" t="s">
        <v>643</v>
      </c>
      <c r="P158" t="s">
        <v>644</v>
      </c>
      <c r="Q158" t="s">
        <v>645</v>
      </c>
      <c r="R158" t="s">
        <v>646</v>
      </c>
      <c r="S158">
        <v>2009</v>
      </c>
      <c r="T158" t="s">
        <v>153</v>
      </c>
      <c r="U158" t="s">
        <v>129</v>
      </c>
      <c r="V158">
        <v>600</v>
      </c>
      <c r="W158">
        <v>1000</v>
      </c>
      <c r="X158">
        <v>250</v>
      </c>
      <c r="Z158">
        <v>6.5</v>
      </c>
      <c r="AD158">
        <v>43</v>
      </c>
      <c r="AE158">
        <v>7.1666667000000003E-2</v>
      </c>
      <c r="AF158">
        <v>200</v>
      </c>
      <c r="AG158">
        <v>0</v>
      </c>
      <c r="AK158">
        <v>0</v>
      </c>
      <c r="AL158">
        <v>0</v>
      </c>
      <c r="AN158" t="s">
        <v>132</v>
      </c>
      <c r="BH158">
        <v>1000</v>
      </c>
      <c r="CE15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8" s="19">
        <f>SUM(Table1[[#This Row],[Mid39]],Table1[[#This Row],[Mid36]],Table1[[#This Row],[Mid33]],Table1[[#This Row],[Mid30]],Table1[[#This Row],[Mid27]],Table1[[#This Row],[Mid24]],Table1[[#This Row],[Mid21]],Table1[[#This Row],[Mid18]],Table1[[#This Row],[Mid15]],Table1[[#This Row],[Mid12]],Table1[[#This Row],[Mid9]],Table1[[#This Row],[Mid6]],Table1[[#This Row],[Mid3]],Table1[[#This Row],[Mid]])</f>
        <v>1000</v>
      </c>
      <c r="CG15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58" t="s">
        <v>133</v>
      </c>
      <c r="CI158" t="s">
        <v>176</v>
      </c>
      <c r="CJ158" t="s">
        <v>158</v>
      </c>
      <c r="CL158" s="19">
        <f>IF(Table1[[#This Row],[Type]]="Petroleum",1,IF(ISERROR(Table1[[#This Row],[Well Density]]*Table1[[#This Row],[Single Well Discovery Area]]),"",IF(Table1[[#This Row],[Well Density]]*Table1[[#This Row],[Single Well Discovery Area]]&gt;1,1,Table1[[#This Row],[Well Density]]*Table1[[#This Row],[Single Well Discovery Area]])))</f>
        <v>1</v>
      </c>
      <c r="CM158" t="s">
        <v>158</v>
      </c>
      <c r="CN158" s="19">
        <f>Table1[[#This Row],[Mid]]</f>
        <v>0</v>
      </c>
      <c r="CO158" s="19">
        <f>Table1[[#This Row],[Mid3]]+Table1[[#This Row],[Mid6]]+Table1[[#This Row],[Mid9]]</f>
        <v>0</v>
      </c>
      <c r="CP158" s="19">
        <f>Table1[[#This Row],[Mid12]]+Table1[[#This Row],[Mid15]]+Table1[[#This Row],[Mid18]]+Table1[[#This Row],[Mid21]]+Table1[[#This Row],[Mid24]]</f>
        <v>1000</v>
      </c>
      <c r="CQ158" s="19">
        <f>Table1[[#This Row],[Mid27]]+Table1[[#This Row],[Mid30]]+Table1[[#This Row],[Mid33]]+Table1[[#This Row],[Mid36]]+Table1[[#This Row],[Mid39]]</f>
        <v>0</v>
      </c>
      <c r="CR158" t="s">
        <v>471</v>
      </c>
      <c r="CS158" s="19" t="str">
        <f>IF(AND(Table1[[#This Row],[Low41]]=0, Table1[[#This Row],[High43]]=0),"N","Y")</f>
        <v>N</v>
      </c>
    </row>
    <row r="159" spans="1:97" ht="19.5" customHeight="1" x14ac:dyDescent="0.25">
      <c r="A159">
        <v>10156</v>
      </c>
      <c r="B159" t="s">
        <v>516</v>
      </c>
      <c r="C159" t="s">
        <v>517</v>
      </c>
      <c r="D159">
        <v>54.173055560000002</v>
      </c>
      <c r="E159">
        <v>-116.69861109999999</v>
      </c>
      <c r="F159" t="s">
        <v>647</v>
      </c>
      <c r="G159" t="s">
        <v>519</v>
      </c>
      <c r="H159" t="s">
        <v>648</v>
      </c>
      <c r="I159" t="s">
        <v>433</v>
      </c>
      <c r="J159" t="s">
        <v>202</v>
      </c>
      <c r="K159" t="s">
        <v>203</v>
      </c>
      <c r="L159" t="s">
        <v>121</v>
      </c>
      <c r="M159" t="s">
        <v>535</v>
      </c>
      <c r="N159" s="6" t="s">
        <v>607</v>
      </c>
      <c r="O159" t="s">
        <v>621</v>
      </c>
      <c r="P159" t="s">
        <v>649</v>
      </c>
      <c r="Q159" t="s">
        <v>650</v>
      </c>
      <c r="R159" t="s">
        <v>651</v>
      </c>
      <c r="S159">
        <v>2004</v>
      </c>
      <c r="T159" t="s">
        <v>153</v>
      </c>
      <c r="U159" t="s">
        <v>129</v>
      </c>
      <c r="V159">
        <v>231.69</v>
      </c>
      <c r="W159">
        <v>3190.25</v>
      </c>
      <c r="Z159">
        <v>7.9</v>
      </c>
      <c r="AE159">
        <v>0</v>
      </c>
      <c r="AF159">
        <v>200</v>
      </c>
      <c r="AG159">
        <v>0</v>
      </c>
      <c r="AH159" t="s">
        <v>612</v>
      </c>
      <c r="AK159">
        <v>0</v>
      </c>
      <c r="AL159">
        <v>0</v>
      </c>
      <c r="AM159" t="s">
        <v>613</v>
      </c>
      <c r="AN159" t="s">
        <v>132</v>
      </c>
      <c r="BN159">
        <v>100.7</v>
      </c>
      <c r="CE15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9" s="19">
        <f>SUM(Table1[[#This Row],[Mid39]],Table1[[#This Row],[Mid36]],Table1[[#This Row],[Mid33]],Table1[[#This Row],[Mid30]],Table1[[#This Row],[Mid27]],Table1[[#This Row],[Mid24]],Table1[[#This Row],[Mid21]],Table1[[#This Row],[Mid18]],Table1[[#This Row],[Mid15]],Table1[[#This Row],[Mid12]],Table1[[#This Row],[Mid9]],Table1[[#This Row],[Mid6]],Table1[[#This Row],[Mid3]],Table1[[#This Row],[Mid]])</f>
        <v>100.7</v>
      </c>
      <c r="CG15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59" t="s">
        <v>157</v>
      </c>
      <c r="CI159" t="s">
        <v>176</v>
      </c>
      <c r="CJ159" t="s">
        <v>158</v>
      </c>
      <c r="CL159" s="19">
        <f>IF(Table1[[#This Row],[Type]]="Petroleum",1,IF(ISERROR(Table1[[#This Row],[Well Density]]*Table1[[#This Row],[Single Well Discovery Area]]),"",IF(Table1[[#This Row],[Well Density]]*Table1[[#This Row],[Single Well Discovery Area]]&gt;1,1,Table1[[#This Row],[Well Density]]*Table1[[#This Row],[Single Well Discovery Area]])))</f>
        <v>1</v>
      </c>
      <c r="CM159" t="s">
        <v>158</v>
      </c>
      <c r="CN159" s="19">
        <f>Table1[[#This Row],[Mid]]</f>
        <v>0</v>
      </c>
      <c r="CO159" s="19">
        <f>Table1[[#This Row],[Mid3]]+Table1[[#This Row],[Mid6]]+Table1[[#This Row],[Mid9]]</f>
        <v>0</v>
      </c>
      <c r="CP159" s="19">
        <f>Table1[[#This Row],[Mid12]]+Table1[[#This Row],[Mid15]]+Table1[[#This Row],[Mid18]]+Table1[[#This Row],[Mid21]]+Table1[[#This Row],[Mid24]]</f>
        <v>100.7</v>
      </c>
      <c r="CQ159" s="19">
        <f>Table1[[#This Row],[Mid27]]+Table1[[#This Row],[Mid30]]+Table1[[#This Row],[Mid33]]+Table1[[#This Row],[Mid36]]+Table1[[#This Row],[Mid39]]</f>
        <v>0</v>
      </c>
      <c r="CR159" t="s">
        <v>471</v>
      </c>
      <c r="CS159" s="19" t="str">
        <f>IF(AND(Table1[[#This Row],[Low41]]=0, Table1[[#This Row],[High43]]=0),"N","Y")</f>
        <v>N</v>
      </c>
    </row>
    <row r="160" spans="1:97" ht="19.5" customHeight="1" x14ac:dyDescent="0.25">
      <c r="A160">
        <v>10157</v>
      </c>
      <c r="B160" t="s">
        <v>516</v>
      </c>
      <c r="C160" t="s">
        <v>517</v>
      </c>
      <c r="D160">
        <v>53.276666669999997</v>
      </c>
      <c r="E160">
        <v>-110.0061111</v>
      </c>
      <c r="F160" t="s">
        <v>652</v>
      </c>
      <c r="G160" t="s">
        <v>595</v>
      </c>
      <c r="H160" t="s">
        <v>596</v>
      </c>
      <c r="I160" t="s">
        <v>118</v>
      </c>
      <c r="J160" t="s">
        <v>119</v>
      </c>
      <c r="K160" t="s">
        <v>120</v>
      </c>
      <c r="L160" t="s">
        <v>121</v>
      </c>
      <c r="M160" t="s">
        <v>597</v>
      </c>
      <c r="N160" s="6" t="s">
        <v>598</v>
      </c>
      <c r="O160" t="s">
        <v>653</v>
      </c>
      <c r="P160" t="s">
        <v>654</v>
      </c>
      <c r="Q160" t="s">
        <v>601</v>
      </c>
      <c r="R160" t="s">
        <v>655</v>
      </c>
      <c r="S160">
        <v>2014</v>
      </c>
      <c r="T160" t="s">
        <v>153</v>
      </c>
      <c r="U160" t="s">
        <v>129</v>
      </c>
      <c r="V160"/>
      <c r="AC160">
        <v>819.3</v>
      </c>
      <c r="AF160">
        <v>200</v>
      </c>
      <c r="AG160">
        <v>0</v>
      </c>
      <c r="AK160">
        <v>0</v>
      </c>
      <c r="AL160">
        <v>0</v>
      </c>
      <c r="AM160" t="s">
        <v>603</v>
      </c>
      <c r="AN160" t="s">
        <v>132</v>
      </c>
      <c r="BH160">
        <v>1255</v>
      </c>
      <c r="CE16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60" s="19">
        <f>SUM(Table1[[#This Row],[Mid39]],Table1[[#This Row],[Mid36]],Table1[[#This Row],[Mid33]],Table1[[#This Row],[Mid30]],Table1[[#This Row],[Mid27]],Table1[[#This Row],[Mid24]],Table1[[#This Row],[Mid21]],Table1[[#This Row],[Mid18]],Table1[[#This Row],[Mid15]],Table1[[#This Row],[Mid12]],Table1[[#This Row],[Mid9]],Table1[[#This Row],[Mid6]],Table1[[#This Row],[Mid3]],Table1[[#This Row],[Mid]])</f>
        <v>1255</v>
      </c>
      <c r="CG16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60" t="s">
        <v>157</v>
      </c>
      <c r="CI160" t="s">
        <v>134</v>
      </c>
      <c r="CJ160" t="s">
        <v>135</v>
      </c>
      <c r="CL160" s="19">
        <f>IF(Table1[[#This Row],[Type]]="Petroleum",1,IF(ISERROR(Table1[[#This Row],[Well Density]]*Table1[[#This Row],[Single Well Discovery Area]]),"",IF(Table1[[#This Row],[Well Density]]*Table1[[#This Row],[Single Well Discovery Area]]&gt;1,1,Table1[[#This Row],[Well Density]]*Table1[[#This Row],[Single Well Discovery Area]])))</f>
        <v>0</v>
      </c>
      <c r="CM160" t="s">
        <v>135</v>
      </c>
      <c r="CN160" s="19">
        <f>Table1[[#This Row],[Mid]]</f>
        <v>0</v>
      </c>
      <c r="CO160" s="19">
        <f>Table1[[#This Row],[Mid3]]+Table1[[#This Row],[Mid6]]+Table1[[#This Row],[Mid9]]</f>
        <v>0</v>
      </c>
      <c r="CP160" s="19">
        <f>Table1[[#This Row],[Mid12]]+Table1[[#This Row],[Mid15]]+Table1[[#This Row],[Mid18]]+Table1[[#This Row],[Mid21]]+Table1[[#This Row],[Mid24]]</f>
        <v>1255</v>
      </c>
      <c r="CQ160" s="19">
        <f>Table1[[#This Row],[Mid27]]+Table1[[#This Row],[Mid30]]+Table1[[#This Row],[Mid33]]+Table1[[#This Row],[Mid36]]+Table1[[#This Row],[Mid39]]</f>
        <v>0</v>
      </c>
      <c r="CR160" t="s">
        <v>471</v>
      </c>
      <c r="CS160" s="19" t="str">
        <f>IF(AND(Table1[[#This Row],[Low41]]=0, Table1[[#This Row],[High43]]=0),"N","Y")</f>
        <v>N</v>
      </c>
    </row>
    <row r="161" spans="1:97" ht="19.5" customHeight="1" x14ac:dyDescent="0.25">
      <c r="A161">
        <v>10158</v>
      </c>
      <c r="B161" t="s">
        <v>516</v>
      </c>
      <c r="C161" t="s">
        <v>517</v>
      </c>
      <c r="D161">
        <v>51.558888889999999</v>
      </c>
      <c r="E161">
        <v>-113.8802778</v>
      </c>
      <c r="F161" t="s">
        <v>656</v>
      </c>
      <c r="G161" t="s">
        <v>519</v>
      </c>
      <c r="H161" t="s">
        <v>591</v>
      </c>
      <c r="I161" t="s">
        <v>433</v>
      </c>
      <c r="J161" t="s">
        <v>202</v>
      </c>
      <c r="K161" t="s">
        <v>203</v>
      </c>
      <c r="L161" t="s">
        <v>121</v>
      </c>
      <c r="M161" t="s">
        <v>535</v>
      </c>
      <c r="N161" s="6" t="s">
        <v>607</v>
      </c>
      <c r="O161" t="s">
        <v>621</v>
      </c>
      <c r="P161" t="s">
        <v>657</v>
      </c>
      <c r="Q161" t="s">
        <v>658</v>
      </c>
      <c r="R161" t="s">
        <v>659</v>
      </c>
      <c r="S161">
        <v>2004</v>
      </c>
      <c r="T161" t="s">
        <v>153</v>
      </c>
      <c r="U161" t="s">
        <v>129</v>
      </c>
      <c r="V161">
        <v>176.26</v>
      </c>
      <c r="W161">
        <v>2355.1999999999998</v>
      </c>
      <c r="Z161">
        <v>5.6</v>
      </c>
      <c r="AE161">
        <v>0</v>
      </c>
      <c r="AF161">
        <v>200</v>
      </c>
      <c r="AG161">
        <v>0</v>
      </c>
      <c r="AH161" t="s">
        <v>612</v>
      </c>
      <c r="AK161">
        <v>0</v>
      </c>
      <c r="AL161">
        <v>0</v>
      </c>
      <c r="AM161" t="s">
        <v>613</v>
      </c>
      <c r="AN161" t="s">
        <v>132</v>
      </c>
      <c r="BN161">
        <v>38.200000000000003</v>
      </c>
      <c r="CE16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61" s="19">
        <f>SUM(Table1[[#This Row],[Mid39]],Table1[[#This Row],[Mid36]],Table1[[#This Row],[Mid33]],Table1[[#This Row],[Mid30]],Table1[[#This Row],[Mid27]],Table1[[#This Row],[Mid24]],Table1[[#This Row],[Mid21]],Table1[[#This Row],[Mid18]],Table1[[#This Row],[Mid15]],Table1[[#This Row],[Mid12]],Table1[[#This Row],[Mid9]],Table1[[#This Row],[Mid6]],Table1[[#This Row],[Mid3]],Table1[[#This Row],[Mid]])</f>
        <v>38.200000000000003</v>
      </c>
      <c r="CG16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61" t="s">
        <v>157</v>
      </c>
      <c r="CI161" t="s">
        <v>176</v>
      </c>
      <c r="CJ161" t="s">
        <v>158</v>
      </c>
      <c r="CL161" s="19">
        <f>IF(Table1[[#This Row],[Type]]="Petroleum",1,IF(ISERROR(Table1[[#This Row],[Well Density]]*Table1[[#This Row],[Single Well Discovery Area]]),"",IF(Table1[[#This Row],[Well Density]]*Table1[[#This Row],[Single Well Discovery Area]]&gt;1,1,Table1[[#This Row],[Well Density]]*Table1[[#This Row],[Single Well Discovery Area]])))</f>
        <v>1</v>
      </c>
      <c r="CM161" t="s">
        <v>158</v>
      </c>
      <c r="CN161" s="19">
        <f>Table1[[#This Row],[Mid]]</f>
        <v>0</v>
      </c>
      <c r="CO161" s="19">
        <f>Table1[[#This Row],[Mid3]]+Table1[[#This Row],[Mid6]]+Table1[[#This Row],[Mid9]]</f>
        <v>0</v>
      </c>
      <c r="CP161" s="19">
        <f>Table1[[#This Row],[Mid12]]+Table1[[#This Row],[Mid15]]+Table1[[#This Row],[Mid18]]+Table1[[#This Row],[Mid21]]+Table1[[#This Row],[Mid24]]</f>
        <v>38.200000000000003</v>
      </c>
      <c r="CQ161" s="19">
        <f>Table1[[#This Row],[Mid27]]+Table1[[#This Row],[Mid30]]+Table1[[#This Row],[Mid33]]+Table1[[#This Row],[Mid36]]+Table1[[#This Row],[Mid39]]</f>
        <v>0</v>
      </c>
      <c r="CR161" t="s">
        <v>471</v>
      </c>
      <c r="CS161" s="19" t="str">
        <f>IF(AND(Table1[[#This Row],[Low41]]=0, Table1[[#This Row],[High43]]=0),"N","Y")</f>
        <v>N</v>
      </c>
    </row>
    <row r="162" spans="1:97" ht="19.5" customHeight="1" x14ac:dyDescent="0.25">
      <c r="A162">
        <v>10159</v>
      </c>
      <c r="B162" t="s">
        <v>516</v>
      </c>
      <c r="C162" t="s">
        <v>517</v>
      </c>
      <c r="D162">
        <v>50.731388889999998</v>
      </c>
      <c r="E162">
        <v>-113.85777779999999</v>
      </c>
      <c r="F162" t="s">
        <v>660</v>
      </c>
      <c r="G162" t="s">
        <v>519</v>
      </c>
      <c r="H162" t="s">
        <v>591</v>
      </c>
      <c r="I162" t="s">
        <v>433</v>
      </c>
      <c r="J162" t="s">
        <v>202</v>
      </c>
      <c r="K162" t="s">
        <v>203</v>
      </c>
      <c r="L162" t="s">
        <v>121</v>
      </c>
      <c r="M162" t="s">
        <v>535</v>
      </c>
      <c r="N162" s="6" t="s">
        <v>607</v>
      </c>
      <c r="O162" t="s">
        <v>621</v>
      </c>
      <c r="P162" t="s">
        <v>661</v>
      </c>
      <c r="Q162" t="s">
        <v>662</v>
      </c>
      <c r="R162" t="s">
        <v>663</v>
      </c>
      <c r="S162">
        <v>2004</v>
      </c>
      <c r="T162" t="s">
        <v>153</v>
      </c>
      <c r="U162" t="s">
        <v>129</v>
      </c>
      <c r="V162">
        <v>210.12</v>
      </c>
      <c r="W162">
        <v>2599.4</v>
      </c>
      <c r="X162">
        <v>34</v>
      </c>
      <c r="Y162">
        <v>71</v>
      </c>
      <c r="Z162">
        <v>4.2</v>
      </c>
      <c r="AE162">
        <v>0</v>
      </c>
      <c r="AF162">
        <v>200</v>
      </c>
      <c r="AG162">
        <v>0</v>
      </c>
      <c r="AH162" t="s">
        <v>612</v>
      </c>
      <c r="AK162">
        <v>0</v>
      </c>
      <c r="AL162">
        <v>0</v>
      </c>
      <c r="AM162" t="s">
        <v>613</v>
      </c>
      <c r="AN162" t="s">
        <v>132</v>
      </c>
      <c r="BN162">
        <v>22.9</v>
      </c>
      <c r="CE16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62" s="19">
        <f>SUM(Table1[[#This Row],[Mid39]],Table1[[#This Row],[Mid36]],Table1[[#This Row],[Mid33]],Table1[[#This Row],[Mid30]],Table1[[#This Row],[Mid27]],Table1[[#This Row],[Mid24]],Table1[[#This Row],[Mid21]],Table1[[#This Row],[Mid18]],Table1[[#This Row],[Mid15]],Table1[[#This Row],[Mid12]],Table1[[#This Row],[Mid9]],Table1[[#This Row],[Mid6]],Table1[[#This Row],[Mid3]],Table1[[#This Row],[Mid]])</f>
        <v>22.9</v>
      </c>
      <c r="CG16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62" t="s">
        <v>157</v>
      </c>
      <c r="CI162" t="s">
        <v>176</v>
      </c>
      <c r="CJ162" t="s">
        <v>158</v>
      </c>
      <c r="CL162" s="19">
        <f>IF(Table1[[#This Row],[Type]]="Petroleum",1,IF(ISERROR(Table1[[#This Row],[Well Density]]*Table1[[#This Row],[Single Well Discovery Area]]),"",IF(Table1[[#This Row],[Well Density]]*Table1[[#This Row],[Single Well Discovery Area]]&gt;1,1,Table1[[#This Row],[Well Density]]*Table1[[#This Row],[Single Well Discovery Area]])))</f>
        <v>1</v>
      </c>
      <c r="CM162" t="s">
        <v>158</v>
      </c>
      <c r="CN162" s="19">
        <f>Table1[[#This Row],[Mid]]</f>
        <v>0</v>
      </c>
      <c r="CO162" s="19">
        <f>Table1[[#This Row],[Mid3]]+Table1[[#This Row],[Mid6]]+Table1[[#This Row],[Mid9]]</f>
        <v>0</v>
      </c>
      <c r="CP162" s="19">
        <f>Table1[[#This Row],[Mid12]]+Table1[[#This Row],[Mid15]]+Table1[[#This Row],[Mid18]]+Table1[[#This Row],[Mid21]]+Table1[[#This Row],[Mid24]]</f>
        <v>22.9</v>
      </c>
      <c r="CQ162" s="19">
        <f>Table1[[#This Row],[Mid27]]+Table1[[#This Row],[Mid30]]+Table1[[#This Row],[Mid33]]+Table1[[#This Row],[Mid36]]+Table1[[#This Row],[Mid39]]</f>
        <v>0</v>
      </c>
      <c r="CR162" t="s">
        <v>471</v>
      </c>
      <c r="CS162" s="19" t="str">
        <f>IF(AND(Table1[[#This Row],[Low41]]=0, Table1[[#This Row],[High43]]=0),"N","Y")</f>
        <v>N</v>
      </c>
    </row>
    <row r="163" spans="1:97" ht="19.5" customHeight="1" x14ac:dyDescent="0.25">
      <c r="A163">
        <v>10160</v>
      </c>
      <c r="B163" t="s">
        <v>516</v>
      </c>
      <c r="C163" t="s">
        <v>517</v>
      </c>
      <c r="D163">
        <v>53.865833330000001</v>
      </c>
      <c r="E163">
        <v>-115.18777780000001</v>
      </c>
      <c r="F163" t="s">
        <v>664</v>
      </c>
      <c r="G163" t="s">
        <v>519</v>
      </c>
      <c r="H163" t="s">
        <v>665</v>
      </c>
      <c r="I163" t="s">
        <v>433</v>
      </c>
      <c r="J163" t="s">
        <v>202</v>
      </c>
      <c r="K163" t="s">
        <v>203</v>
      </c>
      <c r="L163" t="s">
        <v>121</v>
      </c>
      <c r="M163" t="s">
        <v>148</v>
      </c>
      <c r="N163" s="6" t="s">
        <v>607</v>
      </c>
      <c r="O163" t="s">
        <v>621</v>
      </c>
      <c r="P163" t="s">
        <v>666</v>
      </c>
      <c r="Q163" t="s">
        <v>667</v>
      </c>
      <c r="R163" t="s">
        <v>668</v>
      </c>
      <c r="S163">
        <v>2004</v>
      </c>
      <c r="T163" t="s">
        <v>153</v>
      </c>
      <c r="U163" t="s">
        <v>129</v>
      </c>
      <c r="V163">
        <v>224.74</v>
      </c>
      <c r="W163">
        <v>1529.8</v>
      </c>
      <c r="X163">
        <v>15.8</v>
      </c>
      <c r="Y163">
        <v>27</v>
      </c>
      <c r="Z163">
        <v>9.6999999999999993</v>
      </c>
      <c r="AE163">
        <v>0</v>
      </c>
      <c r="AF163">
        <v>200</v>
      </c>
      <c r="AG163">
        <v>0</v>
      </c>
      <c r="AH163" t="s">
        <v>612</v>
      </c>
      <c r="AK163">
        <v>0</v>
      </c>
      <c r="AL163">
        <v>0</v>
      </c>
      <c r="AM163" t="s">
        <v>613</v>
      </c>
      <c r="AN163" t="s">
        <v>132</v>
      </c>
      <c r="BN163">
        <v>22.6</v>
      </c>
      <c r="CE16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63" s="19">
        <f>SUM(Table1[[#This Row],[Mid39]],Table1[[#This Row],[Mid36]],Table1[[#This Row],[Mid33]],Table1[[#This Row],[Mid30]],Table1[[#This Row],[Mid27]],Table1[[#This Row],[Mid24]],Table1[[#This Row],[Mid21]],Table1[[#This Row],[Mid18]],Table1[[#This Row],[Mid15]],Table1[[#This Row],[Mid12]],Table1[[#This Row],[Mid9]],Table1[[#This Row],[Mid6]],Table1[[#This Row],[Mid3]],Table1[[#This Row],[Mid]])</f>
        <v>22.6</v>
      </c>
      <c r="CG16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63" t="s">
        <v>157</v>
      </c>
      <c r="CI163" t="s">
        <v>134</v>
      </c>
      <c r="CJ163" t="s">
        <v>158</v>
      </c>
      <c r="CL163" s="19">
        <f>IF(Table1[[#This Row],[Type]]="Petroleum",1,IF(ISERROR(Table1[[#This Row],[Well Density]]*Table1[[#This Row],[Single Well Discovery Area]]),"",IF(Table1[[#This Row],[Well Density]]*Table1[[#This Row],[Single Well Discovery Area]]&gt;1,1,Table1[[#This Row],[Well Density]]*Table1[[#This Row],[Single Well Discovery Area]])))</f>
        <v>1</v>
      </c>
      <c r="CM163" t="s">
        <v>158</v>
      </c>
      <c r="CN163" s="19">
        <f>Table1[[#This Row],[Mid]]</f>
        <v>0</v>
      </c>
      <c r="CO163" s="19">
        <f>Table1[[#This Row],[Mid3]]+Table1[[#This Row],[Mid6]]+Table1[[#This Row],[Mid9]]</f>
        <v>0</v>
      </c>
      <c r="CP163" s="19">
        <f>Table1[[#This Row],[Mid12]]+Table1[[#This Row],[Mid15]]+Table1[[#This Row],[Mid18]]+Table1[[#This Row],[Mid21]]+Table1[[#This Row],[Mid24]]</f>
        <v>22.6</v>
      </c>
      <c r="CQ163" s="19">
        <f>Table1[[#This Row],[Mid27]]+Table1[[#This Row],[Mid30]]+Table1[[#This Row],[Mid33]]+Table1[[#This Row],[Mid36]]+Table1[[#This Row],[Mid39]]</f>
        <v>0</v>
      </c>
      <c r="CR163" t="s">
        <v>471</v>
      </c>
      <c r="CS163" s="19" t="str">
        <f>IF(AND(Table1[[#This Row],[Low41]]=0, Table1[[#This Row],[High43]]=0),"N","Y")</f>
        <v>N</v>
      </c>
    </row>
    <row r="164" spans="1:97" ht="19.5" customHeight="1" x14ac:dyDescent="0.25">
      <c r="A164">
        <v>10161</v>
      </c>
      <c r="B164" t="s">
        <v>516</v>
      </c>
      <c r="C164" t="s">
        <v>517</v>
      </c>
      <c r="D164">
        <v>53.69722222</v>
      </c>
      <c r="E164">
        <v>-113.2166667</v>
      </c>
      <c r="F164" t="s">
        <v>669</v>
      </c>
      <c r="G164" t="s">
        <v>519</v>
      </c>
      <c r="H164" t="s">
        <v>596</v>
      </c>
      <c r="I164" t="s">
        <v>118</v>
      </c>
      <c r="J164" t="s">
        <v>119</v>
      </c>
      <c r="K164" t="s">
        <v>120</v>
      </c>
      <c r="L164" t="s">
        <v>121</v>
      </c>
      <c r="M164" t="s">
        <v>597</v>
      </c>
      <c r="N164" s="6" t="s">
        <v>670</v>
      </c>
      <c r="O164" t="s">
        <v>671</v>
      </c>
      <c r="P164" t="s">
        <v>672</v>
      </c>
      <c r="Q164" t="s">
        <v>673</v>
      </c>
      <c r="R164" t="s">
        <v>674</v>
      </c>
      <c r="S164">
        <v>2011</v>
      </c>
      <c r="T164" t="s">
        <v>153</v>
      </c>
      <c r="U164" t="s">
        <v>129</v>
      </c>
      <c r="V164">
        <v>3764</v>
      </c>
      <c r="W164">
        <v>2078</v>
      </c>
      <c r="X164">
        <v>43</v>
      </c>
      <c r="Y164">
        <v>66</v>
      </c>
      <c r="Z164">
        <v>15</v>
      </c>
      <c r="AA164">
        <v>682</v>
      </c>
      <c r="AB164">
        <v>328000</v>
      </c>
      <c r="AD164">
        <v>19</v>
      </c>
      <c r="AE164">
        <v>5.0478210000000001E-3</v>
      </c>
      <c r="AF164">
        <v>200</v>
      </c>
      <c r="AG164">
        <v>1.4099784200000001</v>
      </c>
      <c r="AH164" t="s">
        <v>675</v>
      </c>
      <c r="AK164">
        <v>2.2063231999999999</v>
      </c>
      <c r="AL164">
        <v>0</v>
      </c>
      <c r="AM164" t="s">
        <v>676</v>
      </c>
      <c r="AN164" t="s">
        <v>132</v>
      </c>
      <c r="AP164">
        <v>10</v>
      </c>
      <c r="AS164">
        <v>19.3</v>
      </c>
      <c r="CE16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64" s="19">
        <f>SUM(Table1[[#This Row],[Mid39]],Table1[[#This Row],[Mid36]],Table1[[#This Row],[Mid33]],Table1[[#This Row],[Mid30]],Table1[[#This Row],[Mid27]],Table1[[#This Row],[Mid24]],Table1[[#This Row],[Mid21]],Table1[[#This Row],[Mid18]],Table1[[#This Row],[Mid15]],Table1[[#This Row],[Mid12]],Table1[[#This Row],[Mid9]],Table1[[#This Row],[Mid6]],Table1[[#This Row],[Mid3]],Table1[[#This Row],[Mid]])</f>
        <v>29.3</v>
      </c>
      <c r="CG16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64" t="s">
        <v>133</v>
      </c>
      <c r="CI164" t="s">
        <v>134</v>
      </c>
      <c r="CJ164" t="s">
        <v>135</v>
      </c>
      <c r="CL164" s="19">
        <f>IF(Table1[[#This Row],[Type]]="Petroleum",1,IF(ISERROR(Table1[[#This Row],[Well Density]]*Table1[[#This Row],[Single Well Discovery Area]]),"",IF(Table1[[#This Row],[Well Density]]*Table1[[#This Row],[Single Well Discovery Area]]&gt;1,1,Table1[[#This Row],[Well Density]]*Table1[[#This Row],[Single Well Discovery Area]])))</f>
        <v>1</v>
      </c>
      <c r="CM164" t="s">
        <v>135</v>
      </c>
      <c r="CN164" s="19">
        <f>Table1[[#This Row],[Mid]]</f>
        <v>10</v>
      </c>
      <c r="CO164" s="19">
        <f>Table1[[#This Row],[Mid3]]+Table1[[#This Row],[Mid6]]+Table1[[#This Row],[Mid9]]</f>
        <v>19.3</v>
      </c>
      <c r="CP164" s="19">
        <f>Table1[[#This Row],[Mid12]]+Table1[[#This Row],[Mid15]]+Table1[[#This Row],[Mid18]]+Table1[[#This Row],[Mid21]]+Table1[[#This Row],[Mid24]]</f>
        <v>0</v>
      </c>
      <c r="CQ164" s="19">
        <f>Table1[[#This Row],[Mid27]]+Table1[[#This Row],[Mid30]]+Table1[[#This Row],[Mid33]]+Table1[[#This Row],[Mid36]]+Table1[[#This Row],[Mid39]]</f>
        <v>0</v>
      </c>
      <c r="CR164" t="s">
        <v>471</v>
      </c>
      <c r="CS164" s="19" t="str">
        <f>IF(AND(Table1[[#This Row],[Low41]]=0, Table1[[#This Row],[High43]]=0),"N","Y")</f>
        <v>N</v>
      </c>
    </row>
    <row r="165" spans="1:97" ht="19.5" customHeight="1" x14ac:dyDescent="0.25">
      <c r="A165">
        <v>10162</v>
      </c>
      <c r="B165" t="s">
        <v>516</v>
      </c>
      <c r="C165" t="s">
        <v>517</v>
      </c>
      <c r="D165">
        <v>53.93222222</v>
      </c>
      <c r="E165">
        <v>-113.07527779999999</v>
      </c>
      <c r="F165" t="s">
        <v>677</v>
      </c>
      <c r="G165" t="s">
        <v>519</v>
      </c>
      <c r="H165" t="s">
        <v>678</v>
      </c>
      <c r="I165" t="s">
        <v>582</v>
      </c>
      <c r="J165" t="s">
        <v>202</v>
      </c>
      <c r="K165" t="s">
        <v>203</v>
      </c>
      <c r="L165" t="s">
        <v>121</v>
      </c>
      <c r="M165" t="s">
        <v>535</v>
      </c>
      <c r="N165" s="6" t="s">
        <v>607</v>
      </c>
      <c r="O165" t="s">
        <v>679</v>
      </c>
      <c r="P165" t="s">
        <v>680</v>
      </c>
      <c r="Q165" t="s">
        <v>681</v>
      </c>
      <c r="R165" t="s">
        <v>682</v>
      </c>
      <c r="S165">
        <v>2004</v>
      </c>
      <c r="T165" t="s">
        <v>153</v>
      </c>
      <c r="U165" t="s">
        <v>129</v>
      </c>
      <c r="V165">
        <v>171.23</v>
      </c>
      <c r="W165">
        <v>983.7</v>
      </c>
      <c r="Z165">
        <v>8</v>
      </c>
      <c r="AE165">
        <v>0</v>
      </c>
      <c r="AF165">
        <v>200</v>
      </c>
      <c r="AG165">
        <v>0.53944602200000003</v>
      </c>
      <c r="AH165" t="s">
        <v>612</v>
      </c>
      <c r="AK165">
        <v>0</v>
      </c>
      <c r="AL165">
        <v>0</v>
      </c>
      <c r="AM165" t="s">
        <v>683</v>
      </c>
      <c r="AN165" t="s">
        <v>132</v>
      </c>
      <c r="BN165">
        <v>50</v>
      </c>
      <c r="CE16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65" s="19">
        <f>SUM(Table1[[#This Row],[Mid39]],Table1[[#This Row],[Mid36]],Table1[[#This Row],[Mid33]],Table1[[#This Row],[Mid30]],Table1[[#This Row],[Mid27]],Table1[[#This Row],[Mid24]],Table1[[#This Row],[Mid21]],Table1[[#This Row],[Mid18]],Table1[[#This Row],[Mid15]],Table1[[#This Row],[Mid12]],Table1[[#This Row],[Mid9]],Table1[[#This Row],[Mid6]],Table1[[#This Row],[Mid3]],Table1[[#This Row],[Mid]])</f>
        <v>50</v>
      </c>
      <c r="CG16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65" t="s">
        <v>157</v>
      </c>
      <c r="CI165" t="s">
        <v>176</v>
      </c>
      <c r="CJ165" t="s">
        <v>158</v>
      </c>
      <c r="CL165" s="19">
        <f>IF(Table1[[#This Row],[Type]]="Petroleum",1,IF(ISERROR(Table1[[#This Row],[Well Density]]*Table1[[#This Row],[Single Well Discovery Area]]),"",IF(Table1[[#This Row],[Well Density]]*Table1[[#This Row],[Single Well Discovery Area]]&gt;1,1,Table1[[#This Row],[Well Density]]*Table1[[#This Row],[Single Well Discovery Area]])))</f>
        <v>1</v>
      </c>
      <c r="CM165" t="s">
        <v>158</v>
      </c>
      <c r="CN165" s="19">
        <f>Table1[[#This Row],[Mid]]</f>
        <v>0</v>
      </c>
      <c r="CO165" s="19">
        <f>Table1[[#This Row],[Mid3]]+Table1[[#This Row],[Mid6]]+Table1[[#This Row],[Mid9]]</f>
        <v>0</v>
      </c>
      <c r="CP165" s="19">
        <f>Table1[[#This Row],[Mid12]]+Table1[[#This Row],[Mid15]]+Table1[[#This Row],[Mid18]]+Table1[[#This Row],[Mid21]]+Table1[[#This Row],[Mid24]]</f>
        <v>50</v>
      </c>
      <c r="CQ165" s="19">
        <f>Table1[[#This Row],[Mid27]]+Table1[[#This Row],[Mid30]]+Table1[[#This Row],[Mid33]]+Table1[[#This Row],[Mid36]]+Table1[[#This Row],[Mid39]]</f>
        <v>0</v>
      </c>
      <c r="CR165" t="s">
        <v>471</v>
      </c>
      <c r="CS165" s="19" t="str">
        <f>IF(AND(Table1[[#This Row],[Low41]]=0, Table1[[#This Row],[High43]]=0),"N","Y")</f>
        <v>N</v>
      </c>
    </row>
    <row r="166" spans="1:97" ht="19.5" customHeight="1" x14ac:dyDescent="0.25">
      <c r="A166">
        <v>10163</v>
      </c>
      <c r="B166" t="s">
        <v>516</v>
      </c>
      <c r="C166" t="s">
        <v>517</v>
      </c>
      <c r="D166">
        <v>52.327500000000001</v>
      </c>
      <c r="E166">
        <v>-113.8880556</v>
      </c>
      <c r="F166" t="s">
        <v>684</v>
      </c>
      <c r="G166" t="s">
        <v>519</v>
      </c>
      <c r="H166" t="s">
        <v>685</v>
      </c>
      <c r="I166" t="s">
        <v>118</v>
      </c>
      <c r="J166" t="s">
        <v>119</v>
      </c>
      <c r="K166" t="s">
        <v>190</v>
      </c>
      <c r="L166" t="s">
        <v>18</v>
      </c>
      <c r="M166" t="s">
        <v>148</v>
      </c>
      <c r="N166" s="6" t="s">
        <v>686</v>
      </c>
      <c r="O166" t="s">
        <v>687</v>
      </c>
      <c r="P166" t="s">
        <v>170</v>
      </c>
      <c r="Q166" t="s">
        <v>688</v>
      </c>
      <c r="R166" t="s">
        <v>689</v>
      </c>
      <c r="S166">
        <v>2015</v>
      </c>
      <c r="T166" t="s">
        <v>153</v>
      </c>
      <c r="U166" t="s">
        <v>129</v>
      </c>
      <c r="V166"/>
      <c r="AF166">
        <v>200</v>
      </c>
      <c r="AG166">
        <v>0</v>
      </c>
      <c r="AH166" t="s">
        <v>690</v>
      </c>
      <c r="AI166">
        <v>2</v>
      </c>
      <c r="AK166">
        <v>0</v>
      </c>
      <c r="AL166">
        <v>0</v>
      </c>
      <c r="AM166" t="s">
        <v>691</v>
      </c>
      <c r="AN166" t="s">
        <v>132</v>
      </c>
      <c r="BW166">
        <v>37800</v>
      </c>
      <c r="CE16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66" s="19">
        <f>SUM(Table1[[#This Row],[Mid39]],Table1[[#This Row],[Mid36]],Table1[[#This Row],[Mid33]],Table1[[#This Row],[Mid30]],Table1[[#This Row],[Mid27]],Table1[[#This Row],[Mid24]],Table1[[#This Row],[Mid21]],Table1[[#This Row],[Mid18]],Table1[[#This Row],[Mid15]],Table1[[#This Row],[Mid12]],Table1[[#This Row],[Mid9]],Table1[[#This Row],[Mid6]],Table1[[#This Row],[Mid3]],Table1[[#This Row],[Mid]])</f>
        <v>37800</v>
      </c>
      <c r="CG16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66" t="s">
        <v>157</v>
      </c>
      <c r="CI166" t="s">
        <v>134</v>
      </c>
      <c r="CJ166" t="s">
        <v>158</v>
      </c>
      <c r="CL166" s="19">
        <f>IF(Table1[[#This Row],[Type]]="Petroleum",1,IF(ISERROR(Table1[[#This Row],[Well Density]]*Table1[[#This Row],[Single Well Discovery Area]]),"",IF(Table1[[#This Row],[Well Density]]*Table1[[#This Row],[Single Well Discovery Area]]&gt;1,1,Table1[[#This Row],[Well Density]]*Table1[[#This Row],[Single Well Discovery Area]])))</f>
        <v>0</v>
      </c>
      <c r="CM166" t="s">
        <v>158</v>
      </c>
      <c r="CN166" s="19">
        <f>Table1[[#This Row],[Mid]]</f>
        <v>0</v>
      </c>
      <c r="CO166" s="19">
        <f>Table1[[#This Row],[Mid3]]+Table1[[#This Row],[Mid6]]+Table1[[#This Row],[Mid9]]</f>
        <v>0</v>
      </c>
      <c r="CP166" s="19">
        <f>Table1[[#This Row],[Mid12]]+Table1[[#This Row],[Mid15]]+Table1[[#This Row],[Mid18]]+Table1[[#This Row],[Mid21]]+Table1[[#This Row],[Mid24]]</f>
        <v>0</v>
      </c>
      <c r="CQ166" s="19">
        <f>Table1[[#This Row],[Mid27]]+Table1[[#This Row],[Mid30]]+Table1[[#This Row],[Mid33]]+Table1[[#This Row],[Mid36]]+Table1[[#This Row],[Mid39]]</f>
        <v>37800</v>
      </c>
      <c r="CR166" t="s">
        <v>471</v>
      </c>
      <c r="CS166" s="19" t="str">
        <f>IF(AND(Table1[[#This Row],[Low41]]=0, Table1[[#This Row],[High43]]=0),"N","Y")</f>
        <v>N</v>
      </c>
    </row>
    <row r="167" spans="1:97" ht="19.5" customHeight="1" x14ac:dyDescent="0.25">
      <c r="A167">
        <v>10164</v>
      </c>
      <c r="B167" t="s">
        <v>516</v>
      </c>
      <c r="C167" t="s">
        <v>517</v>
      </c>
      <c r="D167">
        <v>53.447499999999998</v>
      </c>
      <c r="E167">
        <v>-114.3538889</v>
      </c>
      <c r="F167" t="s">
        <v>692</v>
      </c>
      <c r="G167" t="s">
        <v>519</v>
      </c>
      <c r="H167" t="s">
        <v>578</v>
      </c>
      <c r="I167" t="s">
        <v>118</v>
      </c>
      <c r="J167" t="s">
        <v>119</v>
      </c>
      <c r="K167" t="s">
        <v>120</v>
      </c>
      <c r="L167" t="s">
        <v>121</v>
      </c>
      <c r="M167" t="s">
        <v>535</v>
      </c>
      <c r="N167" s="6" t="s">
        <v>693</v>
      </c>
      <c r="O167" t="s">
        <v>694</v>
      </c>
      <c r="P167" t="s">
        <v>695</v>
      </c>
      <c r="Q167" t="s">
        <v>696</v>
      </c>
      <c r="R167" t="s">
        <v>697</v>
      </c>
      <c r="S167">
        <v>2010</v>
      </c>
      <c r="T167" t="s">
        <v>153</v>
      </c>
      <c r="U167" t="s">
        <v>129</v>
      </c>
      <c r="V167">
        <v>5000</v>
      </c>
      <c r="W167">
        <v>1729</v>
      </c>
      <c r="X167">
        <v>75</v>
      </c>
      <c r="Z167">
        <v>4</v>
      </c>
      <c r="AA167">
        <v>30</v>
      </c>
      <c r="AB167">
        <v>197000</v>
      </c>
      <c r="AD167">
        <v>96</v>
      </c>
      <c r="AE167">
        <v>1.9199999999999998E-2</v>
      </c>
      <c r="AF167">
        <v>200</v>
      </c>
      <c r="AG167">
        <v>0</v>
      </c>
      <c r="AK167">
        <v>2.5510611999999999</v>
      </c>
      <c r="AL167">
        <v>0</v>
      </c>
      <c r="AM167" t="s">
        <v>698</v>
      </c>
      <c r="AN167" t="s">
        <v>132</v>
      </c>
      <c r="BG167">
        <v>250</v>
      </c>
      <c r="BH167">
        <v>400</v>
      </c>
      <c r="BI167">
        <v>1200</v>
      </c>
      <c r="CE167" s="19">
        <f>SUM(Table1[[#This Row],[Low38]],Table1[[#This Row],[Low35]],Table1[[#This Row],[Low32]],Table1[[#This Row],[Low29]],Table1[[#This Row],[Low26]],Table1[[#This Row],[Low23]],Table1[[#This Row],[Low20]],Table1[[#This Row],[Low17]],Table1[[#This Row],[Low14]],Table1[[#This Row],[Low11]],Table1[[#This Row],[Low8]],Table1[[#This Row],[Low5]],Table1[[#This Row],[Low2]],Table1[[#This Row],[Low]])</f>
        <v>250</v>
      </c>
      <c r="CF167" s="19">
        <f>SUM(Table1[[#This Row],[Mid39]],Table1[[#This Row],[Mid36]],Table1[[#This Row],[Mid33]],Table1[[#This Row],[Mid30]],Table1[[#This Row],[Mid27]],Table1[[#This Row],[Mid24]],Table1[[#This Row],[Mid21]],Table1[[#This Row],[Mid18]],Table1[[#This Row],[Mid15]],Table1[[#This Row],[Mid12]],Table1[[#This Row],[Mid9]],Table1[[#This Row],[Mid6]],Table1[[#This Row],[Mid3]],Table1[[#This Row],[Mid]])</f>
        <v>400</v>
      </c>
      <c r="CG16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1200</v>
      </c>
      <c r="CH167" t="s">
        <v>133</v>
      </c>
      <c r="CI167" t="s">
        <v>176</v>
      </c>
      <c r="CJ167" t="s">
        <v>135</v>
      </c>
      <c r="CL167" s="19">
        <f>IF(Table1[[#This Row],[Type]]="Petroleum",1,IF(ISERROR(Table1[[#This Row],[Well Density]]*Table1[[#This Row],[Single Well Discovery Area]]),"",IF(Table1[[#This Row],[Well Density]]*Table1[[#This Row],[Single Well Discovery Area]]&gt;1,1,Table1[[#This Row],[Well Density]]*Table1[[#This Row],[Single Well Discovery Area]])))</f>
        <v>1</v>
      </c>
      <c r="CM167" t="s">
        <v>135</v>
      </c>
      <c r="CN167" s="19">
        <f>Table1[[#This Row],[Mid]]</f>
        <v>0</v>
      </c>
      <c r="CO167" s="19">
        <f>Table1[[#This Row],[Mid3]]+Table1[[#This Row],[Mid6]]+Table1[[#This Row],[Mid9]]</f>
        <v>0</v>
      </c>
      <c r="CP167" s="19">
        <f>Table1[[#This Row],[Mid12]]+Table1[[#This Row],[Mid15]]+Table1[[#This Row],[Mid18]]+Table1[[#This Row],[Mid21]]+Table1[[#This Row],[Mid24]]</f>
        <v>400</v>
      </c>
      <c r="CQ167" s="19">
        <f>Table1[[#This Row],[Mid27]]+Table1[[#This Row],[Mid30]]+Table1[[#This Row],[Mid33]]+Table1[[#This Row],[Mid36]]+Table1[[#This Row],[Mid39]]</f>
        <v>0</v>
      </c>
      <c r="CR167" t="s">
        <v>471</v>
      </c>
      <c r="CS167" s="19" t="str">
        <f>IF(AND(Table1[[#This Row],[Low41]]=0, Table1[[#This Row],[High43]]=0),"N","Y")</f>
        <v>Y</v>
      </c>
    </row>
    <row r="168" spans="1:97" ht="19.5" customHeight="1" x14ac:dyDescent="0.25">
      <c r="A168">
        <v>10165</v>
      </c>
      <c r="B168" t="s">
        <v>516</v>
      </c>
      <c r="C168" t="s">
        <v>517</v>
      </c>
      <c r="D168">
        <v>54.006388889999997</v>
      </c>
      <c r="E168">
        <v>-115.2358333</v>
      </c>
      <c r="F168" t="s">
        <v>699</v>
      </c>
      <c r="G168" t="s">
        <v>519</v>
      </c>
      <c r="I168" t="s">
        <v>118</v>
      </c>
      <c r="J168" t="s">
        <v>119</v>
      </c>
      <c r="K168" t="s">
        <v>190</v>
      </c>
      <c r="L168" t="s">
        <v>147</v>
      </c>
      <c r="N168" s="6" t="s">
        <v>686</v>
      </c>
      <c r="O168" t="s">
        <v>700</v>
      </c>
      <c r="P168" t="s">
        <v>170</v>
      </c>
      <c r="Q168" t="s">
        <v>701</v>
      </c>
      <c r="R168" t="s">
        <v>702</v>
      </c>
      <c r="S168">
        <v>2015</v>
      </c>
      <c r="T168" t="s">
        <v>153</v>
      </c>
      <c r="U168" t="s">
        <v>129</v>
      </c>
      <c r="V168"/>
      <c r="AF168">
        <v>200</v>
      </c>
      <c r="AG168">
        <v>0</v>
      </c>
      <c r="AH168" t="s">
        <v>703</v>
      </c>
      <c r="AK168">
        <v>0</v>
      </c>
      <c r="AL168">
        <v>0</v>
      </c>
      <c r="AM168" t="s">
        <v>704</v>
      </c>
      <c r="AN168" t="s">
        <v>132</v>
      </c>
      <c r="BZ168">
        <v>14200</v>
      </c>
      <c r="CE16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68" s="19">
        <f>SUM(Table1[[#This Row],[Mid39]],Table1[[#This Row],[Mid36]],Table1[[#This Row],[Mid33]],Table1[[#This Row],[Mid30]],Table1[[#This Row],[Mid27]],Table1[[#This Row],[Mid24]],Table1[[#This Row],[Mid21]],Table1[[#This Row],[Mid18]],Table1[[#This Row],[Mid15]],Table1[[#This Row],[Mid12]],Table1[[#This Row],[Mid9]],Table1[[#This Row],[Mid6]],Table1[[#This Row],[Mid3]],Table1[[#This Row],[Mid]])</f>
        <v>14200</v>
      </c>
      <c r="CG16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68" t="s">
        <v>133</v>
      </c>
      <c r="CI168" t="s">
        <v>176</v>
      </c>
      <c r="CJ168" t="s">
        <v>158</v>
      </c>
      <c r="CL168" s="19">
        <f>IF(Table1[[#This Row],[Type]]="Petroleum",1,IF(ISERROR(Table1[[#This Row],[Well Density]]*Table1[[#This Row],[Single Well Discovery Area]]),"",IF(Table1[[#This Row],[Well Density]]*Table1[[#This Row],[Single Well Discovery Area]]&gt;1,1,Table1[[#This Row],[Well Density]]*Table1[[#This Row],[Single Well Discovery Area]])))</f>
        <v>0</v>
      </c>
      <c r="CM168" t="s">
        <v>158</v>
      </c>
      <c r="CN168" s="19">
        <f>Table1[[#This Row],[Mid]]</f>
        <v>0</v>
      </c>
      <c r="CO168" s="19">
        <f>Table1[[#This Row],[Mid3]]+Table1[[#This Row],[Mid6]]+Table1[[#This Row],[Mid9]]</f>
        <v>0</v>
      </c>
      <c r="CP168" s="19">
        <f>Table1[[#This Row],[Mid12]]+Table1[[#This Row],[Mid15]]+Table1[[#This Row],[Mid18]]+Table1[[#This Row],[Mid21]]+Table1[[#This Row],[Mid24]]</f>
        <v>0</v>
      </c>
      <c r="CQ168" s="19">
        <f>Table1[[#This Row],[Mid27]]+Table1[[#This Row],[Mid30]]+Table1[[#This Row],[Mid33]]+Table1[[#This Row],[Mid36]]+Table1[[#This Row],[Mid39]]</f>
        <v>14200</v>
      </c>
      <c r="CR168" t="s">
        <v>471</v>
      </c>
      <c r="CS168" s="19" t="str">
        <f>IF(AND(Table1[[#This Row],[Low41]]=0, Table1[[#This Row],[High43]]=0),"N","Y")</f>
        <v>N</v>
      </c>
    </row>
    <row r="169" spans="1:97" ht="19.5" customHeight="1" x14ac:dyDescent="0.25">
      <c r="A169">
        <v>10166</v>
      </c>
      <c r="B169" t="s">
        <v>516</v>
      </c>
      <c r="C169" t="s">
        <v>705</v>
      </c>
      <c r="D169">
        <v>53.72666667</v>
      </c>
      <c r="E169">
        <v>-127.64749999999999</v>
      </c>
      <c r="F169" t="s">
        <v>706</v>
      </c>
      <c r="G169" t="s">
        <v>519</v>
      </c>
      <c r="I169" t="s">
        <v>118</v>
      </c>
      <c r="J169" t="s">
        <v>119</v>
      </c>
      <c r="K169" t="s">
        <v>190</v>
      </c>
      <c r="L169" t="s">
        <v>18</v>
      </c>
      <c r="N169" s="6" t="s">
        <v>521</v>
      </c>
      <c r="O169" t="s">
        <v>707</v>
      </c>
      <c r="P169" t="s">
        <v>170</v>
      </c>
      <c r="Q169" t="s">
        <v>688</v>
      </c>
      <c r="R169" t="s">
        <v>708</v>
      </c>
      <c r="S169">
        <v>2015</v>
      </c>
      <c r="T169" t="s">
        <v>153</v>
      </c>
      <c r="U169" t="s">
        <v>129</v>
      </c>
      <c r="V169">
        <v>944735</v>
      </c>
      <c r="AE169">
        <v>0</v>
      </c>
      <c r="AF169">
        <v>200</v>
      </c>
      <c r="AG169">
        <v>0</v>
      </c>
      <c r="AH169" t="s">
        <v>709</v>
      </c>
      <c r="AI169">
        <v>2</v>
      </c>
      <c r="AK169">
        <v>0</v>
      </c>
      <c r="AL169">
        <v>0</v>
      </c>
      <c r="AM169" t="s">
        <v>710</v>
      </c>
      <c r="AN169" t="s">
        <v>132</v>
      </c>
      <c r="BY169">
        <v>880</v>
      </c>
      <c r="BZ169">
        <v>18700</v>
      </c>
      <c r="CA169">
        <v>35800</v>
      </c>
      <c r="CE169" s="19">
        <f>SUM(Table1[[#This Row],[Low38]],Table1[[#This Row],[Low35]],Table1[[#This Row],[Low32]],Table1[[#This Row],[Low29]],Table1[[#This Row],[Low26]],Table1[[#This Row],[Low23]],Table1[[#This Row],[Low20]],Table1[[#This Row],[Low17]],Table1[[#This Row],[Low14]],Table1[[#This Row],[Low11]],Table1[[#This Row],[Low8]],Table1[[#This Row],[Low5]],Table1[[#This Row],[Low2]],Table1[[#This Row],[Low]])</f>
        <v>880</v>
      </c>
      <c r="CF169" s="19">
        <f>SUM(Table1[[#This Row],[Mid39]],Table1[[#This Row],[Mid36]],Table1[[#This Row],[Mid33]],Table1[[#This Row],[Mid30]],Table1[[#This Row],[Mid27]],Table1[[#This Row],[Mid24]],Table1[[#This Row],[Mid21]],Table1[[#This Row],[Mid18]],Table1[[#This Row],[Mid15]],Table1[[#This Row],[Mid12]],Table1[[#This Row],[Mid9]],Table1[[#This Row],[Mid6]],Table1[[#This Row],[Mid3]],Table1[[#This Row],[Mid]])</f>
        <v>18700</v>
      </c>
      <c r="CG16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35800</v>
      </c>
      <c r="CH169" t="s">
        <v>157</v>
      </c>
      <c r="CI169" t="s">
        <v>176</v>
      </c>
      <c r="CJ169" t="s">
        <v>158</v>
      </c>
      <c r="CL169" s="19">
        <f>IF(Table1[[#This Row],[Type]]="Petroleum",1,IF(ISERROR(Table1[[#This Row],[Well Density]]*Table1[[#This Row],[Single Well Discovery Area]]),"",IF(Table1[[#This Row],[Well Density]]*Table1[[#This Row],[Single Well Discovery Area]]&gt;1,1,Table1[[#This Row],[Well Density]]*Table1[[#This Row],[Single Well Discovery Area]])))</f>
        <v>0</v>
      </c>
      <c r="CM169" t="s">
        <v>158</v>
      </c>
      <c r="CN169" s="19">
        <f>Table1[[#This Row],[Mid]]</f>
        <v>0</v>
      </c>
      <c r="CO169" s="19">
        <f>Table1[[#This Row],[Mid3]]+Table1[[#This Row],[Mid6]]+Table1[[#This Row],[Mid9]]</f>
        <v>0</v>
      </c>
      <c r="CP169" s="19">
        <f>Table1[[#This Row],[Mid12]]+Table1[[#This Row],[Mid15]]+Table1[[#This Row],[Mid18]]+Table1[[#This Row],[Mid21]]+Table1[[#This Row],[Mid24]]</f>
        <v>0</v>
      </c>
      <c r="CQ169" s="19">
        <f>Table1[[#This Row],[Mid27]]+Table1[[#This Row],[Mid30]]+Table1[[#This Row],[Mid33]]+Table1[[#This Row],[Mid36]]+Table1[[#This Row],[Mid39]]</f>
        <v>18700</v>
      </c>
      <c r="CR169" t="s">
        <v>471</v>
      </c>
      <c r="CS169" s="19" t="str">
        <f>IF(AND(Table1[[#This Row],[Low41]]=0, Table1[[#This Row],[High43]]=0),"N","Y")</f>
        <v>Y</v>
      </c>
    </row>
    <row r="170" spans="1:97" ht="19.5" customHeight="1" x14ac:dyDescent="0.25">
      <c r="A170">
        <v>10167</v>
      </c>
      <c r="B170" t="s">
        <v>516</v>
      </c>
      <c r="C170" t="s">
        <v>705</v>
      </c>
      <c r="D170">
        <v>53.727777779999997</v>
      </c>
      <c r="E170">
        <v>-127.6486111</v>
      </c>
      <c r="F170" t="s">
        <v>711</v>
      </c>
      <c r="G170" t="s">
        <v>519</v>
      </c>
      <c r="I170" t="s">
        <v>520</v>
      </c>
      <c r="J170" t="s">
        <v>202</v>
      </c>
      <c r="K170" t="s">
        <v>203</v>
      </c>
      <c r="L170" t="s">
        <v>121</v>
      </c>
      <c r="N170" s="6" t="s">
        <v>712</v>
      </c>
      <c r="O170" t="s">
        <v>713</v>
      </c>
      <c r="P170" t="s">
        <v>436</v>
      </c>
      <c r="Q170" t="s">
        <v>523</v>
      </c>
      <c r="R170" t="s">
        <v>714</v>
      </c>
      <c r="S170">
        <v>2012</v>
      </c>
      <c r="T170" t="s">
        <v>153</v>
      </c>
      <c r="U170" t="s">
        <v>129</v>
      </c>
      <c r="V170"/>
      <c r="AF170">
        <v>200</v>
      </c>
      <c r="AG170">
        <v>0</v>
      </c>
      <c r="AH170" t="s">
        <v>715</v>
      </c>
      <c r="AK170">
        <v>0</v>
      </c>
      <c r="AL170">
        <v>0</v>
      </c>
      <c r="AM170" t="s">
        <v>716</v>
      </c>
      <c r="AN170" t="s">
        <v>132</v>
      </c>
      <c r="BN170">
        <v>2701</v>
      </c>
      <c r="CE17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70" s="19">
        <f>SUM(Table1[[#This Row],[Mid39]],Table1[[#This Row],[Mid36]],Table1[[#This Row],[Mid33]],Table1[[#This Row],[Mid30]],Table1[[#This Row],[Mid27]],Table1[[#This Row],[Mid24]],Table1[[#This Row],[Mid21]],Table1[[#This Row],[Mid18]],Table1[[#This Row],[Mid15]],Table1[[#This Row],[Mid12]],Table1[[#This Row],[Mid9]],Table1[[#This Row],[Mid6]],Table1[[#This Row],[Mid3]],Table1[[#This Row],[Mid]])</f>
        <v>2701</v>
      </c>
      <c r="CG17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70" t="s">
        <v>133</v>
      </c>
      <c r="CI170" t="s">
        <v>176</v>
      </c>
      <c r="CJ170" t="s">
        <v>158</v>
      </c>
      <c r="CL170" s="19">
        <f>IF(Table1[[#This Row],[Type]]="Petroleum",1,IF(ISERROR(Table1[[#This Row],[Well Density]]*Table1[[#This Row],[Single Well Discovery Area]]),"",IF(Table1[[#This Row],[Well Density]]*Table1[[#This Row],[Single Well Discovery Area]]&gt;1,1,Table1[[#This Row],[Well Density]]*Table1[[#This Row],[Single Well Discovery Area]])))</f>
        <v>1</v>
      </c>
      <c r="CM170" t="s">
        <v>158</v>
      </c>
      <c r="CN170" s="19">
        <f>Table1[[#This Row],[Mid]]</f>
        <v>0</v>
      </c>
      <c r="CO170" s="19">
        <f>Table1[[#This Row],[Mid3]]+Table1[[#This Row],[Mid6]]+Table1[[#This Row],[Mid9]]</f>
        <v>0</v>
      </c>
      <c r="CP170" s="19">
        <f>Table1[[#This Row],[Mid12]]+Table1[[#This Row],[Mid15]]+Table1[[#This Row],[Mid18]]+Table1[[#This Row],[Mid21]]+Table1[[#This Row],[Mid24]]</f>
        <v>2701</v>
      </c>
      <c r="CQ170" s="19">
        <f>Table1[[#This Row],[Mid27]]+Table1[[#This Row],[Mid30]]+Table1[[#This Row],[Mid33]]+Table1[[#This Row],[Mid36]]+Table1[[#This Row],[Mid39]]</f>
        <v>0</v>
      </c>
      <c r="CR170" t="s">
        <v>471</v>
      </c>
      <c r="CS170" s="19" t="str">
        <f>IF(AND(Table1[[#This Row],[Low41]]=0, Table1[[#This Row],[High43]]=0),"N","Y")</f>
        <v>N</v>
      </c>
    </row>
    <row r="171" spans="1:97" ht="19.5" customHeight="1" x14ac:dyDescent="0.25">
      <c r="A171">
        <v>10168</v>
      </c>
      <c r="B171" t="s">
        <v>516</v>
      </c>
      <c r="C171" t="s">
        <v>705</v>
      </c>
      <c r="D171">
        <v>58.63777778</v>
      </c>
      <c r="E171">
        <v>-122.8833333</v>
      </c>
      <c r="F171" t="s">
        <v>717</v>
      </c>
      <c r="G171" t="s">
        <v>519</v>
      </c>
      <c r="H171" t="s">
        <v>718</v>
      </c>
      <c r="I171" t="s">
        <v>118</v>
      </c>
      <c r="J171" t="s">
        <v>119</v>
      </c>
      <c r="K171" t="s">
        <v>203</v>
      </c>
      <c r="L171" t="s">
        <v>121</v>
      </c>
      <c r="M171" t="s">
        <v>548</v>
      </c>
      <c r="N171" s="6" t="s">
        <v>719</v>
      </c>
      <c r="O171" t="s">
        <v>720</v>
      </c>
      <c r="P171" t="s">
        <v>721</v>
      </c>
      <c r="Q171" t="s">
        <v>722</v>
      </c>
      <c r="R171" t="s">
        <v>723</v>
      </c>
      <c r="S171">
        <v>2014</v>
      </c>
      <c r="T171" t="s">
        <v>153</v>
      </c>
      <c r="U171" t="s">
        <v>129</v>
      </c>
      <c r="V171">
        <v>1800</v>
      </c>
      <c r="W171">
        <v>2200</v>
      </c>
      <c r="X171">
        <v>346</v>
      </c>
      <c r="Y171">
        <v>30</v>
      </c>
      <c r="Z171">
        <v>7</v>
      </c>
      <c r="AC171">
        <v>415</v>
      </c>
      <c r="AD171">
        <v>30</v>
      </c>
      <c r="AE171">
        <v>1.6666667E-2</v>
      </c>
      <c r="AF171">
        <v>200</v>
      </c>
      <c r="AG171">
        <v>1.4823734</v>
      </c>
      <c r="AH171" t="s">
        <v>724</v>
      </c>
      <c r="AI171">
        <v>2</v>
      </c>
      <c r="AK171">
        <v>0</v>
      </c>
      <c r="AL171">
        <v>0</v>
      </c>
      <c r="AM171" t="s">
        <v>725</v>
      </c>
      <c r="AN171" t="s">
        <v>132</v>
      </c>
      <c r="BH171">
        <v>100</v>
      </c>
      <c r="CE17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71"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17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71" t="s">
        <v>133</v>
      </c>
      <c r="CI171" t="s">
        <v>176</v>
      </c>
      <c r="CJ171" t="s">
        <v>135</v>
      </c>
      <c r="CL171" s="19">
        <f>IF(Table1[[#This Row],[Type]]="Petroleum",1,IF(ISERROR(Table1[[#This Row],[Well Density]]*Table1[[#This Row],[Single Well Discovery Area]]),"",IF(Table1[[#This Row],[Well Density]]*Table1[[#This Row],[Single Well Discovery Area]]&gt;1,1,Table1[[#This Row],[Well Density]]*Table1[[#This Row],[Single Well Discovery Area]])))</f>
        <v>1</v>
      </c>
      <c r="CM171" t="s">
        <v>135</v>
      </c>
      <c r="CN171" s="19">
        <f>Table1[[#This Row],[Mid]]</f>
        <v>0</v>
      </c>
      <c r="CO171" s="19">
        <f>Table1[[#This Row],[Mid3]]+Table1[[#This Row],[Mid6]]+Table1[[#This Row],[Mid9]]</f>
        <v>0</v>
      </c>
      <c r="CP171" s="19">
        <f>Table1[[#This Row],[Mid12]]+Table1[[#This Row],[Mid15]]+Table1[[#This Row],[Mid18]]+Table1[[#This Row],[Mid21]]+Table1[[#This Row],[Mid24]]</f>
        <v>100</v>
      </c>
      <c r="CQ171" s="19">
        <f>Table1[[#This Row],[Mid27]]+Table1[[#This Row],[Mid30]]+Table1[[#This Row],[Mid33]]+Table1[[#This Row],[Mid36]]+Table1[[#This Row],[Mid39]]</f>
        <v>0</v>
      </c>
      <c r="CR171" t="s">
        <v>471</v>
      </c>
      <c r="CS171" s="19" t="str">
        <f>IF(AND(Table1[[#This Row],[Low41]]=0, Table1[[#This Row],[High43]]=0),"N","Y")</f>
        <v>N</v>
      </c>
    </row>
    <row r="172" spans="1:97" ht="19.5" customHeight="1" x14ac:dyDescent="0.25">
      <c r="A172">
        <v>10169</v>
      </c>
      <c r="B172" t="s">
        <v>516</v>
      </c>
      <c r="C172" t="s">
        <v>705</v>
      </c>
      <c r="D172">
        <v>57.160555559999999</v>
      </c>
      <c r="E172">
        <v>-120.0780556</v>
      </c>
      <c r="F172" t="s">
        <v>726</v>
      </c>
      <c r="G172" t="s">
        <v>519</v>
      </c>
      <c r="H172" t="s">
        <v>727</v>
      </c>
      <c r="I172" t="s">
        <v>433</v>
      </c>
      <c r="J172" t="s">
        <v>202</v>
      </c>
      <c r="K172" t="s">
        <v>203</v>
      </c>
      <c r="L172" t="s">
        <v>121</v>
      </c>
      <c r="M172" t="s">
        <v>548</v>
      </c>
      <c r="N172" s="6" t="s">
        <v>607</v>
      </c>
      <c r="O172" t="s">
        <v>728</v>
      </c>
      <c r="P172" t="s">
        <v>729</v>
      </c>
      <c r="Q172" t="s">
        <v>730</v>
      </c>
      <c r="R172" t="s">
        <v>731</v>
      </c>
      <c r="S172">
        <v>2004</v>
      </c>
      <c r="T172" t="s">
        <v>153</v>
      </c>
      <c r="U172" t="s">
        <v>129</v>
      </c>
      <c r="V172">
        <v>99.45</v>
      </c>
      <c r="Z172">
        <v>9.9</v>
      </c>
      <c r="AD172">
        <v>39</v>
      </c>
      <c r="AE172">
        <v>0.39215686300000002</v>
      </c>
      <c r="AF172">
        <v>200</v>
      </c>
      <c r="AG172">
        <v>0</v>
      </c>
      <c r="AH172" t="s">
        <v>612</v>
      </c>
      <c r="AK172">
        <v>0</v>
      </c>
      <c r="AL172">
        <v>0</v>
      </c>
      <c r="AM172" t="s">
        <v>613</v>
      </c>
      <c r="AN172" t="s">
        <v>132</v>
      </c>
      <c r="BN172">
        <v>33.1</v>
      </c>
      <c r="CE17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72" s="19">
        <f>SUM(Table1[[#This Row],[Mid39]],Table1[[#This Row],[Mid36]],Table1[[#This Row],[Mid33]],Table1[[#This Row],[Mid30]],Table1[[#This Row],[Mid27]],Table1[[#This Row],[Mid24]],Table1[[#This Row],[Mid21]],Table1[[#This Row],[Mid18]],Table1[[#This Row],[Mid15]],Table1[[#This Row],[Mid12]],Table1[[#This Row],[Mid9]],Table1[[#This Row],[Mid6]],Table1[[#This Row],[Mid3]],Table1[[#This Row],[Mid]])</f>
        <v>33.1</v>
      </c>
      <c r="CG17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72" t="s">
        <v>157</v>
      </c>
      <c r="CI172" t="s">
        <v>176</v>
      </c>
      <c r="CJ172" t="s">
        <v>158</v>
      </c>
      <c r="CL172" s="19">
        <f>IF(Table1[[#This Row],[Type]]="Petroleum",1,IF(ISERROR(Table1[[#This Row],[Well Density]]*Table1[[#This Row],[Single Well Discovery Area]]),"",IF(Table1[[#This Row],[Well Density]]*Table1[[#This Row],[Single Well Discovery Area]]&gt;1,1,Table1[[#This Row],[Well Density]]*Table1[[#This Row],[Single Well Discovery Area]])))</f>
        <v>1</v>
      </c>
      <c r="CM172" t="s">
        <v>158</v>
      </c>
      <c r="CN172" s="19">
        <f>Table1[[#This Row],[Mid]]</f>
        <v>0</v>
      </c>
      <c r="CO172" s="19">
        <f>Table1[[#This Row],[Mid3]]+Table1[[#This Row],[Mid6]]+Table1[[#This Row],[Mid9]]</f>
        <v>0</v>
      </c>
      <c r="CP172" s="19">
        <f>Table1[[#This Row],[Mid12]]+Table1[[#This Row],[Mid15]]+Table1[[#This Row],[Mid18]]+Table1[[#This Row],[Mid21]]+Table1[[#This Row],[Mid24]]</f>
        <v>33.1</v>
      </c>
      <c r="CQ172" s="19">
        <f>Table1[[#This Row],[Mid27]]+Table1[[#This Row],[Mid30]]+Table1[[#This Row],[Mid33]]+Table1[[#This Row],[Mid36]]+Table1[[#This Row],[Mid39]]</f>
        <v>0</v>
      </c>
      <c r="CR172" t="s">
        <v>471</v>
      </c>
      <c r="CS172" s="19" t="str">
        <f>IF(AND(Table1[[#This Row],[Low41]]=0, Table1[[#This Row],[High43]]=0),"N","Y")</f>
        <v>N</v>
      </c>
    </row>
    <row r="173" spans="1:97" ht="19.5" customHeight="1" x14ac:dyDescent="0.25">
      <c r="A173">
        <v>10170</v>
      </c>
      <c r="B173" t="s">
        <v>516</v>
      </c>
      <c r="C173" t="s">
        <v>705</v>
      </c>
      <c r="D173">
        <v>57.360555560000002</v>
      </c>
      <c r="E173">
        <v>-122.05305559999999</v>
      </c>
      <c r="F173" t="s">
        <v>732</v>
      </c>
      <c r="G173" t="s">
        <v>519</v>
      </c>
      <c r="H173" t="s">
        <v>733</v>
      </c>
      <c r="I173" t="s">
        <v>433</v>
      </c>
      <c r="J173" t="s">
        <v>202</v>
      </c>
      <c r="K173" t="s">
        <v>203</v>
      </c>
      <c r="L173" t="s">
        <v>121</v>
      </c>
      <c r="M173" t="s">
        <v>734</v>
      </c>
      <c r="N173" s="6" t="s">
        <v>607</v>
      </c>
      <c r="O173" t="s">
        <v>728</v>
      </c>
      <c r="P173" t="s">
        <v>735</v>
      </c>
      <c r="Q173" t="s">
        <v>736</v>
      </c>
      <c r="R173" t="s">
        <v>737</v>
      </c>
      <c r="S173">
        <v>2004</v>
      </c>
      <c r="T173" t="s">
        <v>153</v>
      </c>
      <c r="U173" t="s">
        <v>129</v>
      </c>
      <c r="V173"/>
      <c r="Z173">
        <v>10</v>
      </c>
      <c r="AD173">
        <v>46</v>
      </c>
      <c r="AF173">
        <v>200</v>
      </c>
      <c r="AG173">
        <v>0</v>
      </c>
      <c r="AH173" t="s">
        <v>612</v>
      </c>
      <c r="AK173">
        <v>0</v>
      </c>
      <c r="AL173">
        <v>0</v>
      </c>
      <c r="AM173" t="s">
        <v>613</v>
      </c>
      <c r="AN173" t="s">
        <v>132</v>
      </c>
      <c r="BN173">
        <v>61.4</v>
      </c>
      <c r="CE17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73" s="19">
        <f>SUM(Table1[[#This Row],[Mid39]],Table1[[#This Row],[Mid36]],Table1[[#This Row],[Mid33]],Table1[[#This Row],[Mid30]],Table1[[#This Row],[Mid27]],Table1[[#This Row],[Mid24]],Table1[[#This Row],[Mid21]],Table1[[#This Row],[Mid18]],Table1[[#This Row],[Mid15]],Table1[[#This Row],[Mid12]],Table1[[#This Row],[Mid9]],Table1[[#This Row],[Mid6]],Table1[[#This Row],[Mid3]],Table1[[#This Row],[Mid]])</f>
        <v>61.4</v>
      </c>
      <c r="CG17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73" t="s">
        <v>157</v>
      </c>
      <c r="CI173" t="s">
        <v>176</v>
      </c>
      <c r="CJ173" t="s">
        <v>158</v>
      </c>
      <c r="CL173" s="19">
        <f>IF(Table1[[#This Row],[Type]]="Petroleum",1,IF(ISERROR(Table1[[#This Row],[Well Density]]*Table1[[#This Row],[Single Well Discovery Area]]),"",IF(Table1[[#This Row],[Well Density]]*Table1[[#This Row],[Single Well Discovery Area]]&gt;1,1,Table1[[#This Row],[Well Density]]*Table1[[#This Row],[Single Well Discovery Area]])))</f>
        <v>1</v>
      </c>
      <c r="CM173" t="s">
        <v>158</v>
      </c>
      <c r="CN173" s="19">
        <f>Table1[[#This Row],[Mid]]</f>
        <v>0</v>
      </c>
      <c r="CO173" s="19">
        <f>Table1[[#This Row],[Mid3]]+Table1[[#This Row],[Mid6]]+Table1[[#This Row],[Mid9]]</f>
        <v>0</v>
      </c>
      <c r="CP173" s="19">
        <f>Table1[[#This Row],[Mid12]]+Table1[[#This Row],[Mid15]]+Table1[[#This Row],[Mid18]]+Table1[[#This Row],[Mid21]]+Table1[[#This Row],[Mid24]]</f>
        <v>61.4</v>
      </c>
      <c r="CQ173" s="19">
        <f>Table1[[#This Row],[Mid27]]+Table1[[#This Row],[Mid30]]+Table1[[#This Row],[Mid33]]+Table1[[#This Row],[Mid36]]+Table1[[#This Row],[Mid39]]</f>
        <v>0</v>
      </c>
      <c r="CR173" t="s">
        <v>471</v>
      </c>
      <c r="CS173" s="19" t="str">
        <f>IF(AND(Table1[[#This Row],[Low41]]=0, Table1[[#This Row],[High43]]=0),"N","Y")</f>
        <v>N</v>
      </c>
    </row>
    <row r="174" spans="1:97" ht="19.5" customHeight="1" x14ac:dyDescent="0.25">
      <c r="A174">
        <v>10171</v>
      </c>
      <c r="B174" t="s">
        <v>516</v>
      </c>
      <c r="C174" t="s">
        <v>705</v>
      </c>
      <c r="D174">
        <v>59.798055560000002</v>
      </c>
      <c r="E174">
        <v>-123.13444440000001</v>
      </c>
      <c r="F174" t="s">
        <v>738</v>
      </c>
      <c r="G174" t="s">
        <v>519</v>
      </c>
      <c r="H174" t="s">
        <v>739</v>
      </c>
      <c r="I174" t="s">
        <v>433</v>
      </c>
      <c r="J174" t="s">
        <v>202</v>
      </c>
      <c r="K174" t="s">
        <v>203</v>
      </c>
      <c r="L174" t="s">
        <v>121</v>
      </c>
      <c r="M174" t="s">
        <v>191</v>
      </c>
      <c r="N174" s="6" t="s">
        <v>607</v>
      </c>
      <c r="O174" t="s">
        <v>728</v>
      </c>
      <c r="P174" t="s">
        <v>740</v>
      </c>
      <c r="Q174" t="s">
        <v>741</v>
      </c>
      <c r="R174" t="s">
        <v>742</v>
      </c>
      <c r="S174">
        <v>2004</v>
      </c>
      <c r="T174" t="s">
        <v>153</v>
      </c>
      <c r="U174" t="s">
        <v>129</v>
      </c>
      <c r="V174"/>
      <c r="Z174">
        <v>17.100000000000001</v>
      </c>
      <c r="AD174">
        <v>129</v>
      </c>
      <c r="AF174">
        <v>200</v>
      </c>
      <c r="AG174">
        <v>0</v>
      </c>
      <c r="AH174" t="s">
        <v>612</v>
      </c>
      <c r="AK174">
        <v>0</v>
      </c>
      <c r="AL174">
        <v>0</v>
      </c>
      <c r="AM174" t="s">
        <v>613</v>
      </c>
      <c r="AN174" t="s">
        <v>132</v>
      </c>
      <c r="BN174">
        <v>23</v>
      </c>
      <c r="CE17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74" s="19">
        <f>SUM(Table1[[#This Row],[Mid39]],Table1[[#This Row],[Mid36]],Table1[[#This Row],[Mid33]],Table1[[#This Row],[Mid30]],Table1[[#This Row],[Mid27]],Table1[[#This Row],[Mid24]],Table1[[#This Row],[Mid21]],Table1[[#This Row],[Mid18]],Table1[[#This Row],[Mid15]],Table1[[#This Row],[Mid12]],Table1[[#This Row],[Mid9]],Table1[[#This Row],[Mid6]],Table1[[#This Row],[Mid3]],Table1[[#This Row],[Mid]])</f>
        <v>23</v>
      </c>
      <c r="CG17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74" t="s">
        <v>157</v>
      </c>
      <c r="CI174" t="s">
        <v>134</v>
      </c>
      <c r="CJ174" t="s">
        <v>158</v>
      </c>
      <c r="CL174" s="19">
        <f>IF(Table1[[#This Row],[Type]]="Petroleum",1,IF(ISERROR(Table1[[#This Row],[Well Density]]*Table1[[#This Row],[Single Well Discovery Area]]),"",IF(Table1[[#This Row],[Well Density]]*Table1[[#This Row],[Single Well Discovery Area]]&gt;1,1,Table1[[#This Row],[Well Density]]*Table1[[#This Row],[Single Well Discovery Area]])))</f>
        <v>1</v>
      </c>
      <c r="CM174" t="s">
        <v>158</v>
      </c>
      <c r="CN174" s="19">
        <f>Table1[[#This Row],[Mid]]</f>
        <v>0</v>
      </c>
      <c r="CO174" s="19">
        <f>Table1[[#This Row],[Mid3]]+Table1[[#This Row],[Mid6]]+Table1[[#This Row],[Mid9]]</f>
        <v>0</v>
      </c>
      <c r="CP174" s="19">
        <f>Table1[[#This Row],[Mid12]]+Table1[[#This Row],[Mid15]]+Table1[[#This Row],[Mid18]]+Table1[[#This Row],[Mid21]]+Table1[[#This Row],[Mid24]]</f>
        <v>23</v>
      </c>
      <c r="CQ174" s="19">
        <f>Table1[[#This Row],[Mid27]]+Table1[[#This Row],[Mid30]]+Table1[[#This Row],[Mid33]]+Table1[[#This Row],[Mid36]]+Table1[[#This Row],[Mid39]]</f>
        <v>0</v>
      </c>
      <c r="CR174" t="s">
        <v>471</v>
      </c>
      <c r="CS174" s="19" t="str">
        <f>IF(AND(Table1[[#This Row],[Low41]]=0, Table1[[#This Row],[High43]]=0),"N","Y")</f>
        <v>N</v>
      </c>
    </row>
    <row r="175" spans="1:97" ht="19.5" customHeight="1" x14ac:dyDescent="0.25">
      <c r="A175">
        <v>10172</v>
      </c>
      <c r="B175" t="s">
        <v>516</v>
      </c>
      <c r="C175" t="s">
        <v>705</v>
      </c>
      <c r="D175">
        <v>59.798055560000002</v>
      </c>
      <c r="E175">
        <v>-123.13444440000001</v>
      </c>
      <c r="F175" t="s">
        <v>743</v>
      </c>
      <c r="G175" t="s">
        <v>519</v>
      </c>
      <c r="H175" t="s">
        <v>744</v>
      </c>
      <c r="I175" t="s">
        <v>433</v>
      </c>
      <c r="J175" t="s">
        <v>202</v>
      </c>
      <c r="K175" t="s">
        <v>203</v>
      </c>
      <c r="L175" t="s">
        <v>121</v>
      </c>
      <c r="M175" t="s">
        <v>745</v>
      </c>
      <c r="N175" s="6" t="s">
        <v>607</v>
      </c>
      <c r="O175" t="s">
        <v>728</v>
      </c>
      <c r="P175" t="s">
        <v>740</v>
      </c>
      <c r="Q175" t="s">
        <v>746</v>
      </c>
      <c r="R175" t="s">
        <v>747</v>
      </c>
      <c r="S175">
        <v>2004</v>
      </c>
      <c r="T175" t="s">
        <v>153</v>
      </c>
      <c r="U175" t="s">
        <v>129</v>
      </c>
      <c r="V175"/>
      <c r="Z175">
        <v>15.3</v>
      </c>
      <c r="AD175">
        <v>68</v>
      </c>
      <c r="AF175">
        <v>200</v>
      </c>
      <c r="AG175">
        <v>0</v>
      </c>
      <c r="AH175" t="s">
        <v>612</v>
      </c>
      <c r="AK175">
        <v>0</v>
      </c>
      <c r="AL175">
        <v>0</v>
      </c>
      <c r="AM175" t="s">
        <v>613</v>
      </c>
      <c r="AN175" t="s">
        <v>132</v>
      </c>
      <c r="BN175">
        <v>54</v>
      </c>
      <c r="CE17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75" s="19">
        <f>SUM(Table1[[#This Row],[Mid39]],Table1[[#This Row],[Mid36]],Table1[[#This Row],[Mid33]],Table1[[#This Row],[Mid30]],Table1[[#This Row],[Mid27]],Table1[[#This Row],[Mid24]],Table1[[#This Row],[Mid21]],Table1[[#This Row],[Mid18]],Table1[[#This Row],[Mid15]],Table1[[#This Row],[Mid12]],Table1[[#This Row],[Mid9]],Table1[[#This Row],[Mid6]],Table1[[#This Row],[Mid3]],Table1[[#This Row],[Mid]])</f>
        <v>54</v>
      </c>
      <c r="CG17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75" t="s">
        <v>157</v>
      </c>
      <c r="CI175" t="s">
        <v>134</v>
      </c>
      <c r="CJ175" t="s">
        <v>158</v>
      </c>
      <c r="CL175" s="19">
        <f>IF(Table1[[#This Row],[Type]]="Petroleum",1,IF(ISERROR(Table1[[#This Row],[Well Density]]*Table1[[#This Row],[Single Well Discovery Area]]),"",IF(Table1[[#This Row],[Well Density]]*Table1[[#This Row],[Single Well Discovery Area]]&gt;1,1,Table1[[#This Row],[Well Density]]*Table1[[#This Row],[Single Well Discovery Area]])))</f>
        <v>1</v>
      </c>
      <c r="CM175" t="s">
        <v>158</v>
      </c>
      <c r="CN175" s="19">
        <f>Table1[[#This Row],[Mid]]</f>
        <v>0</v>
      </c>
      <c r="CO175" s="19">
        <f>Table1[[#This Row],[Mid3]]+Table1[[#This Row],[Mid6]]+Table1[[#This Row],[Mid9]]</f>
        <v>0</v>
      </c>
      <c r="CP175" s="19">
        <f>Table1[[#This Row],[Mid12]]+Table1[[#This Row],[Mid15]]+Table1[[#This Row],[Mid18]]+Table1[[#This Row],[Mid21]]+Table1[[#This Row],[Mid24]]</f>
        <v>54</v>
      </c>
      <c r="CQ175" s="19">
        <f>Table1[[#This Row],[Mid27]]+Table1[[#This Row],[Mid30]]+Table1[[#This Row],[Mid33]]+Table1[[#This Row],[Mid36]]+Table1[[#This Row],[Mid39]]</f>
        <v>0</v>
      </c>
      <c r="CR175" t="s">
        <v>471</v>
      </c>
      <c r="CS175" s="19" t="str">
        <f>IF(AND(Table1[[#This Row],[Low41]]=0, Table1[[#This Row],[High43]]=0),"N","Y")</f>
        <v>N</v>
      </c>
    </row>
    <row r="176" spans="1:97" ht="19.5" customHeight="1" x14ac:dyDescent="0.25">
      <c r="A176">
        <v>10173</v>
      </c>
      <c r="B176" t="s">
        <v>516</v>
      </c>
      <c r="C176" t="s">
        <v>705</v>
      </c>
      <c r="D176">
        <v>56.656388890000002</v>
      </c>
      <c r="E176">
        <v>-120.6277778</v>
      </c>
      <c r="F176" t="s">
        <v>748</v>
      </c>
      <c r="G176" t="s">
        <v>519</v>
      </c>
      <c r="H176" t="s">
        <v>749</v>
      </c>
      <c r="I176" t="s">
        <v>433</v>
      </c>
      <c r="J176" t="s">
        <v>202</v>
      </c>
      <c r="K176" t="s">
        <v>203</v>
      </c>
      <c r="L176" t="s">
        <v>121</v>
      </c>
      <c r="M176" t="s">
        <v>734</v>
      </c>
      <c r="N176" s="6" t="s">
        <v>607</v>
      </c>
      <c r="O176" t="s">
        <v>728</v>
      </c>
      <c r="P176" t="s">
        <v>750</v>
      </c>
      <c r="Q176" t="s">
        <v>751</v>
      </c>
      <c r="R176" t="s">
        <v>752</v>
      </c>
      <c r="S176">
        <v>2004</v>
      </c>
      <c r="T176" t="s">
        <v>153</v>
      </c>
      <c r="U176" t="s">
        <v>129</v>
      </c>
      <c r="V176"/>
      <c r="Z176">
        <v>14.1</v>
      </c>
      <c r="AD176">
        <v>0</v>
      </c>
      <c r="AF176">
        <v>200</v>
      </c>
      <c r="AG176">
        <v>0</v>
      </c>
      <c r="AH176" t="s">
        <v>612</v>
      </c>
      <c r="AK176">
        <v>0</v>
      </c>
      <c r="AL176">
        <v>0</v>
      </c>
      <c r="AM176" t="s">
        <v>613</v>
      </c>
      <c r="AN176" t="s">
        <v>132</v>
      </c>
      <c r="BN176">
        <v>39.700000000000003</v>
      </c>
      <c r="CE17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76" s="19">
        <f>SUM(Table1[[#This Row],[Mid39]],Table1[[#This Row],[Mid36]],Table1[[#This Row],[Mid33]],Table1[[#This Row],[Mid30]],Table1[[#This Row],[Mid27]],Table1[[#This Row],[Mid24]],Table1[[#This Row],[Mid21]],Table1[[#This Row],[Mid18]],Table1[[#This Row],[Mid15]],Table1[[#This Row],[Mid12]],Table1[[#This Row],[Mid9]],Table1[[#This Row],[Mid6]],Table1[[#This Row],[Mid3]],Table1[[#This Row],[Mid]])</f>
        <v>39.700000000000003</v>
      </c>
      <c r="CG17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76" t="s">
        <v>157</v>
      </c>
      <c r="CI176" t="s">
        <v>134</v>
      </c>
      <c r="CJ176" t="s">
        <v>158</v>
      </c>
      <c r="CL176" s="19">
        <f>IF(Table1[[#This Row],[Type]]="Petroleum",1,IF(ISERROR(Table1[[#This Row],[Well Density]]*Table1[[#This Row],[Single Well Discovery Area]]),"",IF(Table1[[#This Row],[Well Density]]*Table1[[#This Row],[Single Well Discovery Area]]&gt;1,1,Table1[[#This Row],[Well Density]]*Table1[[#This Row],[Single Well Discovery Area]])))</f>
        <v>1</v>
      </c>
      <c r="CM176" t="s">
        <v>158</v>
      </c>
      <c r="CN176" s="19">
        <f>Table1[[#This Row],[Mid]]</f>
        <v>0</v>
      </c>
      <c r="CO176" s="19">
        <f>Table1[[#This Row],[Mid3]]+Table1[[#This Row],[Mid6]]+Table1[[#This Row],[Mid9]]</f>
        <v>0</v>
      </c>
      <c r="CP176" s="19">
        <f>Table1[[#This Row],[Mid12]]+Table1[[#This Row],[Mid15]]+Table1[[#This Row],[Mid18]]+Table1[[#This Row],[Mid21]]+Table1[[#This Row],[Mid24]]</f>
        <v>39.700000000000003</v>
      </c>
      <c r="CQ176" s="19">
        <f>Table1[[#This Row],[Mid27]]+Table1[[#This Row],[Mid30]]+Table1[[#This Row],[Mid33]]+Table1[[#This Row],[Mid36]]+Table1[[#This Row],[Mid39]]</f>
        <v>0</v>
      </c>
      <c r="CR176" t="s">
        <v>471</v>
      </c>
      <c r="CS176" s="19" t="str">
        <f>IF(AND(Table1[[#This Row],[Low41]]=0, Table1[[#This Row],[High43]]=0),"N","Y")</f>
        <v>N</v>
      </c>
    </row>
    <row r="177" spans="1:97" ht="19.5" customHeight="1" x14ac:dyDescent="0.25">
      <c r="A177">
        <v>10174</v>
      </c>
      <c r="B177" t="s">
        <v>516</v>
      </c>
      <c r="C177" t="s">
        <v>705</v>
      </c>
      <c r="D177">
        <v>58.814444440000003</v>
      </c>
      <c r="E177">
        <v>-121.3469444</v>
      </c>
      <c r="F177" t="s">
        <v>753</v>
      </c>
      <c r="G177" t="s">
        <v>519</v>
      </c>
      <c r="H177" t="s">
        <v>754</v>
      </c>
      <c r="I177" t="s">
        <v>433</v>
      </c>
      <c r="J177" t="s">
        <v>202</v>
      </c>
      <c r="K177" t="s">
        <v>203</v>
      </c>
      <c r="L177" t="s">
        <v>121</v>
      </c>
      <c r="M177" t="s">
        <v>548</v>
      </c>
      <c r="N177" s="6" t="s">
        <v>607</v>
      </c>
      <c r="O177" t="s">
        <v>728</v>
      </c>
      <c r="P177" t="s">
        <v>755</v>
      </c>
      <c r="Q177" t="s">
        <v>756</v>
      </c>
      <c r="R177" t="s">
        <v>757</v>
      </c>
      <c r="S177">
        <v>2004</v>
      </c>
      <c r="T177" t="s">
        <v>153</v>
      </c>
      <c r="U177" t="s">
        <v>129</v>
      </c>
      <c r="V177"/>
      <c r="W177">
        <v>1600</v>
      </c>
      <c r="Z177">
        <v>10</v>
      </c>
      <c r="AD177">
        <v>18</v>
      </c>
      <c r="AF177">
        <v>200</v>
      </c>
      <c r="AG177">
        <v>0</v>
      </c>
      <c r="AH177" t="s">
        <v>612</v>
      </c>
      <c r="AK177">
        <v>0</v>
      </c>
      <c r="AL177">
        <v>0</v>
      </c>
      <c r="AM177" t="s">
        <v>613</v>
      </c>
      <c r="AN177" t="s">
        <v>132</v>
      </c>
      <c r="BN177">
        <v>58</v>
      </c>
      <c r="CE17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77" s="19">
        <f>SUM(Table1[[#This Row],[Mid39]],Table1[[#This Row],[Mid36]],Table1[[#This Row],[Mid33]],Table1[[#This Row],[Mid30]],Table1[[#This Row],[Mid27]],Table1[[#This Row],[Mid24]],Table1[[#This Row],[Mid21]],Table1[[#This Row],[Mid18]],Table1[[#This Row],[Mid15]],Table1[[#This Row],[Mid12]],Table1[[#This Row],[Mid9]],Table1[[#This Row],[Mid6]],Table1[[#This Row],[Mid3]],Table1[[#This Row],[Mid]])</f>
        <v>58</v>
      </c>
      <c r="CG17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77" t="s">
        <v>157</v>
      </c>
      <c r="CI177" t="s">
        <v>176</v>
      </c>
      <c r="CJ177" t="s">
        <v>158</v>
      </c>
      <c r="CL177" s="19">
        <f>IF(Table1[[#This Row],[Type]]="Petroleum",1,IF(ISERROR(Table1[[#This Row],[Well Density]]*Table1[[#This Row],[Single Well Discovery Area]]),"",IF(Table1[[#This Row],[Well Density]]*Table1[[#This Row],[Single Well Discovery Area]]&gt;1,1,Table1[[#This Row],[Well Density]]*Table1[[#This Row],[Single Well Discovery Area]])))</f>
        <v>1</v>
      </c>
      <c r="CM177" t="s">
        <v>158</v>
      </c>
      <c r="CN177" s="19">
        <f>Table1[[#This Row],[Mid]]</f>
        <v>0</v>
      </c>
      <c r="CO177" s="19">
        <f>Table1[[#This Row],[Mid3]]+Table1[[#This Row],[Mid6]]+Table1[[#This Row],[Mid9]]</f>
        <v>0</v>
      </c>
      <c r="CP177" s="19">
        <f>Table1[[#This Row],[Mid12]]+Table1[[#This Row],[Mid15]]+Table1[[#This Row],[Mid18]]+Table1[[#This Row],[Mid21]]+Table1[[#This Row],[Mid24]]</f>
        <v>58</v>
      </c>
      <c r="CQ177" s="19">
        <f>Table1[[#This Row],[Mid27]]+Table1[[#This Row],[Mid30]]+Table1[[#This Row],[Mid33]]+Table1[[#This Row],[Mid36]]+Table1[[#This Row],[Mid39]]</f>
        <v>0</v>
      </c>
      <c r="CR177" t="s">
        <v>471</v>
      </c>
      <c r="CS177" s="19" t="str">
        <f>IF(AND(Table1[[#This Row],[Low41]]=0, Table1[[#This Row],[High43]]=0),"N","Y")</f>
        <v>N</v>
      </c>
    </row>
    <row r="178" spans="1:97" ht="19.5" customHeight="1" x14ac:dyDescent="0.25">
      <c r="A178">
        <v>10175</v>
      </c>
      <c r="B178" t="s">
        <v>516</v>
      </c>
      <c r="C178" t="s">
        <v>705</v>
      </c>
      <c r="D178">
        <v>56.467500000000001</v>
      </c>
      <c r="E178">
        <v>-121.0252778</v>
      </c>
      <c r="F178" t="s">
        <v>758</v>
      </c>
      <c r="G178" t="s">
        <v>519</v>
      </c>
      <c r="H178" t="s">
        <v>759</v>
      </c>
      <c r="I178" t="s">
        <v>433</v>
      </c>
      <c r="J178" t="s">
        <v>202</v>
      </c>
      <c r="K178" t="s">
        <v>203</v>
      </c>
      <c r="L178" t="s">
        <v>121</v>
      </c>
      <c r="M178" t="s">
        <v>760</v>
      </c>
      <c r="N178" s="6" t="s">
        <v>607</v>
      </c>
      <c r="O178" t="s">
        <v>728</v>
      </c>
      <c r="P178" t="s">
        <v>740</v>
      </c>
      <c r="Q178" t="s">
        <v>761</v>
      </c>
      <c r="R178" t="s">
        <v>762</v>
      </c>
      <c r="S178">
        <v>2004</v>
      </c>
      <c r="T178" t="s">
        <v>153</v>
      </c>
      <c r="U178" t="s">
        <v>129</v>
      </c>
      <c r="V178"/>
      <c r="W178">
        <v>1136</v>
      </c>
      <c r="Z178">
        <v>16</v>
      </c>
      <c r="AD178">
        <v>39</v>
      </c>
      <c r="AF178">
        <v>200</v>
      </c>
      <c r="AG178">
        <v>0</v>
      </c>
      <c r="AH178" t="s">
        <v>612</v>
      </c>
      <c r="AK178">
        <v>0</v>
      </c>
      <c r="AL178">
        <v>0</v>
      </c>
      <c r="AM178" t="s">
        <v>613</v>
      </c>
      <c r="AN178" t="s">
        <v>132</v>
      </c>
      <c r="BN178">
        <v>29.4</v>
      </c>
      <c r="CE17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78" s="19">
        <f>SUM(Table1[[#This Row],[Mid39]],Table1[[#This Row],[Mid36]],Table1[[#This Row],[Mid33]],Table1[[#This Row],[Mid30]],Table1[[#This Row],[Mid27]],Table1[[#This Row],[Mid24]],Table1[[#This Row],[Mid21]],Table1[[#This Row],[Mid18]],Table1[[#This Row],[Mid15]],Table1[[#This Row],[Mid12]],Table1[[#This Row],[Mid9]],Table1[[#This Row],[Mid6]],Table1[[#This Row],[Mid3]],Table1[[#This Row],[Mid]])</f>
        <v>29.4</v>
      </c>
      <c r="CG17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78" t="s">
        <v>157</v>
      </c>
      <c r="CI178" t="s">
        <v>134</v>
      </c>
      <c r="CJ178" t="s">
        <v>158</v>
      </c>
      <c r="CL178" s="19">
        <f>IF(Table1[[#This Row],[Type]]="Petroleum",1,IF(ISERROR(Table1[[#This Row],[Well Density]]*Table1[[#This Row],[Single Well Discovery Area]]),"",IF(Table1[[#This Row],[Well Density]]*Table1[[#This Row],[Single Well Discovery Area]]&gt;1,1,Table1[[#This Row],[Well Density]]*Table1[[#This Row],[Single Well Discovery Area]])))</f>
        <v>1</v>
      </c>
      <c r="CM178" t="s">
        <v>158</v>
      </c>
      <c r="CN178" s="19">
        <f>Table1[[#This Row],[Mid]]</f>
        <v>0</v>
      </c>
      <c r="CO178" s="19">
        <f>Table1[[#This Row],[Mid3]]+Table1[[#This Row],[Mid6]]+Table1[[#This Row],[Mid9]]</f>
        <v>0</v>
      </c>
      <c r="CP178" s="19">
        <f>Table1[[#This Row],[Mid12]]+Table1[[#This Row],[Mid15]]+Table1[[#This Row],[Mid18]]+Table1[[#This Row],[Mid21]]+Table1[[#This Row],[Mid24]]</f>
        <v>29.4</v>
      </c>
      <c r="CQ178" s="19">
        <f>Table1[[#This Row],[Mid27]]+Table1[[#This Row],[Mid30]]+Table1[[#This Row],[Mid33]]+Table1[[#This Row],[Mid36]]+Table1[[#This Row],[Mid39]]</f>
        <v>0</v>
      </c>
      <c r="CR178" t="s">
        <v>471</v>
      </c>
      <c r="CS178" s="19" t="str">
        <f>IF(AND(Table1[[#This Row],[Low41]]=0, Table1[[#This Row],[High43]]=0),"N","Y")</f>
        <v>N</v>
      </c>
    </row>
    <row r="179" spans="1:97" ht="19.5" customHeight="1" x14ac:dyDescent="0.25">
      <c r="A179">
        <v>10176</v>
      </c>
      <c r="B179" t="s">
        <v>516</v>
      </c>
      <c r="C179" t="s">
        <v>763</v>
      </c>
      <c r="D179">
        <v>51.494166669999998</v>
      </c>
      <c r="E179">
        <v>-107.04416670000001</v>
      </c>
      <c r="F179" t="s">
        <v>764</v>
      </c>
      <c r="G179" t="s">
        <v>519</v>
      </c>
      <c r="H179" t="s">
        <v>765</v>
      </c>
      <c r="I179" t="s">
        <v>118</v>
      </c>
      <c r="J179" t="s">
        <v>119</v>
      </c>
      <c r="K179" t="s">
        <v>120</v>
      </c>
      <c r="L179" t="s">
        <v>147</v>
      </c>
      <c r="M179" t="s">
        <v>597</v>
      </c>
      <c r="N179" s="6" t="s">
        <v>766</v>
      </c>
      <c r="O179" s="21" t="s">
        <v>767</v>
      </c>
      <c r="P179" t="s">
        <v>768</v>
      </c>
      <c r="Q179" s="21" t="s">
        <v>769</v>
      </c>
      <c r="R179" s="21" t="s">
        <v>770</v>
      </c>
      <c r="S179">
        <v>2023</v>
      </c>
      <c r="T179" t="s">
        <v>771</v>
      </c>
      <c r="U179" t="s">
        <v>129</v>
      </c>
      <c r="V179">
        <v>811000</v>
      </c>
      <c r="W179">
        <v>3200</v>
      </c>
      <c r="X179">
        <v>96</v>
      </c>
      <c r="Z179">
        <v>14</v>
      </c>
      <c r="AC179">
        <v>814</v>
      </c>
      <c r="AD179">
        <v>600</v>
      </c>
      <c r="AE179">
        <v>1.74E-4</v>
      </c>
      <c r="AF179">
        <v>200</v>
      </c>
      <c r="AG179">
        <v>0</v>
      </c>
      <c r="AH179" t="s">
        <v>772</v>
      </c>
      <c r="AI179" t="s">
        <v>773</v>
      </c>
      <c r="AJ179" t="s">
        <v>774</v>
      </c>
      <c r="AK179" t="s">
        <v>775</v>
      </c>
      <c r="AL179" t="s">
        <v>776</v>
      </c>
      <c r="AN179" t="s">
        <v>777</v>
      </c>
      <c r="BV179">
        <v>18600</v>
      </c>
      <c r="BW179">
        <v>24600</v>
      </c>
      <c r="BX179">
        <v>32000</v>
      </c>
      <c r="CE179" s="19">
        <f>SUM(Table1[[#This Row],[Low38]],Table1[[#This Row],[Low35]],Table1[[#This Row],[Low32]],Table1[[#This Row],[Low29]],Table1[[#This Row],[Low26]],Table1[[#This Row],[Low23]],Table1[[#This Row],[Low20]],Table1[[#This Row],[Low17]],Table1[[#This Row],[Low14]],Table1[[#This Row],[Low11]],Table1[[#This Row],[Low8]],Table1[[#This Row],[Low5]],Table1[[#This Row],[Low2]],Table1[[#This Row],[Low]])</f>
        <v>18600</v>
      </c>
      <c r="CF179" s="19">
        <f>SUM(Table1[[#This Row],[Mid39]],Table1[[#This Row],[Mid36]],Table1[[#This Row],[Mid33]],Table1[[#This Row],[Mid30]],Table1[[#This Row],[Mid27]],Table1[[#This Row],[Mid24]],Table1[[#This Row],[Mid21]],Table1[[#This Row],[Mid18]],Table1[[#This Row],[Mid15]],Table1[[#This Row],[Mid12]],Table1[[#This Row],[Mid9]],Table1[[#This Row],[Mid6]],Table1[[#This Row],[Mid3]],Table1[[#This Row],[Mid]])</f>
        <v>24600</v>
      </c>
      <c r="CG17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32000</v>
      </c>
      <c r="CH179" t="s">
        <v>133</v>
      </c>
      <c r="CI179" t="s">
        <v>134</v>
      </c>
      <c r="CJ179" t="s">
        <v>133</v>
      </c>
      <c r="CL179" s="19">
        <f>IF(Table1[[#This Row],[Type]]="Petroleum",1,IF(ISERROR(Table1[[#This Row],[Well Density]]*Table1[[#This Row],[Single Well Discovery Area]]),"",IF(Table1[[#This Row],[Well Density]]*Table1[[#This Row],[Single Well Discovery Area]]&gt;1,1,Table1[[#This Row],[Well Density]]*Table1[[#This Row],[Single Well Discovery Area]])))</f>
        <v>3.4799999999999998E-2</v>
      </c>
      <c r="CM179" t="s">
        <v>158</v>
      </c>
      <c r="CN179" s="19">
        <f>Table1[[#This Row],[Mid]]</f>
        <v>0</v>
      </c>
      <c r="CO179" s="19">
        <f>Table1[[#This Row],[Mid3]]+Table1[[#This Row],[Mid6]]+Table1[[#This Row],[Mid9]]</f>
        <v>0</v>
      </c>
      <c r="CP179" s="19">
        <f>Table1[[#This Row],[Mid12]]+Table1[[#This Row],[Mid15]]+Table1[[#This Row],[Mid18]]+Table1[[#This Row],[Mid21]]+Table1[[#This Row],[Mid24]]</f>
        <v>0</v>
      </c>
      <c r="CQ179" s="19">
        <f>Table1[[#This Row],[Mid27]]+Table1[[#This Row],[Mid30]]+Table1[[#This Row],[Mid33]]+Table1[[#This Row],[Mid36]]+Table1[[#This Row],[Mid39]]</f>
        <v>24600</v>
      </c>
      <c r="CR179" t="s">
        <v>471</v>
      </c>
      <c r="CS179" s="19" t="str">
        <f>IF(AND(Table1[[#This Row],[Low41]]=0, Table1[[#This Row],[High43]]=0),"N","Y")</f>
        <v>Y</v>
      </c>
    </row>
    <row r="180" spans="1:97" ht="19.5" customHeight="1" x14ac:dyDescent="0.25">
      <c r="A180">
        <v>10177</v>
      </c>
      <c r="B180" t="s">
        <v>516</v>
      </c>
      <c r="C180" t="s">
        <v>778</v>
      </c>
      <c r="D180">
        <v>49.571944440000003</v>
      </c>
      <c r="E180">
        <v>-101.2958333</v>
      </c>
      <c r="F180" t="s">
        <v>779</v>
      </c>
      <c r="G180" t="s">
        <v>595</v>
      </c>
      <c r="H180" t="s">
        <v>780</v>
      </c>
      <c r="I180" t="s">
        <v>582</v>
      </c>
      <c r="J180" t="s">
        <v>202</v>
      </c>
      <c r="K180" t="s">
        <v>203</v>
      </c>
      <c r="L180" t="s">
        <v>121</v>
      </c>
      <c r="M180" t="s">
        <v>616</v>
      </c>
      <c r="N180" s="6" t="s">
        <v>781</v>
      </c>
      <c r="O180" t="s">
        <v>782</v>
      </c>
      <c r="P180" t="s">
        <v>783</v>
      </c>
      <c r="Q180" t="s">
        <v>784</v>
      </c>
      <c r="R180" t="s">
        <v>785</v>
      </c>
      <c r="S180">
        <v>2007</v>
      </c>
      <c r="T180" t="s">
        <v>153</v>
      </c>
      <c r="U180" t="s">
        <v>129</v>
      </c>
      <c r="V180"/>
      <c r="AF180">
        <v>200</v>
      </c>
      <c r="AG180">
        <v>0</v>
      </c>
      <c r="AH180" t="s">
        <v>786</v>
      </c>
      <c r="AK180">
        <v>0</v>
      </c>
      <c r="AL180">
        <v>0</v>
      </c>
      <c r="AM180" t="s">
        <v>787</v>
      </c>
      <c r="AN180" t="s">
        <v>132</v>
      </c>
      <c r="BN180">
        <v>158</v>
      </c>
      <c r="CE18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80" s="19">
        <f>SUM(Table1[[#This Row],[Mid39]],Table1[[#This Row],[Mid36]],Table1[[#This Row],[Mid33]],Table1[[#This Row],[Mid30]],Table1[[#This Row],[Mid27]],Table1[[#This Row],[Mid24]],Table1[[#This Row],[Mid21]],Table1[[#This Row],[Mid18]],Table1[[#This Row],[Mid15]],Table1[[#This Row],[Mid12]],Table1[[#This Row],[Mid9]],Table1[[#This Row],[Mid6]],Table1[[#This Row],[Mid3]],Table1[[#This Row],[Mid]])</f>
        <v>158</v>
      </c>
      <c r="CG18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80" t="s">
        <v>157</v>
      </c>
      <c r="CI180" t="s">
        <v>176</v>
      </c>
      <c r="CJ180" t="s">
        <v>158</v>
      </c>
      <c r="CL180" s="19">
        <f>IF(Table1[[#This Row],[Type]]="Petroleum",1,IF(ISERROR(Table1[[#This Row],[Well Density]]*Table1[[#This Row],[Single Well Discovery Area]]),"",IF(Table1[[#This Row],[Well Density]]*Table1[[#This Row],[Single Well Discovery Area]]&gt;1,1,Table1[[#This Row],[Well Density]]*Table1[[#This Row],[Single Well Discovery Area]])))</f>
        <v>1</v>
      </c>
      <c r="CM180" t="s">
        <v>158</v>
      </c>
      <c r="CN180" s="19">
        <f>Table1[[#This Row],[Mid]]</f>
        <v>0</v>
      </c>
      <c r="CO180" s="19">
        <f>Table1[[#This Row],[Mid3]]+Table1[[#This Row],[Mid6]]+Table1[[#This Row],[Mid9]]</f>
        <v>0</v>
      </c>
      <c r="CP180" s="19">
        <f>Table1[[#This Row],[Mid12]]+Table1[[#This Row],[Mid15]]+Table1[[#This Row],[Mid18]]+Table1[[#This Row],[Mid21]]+Table1[[#This Row],[Mid24]]</f>
        <v>158</v>
      </c>
      <c r="CQ180" s="19">
        <f>Table1[[#This Row],[Mid27]]+Table1[[#This Row],[Mid30]]+Table1[[#This Row],[Mid33]]+Table1[[#This Row],[Mid36]]+Table1[[#This Row],[Mid39]]</f>
        <v>0</v>
      </c>
      <c r="CR180" t="s">
        <v>471</v>
      </c>
      <c r="CS180" s="19" t="str">
        <f>IF(AND(Table1[[#This Row],[Low41]]=0, Table1[[#This Row],[High43]]=0),"N","Y")</f>
        <v>N</v>
      </c>
    </row>
    <row r="181" spans="1:97" ht="19.5" customHeight="1" x14ac:dyDescent="0.25">
      <c r="A181">
        <v>10178</v>
      </c>
      <c r="B181" t="s">
        <v>516</v>
      </c>
      <c r="C181" t="s">
        <v>778</v>
      </c>
      <c r="D181">
        <v>53.761944440000001</v>
      </c>
      <c r="E181">
        <v>-98.814722219999993</v>
      </c>
      <c r="F181" t="s">
        <v>788</v>
      </c>
      <c r="G181" t="s">
        <v>595</v>
      </c>
      <c r="I181" t="s">
        <v>118</v>
      </c>
      <c r="J181" t="s">
        <v>119</v>
      </c>
      <c r="K181" t="s">
        <v>203</v>
      </c>
      <c r="L181" t="s">
        <v>18</v>
      </c>
      <c r="N181" s="6" t="s">
        <v>521</v>
      </c>
      <c r="O181" s="21" t="s">
        <v>789</v>
      </c>
      <c r="P181" t="s">
        <v>170</v>
      </c>
      <c r="Q181"/>
      <c r="R181" t="s">
        <v>790</v>
      </c>
      <c r="S181">
        <v>2015</v>
      </c>
      <c r="T181" t="s">
        <v>153</v>
      </c>
      <c r="U181" t="s">
        <v>129</v>
      </c>
      <c r="V181"/>
      <c r="AD181">
        <v>88</v>
      </c>
      <c r="AF181">
        <v>200</v>
      </c>
      <c r="AG181">
        <v>0</v>
      </c>
      <c r="AI181">
        <v>0</v>
      </c>
      <c r="AK181">
        <v>0</v>
      </c>
      <c r="AL181">
        <v>0</v>
      </c>
      <c r="AN181" t="s">
        <v>132</v>
      </c>
      <c r="CE18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8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8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81" t="s">
        <v>133</v>
      </c>
      <c r="CI181" t="s">
        <v>134</v>
      </c>
      <c r="CJ181" t="s">
        <v>158</v>
      </c>
      <c r="CL181" s="19">
        <f>IF(Table1[[#This Row],[Type]]="Petroleum",1,IF(ISERROR(Table1[[#This Row],[Well Density]]*Table1[[#This Row],[Single Well Discovery Area]]),"",IF(Table1[[#This Row],[Well Density]]*Table1[[#This Row],[Single Well Discovery Area]]&gt;1,1,Table1[[#This Row],[Well Density]]*Table1[[#This Row],[Single Well Discovery Area]])))</f>
        <v>0</v>
      </c>
      <c r="CM181" t="s">
        <v>158</v>
      </c>
      <c r="CN181" s="19">
        <f>Table1[[#This Row],[Mid]]</f>
        <v>0</v>
      </c>
      <c r="CO181" s="19">
        <f>Table1[[#This Row],[Mid3]]+Table1[[#This Row],[Mid6]]+Table1[[#This Row],[Mid9]]</f>
        <v>0</v>
      </c>
      <c r="CP181" s="19">
        <f>Table1[[#This Row],[Mid12]]+Table1[[#This Row],[Mid15]]+Table1[[#This Row],[Mid18]]+Table1[[#This Row],[Mid21]]+Table1[[#This Row],[Mid24]]</f>
        <v>0</v>
      </c>
      <c r="CQ181" s="19">
        <f>Table1[[#This Row],[Mid27]]+Table1[[#This Row],[Mid30]]+Table1[[#This Row],[Mid33]]+Table1[[#This Row],[Mid36]]+Table1[[#This Row],[Mid39]]</f>
        <v>0</v>
      </c>
      <c r="CR181" t="s">
        <v>471</v>
      </c>
      <c r="CS181" s="19" t="str">
        <f>IF(AND(Table1[[#This Row],[Low41]]=0, Table1[[#This Row],[High43]]=0),"N","Y")</f>
        <v>N</v>
      </c>
    </row>
    <row r="182" spans="1:97" ht="19.5" customHeight="1" x14ac:dyDescent="0.25">
      <c r="A182">
        <v>10179</v>
      </c>
      <c r="B182" t="s">
        <v>516</v>
      </c>
      <c r="C182" t="s">
        <v>778</v>
      </c>
      <c r="D182">
        <v>53.760833329999997</v>
      </c>
      <c r="E182">
        <v>-98.813611109999997</v>
      </c>
      <c r="F182" t="s">
        <v>791</v>
      </c>
      <c r="G182" t="s">
        <v>595</v>
      </c>
      <c r="I182" t="s">
        <v>118</v>
      </c>
      <c r="J182" t="s">
        <v>119</v>
      </c>
      <c r="K182" t="s">
        <v>190</v>
      </c>
      <c r="L182" t="s">
        <v>18</v>
      </c>
      <c r="N182" s="6" t="s">
        <v>792</v>
      </c>
      <c r="O182" t="s">
        <v>793</v>
      </c>
      <c r="P182" t="s">
        <v>170</v>
      </c>
      <c r="Q182" t="s">
        <v>688</v>
      </c>
      <c r="R182" t="s">
        <v>794</v>
      </c>
      <c r="S182">
        <v>2015</v>
      </c>
      <c r="T182" t="s">
        <v>153</v>
      </c>
      <c r="U182" t="s">
        <v>129</v>
      </c>
      <c r="V182">
        <v>649950</v>
      </c>
      <c r="AE182">
        <v>0</v>
      </c>
      <c r="AF182">
        <v>200</v>
      </c>
      <c r="AG182">
        <v>0</v>
      </c>
      <c r="AH182" t="s">
        <v>709</v>
      </c>
      <c r="AI182">
        <v>2</v>
      </c>
      <c r="AK182">
        <v>0</v>
      </c>
      <c r="AL182">
        <v>0</v>
      </c>
      <c r="AM182" t="s">
        <v>710</v>
      </c>
      <c r="AN182" t="s">
        <v>132</v>
      </c>
      <c r="CE18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8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8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82" t="s">
        <v>157</v>
      </c>
      <c r="CI182" t="s">
        <v>176</v>
      </c>
      <c r="CJ182" t="s">
        <v>158</v>
      </c>
      <c r="CL182" s="19">
        <f>IF(Table1[[#This Row],[Type]]="Petroleum",1,IF(ISERROR(Table1[[#This Row],[Well Density]]*Table1[[#This Row],[Single Well Discovery Area]]),"",IF(Table1[[#This Row],[Well Density]]*Table1[[#This Row],[Single Well Discovery Area]]&gt;1,1,Table1[[#This Row],[Well Density]]*Table1[[#This Row],[Single Well Discovery Area]])))</f>
        <v>0</v>
      </c>
      <c r="CM182" t="s">
        <v>158</v>
      </c>
      <c r="CN182" s="19">
        <f>Table1[[#This Row],[Mid]]</f>
        <v>0</v>
      </c>
      <c r="CO182" s="19">
        <f>Table1[[#This Row],[Mid3]]+Table1[[#This Row],[Mid6]]+Table1[[#This Row],[Mid9]]</f>
        <v>0</v>
      </c>
      <c r="CP182" s="19">
        <f>Table1[[#This Row],[Mid12]]+Table1[[#This Row],[Mid15]]+Table1[[#This Row],[Mid18]]+Table1[[#This Row],[Mid21]]+Table1[[#This Row],[Mid24]]</f>
        <v>0</v>
      </c>
      <c r="CQ182" s="19">
        <f>Table1[[#This Row],[Mid27]]+Table1[[#This Row],[Mid30]]+Table1[[#This Row],[Mid33]]+Table1[[#This Row],[Mid36]]+Table1[[#This Row],[Mid39]]</f>
        <v>0</v>
      </c>
      <c r="CR182" t="s">
        <v>471</v>
      </c>
      <c r="CS182" s="19" t="str">
        <f>IF(AND(Table1[[#This Row],[Low41]]=0, Table1[[#This Row],[High43]]=0),"N","Y")</f>
        <v>N</v>
      </c>
    </row>
    <row r="183" spans="1:97" ht="19.5" customHeight="1" x14ac:dyDescent="0.25">
      <c r="A183">
        <v>10180</v>
      </c>
      <c r="B183" t="s">
        <v>516</v>
      </c>
      <c r="C183" t="s">
        <v>778</v>
      </c>
      <c r="D183">
        <v>49.393055560000001</v>
      </c>
      <c r="E183">
        <v>-101.3125</v>
      </c>
      <c r="F183" t="s">
        <v>795</v>
      </c>
      <c r="G183" t="s">
        <v>595</v>
      </c>
      <c r="H183" t="s">
        <v>796</v>
      </c>
      <c r="I183" t="s">
        <v>582</v>
      </c>
      <c r="J183" t="s">
        <v>202</v>
      </c>
      <c r="K183" t="s">
        <v>203</v>
      </c>
      <c r="L183" t="s">
        <v>121</v>
      </c>
      <c r="M183" t="s">
        <v>616</v>
      </c>
      <c r="N183" s="6" t="s">
        <v>781</v>
      </c>
      <c r="O183" t="s">
        <v>782</v>
      </c>
      <c r="P183" t="s">
        <v>783</v>
      </c>
      <c r="Q183" t="s">
        <v>784</v>
      </c>
      <c r="R183" t="s">
        <v>797</v>
      </c>
      <c r="S183">
        <v>2007</v>
      </c>
      <c r="T183" t="s">
        <v>153</v>
      </c>
      <c r="U183" t="s">
        <v>129</v>
      </c>
      <c r="V183"/>
      <c r="AF183">
        <v>200</v>
      </c>
      <c r="AG183">
        <v>0</v>
      </c>
      <c r="AH183" t="s">
        <v>786</v>
      </c>
      <c r="AK183">
        <v>0</v>
      </c>
      <c r="AL183">
        <v>0</v>
      </c>
      <c r="AM183" t="s">
        <v>787</v>
      </c>
      <c r="AN183" t="s">
        <v>132</v>
      </c>
      <c r="BN183">
        <v>16</v>
      </c>
      <c r="CE18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83" s="19">
        <f>SUM(Table1[[#This Row],[Mid39]],Table1[[#This Row],[Mid36]],Table1[[#This Row],[Mid33]],Table1[[#This Row],[Mid30]],Table1[[#This Row],[Mid27]],Table1[[#This Row],[Mid24]],Table1[[#This Row],[Mid21]],Table1[[#This Row],[Mid18]],Table1[[#This Row],[Mid15]],Table1[[#This Row],[Mid12]],Table1[[#This Row],[Mid9]],Table1[[#This Row],[Mid6]],Table1[[#This Row],[Mid3]],Table1[[#This Row],[Mid]])</f>
        <v>16</v>
      </c>
      <c r="CG18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83" t="s">
        <v>157</v>
      </c>
      <c r="CI183" t="s">
        <v>176</v>
      </c>
      <c r="CJ183" t="s">
        <v>158</v>
      </c>
      <c r="CL183" s="19">
        <f>IF(Table1[[#This Row],[Type]]="Petroleum",1,IF(ISERROR(Table1[[#This Row],[Well Density]]*Table1[[#This Row],[Single Well Discovery Area]]),"",IF(Table1[[#This Row],[Well Density]]*Table1[[#This Row],[Single Well Discovery Area]]&gt;1,1,Table1[[#This Row],[Well Density]]*Table1[[#This Row],[Single Well Discovery Area]])))</f>
        <v>1</v>
      </c>
      <c r="CM183" t="s">
        <v>158</v>
      </c>
      <c r="CN183" s="19">
        <f>Table1[[#This Row],[Mid]]</f>
        <v>0</v>
      </c>
      <c r="CO183" s="19">
        <f>Table1[[#This Row],[Mid3]]+Table1[[#This Row],[Mid6]]+Table1[[#This Row],[Mid9]]</f>
        <v>0</v>
      </c>
      <c r="CP183" s="19">
        <f>Table1[[#This Row],[Mid12]]+Table1[[#This Row],[Mid15]]+Table1[[#This Row],[Mid18]]+Table1[[#This Row],[Mid21]]+Table1[[#This Row],[Mid24]]</f>
        <v>16</v>
      </c>
      <c r="CQ183" s="19">
        <f>Table1[[#This Row],[Mid27]]+Table1[[#This Row],[Mid30]]+Table1[[#This Row],[Mid33]]+Table1[[#This Row],[Mid36]]+Table1[[#This Row],[Mid39]]</f>
        <v>0</v>
      </c>
      <c r="CR183" t="s">
        <v>471</v>
      </c>
      <c r="CS183" s="19" t="str">
        <f>IF(AND(Table1[[#This Row],[Low41]]=0, Table1[[#This Row],[High43]]=0),"N","Y")</f>
        <v>N</v>
      </c>
    </row>
    <row r="184" spans="1:97" ht="19.5" customHeight="1" x14ac:dyDescent="0.25">
      <c r="A184">
        <v>10181</v>
      </c>
      <c r="B184" t="s">
        <v>516</v>
      </c>
      <c r="C184" t="s">
        <v>778</v>
      </c>
      <c r="D184">
        <v>49.61222222</v>
      </c>
      <c r="E184">
        <v>-100.1447222</v>
      </c>
      <c r="F184" t="s">
        <v>798</v>
      </c>
      <c r="G184" t="s">
        <v>595</v>
      </c>
      <c r="H184" t="s">
        <v>799</v>
      </c>
      <c r="I184" t="s">
        <v>582</v>
      </c>
      <c r="J184" t="s">
        <v>202</v>
      </c>
      <c r="K184" t="s">
        <v>203</v>
      </c>
      <c r="L184" t="s">
        <v>121</v>
      </c>
      <c r="M184" t="s">
        <v>616</v>
      </c>
      <c r="N184" s="6" t="s">
        <v>781</v>
      </c>
      <c r="O184" t="s">
        <v>782</v>
      </c>
      <c r="P184" t="s">
        <v>783</v>
      </c>
      <c r="Q184" t="s">
        <v>784</v>
      </c>
      <c r="R184" t="s">
        <v>800</v>
      </c>
      <c r="S184">
        <v>2007</v>
      </c>
      <c r="T184" t="s">
        <v>153</v>
      </c>
      <c r="U184" t="s">
        <v>129</v>
      </c>
      <c r="V184"/>
      <c r="AF184">
        <v>200</v>
      </c>
      <c r="AG184">
        <v>0</v>
      </c>
      <c r="AH184" t="s">
        <v>786</v>
      </c>
      <c r="AK184">
        <v>0</v>
      </c>
      <c r="AL184">
        <v>0</v>
      </c>
      <c r="AM184" t="s">
        <v>787</v>
      </c>
      <c r="AN184" t="s">
        <v>132</v>
      </c>
      <c r="BN184">
        <v>150</v>
      </c>
      <c r="CE18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84" s="19">
        <f>SUM(Table1[[#This Row],[Mid39]],Table1[[#This Row],[Mid36]],Table1[[#This Row],[Mid33]],Table1[[#This Row],[Mid30]],Table1[[#This Row],[Mid27]],Table1[[#This Row],[Mid24]],Table1[[#This Row],[Mid21]],Table1[[#This Row],[Mid18]],Table1[[#This Row],[Mid15]],Table1[[#This Row],[Mid12]],Table1[[#This Row],[Mid9]],Table1[[#This Row],[Mid6]],Table1[[#This Row],[Mid3]],Table1[[#This Row],[Mid]])</f>
        <v>150</v>
      </c>
      <c r="CG18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84" t="s">
        <v>157</v>
      </c>
      <c r="CI184" t="s">
        <v>176</v>
      </c>
      <c r="CJ184" t="s">
        <v>158</v>
      </c>
      <c r="CL184" s="19">
        <f>IF(Table1[[#This Row],[Type]]="Petroleum",1,IF(ISERROR(Table1[[#This Row],[Well Density]]*Table1[[#This Row],[Single Well Discovery Area]]),"",IF(Table1[[#This Row],[Well Density]]*Table1[[#This Row],[Single Well Discovery Area]]&gt;1,1,Table1[[#This Row],[Well Density]]*Table1[[#This Row],[Single Well Discovery Area]])))</f>
        <v>1</v>
      </c>
      <c r="CM184" t="s">
        <v>158</v>
      </c>
      <c r="CN184" s="19">
        <f>Table1[[#This Row],[Mid]]</f>
        <v>0</v>
      </c>
      <c r="CO184" s="19">
        <f>Table1[[#This Row],[Mid3]]+Table1[[#This Row],[Mid6]]+Table1[[#This Row],[Mid9]]</f>
        <v>0</v>
      </c>
      <c r="CP184" s="19">
        <f>Table1[[#This Row],[Mid12]]+Table1[[#This Row],[Mid15]]+Table1[[#This Row],[Mid18]]+Table1[[#This Row],[Mid21]]+Table1[[#This Row],[Mid24]]</f>
        <v>150</v>
      </c>
      <c r="CQ184" s="19">
        <f>Table1[[#This Row],[Mid27]]+Table1[[#This Row],[Mid30]]+Table1[[#This Row],[Mid33]]+Table1[[#This Row],[Mid36]]+Table1[[#This Row],[Mid39]]</f>
        <v>0</v>
      </c>
      <c r="CR184" t="s">
        <v>471</v>
      </c>
      <c r="CS184" s="19" t="str">
        <f>IF(AND(Table1[[#This Row],[Low41]]=0, Table1[[#This Row],[High43]]=0),"N","Y")</f>
        <v>N</v>
      </c>
    </row>
    <row r="185" spans="1:97" ht="19.5" customHeight="1" x14ac:dyDescent="0.25">
      <c r="A185">
        <v>10182</v>
      </c>
      <c r="B185" t="s">
        <v>516</v>
      </c>
      <c r="C185" t="s">
        <v>778</v>
      </c>
      <c r="D185">
        <v>49.61222222</v>
      </c>
      <c r="E185">
        <v>-100.1447222</v>
      </c>
      <c r="F185" t="s">
        <v>798</v>
      </c>
      <c r="G185" t="s">
        <v>595</v>
      </c>
      <c r="H185" t="s">
        <v>801</v>
      </c>
      <c r="I185" t="s">
        <v>582</v>
      </c>
      <c r="J185" t="s">
        <v>202</v>
      </c>
      <c r="K185" t="s">
        <v>203</v>
      </c>
      <c r="L185" t="s">
        <v>121</v>
      </c>
      <c r="M185" t="s">
        <v>734</v>
      </c>
      <c r="N185" s="6" t="s">
        <v>781</v>
      </c>
      <c r="O185" t="s">
        <v>782</v>
      </c>
      <c r="P185" t="s">
        <v>783</v>
      </c>
      <c r="Q185" t="s">
        <v>784</v>
      </c>
      <c r="R185" t="s">
        <v>802</v>
      </c>
      <c r="S185">
        <v>2007</v>
      </c>
      <c r="T185" t="s">
        <v>153</v>
      </c>
      <c r="U185" t="s">
        <v>129</v>
      </c>
      <c r="V185"/>
      <c r="AF185">
        <v>200</v>
      </c>
      <c r="AG185">
        <v>0</v>
      </c>
      <c r="AH185" t="s">
        <v>786</v>
      </c>
      <c r="AK185">
        <v>0</v>
      </c>
      <c r="AL185">
        <v>0</v>
      </c>
      <c r="AM185" t="s">
        <v>787</v>
      </c>
      <c r="AN185" t="s">
        <v>132</v>
      </c>
      <c r="BN185">
        <v>86</v>
      </c>
      <c r="CE18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85" s="19">
        <f>SUM(Table1[[#This Row],[Mid39]],Table1[[#This Row],[Mid36]],Table1[[#This Row],[Mid33]],Table1[[#This Row],[Mid30]],Table1[[#This Row],[Mid27]],Table1[[#This Row],[Mid24]],Table1[[#This Row],[Mid21]],Table1[[#This Row],[Mid18]],Table1[[#This Row],[Mid15]],Table1[[#This Row],[Mid12]],Table1[[#This Row],[Mid9]],Table1[[#This Row],[Mid6]],Table1[[#This Row],[Mid3]],Table1[[#This Row],[Mid]])</f>
        <v>86</v>
      </c>
      <c r="CG18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85" t="s">
        <v>157</v>
      </c>
      <c r="CI185" t="s">
        <v>134</v>
      </c>
      <c r="CJ185" t="s">
        <v>158</v>
      </c>
      <c r="CL185" s="19">
        <f>IF(Table1[[#This Row],[Type]]="Petroleum",1,IF(ISERROR(Table1[[#This Row],[Well Density]]*Table1[[#This Row],[Single Well Discovery Area]]),"",IF(Table1[[#This Row],[Well Density]]*Table1[[#This Row],[Single Well Discovery Area]]&gt;1,1,Table1[[#This Row],[Well Density]]*Table1[[#This Row],[Single Well Discovery Area]])))</f>
        <v>1</v>
      </c>
      <c r="CM185" t="s">
        <v>158</v>
      </c>
      <c r="CN185" s="19">
        <f>Table1[[#This Row],[Mid]]</f>
        <v>0</v>
      </c>
      <c r="CO185" s="19">
        <f>Table1[[#This Row],[Mid3]]+Table1[[#This Row],[Mid6]]+Table1[[#This Row],[Mid9]]</f>
        <v>0</v>
      </c>
      <c r="CP185" s="19">
        <f>Table1[[#This Row],[Mid12]]+Table1[[#This Row],[Mid15]]+Table1[[#This Row],[Mid18]]+Table1[[#This Row],[Mid21]]+Table1[[#This Row],[Mid24]]</f>
        <v>86</v>
      </c>
      <c r="CQ185" s="19">
        <f>Table1[[#This Row],[Mid27]]+Table1[[#This Row],[Mid30]]+Table1[[#This Row],[Mid33]]+Table1[[#This Row],[Mid36]]+Table1[[#This Row],[Mid39]]</f>
        <v>0</v>
      </c>
      <c r="CR185" t="s">
        <v>471</v>
      </c>
      <c r="CS185" s="19" t="str">
        <f>IF(AND(Table1[[#This Row],[Low41]]=0, Table1[[#This Row],[High43]]=0),"N","Y")</f>
        <v>N</v>
      </c>
    </row>
    <row r="186" spans="1:97" ht="19.5" customHeight="1" x14ac:dyDescent="0.25">
      <c r="A186">
        <v>10183</v>
      </c>
      <c r="B186" t="s">
        <v>516</v>
      </c>
      <c r="C186" t="s">
        <v>778</v>
      </c>
      <c r="D186">
        <v>53.93222222</v>
      </c>
      <c r="E186">
        <v>-113.07527779999999</v>
      </c>
      <c r="F186" t="s">
        <v>803</v>
      </c>
      <c r="G186" t="s">
        <v>595</v>
      </c>
      <c r="H186" t="s">
        <v>801</v>
      </c>
      <c r="I186" t="s">
        <v>582</v>
      </c>
      <c r="J186" t="s">
        <v>202</v>
      </c>
      <c r="K186" t="s">
        <v>203</v>
      </c>
      <c r="L186" t="s">
        <v>121</v>
      </c>
      <c r="M186" t="s">
        <v>412</v>
      </c>
      <c r="N186" s="6" t="s">
        <v>781</v>
      </c>
      <c r="O186" t="s">
        <v>782</v>
      </c>
      <c r="P186" t="s">
        <v>783</v>
      </c>
      <c r="Q186" t="s">
        <v>784</v>
      </c>
      <c r="R186" t="s">
        <v>804</v>
      </c>
      <c r="S186">
        <v>2007</v>
      </c>
      <c r="T186" t="s">
        <v>153</v>
      </c>
      <c r="U186" t="s">
        <v>129</v>
      </c>
      <c r="V186"/>
      <c r="AF186">
        <v>200</v>
      </c>
      <c r="AG186">
        <v>0</v>
      </c>
      <c r="AH186" t="s">
        <v>786</v>
      </c>
      <c r="AK186">
        <v>0</v>
      </c>
      <c r="AL186">
        <v>0</v>
      </c>
      <c r="AM186" t="s">
        <v>787</v>
      </c>
      <c r="AN186" t="s">
        <v>132</v>
      </c>
      <c r="BN186">
        <v>448</v>
      </c>
      <c r="CE18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86" s="19">
        <f>SUM(Table1[[#This Row],[Mid39]],Table1[[#This Row],[Mid36]],Table1[[#This Row],[Mid33]],Table1[[#This Row],[Mid30]],Table1[[#This Row],[Mid27]],Table1[[#This Row],[Mid24]],Table1[[#This Row],[Mid21]],Table1[[#This Row],[Mid18]],Table1[[#This Row],[Mid15]],Table1[[#This Row],[Mid12]],Table1[[#This Row],[Mid9]],Table1[[#This Row],[Mid6]],Table1[[#This Row],[Mid3]],Table1[[#This Row],[Mid]])</f>
        <v>448</v>
      </c>
      <c r="CG18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86" t="s">
        <v>157</v>
      </c>
      <c r="CI186" t="s">
        <v>134</v>
      </c>
      <c r="CJ186" t="s">
        <v>158</v>
      </c>
      <c r="CL186" s="19">
        <f>IF(Table1[[#This Row],[Type]]="Petroleum",1,IF(ISERROR(Table1[[#This Row],[Well Density]]*Table1[[#This Row],[Single Well Discovery Area]]),"",IF(Table1[[#This Row],[Well Density]]*Table1[[#This Row],[Single Well Discovery Area]]&gt;1,1,Table1[[#This Row],[Well Density]]*Table1[[#This Row],[Single Well Discovery Area]])))</f>
        <v>1</v>
      </c>
      <c r="CM186" t="s">
        <v>158</v>
      </c>
      <c r="CN186" s="19">
        <f>Table1[[#This Row],[Mid]]</f>
        <v>0</v>
      </c>
      <c r="CO186" s="19">
        <f>Table1[[#This Row],[Mid3]]+Table1[[#This Row],[Mid6]]+Table1[[#This Row],[Mid9]]</f>
        <v>0</v>
      </c>
      <c r="CP186" s="19">
        <f>Table1[[#This Row],[Mid12]]+Table1[[#This Row],[Mid15]]+Table1[[#This Row],[Mid18]]+Table1[[#This Row],[Mid21]]+Table1[[#This Row],[Mid24]]</f>
        <v>448</v>
      </c>
      <c r="CQ186" s="19">
        <f>Table1[[#This Row],[Mid27]]+Table1[[#This Row],[Mid30]]+Table1[[#This Row],[Mid33]]+Table1[[#This Row],[Mid36]]+Table1[[#This Row],[Mid39]]</f>
        <v>0</v>
      </c>
      <c r="CR186" t="s">
        <v>471</v>
      </c>
      <c r="CS186" s="19" t="str">
        <f>IF(AND(Table1[[#This Row],[Low41]]=0, Table1[[#This Row],[High43]]=0),"N","Y")</f>
        <v>N</v>
      </c>
    </row>
    <row r="187" spans="1:97" ht="19.5" customHeight="1" x14ac:dyDescent="0.25">
      <c r="A187">
        <v>10184</v>
      </c>
      <c r="B187" t="s">
        <v>516</v>
      </c>
      <c r="C187" t="s">
        <v>805</v>
      </c>
      <c r="D187">
        <v>63</v>
      </c>
      <c r="E187">
        <v>-118</v>
      </c>
      <c r="F187" t="s">
        <v>806</v>
      </c>
      <c r="G187" t="s">
        <v>519</v>
      </c>
      <c r="I187" t="s">
        <v>118</v>
      </c>
      <c r="J187" t="s">
        <v>119</v>
      </c>
      <c r="K187" t="s">
        <v>190</v>
      </c>
      <c r="L187" t="s">
        <v>18</v>
      </c>
      <c r="N187" s="6" t="s">
        <v>712</v>
      </c>
      <c r="O187" t="s">
        <v>807</v>
      </c>
      <c r="P187" t="s">
        <v>170</v>
      </c>
      <c r="Q187" t="s">
        <v>436</v>
      </c>
      <c r="R187" t="s">
        <v>808</v>
      </c>
      <c r="S187">
        <v>2012</v>
      </c>
      <c r="T187" t="s">
        <v>153</v>
      </c>
      <c r="U187" t="s">
        <v>129</v>
      </c>
      <c r="V187">
        <v>1171918</v>
      </c>
      <c r="AE187">
        <v>0</v>
      </c>
      <c r="AF187">
        <v>200</v>
      </c>
      <c r="AG187">
        <v>0</v>
      </c>
      <c r="AH187" t="s">
        <v>809</v>
      </c>
      <c r="AI187">
        <v>0</v>
      </c>
      <c r="AK187">
        <v>0</v>
      </c>
      <c r="AL187">
        <v>0</v>
      </c>
      <c r="AN187" t="s">
        <v>132</v>
      </c>
      <c r="BZ187">
        <v>4000</v>
      </c>
      <c r="CE18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87" s="19">
        <f>SUM(Table1[[#This Row],[Mid39]],Table1[[#This Row],[Mid36]],Table1[[#This Row],[Mid33]],Table1[[#This Row],[Mid30]],Table1[[#This Row],[Mid27]],Table1[[#This Row],[Mid24]],Table1[[#This Row],[Mid21]],Table1[[#This Row],[Mid18]],Table1[[#This Row],[Mid15]],Table1[[#This Row],[Mid12]],Table1[[#This Row],[Mid9]],Table1[[#This Row],[Mid6]],Table1[[#This Row],[Mid3]],Table1[[#This Row],[Mid]])</f>
        <v>4000</v>
      </c>
      <c r="CG18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87" t="s">
        <v>157</v>
      </c>
      <c r="CI187" t="s">
        <v>134</v>
      </c>
      <c r="CJ187" t="s">
        <v>158</v>
      </c>
      <c r="CL187" s="19">
        <f>IF(Table1[[#This Row],[Type]]="Petroleum",1,IF(ISERROR(Table1[[#This Row],[Well Density]]*Table1[[#This Row],[Single Well Discovery Area]]),"",IF(Table1[[#This Row],[Well Density]]*Table1[[#This Row],[Single Well Discovery Area]]&gt;1,1,Table1[[#This Row],[Well Density]]*Table1[[#This Row],[Single Well Discovery Area]])))</f>
        <v>0</v>
      </c>
      <c r="CM187" t="s">
        <v>158</v>
      </c>
      <c r="CN187" s="19">
        <f>Table1[[#This Row],[Mid]]</f>
        <v>0</v>
      </c>
      <c r="CO187" s="19">
        <f>Table1[[#This Row],[Mid3]]+Table1[[#This Row],[Mid6]]+Table1[[#This Row],[Mid9]]</f>
        <v>0</v>
      </c>
      <c r="CP187" s="19">
        <f>Table1[[#This Row],[Mid12]]+Table1[[#This Row],[Mid15]]+Table1[[#This Row],[Mid18]]+Table1[[#This Row],[Mid21]]+Table1[[#This Row],[Mid24]]</f>
        <v>0</v>
      </c>
      <c r="CQ187" s="19">
        <f>Table1[[#This Row],[Mid27]]+Table1[[#This Row],[Mid30]]+Table1[[#This Row],[Mid33]]+Table1[[#This Row],[Mid36]]+Table1[[#This Row],[Mid39]]</f>
        <v>4000</v>
      </c>
      <c r="CR187" t="s">
        <v>471</v>
      </c>
      <c r="CS187" s="19" t="str">
        <f>IF(AND(Table1[[#This Row],[Low41]]=0, Table1[[#This Row],[High43]]=0),"N","Y")</f>
        <v>N</v>
      </c>
    </row>
    <row r="188" spans="1:97" ht="19.5" customHeight="1" x14ac:dyDescent="0.25">
      <c r="A188">
        <v>10185</v>
      </c>
      <c r="B188" t="s">
        <v>516</v>
      </c>
      <c r="C188" t="s">
        <v>810</v>
      </c>
      <c r="D188">
        <v>43.657222220000001</v>
      </c>
      <c r="E188">
        <v>-79.383055560000003</v>
      </c>
      <c r="F188" t="s">
        <v>811</v>
      </c>
      <c r="G188" t="s">
        <v>812</v>
      </c>
      <c r="I188" t="s">
        <v>118</v>
      </c>
      <c r="J188" t="s">
        <v>119</v>
      </c>
      <c r="K188" t="s">
        <v>190</v>
      </c>
      <c r="L188" t="s">
        <v>18</v>
      </c>
      <c r="N188" s="6" t="s">
        <v>712</v>
      </c>
      <c r="O188" t="s">
        <v>813</v>
      </c>
      <c r="P188" t="s">
        <v>170</v>
      </c>
      <c r="Q188" t="s">
        <v>688</v>
      </c>
      <c r="R188" t="s">
        <v>814</v>
      </c>
      <c r="S188">
        <v>2012</v>
      </c>
      <c r="T188" t="s">
        <v>153</v>
      </c>
      <c r="U188" t="s">
        <v>129</v>
      </c>
      <c r="V188">
        <v>1076395</v>
      </c>
      <c r="AE188">
        <v>0</v>
      </c>
      <c r="AF188">
        <v>200</v>
      </c>
      <c r="AG188">
        <v>0</v>
      </c>
      <c r="AH188" t="s">
        <v>709</v>
      </c>
      <c r="AI188">
        <v>2</v>
      </c>
      <c r="AK188">
        <v>0</v>
      </c>
      <c r="AL188">
        <v>0</v>
      </c>
      <c r="AM188" t="s">
        <v>710</v>
      </c>
      <c r="AN188" t="s">
        <v>132</v>
      </c>
      <c r="BZ188">
        <v>269</v>
      </c>
      <c r="CE18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88" s="19">
        <f>SUM(Table1[[#This Row],[Mid39]],Table1[[#This Row],[Mid36]],Table1[[#This Row],[Mid33]],Table1[[#This Row],[Mid30]],Table1[[#This Row],[Mid27]],Table1[[#This Row],[Mid24]],Table1[[#This Row],[Mid21]],Table1[[#This Row],[Mid18]],Table1[[#This Row],[Mid15]],Table1[[#This Row],[Mid12]],Table1[[#This Row],[Mid9]],Table1[[#This Row],[Mid6]],Table1[[#This Row],[Mid3]],Table1[[#This Row],[Mid]])</f>
        <v>269</v>
      </c>
      <c r="CG18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88" t="s">
        <v>157</v>
      </c>
      <c r="CI188" t="s">
        <v>176</v>
      </c>
      <c r="CJ188" t="s">
        <v>158</v>
      </c>
      <c r="CL188" s="19">
        <f>IF(Table1[[#This Row],[Type]]="Petroleum",1,IF(ISERROR(Table1[[#This Row],[Well Density]]*Table1[[#This Row],[Single Well Discovery Area]]),"",IF(Table1[[#This Row],[Well Density]]*Table1[[#This Row],[Single Well Discovery Area]]&gt;1,1,Table1[[#This Row],[Well Density]]*Table1[[#This Row],[Single Well Discovery Area]])))</f>
        <v>0</v>
      </c>
      <c r="CM188" t="s">
        <v>158</v>
      </c>
      <c r="CN188" s="19">
        <f>Table1[[#This Row],[Mid]]</f>
        <v>0</v>
      </c>
      <c r="CO188" s="19">
        <f>Table1[[#This Row],[Mid3]]+Table1[[#This Row],[Mid6]]+Table1[[#This Row],[Mid9]]</f>
        <v>0</v>
      </c>
      <c r="CP188" s="19">
        <f>Table1[[#This Row],[Mid12]]+Table1[[#This Row],[Mid15]]+Table1[[#This Row],[Mid18]]+Table1[[#This Row],[Mid21]]+Table1[[#This Row],[Mid24]]</f>
        <v>0</v>
      </c>
      <c r="CQ188" s="19">
        <f>Table1[[#This Row],[Mid27]]+Table1[[#This Row],[Mid30]]+Table1[[#This Row],[Mid33]]+Table1[[#This Row],[Mid36]]+Table1[[#This Row],[Mid39]]</f>
        <v>269</v>
      </c>
      <c r="CR188" t="s">
        <v>471</v>
      </c>
      <c r="CS188" s="19" t="str">
        <f>IF(AND(Table1[[#This Row],[Low41]]=0, Table1[[#This Row],[High43]]=0),"N","Y")</f>
        <v>N</v>
      </c>
    </row>
    <row r="189" spans="1:97" ht="19.5" customHeight="1" x14ac:dyDescent="0.25">
      <c r="A189">
        <v>10186</v>
      </c>
      <c r="B189" t="s">
        <v>516</v>
      </c>
      <c r="C189" t="s">
        <v>810</v>
      </c>
      <c r="D189">
        <v>42.988333330000003</v>
      </c>
      <c r="E189">
        <v>-81.246944439999993</v>
      </c>
      <c r="F189" t="s">
        <v>815</v>
      </c>
      <c r="G189" t="s">
        <v>812</v>
      </c>
      <c r="H189" t="s">
        <v>816</v>
      </c>
      <c r="I189" t="s">
        <v>118</v>
      </c>
      <c r="J189" t="s">
        <v>119</v>
      </c>
      <c r="K189" t="s">
        <v>203</v>
      </c>
      <c r="L189" t="s">
        <v>18</v>
      </c>
      <c r="M189" t="s">
        <v>597</v>
      </c>
      <c r="N189" s="6" t="s">
        <v>817</v>
      </c>
      <c r="O189" t="s">
        <v>818</v>
      </c>
      <c r="P189" t="s">
        <v>819</v>
      </c>
      <c r="Q189" t="s">
        <v>820</v>
      </c>
      <c r="R189" t="s">
        <v>821</v>
      </c>
      <c r="S189">
        <v>2004</v>
      </c>
      <c r="T189" t="s">
        <v>153</v>
      </c>
      <c r="U189" t="s">
        <v>129</v>
      </c>
      <c r="V189">
        <v>15775</v>
      </c>
      <c r="X189">
        <v>31</v>
      </c>
      <c r="Z189">
        <v>10</v>
      </c>
      <c r="AA189">
        <v>25</v>
      </c>
      <c r="AB189">
        <v>200000</v>
      </c>
      <c r="AE189">
        <v>0</v>
      </c>
      <c r="AF189">
        <v>200</v>
      </c>
      <c r="AG189">
        <v>0</v>
      </c>
      <c r="AH189" t="s">
        <v>822</v>
      </c>
      <c r="AI189">
        <v>10</v>
      </c>
      <c r="AK189">
        <v>0</v>
      </c>
      <c r="AL189">
        <v>0</v>
      </c>
      <c r="AM189" t="s">
        <v>823</v>
      </c>
      <c r="AN189" t="s">
        <v>132</v>
      </c>
      <c r="BW189">
        <v>731</v>
      </c>
      <c r="CE18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89" s="19">
        <f>SUM(Table1[[#This Row],[Mid39]],Table1[[#This Row],[Mid36]],Table1[[#This Row],[Mid33]],Table1[[#This Row],[Mid30]],Table1[[#This Row],[Mid27]],Table1[[#This Row],[Mid24]],Table1[[#This Row],[Mid21]],Table1[[#This Row],[Mid18]],Table1[[#This Row],[Mid15]],Table1[[#This Row],[Mid12]],Table1[[#This Row],[Mid9]],Table1[[#This Row],[Mid6]],Table1[[#This Row],[Mid3]],Table1[[#This Row],[Mid]])</f>
        <v>731</v>
      </c>
      <c r="CG18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89" t="s">
        <v>157</v>
      </c>
      <c r="CI189" t="s">
        <v>134</v>
      </c>
      <c r="CJ189" t="s">
        <v>158</v>
      </c>
      <c r="CL189" s="19">
        <f>IF(Table1[[#This Row],[Type]]="Petroleum",1,IF(ISERROR(Table1[[#This Row],[Well Density]]*Table1[[#This Row],[Single Well Discovery Area]]),"",IF(Table1[[#This Row],[Well Density]]*Table1[[#This Row],[Single Well Discovery Area]]&gt;1,1,Table1[[#This Row],[Well Density]]*Table1[[#This Row],[Single Well Discovery Area]])))</f>
        <v>0</v>
      </c>
      <c r="CM189" t="s">
        <v>158</v>
      </c>
      <c r="CN189" s="19">
        <f>Table1[[#This Row],[Mid]]</f>
        <v>0</v>
      </c>
      <c r="CO189" s="19">
        <f>Table1[[#This Row],[Mid3]]+Table1[[#This Row],[Mid6]]+Table1[[#This Row],[Mid9]]</f>
        <v>0</v>
      </c>
      <c r="CP189" s="19">
        <f>Table1[[#This Row],[Mid12]]+Table1[[#This Row],[Mid15]]+Table1[[#This Row],[Mid18]]+Table1[[#This Row],[Mid21]]+Table1[[#This Row],[Mid24]]</f>
        <v>0</v>
      </c>
      <c r="CQ189" s="19">
        <f>Table1[[#This Row],[Mid27]]+Table1[[#This Row],[Mid30]]+Table1[[#This Row],[Mid33]]+Table1[[#This Row],[Mid36]]+Table1[[#This Row],[Mid39]]</f>
        <v>731</v>
      </c>
      <c r="CR189" t="s">
        <v>471</v>
      </c>
      <c r="CS189" s="19" t="str">
        <f>IF(AND(Table1[[#This Row],[Low41]]=0, Table1[[#This Row],[High43]]=0),"N","Y")</f>
        <v>N</v>
      </c>
    </row>
    <row r="190" spans="1:97" ht="19.5" customHeight="1" x14ac:dyDescent="0.25">
      <c r="A190">
        <v>10187</v>
      </c>
      <c r="B190" t="s">
        <v>516</v>
      </c>
      <c r="C190" t="s">
        <v>824</v>
      </c>
      <c r="D190">
        <v>46.351388890000003</v>
      </c>
      <c r="E190">
        <v>-72.435000000000002</v>
      </c>
      <c r="F190" t="s">
        <v>825</v>
      </c>
      <c r="G190" t="s">
        <v>824</v>
      </c>
      <c r="H190" t="s">
        <v>826</v>
      </c>
      <c r="I190" t="s">
        <v>118</v>
      </c>
      <c r="J190" t="s">
        <v>119</v>
      </c>
      <c r="K190" t="s">
        <v>120</v>
      </c>
      <c r="L190" t="s">
        <v>147</v>
      </c>
      <c r="M190" t="s">
        <v>597</v>
      </c>
      <c r="N190" s="6" t="s">
        <v>827</v>
      </c>
      <c r="O190" t="s">
        <v>828</v>
      </c>
      <c r="P190" t="s">
        <v>829</v>
      </c>
      <c r="Q190" t="s">
        <v>830</v>
      </c>
      <c r="R190" t="s">
        <v>831</v>
      </c>
      <c r="S190">
        <v>2014</v>
      </c>
      <c r="T190" t="s">
        <v>153</v>
      </c>
      <c r="U190" t="s">
        <v>129</v>
      </c>
      <c r="V190">
        <v>145.5</v>
      </c>
      <c r="W190">
        <v>1600</v>
      </c>
      <c r="X190">
        <v>500</v>
      </c>
      <c r="Y190">
        <v>80</v>
      </c>
      <c r="Z190">
        <v>6</v>
      </c>
      <c r="AA190">
        <v>0.3</v>
      </c>
      <c r="AB190">
        <v>108500</v>
      </c>
      <c r="AD190">
        <v>37</v>
      </c>
      <c r="AE190">
        <v>0.25429553300000002</v>
      </c>
      <c r="AF190">
        <v>200</v>
      </c>
      <c r="AG190">
        <v>0.96526639999999997</v>
      </c>
      <c r="AH190" t="s">
        <v>809</v>
      </c>
      <c r="AI190">
        <v>2</v>
      </c>
      <c r="AK190">
        <v>0</v>
      </c>
      <c r="AL190">
        <v>0</v>
      </c>
      <c r="AM190" t="s">
        <v>832</v>
      </c>
      <c r="AN190" t="s">
        <v>132</v>
      </c>
      <c r="BG190">
        <v>700</v>
      </c>
      <c r="BH190">
        <v>2760</v>
      </c>
      <c r="BI190">
        <v>7430</v>
      </c>
      <c r="CE190" s="19">
        <f>SUM(Table1[[#This Row],[Low38]],Table1[[#This Row],[Low35]],Table1[[#This Row],[Low32]],Table1[[#This Row],[Low29]],Table1[[#This Row],[Low26]],Table1[[#This Row],[Low23]],Table1[[#This Row],[Low20]],Table1[[#This Row],[Low17]],Table1[[#This Row],[Low14]],Table1[[#This Row],[Low11]],Table1[[#This Row],[Low8]],Table1[[#This Row],[Low5]],Table1[[#This Row],[Low2]],Table1[[#This Row],[Low]])</f>
        <v>700</v>
      </c>
      <c r="CF190" s="19">
        <f>SUM(Table1[[#This Row],[Mid39]],Table1[[#This Row],[Mid36]],Table1[[#This Row],[Mid33]],Table1[[#This Row],[Mid30]],Table1[[#This Row],[Mid27]],Table1[[#This Row],[Mid24]],Table1[[#This Row],[Mid21]],Table1[[#This Row],[Mid18]],Table1[[#This Row],[Mid15]],Table1[[#This Row],[Mid12]],Table1[[#This Row],[Mid9]],Table1[[#This Row],[Mid6]],Table1[[#This Row],[Mid3]],Table1[[#This Row],[Mid]])</f>
        <v>2760</v>
      </c>
      <c r="CG19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7430</v>
      </c>
      <c r="CH190" t="s">
        <v>133</v>
      </c>
      <c r="CI190" t="s">
        <v>134</v>
      </c>
      <c r="CJ190" t="s">
        <v>158</v>
      </c>
      <c r="CL190" s="19">
        <f>IF(Table1[[#This Row],[Type]]="Petroleum",1,IF(ISERROR(Table1[[#This Row],[Well Density]]*Table1[[#This Row],[Single Well Discovery Area]]),"",IF(Table1[[#This Row],[Well Density]]*Table1[[#This Row],[Single Well Discovery Area]]&gt;1,1,Table1[[#This Row],[Well Density]]*Table1[[#This Row],[Single Well Discovery Area]])))</f>
        <v>1</v>
      </c>
      <c r="CM190" t="s">
        <v>158</v>
      </c>
      <c r="CN190" s="19">
        <f>Table1[[#This Row],[Mid]]</f>
        <v>0</v>
      </c>
      <c r="CO190" s="19">
        <f>Table1[[#This Row],[Mid3]]+Table1[[#This Row],[Mid6]]+Table1[[#This Row],[Mid9]]</f>
        <v>0</v>
      </c>
      <c r="CP190" s="19">
        <f>Table1[[#This Row],[Mid12]]+Table1[[#This Row],[Mid15]]+Table1[[#This Row],[Mid18]]+Table1[[#This Row],[Mid21]]+Table1[[#This Row],[Mid24]]</f>
        <v>2760</v>
      </c>
      <c r="CQ190" s="19">
        <f>Table1[[#This Row],[Mid27]]+Table1[[#This Row],[Mid30]]+Table1[[#This Row],[Mid33]]+Table1[[#This Row],[Mid36]]+Table1[[#This Row],[Mid39]]</f>
        <v>0</v>
      </c>
      <c r="CR190" t="s">
        <v>471</v>
      </c>
      <c r="CS190" s="19" t="str">
        <f>IF(AND(Table1[[#This Row],[Low41]]=0, Table1[[#This Row],[High43]]=0),"N","Y")</f>
        <v>Y</v>
      </c>
    </row>
    <row r="191" spans="1:97" ht="19.5" customHeight="1" x14ac:dyDescent="0.25">
      <c r="A191">
        <v>10188</v>
      </c>
      <c r="B191" t="s">
        <v>516</v>
      </c>
      <c r="C191" t="s">
        <v>824</v>
      </c>
      <c r="D191">
        <v>53</v>
      </c>
      <c r="E191">
        <v>-70</v>
      </c>
      <c r="F191" t="s">
        <v>833</v>
      </c>
      <c r="G191" t="s">
        <v>824</v>
      </c>
      <c r="I191" t="s">
        <v>118</v>
      </c>
      <c r="J191" t="s">
        <v>119</v>
      </c>
      <c r="K191" t="s">
        <v>190</v>
      </c>
      <c r="L191" t="s">
        <v>18</v>
      </c>
      <c r="N191" s="6" t="s">
        <v>712</v>
      </c>
      <c r="O191" t="s">
        <v>834</v>
      </c>
      <c r="P191" t="s">
        <v>170</v>
      </c>
      <c r="Q191" t="s">
        <v>436</v>
      </c>
      <c r="R191" t="s">
        <v>835</v>
      </c>
      <c r="S191">
        <v>2012</v>
      </c>
      <c r="T191" t="s">
        <v>153</v>
      </c>
      <c r="U191" t="s">
        <v>129</v>
      </c>
      <c r="V191">
        <v>1542056</v>
      </c>
      <c r="AE191">
        <v>0</v>
      </c>
      <c r="AF191">
        <v>200</v>
      </c>
      <c r="AG191">
        <v>0</v>
      </c>
      <c r="AH191" t="s">
        <v>809</v>
      </c>
      <c r="AI191">
        <v>0</v>
      </c>
      <c r="AK191">
        <v>0</v>
      </c>
      <c r="AL191">
        <v>0</v>
      </c>
      <c r="AN191" t="s">
        <v>132</v>
      </c>
      <c r="BZ191">
        <v>4000</v>
      </c>
      <c r="CE19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91" s="19">
        <f>SUM(Table1[[#This Row],[Mid39]],Table1[[#This Row],[Mid36]],Table1[[#This Row],[Mid33]],Table1[[#This Row],[Mid30]],Table1[[#This Row],[Mid27]],Table1[[#This Row],[Mid24]],Table1[[#This Row],[Mid21]],Table1[[#This Row],[Mid18]],Table1[[#This Row],[Mid15]],Table1[[#This Row],[Mid12]],Table1[[#This Row],[Mid9]],Table1[[#This Row],[Mid6]],Table1[[#This Row],[Mid3]],Table1[[#This Row],[Mid]])</f>
        <v>4000</v>
      </c>
      <c r="CG19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91" t="s">
        <v>157</v>
      </c>
      <c r="CI191" t="s">
        <v>134</v>
      </c>
      <c r="CJ191" t="s">
        <v>158</v>
      </c>
      <c r="CL191" s="19">
        <f>IF(Table1[[#This Row],[Type]]="Petroleum",1,IF(ISERROR(Table1[[#This Row],[Well Density]]*Table1[[#This Row],[Single Well Discovery Area]]),"",IF(Table1[[#This Row],[Well Density]]*Table1[[#This Row],[Single Well Discovery Area]]&gt;1,1,Table1[[#This Row],[Well Density]]*Table1[[#This Row],[Single Well Discovery Area]])))</f>
        <v>0</v>
      </c>
      <c r="CM191" t="s">
        <v>158</v>
      </c>
      <c r="CN191" s="19">
        <f>Table1[[#This Row],[Mid]]</f>
        <v>0</v>
      </c>
      <c r="CO191" s="19">
        <f>Table1[[#This Row],[Mid3]]+Table1[[#This Row],[Mid6]]+Table1[[#This Row],[Mid9]]</f>
        <v>0</v>
      </c>
      <c r="CP191" s="19">
        <f>Table1[[#This Row],[Mid12]]+Table1[[#This Row],[Mid15]]+Table1[[#This Row],[Mid18]]+Table1[[#This Row],[Mid21]]+Table1[[#This Row],[Mid24]]</f>
        <v>0</v>
      </c>
      <c r="CQ191" s="19">
        <f>Table1[[#This Row],[Mid27]]+Table1[[#This Row],[Mid30]]+Table1[[#This Row],[Mid33]]+Table1[[#This Row],[Mid36]]+Table1[[#This Row],[Mid39]]</f>
        <v>4000</v>
      </c>
      <c r="CR191" t="s">
        <v>471</v>
      </c>
      <c r="CS191" s="19" t="str">
        <f>IF(AND(Table1[[#This Row],[Low41]]=0, Table1[[#This Row],[High43]]=0),"N","Y")</f>
        <v>N</v>
      </c>
    </row>
    <row r="192" spans="1:97" ht="19.5" customHeight="1" x14ac:dyDescent="0.25">
      <c r="A192">
        <v>10189</v>
      </c>
      <c r="B192" t="s">
        <v>516</v>
      </c>
      <c r="C192" t="s">
        <v>836</v>
      </c>
      <c r="D192">
        <v>42.995833330000004</v>
      </c>
      <c r="E192">
        <v>-107.5511111</v>
      </c>
      <c r="F192" t="s">
        <v>837</v>
      </c>
      <c r="G192" t="s">
        <v>595</v>
      </c>
      <c r="H192" t="s">
        <v>596</v>
      </c>
      <c r="I192" t="s">
        <v>118</v>
      </c>
      <c r="J192" t="s">
        <v>119</v>
      </c>
      <c r="K192" t="s">
        <v>120</v>
      </c>
      <c r="L192" t="s">
        <v>121</v>
      </c>
      <c r="M192" t="s">
        <v>597</v>
      </c>
      <c r="N192" s="6" t="s">
        <v>598</v>
      </c>
      <c r="O192" t="s">
        <v>838</v>
      </c>
      <c r="P192" t="s">
        <v>839</v>
      </c>
      <c r="Q192" t="s">
        <v>601</v>
      </c>
      <c r="R192" t="s">
        <v>840</v>
      </c>
      <c r="S192">
        <v>2014</v>
      </c>
      <c r="T192" t="s">
        <v>153</v>
      </c>
      <c r="U192" t="s">
        <v>129</v>
      </c>
      <c r="V192"/>
      <c r="AC192">
        <v>819.3</v>
      </c>
      <c r="AF192">
        <v>200</v>
      </c>
      <c r="AG192">
        <v>0</v>
      </c>
      <c r="AK192">
        <v>0</v>
      </c>
      <c r="AL192">
        <v>0</v>
      </c>
      <c r="AM192" t="s">
        <v>603</v>
      </c>
      <c r="AN192" t="s">
        <v>132</v>
      </c>
      <c r="BH192">
        <v>835</v>
      </c>
      <c r="CE19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92" s="19">
        <f>SUM(Table1[[#This Row],[Mid39]],Table1[[#This Row],[Mid36]],Table1[[#This Row],[Mid33]],Table1[[#This Row],[Mid30]],Table1[[#This Row],[Mid27]],Table1[[#This Row],[Mid24]],Table1[[#This Row],[Mid21]],Table1[[#This Row],[Mid18]],Table1[[#This Row],[Mid15]],Table1[[#This Row],[Mid12]],Table1[[#This Row],[Mid9]],Table1[[#This Row],[Mid6]],Table1[[#This Row],[Mid3]],Table1[[#This Row],[Mid]])</f>
        <v>835</v>
      </c>
      <c r="CG19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92" t="s">
        <v>157</v>
      </c>
      <c r="CI192" t="s">
        <v>134</v>
      </c>
      <c r="CJ192" t="s">
        <v>135</v>
      </c>
      <c r="CL192" s="19">
        <f>IF(Table1[[#This Row],[Type]]="Petroleum",1,IF(ISERROR(Table1[[#This Row],[Well Density]]*Table1[[#This Row],[Single Well Discovery Area]]),"",IF(Table1[[#This Row],[Well Density]]*Table1[[#This Row],[Single Well Discovery Area]]&gt;1,1,Table1[[#This Row],[Well Density]]*Table1[[#This Row],[Single Well Discovery Area]])))</f>
        <v>0</v>
      </c>
      <c r="CM192" t="s">
        <v>135</v>
      </c>
      <c r="CN192" s="19">
        <f>Table1[[#This Row],[Mid]]</f>
        <v>0</v>
      </c>
      <c r="CO192" s="19">
        <f>Table1[[#This Row],[Mid3]]+Table1[[#This Row],[Mid6]]+Table1[[#This Row],[Mid9]]</f>
        <v>0</v>
      </c>
      <c r="CP192" s="19">
        <f>Table1[[#This Row],[Mid12]]+Table1[[#This Row],[Mid15]]+Table1[[#This Row],[Mid18]]+Table1[[#This Row],[Mid21]]+Table1[[#This Row],[Mid24]]</f>
        <v>835</v>
      </c>
      <c r="CQ192" s="19">
        <f>Table1[[#This Row],[Mid27]]+Table1[[#This Row],[Mid30]]+Table1[[#This Row],[Mid33]]+Table1[[#This Row],[Mid36]]+Table1[[#This Row],[Mid39]]</f>
        <v>0</v>
      </c>
      <c r="CR192" t="s">
        <v>471</v>
      </c>
      <c r="CS192" s="19" t="str">
        <f>IF(AND(Table1[[#This Row],[Low41]]=0, Table1[[#This Row],[High43]]=0),"N","Y")</f>
        <v>N</v>
      </c>
    </row>
    <row r="193" spans="1:97" ht="19.5" customHeight="1" x14ac:dyDescent="0.25">
      <c r="A193">
        <v>10190</v>
      </c>
      <c r="B193" t="s">
        <v>516</v>
      </c>
      <c r="C193" t="s">
        <v>836</v>
      </c>
      <c r="D193">
        <v>49.091944439999999</v>
      </c>
      <c r="E193">
        <v>-103.0788889</v>
      </c>
      <c r="F193" t="s">
        <v>841</v>
      </c>
      <c r="G193" t="s">
        <v>519</v>
      </c>
      <c r="H193" t="s">
        <v>842</v>
      </c>
      <c r="I193" t="s">
        <v>118</v>
      </c>
      <c r="J193" t="s">
        <v>119</v>
      </c>
      <c r="K193" t="s">
        <v>120</v>
      </c>
      <c r="L193" t="s">
        <v>121</v>
      </c>
      <c r="M193" t="s">
        <v>597</v>
      </c>
      <c r="N193" s="6" t="s">
        <v>843</v>
      </c>
      <c r="O193" t="s">
        <v>844</v>
      </c>
      <c r="P193" t="s">
        <v>845</v>
      </c>
      <c r="Q193" t="s">
        <v>846</v>
      </c>
      <c r="R193" t="s">
        <v>847</v>
      </c>
      <c r="S193">
        <v>2014</v>
      </c>
      <c r="T193" t="s">
        <v>153</v>
      </c>
      <c r="U193" t="s">
        <v>129</v>
      </c>
      <c r="V193">
        <v>9472</v>
      </c>
      <c r="W193">
        <v>3270</v>
      </c>
      <c r="X193">
        <v>111</v>
      </c>
      <c r="AD193">
        <v>2</v>
      </c>
      <c r="AE193">
        <v>2.1114899999999999E-4</v>
      </c>
      <c r="AF193">
        <v>200</v>
      </c>
      <c r="AG193">
        <v>0</v>
      </c>
      <c r="AH193" t="s">
        <v>130</v>
      </c>
      <c r="AI193">
        <v>0</v>
      </c>
      <c r="AK193">
        <v>0</v>
      </c>
      <c r="AL193">
        <v>0</v>
      </c>
      <c r="AM193" t="s">
        <v>635</v>
      </c>
      <c r="AN193" t="s">
        <v>132</v>
      </c>
      <c r="AP193">
        <v>1.6</v>
      </c>
      <c r="AS193">
        <v>33.47</v>
      </c>
      <c r="CE19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93" s="19">
        <f>SUM(Table1[[#This Row],[Mid39]],Table1[[#This Row],[Mid36]],Table1[[#This Row],[Mid33]],Table1[[#This Row],[Mid30]],Table1[[#This Row],[Mid27]],Table1[[#This Row],[Mid24]],Table1[[#This Row],[Mid21]],Table1[[#This Row],[Mid18]],Table1[[#This Row],[Mid15]],Table1[[#This Row],[Mid12]],Table1[[#This Row],[Mid9]],Table1[[#This Row],[Mid6]],Table1[[#This Row],[Mid3]],Table1[[#This Row],[Mid]])</f>
        <v>35.07</v>
      </c>
      <c r="CG19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93" t="s">
        <v>133</v>
      </c>
      <c r="CI193" t="s">
        <v>134</v>
      </c>
      <c r="CJ193" t="s">
        <v>135</v>
      </c>
      <c r="CL193" s="19">
        <f>IF(Table1[[#This Row],[Type]]="Petroleum",1,IF(ISERROR(Table1[[#This Row],[Well Density]]*Table1[[#This Row],[Single Well Discovery Area]]),"",IF(Table1[[#This Row],[Well Density]]*Table1[[#This Row],[Single Well Discovery Area]]&gt;1,1,Table1[[#This Row],[Well Density]]*Table1[[#This Row],[Single Well Discovery Area]])))</f>
        <v>4.2229799999999998E-2</v>
      </c>
      <c r="CM193" t="s">
        <v>135</v>
      </c>
      <c r="CN193" s="19">
        <f>Table1[[#This Row],[Mid]]</f>
        <v>1.6</v>
      </c>
      <c r="CO193" s="19">
        <f>Table1[[#This Row],[Mid3]]+Table1[[#This Row],[Mid6]]+Table1[[#This Row],[Mid9]]</f>
        <v>33.47</v>
      </c>
      <c r="CP193" s="19">
        <f>Table1[[#This Row],[Mid12]]+Table1[[#This Row],[Mid15]]+Table1[[#This Row],[Mid18]]+Table1[[#This Row],[Mid21]]+Table1[[#This Row],[Mid24]]</f>
        <v>0</v>
      </c>
      <c r="CQ193" s="19">
        <f>Table1[[#This Row],[Mid27]]+Table1[[#This Row],[Mid30]]+Table1[[#This Row],[Mid33]]+Table1[[#This Row],[Mid36]]+Table1[[#This Row],[Mid39]]</f>
        <v>0</v>
      </c>
      <c r="CR193" t="s">
        <v>471</v>
      </c>
      <c r="CS193" s="19" t="str">
        <f>IF(AND(Table1[[#This Row],[Low41]]=0, Table1[[#This Row],[High43]]=0),"N","Y")</f>
        <v>N</v>
      </c>
    </row>
    <row r="194" spans="1:97" ht="19.5" customHeight="1" x14ac:dyDescent="0.25">
      <c r="A194">
        <v>10191</v>
      </c>
      <c r="B194" t="s">
        <v>516</v>
      </c>
      <c r="C194" t="s">
        <v>836</v>
      </c>
      <c r="D194">
        <v>49.46166667</v>
      </c>
      <c r="E194">
        <v>-103.00916669999999</v>
      </c>
      <c r="F194" t="s">
        <v>848</v>
      </c>
      <c r="G194" t="s">
        <v>595</v>
      </c>
      <c r="H194" t="s">
        <v>849</v>
      </c>
      <c r="I194" t="s">
        <v>582</v>
      </c>
      <c r="J194" t="s">
        <v>202</v>
      </c>
      <c r="K194" t="s">
        <v>203</v>
      </c>
      <c r="L194" t="s">
        <v>121</v>
      </c>
      <c r="M194" t="s">
        <v>616</v>
      </c>
      <c r="N194" s="6" t="s">
        <v>781</v>
      </c>
      <c r="O194" t="s">
        <v>850</v>
      </c>
      <c r="P194" t="s">
        <v>851</v>
      </c>
      <c r="Q194" t="s">
        <v>852</v>
      </c>
      <c r="R194" t="s">
        <v>853</v>
      </c>
      <c r="S194">
        <v>2007</v>
      </c>
      <c r="T194" t="s">
        <v>153</v>
      </c>
      <c r="U194" t="s">
        <v>129</v>
      </c>
      <c r="V194"/>
      <c r="AF194">
        <v>200</v>
      </c>
      <c r="AG194">
        <v>0</v>
      </c>
      <c r="AH194" t="s">
        <v>786</v>
      </c>
      <c r="AK194">
        <v>0</v>
      </c>
      <c r="AL194">
        <v>0</v>
      </c>
      <c r="AM194" t="s">
        <v>787</v>
      </c>
      <c r="AN194" t="s">
        <v>132</v>
      </c>
      <c r="BN194">
        <v>270</v>
      </c>
      <c r="CE19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94" s="19">
        <f>SUM(Table1[[#This Row],[Mid39]],Table1[[#This Row],[Mid36]],Table1[[#This Row],[Mid33]],Table1[[#This Row],[Mid30]],Table1[[#This Row],[Mid27]],Table1[[#This Row],[Mid24]],Table1[[#This Row],[Mid21]],Table1[[#This Row],[Mid18]],Table1[[#This Row],[Mid15]],Table1[[#This Row],[Mid12]],Table1[[#This Row],[Mid9]],Table1[[#This Row],[Mid6]],Table1[[#This Row],[Mid3]],Table1[[#This Row],[Mid]])</f>
        <v>270</v>
      </c>
      <c r="CG19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94" t="s">
        <v>157</v>
      </c>
      <c r="CI194" t="s">
        <v>176</v>
      </c>
      <c r="CJ194" t="s">
        <v>158</v>
      </c>
      <c r="CL194" s="19">
        <f>IF(Table1[[#This Row],[Type]]="Petroleum",1,IF(ISERROR(Table1[[#This Row],[Well Density]]*Table1[[#This Row],[Single Well Discovery Area]]),"",IF(Table1[[#This Row],[Well Density]]*Table1[[#This Row],[Single Well Discovery Area]]&gt;1,1,Table1[[#This Row],[Well Density]]*Table1[[#This Row],[Single Well Discovery Area]])))</f>
        <v>1</v>
      </c>
      <c r="CM194" t="s">
        <v>158</v>
      </c>
      <c r="CN194" s="19">
        <f>Table1[[#This Row],[Mid]]</f>
        <v>0</v>
      </c>
      <c r="CO194" s="19">
        <f>Table1[[#This Row],[Mid3]]+Table1[[#This Row],[Mid6]]+Table1[[#This Row],[Mid9]]</f>
        <v>0</v>
      </c>
      <c r="CP194" s="19">
        <f>Table1[[#This Row],[Mid12]]+Table1[[#This Row],[Mid15]]+Table1[[#This Row],[Mid18]]+Table1[[#This Row],[Mid21]]+Table1[[#This Row],[Mid24]]</f>
        <v>270</v>
      </c>
      <c r="CQ194" s="19">
        <f>Table1[[#This Row],[Mid27]]+Table1[[#This Row],[Mid30]]+Table1[[#This Row],[Mid33]]+Table1[[#This Row],[Mid36]]+Table1[[#This Row],[Mid39]]</f>
        <v>0</v>
      </c>
      <c r="CR194" t="s">
        <v>471</v>
      </c>
      <c r="CS194" s="19" t="str">
        <f>IF(AND(Table1[[#This Row],[Low41]]=0, Table1[[#This Row],[High43]]=0),"N","Y")</f>
        <v>N</v>
      </c>
    </row>
    <row r="195" spans="1:97" ht="19.5" customHeight="1" x14ac:dyDescent="0.25">
      <c r="A195">
        <v>10192</v>
      </c>
      <c r="B195" t="s">
        <v>516</v>
      </c>
      <c r="C195" t="s">
        <v>836</v>
      </c>
      <c r="D195">
        <v>49.093055560000003</v>
      </c>
      <c r="E195">
        <v>-103.0805556</v>
      </c>
      <c r="F195" t="s">
        <v>854</v>
      </c>
      <c r="G195" t="s">
        <v>519</v>
      </c>
      <c r="H195" t="s">
        <v>629</v>
      </c>
      <c r="I195" t="s">
        <v>118</v>
      </c>
      <c r="J195" t="s">
        <v>119</v>
      </c>
      <c r="K195" t="s">
        <v>120</v>
      </c>
      <c r="L195" t="s">
        <v>147</v>
      </c>
      <c r="M195" t="s">
        <v>597</v>
      </c>
      <c r="N195" s="6" t="s">
        <v>843</v>
      </c>
      <c r="O195" t="s">
        <v>855</v>
      </c>
      <c r="P195" t="s">
        <v>170</v>
      </c>
      <c r="Q195" t="s">
        <v>856</v>
      </c>
      <c r="R195" t="s">
        <v>857</v>
      </c>
      <c r="S195">
        <v>2014</v>
      </c>
      <c r="T195" t="s">
        <v>153</v>
      </c>
      <c r="U195" t="s">
        <v>129</v>
      </c>
      <c r="V195">
        <v>9438.1</v>
      </c>
      <c r="W195">
        <v>3200</v>
      </c>
      <c r="X195">
        <v>73.3</v>
      </c>
      <c r="AD195">
        <v>15</v>
      </c>
      <c r="AE195">
        <v>1.589303E-3</v>
      </c>
      <c r="AF195">
        <v>200</v>
      </c>
      <c r="AG195">
        <v>0</v>
      </c>
      <c r="AH195" t="s">
        <v>531</v>
      </c>
      <c r="AI195">
        <v>14</v>
      </c>
      <c r="AK195">
        <v>0</v>
      </c>
      <c r="AL195">
        <v>0</v>
      </c>
      <c r="AM195" t="s">
        <v>858</v>
      </c>
      <c r="AN195" t="s">
        <v>132</v>
      </c>
      <c r="BH195">
        <v>3066</v>
      </c>
      <c r="CE19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95" s="19">
        <f>SUM(Table1[[#This Row],[Mid39]],Table1[[#This Row],[Mid36]],Table1[[#This Row],[Mid33]],Table1[[#This Row],[Mid30]],Table1[[#This Row],[Mid27]],Table1[[#This Row],[Mid24]],Table1[[#This Row],[Mid21]],Table1[[#This Row],[Mid18]],Table1[[#This Row],[Mid15]],Table1[[#This Row],[Mid12]],Table1[[#This Row],[Mid9]],Table1[[#This Row],[Mid6]],Table1[[#This Row],[Mid3]],Table1[[#This Row],[Mid]])</f>
        <v>3066</v>
      </c>
      <c r="CG19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95" t="s">
        <v>157</v>
      </c>
      <c r="CI195" t="s">
        <v>134</v>
      </c>
      <c r="CJ195" t="s">
        <v>158</v>
      </c>
      <c r="CL195" s="19">
        <f>IF(Table1[[#This Row],[Type]]="Petroleum",1,IF(ISERROR(Table1[[#This Row],[Well Density]]*Table1[[#This Row],[Single Well Discovery Area]]),"",IF(Table1[[#This Row],[Well Density]]*Table1[[#This Row],[Single Well Discovery Area]]&gt;1,1,Table1[[#This Row],[Well Density]]*Table1[[#This Row],[Single Well Discovery Area]])))</f>
        <v>0.31786059999999999</v>
      </c>
      <c r="CM195" t="s">
        <v>158</v>
      </c>
      <c r="CN195" s="19">
        <f>Table1[[#This Row],[Mid]]</f>
        <v>0</v>
      </c>
      <c r="CO195" s="19">
        <f>Table1[[#This Row],[Mid3]]+Table1[[#This Row],[Mid6]]+Table1[[#This Row],[Mid9]]</f>
        <v>0</v>
      </c>
      <c r="CP195" s="19">
        <f>Table1[[#This Row],[Mid12]]+Table1[[#This Row],[Mid15]]+Table1[[#This Row],[Mid18]]+Table1[[#This Row],[Mid21]]+Table1[[#This Row],[Mid24]]</f>
        <v>3066</v>
      </c>
      <c r="CQ195" s="19">
        <f>Table1[[#This Row],[Mid27]]+Table1[[#This Row],[Mid30]]+Table1[[#This Row],[Mid33]]+Table1[[#This Row],[Mid36]]+Table1[[#This Row],[Mid39]]</f>
        <v>0</v>
      </c>
      <c r="CR195" t="s">
        <v>471</v>
      </c>
      <c r="CS195" s="19" t="str">
        <f>IF(AND(Table1[[#This Row],[Low41]]=0, Table1[[#This Row],[High43]]=0),"N","Y")</f>
        <v>N</v>
      </c>
    </row>
    <row r="196" spans="1:97" ht="19.5" customHeight="1" x14ac:dyDescent="0.25">
      <c r="A196">
        <v>10193</v>
      </c>
      <c r="B196" t="s">
        <v>516</v>
      </c>
      <c r="C196" t="s">
        <v>836</v>
      </c>
      <c r="D196">
        <v>49.39611111</v>
      </c>
      <c r="E196">
        <v>-103.41083329999999</v>
      </c>
      <c r="F196" t="s">
        <v>859</v>
      </c>
      <c r="G196" t="s">
        <v>595</v>
      </c>
      <c r="H196" t="s">
        <v>860</v>
      </c>
      <c r="I196" t="s">
        <v>582</v>
      </c>
      <c r="J196" t="s">
        <v>202</v>
      </c>
      <c r="K196" t="s">
        <v>203</v>
      </c>
      <c r="L196" t="s">
        <v>121</v>
      </c>
      <c r="M196" t="s">
        <v>616</v>
      </c>
      <c r="N196" s="6" t="s">
        <v>781</v>
      </c>
      <c r="O196" t="s">
        <v>850</v>
      </c>
      <c r="P196" t="s">
        <v>851</v>
      </c>
      <c r="Q196" t="s">
        <v>861</v>
      </c>
      <c r="R196" t="s">
        <v>862</v>
      </c>
      <c r="S196">
        <v>2007</v>
      </c>
      <c r="T196" t="s">
        <v>153</v>
      </c>
      <c r="U196" t="s">
        <v>129</v>
      </c>
      <c r="V196"/>
      <c r="AF196">
        <v>200</v>
      </c>
      <c r="AG196">
        <v>0</v>
      </c>
      <c r="AH196" t="s">
        <v>786</v>
      </c>
      <c r="AK196">
        <v>0</v>
      </c>
      <c r="AL196">
        <v>0</v>
      </c>
      <c r="AM196" t="s">
        <v>787</v>
      </c>
      <c r="AN196" t="s">
        <v>132</v>
      </c>
      <c r="BN196">
        <v>699</v>
      </c>
      <c r="CE19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96" s="19">
        <f>SUM(Table1[[#This Row],[Mid39]],Table1[[#This Row],[Mid36]],Table1[[#This Row],[Mid33]],Table1[[#This Row],[Mid30]],Table1[[#This Row],[Mid27]],Table1[[#This Row],[Mid24]],Table1[[#This Row],[Mid21]],Table1[[#This Row],[Mid18]],Table1[[#This Row],[Mid15]],Table1[[#This Row],[Mid12]],Table1[[#This Row],[Mid9]],Table1[[#This Row],[Mid6]],Table1[[#This Row],[Mid3]],Table1[[#This Row],[Mid]])</f>
        <v>699</v>
      </c>
      <c r="CG19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96" t="s">
        <v>157</v>
      </c>
      <c r="CI196" t="s">
        <v>176</v>
      </c>
      <c r="CJ196" t="s">
        <v>135</v>
      </c>
      <c r="CL196" s="19">
        <f>IF(Table1[[#This Row],[Type]]="Petroleum",1,IF(ISERROR(Table1[[#This Row],[Well Density]]*Table1[[#This Row],[Single Well Discovery Area]]),"",IF(Table1[[#This Row],[Well Density]]*Table1[[#This Row],[Single Well Discovery Area]]&gt;1,1,Table1[[#This Row],[Well Density]]*Table1[[#This Row],[Single Well Discovery Area]])))</f>
        <v>1</v>
      </c>
      <c r="CM196" t="s">
        <v>135</v>
      </c>
      <c r="CN196" s="19">
        <f>Table1[[#This Row],[Mid]]</f>
        <v>0</v>
      </c>
      <c r="CO196" s="19">
        <f>Table1[[#This Row],[Mid3]]+Table1[[#This Row],[Mid6]]+Table1[[#This Row],[Mid9]]</f>
        <v>0</v>
      </c>
      <c r="CP196" s="19">
        <f>Table1[[#This Row],[Mid12]]+Table1[[#This Row],[Mid15]]+Table1[[#This Row],[Mid18]]+Table1[[#This Row],[Mid21]]+Table1[[#This Row],[Mid24]]</f>
        <v>699</v>
      </c>
      <c r="CQ196" s="19">
        <f>Table1[[#This Row],[Mid27]]+Table1[[#This Row],[Mid30]]+Table1[[#This Row],[Mid33]]+Table1[[#This Row],[Mid36]]+Table1[[#This Row],[Mid39]]</f>
        <v>0</v>
      </c>
      <c r="CR196" t="s">
        <v>471</v>
      </c>
      <c r="CS196" s="19" t="str">
        <f>IF(AND(Table1[[#This Row],[Low41]]=0, Table1[[#This Row],[High43]]=0),"N","Y")</f>
        <v>N</v>
      </c>
    </row>
    <row r="197" spans="1:97" ht="19.5" customHeight="1" x14ac:dyDescent="0.25">
      <c r="A197">
        <v>10194</v>
      </c>
      <c r="B197" t="s">
        <v>516</v>
      </c>
      <c r="C197" t="s">
        <v>836</v>
      </c>
      <c r="D197">
        <v>49.217777779999999</v>
      </c>
      <c r="E197">
        <v>-103.1655556</v>
      </c>
      <c r="F197" t="s">
        <v>863</v>
      </c>
      <c r="G197" t="s">
        <v>595</v>
      </c>
      <c r="H197" t="s">
        <v>864</v>
      </c>
      <c r="I197" t="s">
        <v>582</v>
      </c>
      <c r="J197" t="s">
        <v>202</v>
      </c>
      <c r="K197" t="s">
        <v>203</v>
      </c>
      <c r="L197" t="s">
        <v>121</v>
      </c>
      <c r="M197" t="s">
        <v>616</v>
      </c>
      <c r="N197" s="6" t="s">
        <v>781</v>
      </c>
      <c r="O197" t="s">
        <v>850</v>
      </c>
      <c r="P197" t="s">
        <v>851</v>
      </c>
      <c r="Q197" t="s">
        <v>865</v>
      </c>
      <c r="R197" t="s">
        <v>866</v>
      </c>
      <c r="S197">
        <v>2007</v>
      </c>
      <c r="T197" t="s">
        <v>153</v>
      </c>
      <c r="U197" t="s">
        <v>129</v>
      </c>
      <c r="V197"/>
      <c r="AF197">
        <v>200</v>
      </c>
      <c r="AG197">
        <v>0</v>
      </c>
      <c r="AH197" t="s">
        <v>786</v>
      </c>
      <c r="AK197">
        <v>0</v>
      </c>
      <c r="AL197">
        <v>0</v>
      </c>
      <c r="AM197" t="s">
        <v>787</v>
      </c>
      <c r="AN197" t="s">
        <v>132</v>
      </c>
      <c r="BN197">
        <v>99</v>
      </c>
      <c r="CE19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97" s="19">
        <f>SUM(Table1[[#This Row],[Mid39]],Table1[[#This Row],[Mid36]],Table1[[#This Row],[Mid33]],Table1[[#This Row],[Mid30]],Table1[[#This Row],[Mid27]],Table1[[#This Row],[Mid24]],Table1[[#This Row],[Mid21]],Table1[[#This Row],[Mid18]],Table1[[#This Row],[Mid15]],Table1[[#This Row],[Mid12]],Table1[[#This Row],[Mid9]],Table1[[#This Row],[Mid6]],Table1[[#This Row],[Mid3]],Table1[[#This Row],[Mid]])</f>
        <v>99</v>
      </c>
      <c r="CG19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97" t="s">
        <v>157</v>
      </c>
      <c r="CI197" t="s">
        <v>176</v>
      </c>
      <c r="CJ197" t="s">
        <v>158</v>
      </c>
      <c r="CL197" s="19">
        <f>IF(Table1[[#This Row],[Type]]="Petroleum",1,IF(ISERROR(Table1[[#This Row],[Well Density]]*Table1[[#This Row],[Single Well Discovery Area]]),"",IF(Table1[[#This Row],[Well Density]]*Table1[[#This Row],[Single Well Discovery Area]]&gt;1,1,Table1[[#This Row],[Well Density]]*Table1[[#This Row],[Single Well Discovery Area]])))</f>
        <v>1</v>
      </c>
      <c r="CM197" t="s">
        <v>158</v>
      </c>
      <c r="CN197" s="19">
        <f>Table1[[#This Row],[Mid]]</f>
        <v>0</v>
      </c>
      <c r="CO197" s="19">
        <f>Table1[[#This Row],[Mid3]]+Table1[[#This Row],[Mid6]]+Table1[[#This Row],[Mid9]]</f>
        <v>0</v>
      </c>
      <c r="CP197" s="19">
        <f>Table1[[#This Row],[Mid12]]+Table1[[#This Row],[Mid15]]+Table1[[#This Row],[Mid18]]+Table1[[#This Row],[Mid21]]+Table1[[#This Row],[Mid24]]</f>
        <v>99</v>
      </c>
      <c r="CQ197" s="19">
        <f>Table1[[#This Row],[Mid27]]+Table1[[#This Row],[Mid30]]+Table1[[#This Row],[Mid33]]+Table1[[#This Row],[Mid36]]+Table1[[#This Row],[Mid39]]</f>
        <v>0</v>
      </c>
      <c r="CR197" t="s">
        <v>471</v>
      </c>
      <c r="CS197" s="19" t="str">
        <f>IF(AND(Table1[[#This Row],[Low41]]=0, Table1[[#This Row],[High43]]=0),"N","Y")</f>
        <v>N</v>
      </c>
    </row>
    <row r="198" spans="1:97" ht="19.5" customHeight="1" x14ac:dyDescent="0.25">
      <c r="A198">
        <v>10195</v>
      </c>
      <c r="B198" t="s">
        <v>516</v>
      </c>
      <c r="C198" t="s">
        <v>836</v>
      </c>
      <c r="D198">
        <v>50.444444439999998</v>
      </c>
      <c r="E198">
        <v>-104.6183333</v>
      </c>
      <c r="F198" t="s">
        <v>867</v>
      </c>
      <c r="G198" t="s">
        <v>595</v>
      </c>
      <c r="H198" t="s">
        <v>596</v>
      </c>
      <c r="I198" t="s">
        <v>118</v>
      </c>
      <c r="J198" t="s">
        <v>119</v>
      </c>
      <c r="K198" t="s">
        <v>120</v>
      </c>
      <c r="L198" t="s">
        <v>121</v>
      </c>
      <c r="M198" t="s">
        <v>597</v>
      </c>
      <c r="N198" s="6" t="s">
        <v>598</v>
      </c>
      <c r="O198" t="s">
        <v>838</v>
      </c>
      <c r="P198" t="s">
        <v>868</v>
      </c>
      <c r="Q198" t="s">
        <v>601</v>
      </c>
      <c r="R198" t="s">
        <v>869</v>
      </c>
      <c r="S198">
        <v>2014</v>
      </c>
      <c r="T198" t="s">
        <v>153</v>
      </c>
      <c r="U198" t="s">
        <v>129</v>
      </c>
      <c r="V198"/>
      <c r="AC198">
        <v>819.3</v>
      </c>
      <c r="AF198">
        <v>200</v>
      </c>
      <c r="AG198">
        <v>0</v>
      </c>
      <c r="AK198">
        <v>0</v>
      </c>
      <c r="AL198">
        <v>0</v>
      </c>
      <c r="AM198" t="s">
        <v>603</v>
      </c>
      <c r="AN198" t="s">
        <v>132</v>
      </c>
      <c r="BH198">
        <v>85</v>
      </c>
      <c r="CE19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98" s="19">
        <f>SUM(Table1[[#This Row],[Mid39]],Table1[[#This Row],[Mid36]],Table1[[#This Row],[Mid33]],Table1[[#This Row],[Mid30]],Table1[[#This Row],[Mid27]],Table1[[#This Row],[Mid24]],Table1[[#This Row],[Mid21]],Table1[[#This Row],[Mid18]],Table1[[#This Row],[Mid15]],Table1[[#This Row],[Mid12]],Table1[[#This Row],[Mid9]],Table1[[#This Row],[Mid6]],Table1[[#This Row],[Mid3]],Table1[[#This Row],[Mid]])</f>
        <v>85</v>
      </c>
      <c r="CG19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98" t="s">
        <v>157</v>
      </c>
      <c r="CI198" t="s">
        <v>134</v>
      </c>
      <c r="CJ198" t="s">
        <v>135</v>
      </c>
      <c r="CL198" s="19">
        <f>IF(Table1[[#This Row],[Type]]="Petroleum",1,IF(ISERROR(Table1[[#This Row],[Well Density]]*Table1[[#This Row],[Single Well Discovery Area]]),"",IF(Table1[[#This Row],[Well Density]]*Table1[[#This Row],[Single Well Discovery Area]]&gt;1,1,Table1[[#This Row],[Well Density]]*Table1[[#This Row],[Single Well Discovery Area]])))</f>
        <v>0</v>
      </c>
      <c r="CM198" t="s">
        <v>135</v>
      </c>
      <c r="CN198" s="19">
        <f>Table1[[#This Row],[Mid]]</f>
        <v>0</v>
      </c>
      <c r="CO198" s="19">
        <f>Table1[[#This Row],[Mid3]]+Table1[[#This Row],[Mid6]]+Table1[[#This Row],[Mid9]]</f>
        <v>0</v>
      </c>
      <c r="CP198" s="19">
        <f>Table1[[#This Row],[Mid12]]+Table1[[#This Row],[Mid15]]+Table1[[#This Row],[Mid18]]+Table1[[#This Row],[Mid21]]+Table1[[#This Row],[Mid24]]</f>
        <v>85</v>
      </c>
      <c r="CQ198" s="19">
        <f>Table1[[#This Row],[Mid27]]+Table1[[#This Row],[Mid30]]+Table1[[#This Row],[Mid33]]+Table1[[#This Row],[Mid36]]+Table1[[#This Row],[Mid39]]</f>
        <v>0</v>
      </c>
      <c r="CR198" t="s">
        <v>471</v>
      </c>
      <c r="CS198" s="19" t="str">
        <f>IF(AND(Table1[[#This Row],[Low41]]=0, Table1[[#This Row],[High43]]=0),"N","Y")</f>
        <v>N</v>
      </c>
    </row>
    <row r="199" spans="1:97" ht="19.5" customHeight="1" x14ac:dyDescent="0.25">
      <c r="A199">
        <v>10196</v>
      </c>
      <c r="B199" t="s">
        <v>516</v>
      </c>
      <c r="C199" t="s">
        <v>836</v>
      </c>
      <c r="D199">
        <v>55.001111109999997</v>
      </c>
      <c r="E199">
        <v>-106.0005556</v>
      </c>
      <c r="F199" t="s">
        <v>870</v>
      </c>
      <c r="G199" t="s">
        <v>595</v>
      </c>
      <c r="I199" t="s">
        <v>520</v>
      </c>
      <c r="J199" t="s">
        <v>202</v>
      </c>
      <c r="K199" t="s">
        <v>203</v>
      </c>
      <c r="L199" t="s">
        <v>121</v>
      </c>
      <c r="N199" s="6" t="s">
        <v>521</v>
      </c>
      <c r="O199" t="s">
        <v>871</v>
      </c>
      <c r="P199" t="s">
        <v>872</v>
      </c>
      <c r="Q199" t="s">
        <v>523</v>
      </c>
      <c r="R199" t="s">
        <v>873</v>
      </c>
      <c r="S199">
        <v>2015</v>
      </c>
      <c r="T199" t="s">
        <v>153</v>
      </c>
      <c r="U199" t="s">
        <v>129</v>
      </c>
      <c r="V199"/>
      <c r="AF199">
        <v>200</v>
      </c>
      <c r="AG199">
        <v>0</v>
      </c>
      <c r="AH199" t="s">
        <v>525</v>
      </c>
      <c r="AK199">
        <v>0</v>
      </c>
      <c r="AL199">
        <v>0</v>
      </c>
      <c r="AM199" t="s">
        <v>526</v>
      </c>
      <c r="AN199" t="s">
        <v>132</v>
      </c>
      <c r="CE19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9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9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99" t="s">
        <v>133</v>
      </c>
      <c r="CI199" t="s">
        <v>176</v>
      </c>
      <c r="CJ199" t="s">
        <v>158</v>
      </c>
      <c r="CK199" s="23"/>
      <c r="CL199" s="19">
        <f>IF(Table1[[#This Row],[Type]]="Petroleum",1,IF(ISERROR(Table1[[#This Row],[Well Density]]*Table1[[#This Row],[Single Well Discovery Area]]),"",IF(Table1[[#This Row],[Well Density]]*Table1[[#This Row],[Single Well Discovery Area]]&gt;1,1,Table1[[#This Row],[Well Density]]*Table1[[#This Row],[Single Well Discovery Area]])))</f>
        <v>1</v>
      </c>
      <c r="CM199" s="23" t="s">
        <v>158</v>
      </c>
      <c r="CN199" s="19">
        <f>Table1[[#This Row],[Mid]]</f>
        <v>0</v>
      </c>
      <c r="CO199" s="19">
        <f>Table1[[#This Row],[Mid3]]+Table1[[#This Row],[Mid6]]+Table1[[#This Row],[Mid9]]</f>
        <v>0</v>
      </c>
      <c r="CP199" s="19">
        <f>Table1[[#This Row],[Mid12]]+Table1[[#This Row],[Mid15]]+Table1[[#This Row],[Mid18]]+Table1[[#This Row],[Mid21]]+Table1[[#This Row],[Mid24]]</f>
        <v>0</v>
      </c>
      <c r="CQ199" s="19">
        <f>Table1[[#This Row],[Mid27]]+Table1[[#This Row],[Mid30]]+Table1[[#This Row],[Mid33]]+Table1[[#This Row],[Mid36]]+Table1[[#This Row],[Mid39]]</f>
        <v>0</v>
      </c>
      <c r="CR199" t="s">
        <v>471</v>
      </c>
      <c r="CS199" s="19" t="str">
        <f>IF(AND(Table1[[#This Row],[Low41]]=0, Table1[[#This Row],[High43]]=0),"N","Y")</f>
        <v>N</v>
      </c>
    </row>
    <row r="200" spans="1:97" ht="19.5" customHeight="1" x14ac:dyDescent="0.25">
      <c r="A200">
        <v>10197</v>
      </c>
      <c r="B200" t="s">
        <v>516</v>
      </c>
      <c r="C200" t="s">
        <v>836</v>
      </c>
      <c r="D200">
        <v>55</v>
      </c>
      <c r="E200">
        <v>-106</v>
      </c>
      <c r="F200" t="s">
        <v>874</v>
      </c>
      <c r="G200" t="s">
        <v>519</v>
      </c>
      <c r="I200" t="s">
        <v>118</v>
      </c>
      <c r="J200" t="s">
        <v>119</v>
      </c>
      <c r="K200" t="s">
        <v>190</v>
      </c>
      <c r="L200" t="s">
        <v>18</v>
      </c>
      <c r="N200" s="6" t="s">
        <v>521</v>
      </c>
      <c r="O200" t="s">
        <v>875</v>
      </c>
      <c r="P200" t="s">
        <v>170</v>
      </c>
      <c r="Q200" t="s">
        <v>688</v>
      </c>
      <c r="R200" t="s">
        <v>876</v>
      </c>
      <c r="S200">
        <v>2015</v>
      </c>
      <c r="T200" t="s">
        <v>153</v>
      </c>
      <c r="U200" t="s">
        <v>129</v>
      </c>
      <c r="V200">
        <v>651900</v>
      </c>
      <c r="AE200">
        <v>0</v>
      </c>
      <c r="AF200">
        <v>200</v>
      </c>
      <c r="AG200">
        <v>0</v>
      </c>
      <c r="AH200" t="s">
        <v>709</v>
      </c>
      <c r="AI200">
        <v>2</v>
      </c>
      <c r="AK200">
        <v>0</v>
      </c>
      <c r="AL200">
        <v>0</v>
      </c>
      <c r="AM200" t="s">
        <v>710</v>
      </c>
      <c r="AN200" t="s">
        <v>132</v>
      </c>
      <c r="CE20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0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20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00" t="s">
        <v>157</v>
      </c>
      <c r="CI200" t="s">
        <v>176</v>
      </c>
      <c r="CJ200" t="s">
        <v>158</v>
      </c>
      <c r="CL200" s="19">
        <f>IF(Table1[[#This Row],[Type]]="Petroleum",1,IF(ISERROR(Table1[[#This Row],[Well Density]]*Table1[[#This Row],[Single Well Discovery Area]]),"",IF(Table1[[#This Row],[Well Density]]*Table1[[#This Row],[Single Well Discovery Area]]&gt;1,1,Table1[[#This Row],[Well Density]]*Table1[[#This Row],[Single Well Discovery Area]])))</f>
        <v>0</v>
      </c>
      <c r="CM200" t="s">
        <v>158</v>
      </c>
      <c r="CN200" s="19">
        <f>Table1[[#This Row],[Mid]]</f>
        <v>0</v>
      </c>
      <c r="CO200" s="19">
        <f>Table1[[#This Row],[Mid3]]+Table1[[#This Row],[Mid6]]+Table1[[#This Row],[Mid9]]</f>
        <v>0</v>
      </c>
      <c r="CP200" s="19">
        <f>Table1[[#This Row],[Mid12]]+Table1[[#This Row],[Mid15]]+Table1[[#This Row],[Mid18]]+Table1[[#This Row],[Mid21]]+Table1[[#This Row],[Mid24]]</f>
        <v>0</v>
      </c>
      <c r="CQ200" s="19">
        <f>Table1[[#This Row],[Mid27]]+Table1[[#This Row],[Mid30]]+Table1[[#This Row],[Mid33]]+Table1[[#This Row],[Mid36]]+Table1[[#This Row],[Mid39]]</f>
        <v>0</v>
      </c>
      <c r="CR200" t="s">
        <v>471</v>
      </c>
      <c r="CS200" s="19" t="str">
        <f>IF(AND(Table1[[#This Row],[Low41]]=0, Table1[[#This Row],[High43]]=0),"N","Y")</f>
        <v>N</v>
      </c>
    </row>
    <row r="201" spans="1:97" ht="19.5" customHeight="1" x14ac:dyDescent="0.25">
      <c r="A201">
        <v>10198</v>
      </c>
      <c r="B201" t="s">
        <v>516</v>
      </c>
      <c r="C201" t="s">
        <v>836</v>
      </c>
      <c r="D201">
        <v>49.369166669999998</v>
      </c>
      <c r="E201">
        <v>-103.1741667</v>
      </c>
      <c r="F201" t="s">
        <v>877</v>
      </c>
      <c r="G201" t="s">
        <v>595</v>
      </c>
      <c r="H201" t="s">
        <v>878</v>
      </c>
      <c r="I201" t="s">
        <v>582</v>
      </c>
      <c r="J201" t="s">
        <v>202</v>
      </c>
      <c r="K201" t="s">
        <v>203</v>
      </c>
      <c r="L201" t="s">
        <v>121</v>
      </c>
      <c r="M201" t="s">
        <v>616</v>
      </c>
      <c r="N201" s="6" t="s">
        <v>781</v>
      </c>
      <c r="O201" t="s">
        <v>782</v>
      </c>
      <c r="P201" t="s">
        <v>851</v>
      </c>
      <c r="Q201" t="s">
        <v>879</v>
      </c>
      <c r="R201" t="s">
        <v>880</v>
      </c>
      <c r="S201">
        <v>2007</v>
      </c>
      <c r="T201" t="s">
        <v>153</v>
      </c>
      <c r="U201" t="s">
        <v>129</v>
      </c>
      <c r="V201"/>
      <c r="AF201">
        <v>200</v>
      </c>
      <c r="AG201">
        <v>0</v>
      </c>
      <c r="AH201" t="s">
        <v>786</v>
      </c>
      <c r="AK201">
        <v>0</v>
      </c>
      <c r="AL201">
        <v>0</v>
      </c>
      <c r="AM201" t="s">
        <v>787</v>
      </c>
      <c r="AN201" t="s">
        <v>132</v>
      </c>
      <c r="BN201">
        <v>2101</v>
      </c>
      <c r="CE20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01" s="19">
        <f>SUM(Table1[[#This Row],[Mid39]],Table1[[#This Row],[Mid36]],Table1[[#This Row],[Mid33]],Table1[[#This Row],[Mid30]],Table1[[#This Row],[Mid27]],Table1[[#This Row],[Mid24]],Table1[[#This Row],[Mid21]],Table1[[#This Row],[Mid18]],Table1[[#This Row],[Mid15]],Table1[[#This Row],[Mid12]],Table1[[#This Row],[Mid9]],Table1[[#This Row],[Mid6]],Table1[[#This Row],[Mid3]],Table1[[#This Row],[Mid]])</f>
        <v>2101</v>
      </c>
      <c r="CG20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01" t="s">
        <v>157</v>
      </c>
      <c r="CI201" t="s">
        <v>176</v>
      </c>
      <c r="CJ201" t="s">
        <v>158</v>
      </c>
      <c r="CL201" s="19">
        <f>IF(Table1[[#This Row],[Type]]="Petroleum",1,IF(ISERROR(Table1[[#This Row],[Well Density]]*Table1[[#This Row],[Single Well Discovery Area]]),"",IF(Table1[[#This Row],[Well Density]]*Table1[[#This Row],[Single Well Discovery Area]]&gt;1,1,Table1[[#This Row],[Well Density]]*Table1[[#This Row],[Single Well Discovery Area]])))</f>
        <v>1</v>
      </c>
      <c r="CM201" t="s">
        <v>158</v>
      </c>
      <c r="CN201" s="19">
        <f>Table1[[#This Row],[Mid]]</f>
        <v>0</v>
      </c>
      <c r="CO201" s="19">
        <f>Table1[[#This Row],[Mid3]]+Table1[[#This Row],[Mid6]]+Table1[[#This Row],[Mid9]]</f>
        <v>0</v>
      </c>
      <c r="CP201" s="19">
        <f>Table1[[#This Row],[Mid12]]+Table1[[#This Row],[Mid15]]+Table1[[#This Row],[Mid18]]+Table1[[#This Row],[Mid21]]+Table1[[#This Row],[Mid24]]</f>
        <v>2101</v>
      </c>
      <c r="CQ201" s="19">
        <f>Table1[[#This Row],[Mid27]]+Table1[[#This Row],[Mid30]]+Table1[[#This Row],[Mid33]]+Table1[[#This Row],[Mid36]]+Table1[[#This Row],[Mid39]]</f>
        <v>0</v>
      </c>
      <c r="CR201" t="s">
        <v>471</v>
      </c>
      <c r="CS201" s="19" t="str">
        <f>IF(AND(Table1[[#This Row],[Low41]]=0, Table1[[#This Row],[High43]]=0),"N","Y")</f>
        <v>N</v>
      </c>
    </row>
    <row r="202" spans="1:97" ht="19.5" customHeight="1" x14ac:dyDescent="0.25">
      <c r="A202">
        <v>10199</v>
      </c>
      <c r="B202" t="s">
        <v>516</v>
      </c>
      <c r="C202" t="s">
        <v>836</v>
      </c>
      <c r="D202">
        <v>49.47138889</v>
      </c>
      <c r="E202">
        <v>-103.7075</v>
      </c>
      <c r="F202" t="s">
        <v>881</v>
      </c>
      <c r="G202" t="s">
        <v>595</v>
      </c>
      <c r="H202" t="s">
        <v>864</v>
      </c>
      <c r="I202" t="s">
        <v>582</v>
      </c>
      <c r="J202" t="s">
        <v>202</v>
      </c>
      <c r="K202" t="s">
        <v>203</v>
      </c>
      <c r="L202" t="s">
        <v>121</v>
      </c>
      <c r="M202" t="s">
        <v>616</v>
      </c>
      <c r="N202" s="6" t="s">
        <v>781</v>
      </c>
      <c r="O202" t="s">
        <v>882</v>
      </c>
      <c r="P202" t="s">
        <v>851</v>
      </c>
      <c r="Q202" t="s">
        <v>879</v>
      </c>
      <c r="R202" t="s">
        <v>883</v>
      </c>
      <c r="S202">
        <v>2007</v>
      </c>
      <c r="T202" t="s">
        <v>153</v>
      </c>
      <c r="U202" t="s">
        <v>129</v>
      </c>
      <c r="V202"/>
      <c r="AF202">
        <v>200</v>
      </c>
      <c r="AG202">
        <v>0</v>
      </c>
      <c r="AH202" t="s">
        <v>786</v>
      </c>
      <c r="AK202">
        <v>0</v>
      </c>
      <c r="AL202">
        <v>0</v>
      </c>
      <c r="AM202" t="s">
        <v>787</v>
      </c>
      <c r="AN202" t="s">
        <v>132</v>
      </c>
      <c r="BN202">
        <v>1597</v>
      </c>
      <c r="CE20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02" s="19">
        <f>SUM(Table1[[#This Row],[Mid39]],Table1[[#This Row],[Mid36]],Table1[[#This Row],[Mid33]],Table1[[#This Row],[Mid30]],Table1[[#This Row],[Mid27]],Table1[[#This Row],[Mid24]],Table1[[#This Row],[Mid21]],Table1[[#This Row],[Mid18]],Table1[[#This Row],[Mid15]],Table1[[#This Row],[Mid12]],Table1[[#This Row],[Mid9]],Table1[[#This Row],[Mid6]],Table1[[#This Row],[Mid3]],Table1[[#This Row],[Mid]])</f>
        <v>1597</v>
      </c>
      <c r="CG20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02" t="s">
        <v>157</v>
      </c>
      <c r="CI202" t="s">
        <v>176</v>
      </c>
      <c r="CJ202" t="s">
        <v>135</v>
      </c>
      <c r="CL202" s="19">
        <f>IF(Table1[[#This Row],[Type]]="Petroleum",1,IF(ISERROR(Table1[[#This Row],[Well Density]]*Table1[[#This Row],[Single Well Discovery Area]]),"",IF(Table1[[#This Row],[Well Density]]*Table1[[#This Row],[Single Well Discovery Area]]&gt;1,1,Table1[[#This Row],[Well Density]]*Table1[[#This Row],[Single Well Discovery Area]])))</f>
        <v>1</v>
      </c>
      <c r="CM202" t="s">
        <v>135</v>
      </c>
      <c r="CN202" s="19">
        <f>Table1[[#This Row],[Mid]]</f>
        <v>0</v>
      </c>
      <c r="CO202" s="19">
        <f>Table1[[#This Row],[Mid3]]+Table1[[#This Row],[Mid6]]+Table1[[#This Row],[Mid9]]</f>
        <v>0</v>
      </c>
      <c r="CP202" s="19">
        <f>Table1[[#This Row],[Mid12]]+Table1[[#This Row],[Mid15]]+Table1[[#This Row],[Mid18]]+Table1[[#This Row],[Mid21]]+Table1[[#This Row],[Mid24]]</f>
        <v>1597</v>
      </c>
      <c r="CQ202" s="19">
        <f>Table1[[#This Row],[Mid27]]+Table1[[#This Row],[Mid30]]+Table1[[#This Row],[Mid33]]+Table1[[#This Row],[Mid36]]+Table1[[#This Row],[Mid39]]</f>
        <v>0</v>
      </c>
      <c r="CR202" t="s">
        <v>471</v>
      </c>
      <c r="CS202" s="19" t="str">
        <f>IF(AND(Table1[[#This Row],[Low41]]=0, Table1[[#This Row],[High43]]=0),"N","Y")</f>
        <v>N</v>
      </c>
    </row>
    <row r="203" spans="1:97" ht="19.5" customHeight="1" x14ac:dyDescent="0.25">
      <c r="A203">
        <v>10200</v>
      </c>
      <c r="B203" t="s">
        <v>516</v>
      </c>
      <c r="C203" t="s">
        <v>836</v>
      </c>
      <c r="D203">
        <v>49.173888890000001</v>
      </c>
      <c r="E203">
        <v>-102.96166669999999</v>
      </c>
      <c r="F203" t="s">
        <v>884</v>
      </c>
      <c r="G203" t="s">
        <v>595</v>
      </c>
      <c r="H203" t="s">
        <v>864</v>
      </c>
      <c r="I203" t="s">
        <v>582</v>
      </c>
      <c r="J203" t="s">
        <v>202</v>
      </c>
      <c r="K203" t="s">
        <v>203</v>
      </c>
      <c r="L203" t="s">
        <v>121</v>
      </c>
      <c r="M203" t="s">
        <v>616</v>
      </c>
      <c r="N203" s="6" t="s">
        <v>781</v>
      </c>
      <c r="O203" t="s">
        <v>885</v>
      </c>
      <c r="P203" t="s">
        <v>851</v>
      </c>
      <c r="Q203" t="s">
        <v>886</v>
      </c>
      <c r="R203" t="s">
        <v>887</v>
      </c>
      <c r="S203">
        <v>2007</v>
      </c>
      <c r="T203" t="s">
        <v>153</v>
      </c>
      <c r="U203" t="s">
        <v>129</v>
      </c>
      <c r="V203"/>
      <c r="AF203">
        <v>200</v>
      </c>
      <c r="AG203">
        <v>0</v>
      </c>
      <c r="AH203" t="s">
        <v>786</v>
      </c>
      <c r="AK203">
        <v>0</v>
      </c>
      <c r="AL203">
        <v>0</v>
      </c>
      <c r="AM203" t="s">
        <v>787</v>
      </c>
      <c r="AN203" t="s">
        <v>132</v>
      </c>
      <c r="BN203">
        <v>91</v>
      </c>
      <c r="CE20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03" s="19">
        <f>SUM(Table1[[#This Row],[Mid39]],Table1[[#This Row],[Mid36]],Table1[[#This Row],[Mid33]],Table1[[#This Row],[Mid30]],Table1[[#This Row],[Mid27]],Table1[[#This Row],[Mid24]],Table1[[#This Row],[Mid21]],Table1[[#This Row],[Mid18]],Table1[[#This Row],[Mid15]],Table1[[#This Row],[Mid12]],Table1[[#This Row],[Mid9]],Table1[[#This Row],[Mid6]],Table1[[#This Row],[Mid3]],Table1[[#This Row],[Mid]])</f>
        <v>91</v>
      </c>
      <c r="CG20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03" t="s">
        <v>157</v>
      </c>
      <c r="CI203" t="s">
        <v>176</v>
      </c>
      <c r="CJ203" t="s">
        <v>158</v>
      </c>
      <c r="CL203" s="19">
        <f>IF(Table1[[#This Row],[Type]]="Petroleum",1,IF(ISERROR(Table1[[#This Row],[Well Density]]*Table1[[#This Row],[Single Well Discovery Area]]),"",IF(Table1[[#This Row],[Well Density]]*Table1[[#This Row],[Single Well Discovery Area]]&gt;1,1,Table1[[#This Row],[Well Density]]*Table1[[#This Row],[Single Well Discovery Area]])))</f>
        <v>1</v>
      </c>
      <c r="CM203" t="s">
        <v>158</v>
      </c>
      <c r="CN203" s="19">
        <f>Table1[[#This Row],[Mid]]</f>
        <v>0</v>
      </c>
      <c r="CO203" s="19">
        <f>Table1[[#This Row],[Mid3]]+Table1[[#This Row],[Mid6]]+Table1[[#This Row],[Mid9]]</f>
        <v>0</v>
      </c>
      <c r="CP203" s="19">
        <f>Table1[[#This Row],[Mid12]]+Table1[[#This Row],[Mid15]]+Table1[[#This Row],[Mid18]]+Table1[[#This Row],[Mid21]]+Table1[[#This Row],[Mid24]]</f>
        <v>91</v>
      </c>
      <c r="CQ203" s="19">
        <f>Table1[[#This Row],[Mid27]]+Table1[[#This Row],[Mid30]]+Table1[[#This Row],[Mid33]]+Table1[[#This Row],[Mid36]]+Table1[[#This Row],[Mid39]]</f>
        <v>0</v>
      </c>
      <c r="CR203" t="s">
        <v>471</v>
      </c>
      <c r="CS203" s="19" t="str">
        <f>IF(AND(Table1[[#This Row],[Low41]]=0, Table1[[#This Row],[High43]]=0),"N","Y")</f>
        <v>N</v>
      </c>
    </row>
    <row r="204" spans="1:97" ht="19.5" customHeight="1" x14ac:dyDescent="0.25">
      <c r="A204">
        <v>10201</v>
      </c>
      <c r="B204" t="s">
        <v>888</v>
      </c>
      <c r="C204" t="s">
        <v>165</v>
      </c>
      <c r="D204">
        <v>20.548888890000001</v>
      </c>
      <c r="E204">
        <v>109.0447222</v>
      </c>
      <c r="F204" t="s">
        <v>889</v>
      </c>
      <c r="G204" t="s">
        <v>890</v>
      </c>
      <c r="I204" t="s">
        <v>118</v>
      </c>
      <c r="J204" t="s">
        <v>119</v>
      </c>
      <c r="K204" t="s">
        <v>167</v>
      </c>
      <c r="L204" t="s">
        <v>18</v>
      </c>
      <c r="N204" s="6" t="s">
        <v>891</v>
      </c>
      <c r="O204" t="s">
        <v>892</v>
      </c>
      <c r="P204" t="s">
        <v>436</v>
      </c>
      <c r="Q204" t="s">
        <v>893</v>
      </c>
      <c r="R204" t="s">
        <v>894</v>
      </c>
      <c r="S204">
        <v>2009</v>
      </c>
      <c r="T204" t="s">
        <v>207</v>
      </c>
      <c r="U204" t="s">
        <v>173</v>
      </c>
      <c r="V204"/>
      <c r="Z204">
        <v>15</v>
      </c>
      <c r="AF204">
        <v>200</v>
      </c>
      <c r="AG204">
        <v>0</v>
      </c>
      <c r="AK204">
        <v>0</v>
      </c>
      <c r="AL204">
        <v>0</v>
      </c>
      <c r="AN204" t="s">
        <v>132</v>
      </c>
      <c r="CC204">
        <v>23800</v>
      </c>
      <c r="CE20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04" s="19">
        <f>SUM(Table1[[#This Row],[Mid39]],Table1[[#This Row],[Mid36]],Table1[[#This Row],[Mid33]],Table1[[#This Row],[Mid30]],Table1[[#This Row],[Mid27]],Table1[[#This Row],[Mid24]],Table1[[#This Row],[Mid21]],Table1[[#This Row],[Mid18]],Table1[[#This Row],[Mid15]],Table1[[#This Row],[Mid12]],Table1[[#This Row],[Mid9]],Table1[[#This Row],[Mid6]],Table1[[#This Row],[Mid3]],Table1[[#This Row],[Mid]])</f>
        <v>23800</v>
      </c>
      <c r="CG20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04" t="s">
        <v>189</v>
      </c>
      <c r="CJ204" t="s">
        <v>158</v>
      </c>
      <c r="CL204" s="19">
        <f>IF(Table1[[#This Row],[Type]]="Petroleum",1,IF(ISERROR(Table1[[#This Row],[Well Density]]*Table1[[#This Row],[Single Well Discovery Area]]),"",IF(Table1[[#This Row],[Well Density]]*Table1[[#This Row],[Single Well Discovery Area]]&gt;1,1,Table1[[#This Row],[Well Density]]*Table1[[#This Row],[Single Well Discovery Area]])))</f>
        <v>0</v>
      </c>
      <c r="CM204" t="s">
        <v>158</v>
      </c>
      <c r="CN204" s="19">
        <f>Table1[[#This Row],[Mid]]</f>
        <v>0</v>
      </c>
      <c r="CO204" s="19">
        <f>Table1[[#This Row],[Mid3]]+Table1[[#This Row],[Mid6]]+Table1[[#This Row],[Mid9]]</f>
        <v>0</v>
      </c>
      <c r="CP204" s="19">
        <f>Table1[[#This Row],[Mid12]]+Table1[[#This Row],[Mid15]]+Table1[[#This Row],[Mid18]]+Table1[[#This Row],[Mid21]]+Table1[[#This Row],[Mid24]]</f>
        <v>0</v>
      </c>
      <c r="CQ204" s="19">
        <f>Table1[[#This Row],[Mid27]]+Table1[[#This Row],[Mid30]]+Table1[[#This Row],[Mid33]]+Table1[[#This Row],[Mid36]]+Table1[[#This Row],[Mid39]]</f>
        <v>23800</v>
      </c>
      <c r="CR204" t="s">
        <v>439</v>
      </c>
      <c r="CS204" s="19" t="str">
        <f>IF(AND(Table1[[#This Row],[Low41]]=0, Table1[[#This Row],[High43]]=0),"N","Y")</f>
        <v>N</v>
      </c>
    </row>
    <row r="205" spans="1:97" ht="19.5" customHeight="1" x14ac:dyDescent="0.25">
      <c r="A205">
        <v>10202</v>
      </c>
      <c r="B205" t="s">
        <v>888</v>
      </c>
      <c r="C205" t="s">
        <v>165</v>
      </c>
      <c r="D205">
        <v>20.826111109999999</v>
      </c>
      <c r="E205">
        <v>108.6708333</v>
      </c>
      <c r="F205" t="s">
        <v>895</v>
      </c>
      <c r="G205" t="s">
        <v>890</v>
      </c>
      <c r="I205" t="s">
        <v>582</v>
      </c>
      <c r="J205" t="s">
        <v>202</v>
      </c>
      <c r="K205" t="s">
        <v>203</v>
      </c>
      <c r="L205" t="s">
        <v>121</v>
      </c>
      <c r="N205" s="6" t="s">
        <v>891</v>
      </c>
      <c r="O205" t="s">
        <v>892</v>
      </c>
      <c r="P205" t="s">
        <v>436</v>
      </c>
      <c r="Q205" t="s">
        <v>437</v>
      </c>
      <c r="R205" t="s">
        <v>896</v>
      </c>
      <c r="S205">
        <v>2009</v>
      </c>
      <c r="T205" t="s">
        <v>207</v>
      </c>
      <c r="U205" t="s">
        <v>173</v>
      </c>
      <c r="V205"/>
      <c r="AF205">
        <v>200</v>
      </c>
      <c r="AG205">
        <v>0</v>
      </c>
      <c r="AI205">
        <v>75</v>
      </c>
      <c r="AK205">
        <v>0</v>
      </c>
      <c r="AL205">
        <v>0</v>
      </c>
      <c r="AN205" t="s">
        <v>132</v>
      </c>
      <c r="BH205">
        <v>18</v>
      </c>
      <c r="CE20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05" s="19">
        <f>SUM(Table1[[#This Row],[Mid39]],Table1[[#This Row],[Mid36]],Table1[[#This Row],[Mid33]],Table1[[#This Row],[Mid30]],Table1[[#This Row],[Mid27]],Table1[[#This Row],[Mid24]],Table1[[#This Row],[Mid21]],Table1[[#This Row],[Mid18]],Table1[[#This Row],[Mid15]],Table1[[#This Row],[Mid12]],Table1[[#This Row],[Mid9]],Table1[[#This Row],[Mid6]],Table1[[#This Row],[Mid3]],Table1[[#This Row],[Mid]])</f>
        <v>18</v>
      </c>
      <c r="CG20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05" t="s">
        <v>135</v>
      </c>
      <c r="CI205" t="s">
        <v>189</v>
      </c>
      <c r="CJ205" t="s">
        <v>158</v>
      </c>
      <c r="CL205" s="19">
        <f>IF(Table1[[#This Row],[Type]]="Petroleum",1,IF(ISERROR(Table1[[#This Row],[Well Density]]*Table1[[#This Row],[Single Well Discovery Area]]),"",IF(Table1[[#This Row],[Well Density]]*Table1[[#This Row],[Single Well Discovery Area]]&gt;1,1,Table1[[#This Row],[Well Density]]*Table1[[#This Row],[Single Well Discovery Area]])))</f>
        <v>1</v>
      </c>
      <c r="CM205" t="s">
        <v>158</v>
      </c>
      <c r="CN205" s="19">
        <f>Table1[[#This Row],[Mid]]</f>
        <v>0</v>
      </c>
      <c r="CO205" s="19">
        <f>Table1[[#This Row],[Mid3]]+Table1[[#This Row],[Mid6]]+Table1[[#This Row],[Mid9]]</f>
        <v>0</v>
      </c>
      <c r="CP205" s="19">
        <f>Table1[[#This Row],[Mid12]]+Table1[[#This Row],[Mid15]]+Table1[[#This Row],[Mid18]]+Table1[[#This Row],[Mid21]]+Table1[[#This Row],[Mid24]]</f>
        <v>18</v>
      </c>
      <c r="CQ205" s="19">
        <f>Table1[[#This Row],[Mid27]]+Table1[[#This Row],[Mid30]]+Table1[[#This Row],[Mid33]]+Table1[[#This Row],[Mid36]]+Table1[[#This Row],[Mid39]]</f>
        <v>0</v>
      </c>
      <c r="CR205" t="s">
        <v>439</v>
      </c>
      <c r="CS205" s="19" t="str">
        <f>IF(AND(Table1[[#This Row],[Low41]]=0, Table1[[#This Row],[High43]]=0),"N","Y")</f>
        <v>N</v>
      </c>
    </row>
    <row r="206" spans="1:97" ht="19.5" customHeight="1" x14ac:dyDescent="0.25">
      <c r="A206">
        <v>10203</v>
      </c>
      <c r="B206" t="s">
        <v>888</v>
      </c>
      <c r="C206" t="s">
        <v>165</v>
      </c>
      <c r="D206">
        <v>38.813333329999999</v>
      </c>
      <c r="E206">
        <v>119.9233333</v>
      </c>
      <c r="F206" t="s">
        <v>897</v>
      </c>
      <c r="G206" t="s">
        <v>898</v>
      </c>
      <c r="I206" t="s">
        <v>433</v>
      </c>
      <c r="J206" t="s">
        <v>202</v>
      </c>
      <c r="K206" t="s">
        <v>203</v>
      </c>
      <c r="L206" t="s">
        <v>121</v>
      </c>
      <c r="N206" s="6" t="s">
        <v>891</v>
      </c>
      <c r="O206" t="s">
        <v>892</v>
      </c>
      <c r="P206" t="s">
        <v>436</v>
      </c>
      <c r="Q206" t="s">
        <v>437</v>
      </c>
      <c r="R206" t="s">
        <v>899</v>
      </c>
      <c r="S206">
        <v>2009</v>
      </c>
      <c r="T206" t="s">
        <v>207</v>
      </c>
      <c r="U206" t="s">
        <v>173</v>
      </c>
      <c r="V206"/>
      <c r="AF206">
        <v>200</v>
      </c>
      <c r="AG206">
        <v>0</v>
      </c>
      <c r="AI206">
        <v>75</v>
      </c>
      <c r="AK206">
        <v>0</v>
      </c>
      <c r="AL206">
        <v>0</v>
      </c>
      <c r="AN206" t="s">
        <v>132</v>
      </c>
      <c r="BN206">
        <v>46</v>
      </c>
      <c r="CE20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06" s="19">
        <f>SUM(Table1[[#This Row],[Mid39]],Table1[[#This Row],[Mid36]],Table1[[#This Row],[Mid33]],Table1[[#This Row],[Mid30]],Table1[[#This Row],[Mid27]],Table1[[#This Row],[Mid24]],Table1[[#This Row],[Mid21]],Table1[[#This Row],[Mid18]],Table1[[#This Row],[Mid15]],Table1[[#This Row],[Mid12]],Table1[[#This Row],[Mid9]],Table1[[#This Row],[Mid6]],Table1[[#This Row],[Mid3]],Table1[[#This Row],[Mid]])</f>
        <v>46</v>
      </c>
      <c r="CG20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06" t="s">
        <v>135</v>
      </c>
      <c r="CI206" t="s">
        <v>189</v>
      </c>
      <c r="CJ206" t="s">
        <v>158</v>
      </c>
      <c r="CL206" s="19">
        <f>IF(Table1[[#This Row],[Type]]="Petroleum",1,IF(ISERROR(Table1[[#This Row],[Well Density]]*Table1[[#This Row],[Single Well Discovery Area]]),"",IF(Table1[[#This Row],[Well Density]]*Table1[[#This Row],[Single Well Discovery Area]]&gt;1,1,Table1[[#This Row],[Well Density]]*Table1[[#This Row],[Single Well Discovery Area]])))</f>
        <v>1</v>
      </c>
      <c r="CM206" t="s">
        <v>158</v>
      </c>
      <c r="CN206" s="19">
        <f>Table1[[#This Row],[Mid]]</f>
        <v>0</v>
      </c>
      <c r="CO206" s="19">
        <f>Table1[[#This Row],[Mid3]]+Table1[[#This Row],[Mid6]]+Table1[[#This Row],[Mid9]]</f>
        <v>0</v>
      </c>
      <c r="CP206" s="19">
        <f>Table1[[#This Row],[Mid12]]+Table1[[#This Row],[Mid15]]+Table1[[#This Row],[Mid18]]+Table1[[#This Row],[Mid21]]+Table1[[#This Row],[Mid24]]</f>
        <v>46</v>
      </c>
      <c r="CQ206" s="19">
        <f>Table1[[#This Row],[Mid27]]+Table1[[#This Row],[Mid30]]+Table1[[#This Row],[Mid33]]+Table1[[#This Row],[Mid36]]+Table1[[#This Row],[Mid39]]</f>
        <v>0</v>
      </c>
      <c r="CR206" t="s">
        <v>439</v>
      </c>
      <c r="CS206" s="19" t="str">
        <f>IF(AND(Table1[[#This Row],[Low41]]=0, Table1[[#This Row],[High43]]=0),"N","Y")</f>
        <v>N</v>
      </c>
    </row>
    <row r="207" spans="1:97" ht="19.5" customHeight="1" x14ac:dyDescent="0.25">
      <c r="A207">
        <v>10204</v>
      </c>
      <c r="B207" t="s">
        <v>888</v>
      </c>
      <c r="C207" t="s">
        <v>165</v>
      </c>
      <c r="D207">
        <v>38.813333329999999</v>
      </c>
      <c r="E207">
        <v>119.9205556</v>
      </c>
      <c r="F207" t="s">
        <v>900</v>
      </c>
      <c r="G207" t="s">
        <v>898</v>
      </c>
      <c r="I207" t="s">
        <v>582</v>
      </c>
      <c r="J207" t="s">
        <v>202</v>
      </c>
      <c r="K207" t="s">
        <v>203</v>
      </c>
      <c r="L207" t="s">
        <v>121</v>
      </c>
      <c r="N207" s="6" t="s">
        <v>891</v>
      </c>
      <c r="O207" t="s">
        <v>892</v>
      </c>
      <c r="P207" t="s">
        <v>436</v>
      </c>
      <c r="Q207" t="s">
        <v>437</v>
      </c>
      <c r="R207" t="s">
        <v>896</v>
      </c>
      <c r="S207">
        <v>2009</v>
      </c>
      <c r="T207" t="s">
        <v>207</v>
      </c>
      <c r="U207" t="s">
        <v>173</v>
      </c>
      <c r="V207"/>
      <c r="AF207">
        <v>200</v>
      </c>
      <c r="AG207">
        <v>0</v>
      </c>
      <c r="AI207">
        <v>75</v>
      </c>
      <c r="AK207">
        <v>0</v>
      </c>
      <c r="AL207">
        <v>0</v>
      </c>
      <c r="AN207" t="s">
        <v>132</v>
      </c>
      <c r="BH207">
        <v>130</v>
      </c>
      <c r="CE20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07" s="19">
        <f>SUM(Table1[[#This Row],[Mid39]],Table1[[#This Row],[Mid36]],Table1[[#This Row],[Mid33]],Table1[[#This Row],[Mid30]],Table1[[#This Row],[Mid27]],Table1[[#This Row],[Mid24]],Table1[[#This Row],[Mid21]],Table1[[#This Row],[Mid18]],Table1[[#This Row],[Mid15]],Table1[[#This Row],[Mid12]],Table1[[#This Row],[Mid9]],Table1[[#This Row],[Mid6]],Table1[[#This Row],[Mid3]],Table1[[#This Row],[Mid]])</f>
        <v>130</v>
      </c>
      <c r="CG20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07" t="s">
        <v>135</v>
      </c>
      <c r="CI207" t="s">
        <v>189</v>
      </c>
      <c r="CJ207" t="s">
        <v>158</v>
      </c>
      <c r="CL207" s="19">
        <f>IF(Table1[[#This Row],[Type]]="Petroleum",1,IF(ISERROR(Table1[[#This Row],[Well Density]]*Table1[[#This Row],[Single Well Discovery Area]]),"",IF(Table1[[#This Row],[Well Density]]*Table1[[#This Row],[Single Well Discovery Area]]&gt;1,1,Table1[[#This Row],[Well Density]]*Table1[[#This Row],[Single Well Discovery Area]])))</f>
        <v>1</v>
      </c>
      <c r="CM207" t="s">
        <v>158</v>
      </c>
      <c r="CN207" s="19">
        <f>Table1[[#This Row],[Mid]]</f>
        <v>0</v>
      </c>
      <c r="CO207" s="19">
        <f>Table1[[#This Row],[Mid3]]+Table1[[#This Row],[Mid6]]+Table1[[#This Row],[Mid9]]</f>
        <v>0</v>
      </c>
      <c r="CP207" s="19">
        <f>Table1[[#This Row],[Mid12]]+Table1[[#This Row],[Mid15]]+Table1[[#This Row],[Mid18]]+Table1[[#This Row],[Mid21]]+Table1[[#This Row],[Mid24]]</f>
        <v>130</v>
      </c>
      <c r="CQ207" s="19">
        <f>Table1[[#This Row],[Mid27]]+Table1[[#This Row],[Mid30]]+Table1[[#This Row],[Mid33]]+Table1[[#This Row],[Mid36]]+Table1[[#This Row],[Mid39]]</f>
        <v>0</v>
      </c>
      <c r="CR207" t="s">
        <v>439</v>
      </c>
      <c r="CS207" s="19" t="str">
        <f>IF(AND(Table1[[#This Row],[Low41]]=0, Table1[[#This Row],[High43]]=0),"N","Y")</f>
        <v>N</v>
      </c>
    </row>
    <row r="208" spans="1:97" ht="19.5" customHeight="1" x14ac:dyDescent="0.25">
      <c r="A208">
        <v>10205</v>
      </c>
      <c r="B208" t="s">
        <v>888</v>
      </c>
      <c r="C208" t="s">
        <v>165</v>
      </c>
      <c r="D208">
        <v>38.233333330000001</v>
      </c>
      <c r="E208">
        <v>117.7180556</v>
      </c>
      <c r="F208" t="s">
        <v>901</v>
      </c>
      <c r="G208" t="s">
        <v>898</v>
      </c>
      <c r="I208" t="s">
        <v>118</v>
      </c>
      <c r="J208" t="s">
        <v>119</v>
      </c>
      <c r="K208" t="s">
        <v>167</v>
      </c>
      <c r="L208" t="s">
        <v>18</v>
      </c>
      <c r="N208" s="6" t="s">
        <v>891</v>
      </c>
      <c r="O208" t="s">
        <v>892</v>
      </c>
      <c r="P208" t="s">
        <v>436</v>
      </c>
      <c r="Q208" t="s">
        <v>893</v>
      </c>
      <c r="R208" t="s">
        <v>894</v>
      </c>
      <c r="S208">
        <v>2009</v>
      </c>
      <c r="T208" t="s">
        <v>207</v>
      </c>
      <c r="U208" t="s">
        <v>173</v>
      </c>
      <c r="V208"/>
      <c r="Z208">
        <v>20</v>
      </c>
      <c r="AF208">
        <v>200</v>
      </c>
      <c r="AG208">
        <v>0</v>
      </c>
      <c r="AK208">
        <v>0</v>
      </c>
      <c r="AL208">
        <v>0</v>
      </c>
      <c r="AN208" t="s">
        <v>132</v>
      </c>
      <c r="CC208">
        <v>109200</v>
      </c>
      <c r="CE20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08" s="19">
        <f>SUM(Table1[[#This Row],[Mid39]],Table1[[#This Row],[Mid36]],Table1[[#This Row],[Mid33]],Table1[[#This Row],[Mid30]],Table1[[#This Row],[Mid27]],Table1[[#This Row],[Mid24]],Table1[[#This Row],[Mid21]],Table1[[#This Row],[Mid18]],Table1[[#This Row],[Mid15]],Table1[[#This Row],[Mid12]],Table1[[#This Row],[Mid9]],Table1[[#This Row],[Mid6]],Table1[[#This Row],[Mid3]],Table1[[#This Row],[Mid]])</f>
        <v>109200</v>
      </c>
      <c r="CG20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08" t="s">
        <v>189</v>
      </c>
      <c r="CJ208" t="s">
        <v>158</v>
      </c>
      <c r="CL208" s="19">
        <f>IF(Table1[[#This Row],[Type]]="Petroleum",1,IF(ISERROR(Table1[[#This Row],[Well Density]]*Table1[[#This Row],[Single Well Discovery Area]]),"",IF(Table1[[#This Row],[Well Density]]*Table1[[#This Row],[Single Well Discovery Area]]&gt;1,1,Table1[[#This Row],[Well Density]]*Table1[[#This Row],[Single Well Discovery Area]])))</f>
        <v>0</v>
      </c>
      <c r="CM208" t="s">
        <v>158</v>
      </c>
      <c r="CN208" s="19">
        <f>Table1[[#This Row],[Mid]]</f>
        <v>0</v>
      </c>
      <c r="CO208" s="19">
        <f>Table1[[#This Row],[Mid3]]+Table1[[#This Row],[Mid6]]+Table1[[#This Row],[Mid9]]</f>
        <v>0</v>
      </c>
      <c r="CP208" s="19">
        <f>Table1[[#This Row],[Mid12]]+Table1[[#This Row],[Mid15]]+Table1[[#This Row],[Mid18]]+Table1[[#This Row],[Mid21]]+Table1[[#This Row],[Mid24]]</f>
        <v>0</v>
      </c>
      <c r="CQ208" s="19">
        <f>Table1[[#This Row],[Mid27]]+Table1[[#This Row],[Mid30]]+Table1[[#This Row],[Mid33]]+Table1[[#This Row],[Mid36]]+Table1[[#This Row],[Mid39]]</f>
        <v>109200</v>
      </c>
      <c r="CR208" t="s">
        <v>439</v>
      </c>
      <c r="CS208" s="19" t="str">
        <f>IF(AND(Table1[[#This Row],[Low41]]=0, Table1[[#This Row],[High43]]=0),"N","Y")</f>
        <v>N</v>
      </c>
    </row>
    <row r="209" spans="1:97" ht="19.5" customHeight="1" x14ac:dyDescent="0.25">
      <c r="A209">
        <v>10206</v>
      </c>
      <c r="B209" t="s">
        <v>888</v>
      </c>
      <c r="C209" t="s">
        <v>165</v>
      </c>
      <c r="D209">
        <v>29.705555560000001</v>
      </c>
      <c r="E209">
        <v>124.565</v>
      </c>
      <c r="F209" t="s">
        <v>902</v>
      </c>
      <c r="G209" t="s">
        <v>903</v>
      </c>
      <c r="I209" t="s">
        <v>118</v>
      </c>
      <c r="J209" t="s">
        <v>119</v>
      </c>
      <c r="K209" t="s">
        <v>167</v>
      </c>
      <c r="L209" t="s">
        <v>18</v>
      </c>
      <c r="N209" s="6" t="s">
        <v>891</v>
      </c>
      <c r="O209" t="s">
        <v>892</v>
      </c>
      <c r="P209" t="s">
        <v>436</v>
      </c>
      <c r="Q209" t="s">
        <v>893</v>
      </c>
      <c r="R209" t="s">
        <v>894</v>
      </c>
      <c r="S209">
        <v>2009</v>
      </c>
      <c r="T209" t="s">
        <v>207</v>
      </c>
      <c r="U209" t="s">
        <v>173</v>
      </c>
      <c r="V209"/>
      <c r="Z209">
        <v>15</v>
      </c>
      <c r="AF209">
        <v>200</v>
      </c>
      <c r="AG209">
        <v>0</v>
      </c>
      <c r="AK209">
        <v>0</v>
      </c>
      <c r="AL209">
        <v>0</v>
      </c>
      <c r="AN209" t="s">
        <v>132</v>
      </c>
      <c r="CC209">
        <v>341800</v>
      </c>
      <c r="CE20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09" s="19">
        <f>SUM(Table1[[#This Row],[Mid39]],Table1[[#This Row],[Mid36]],Table1[[#This Row],[Mid33]],Table1[[#This Row],[Mid30]],Table1[[#This Row],[Mid27]],Table1[[#This Row],[Mid24]],Table1[[#This Row],[Mid21]],Table1[[#This Row],[Mid18]],Table1[[#This Row],[Mid15]],Table1[[#This Row],[Mid12]],Table1[[#This Row],[Mid9]],Table1[[#This Row],[Mid6]],Table1[[#This Row],[Mid3]],Table1[[#This Row],[Mid]])</f>
        <v>341800</v>
      </c>
      <c r="CG20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09" t="s">
        <v>189</v>
      </c>
      <c r="CJ209" t="s">
        <v>158</v>
      </c>
      <c r="CL209" s="19">
        <f>IF(Table1[[#This Row],[Type]]="Petroleum",1,IF(ISERROR(Table1[[#This Row],[Well Density]]*Table1[[#This Row],[Single Well Discovery Area]]),"",IF(Table1[[#This Row],[Well Density]]*Table1[[#This Row],[Single Well Discovery Area]]&gt;1,1,Table1[[#This Row],[Well Density]]*Table1[[#This Row],[Single Well Discovery Area]])))</f>
        <v>0</v>
      </c>
      <c r="CM209" t="s">
        <v>158</v>
      </c>
      <c r="CN209" s="19">
        <f>Table1[[#This Row],[Mid]]</f>
        <v>0</v>
      </c>
      <c r="CO209" s="19">
        <f>Table1[[#This Row],[Mid3]]+Table1[[#This Row],[Mid6]]+Table1[[#This Row],[Mid9]]</f>
        <v>0</v>
      </c>
      <c r="CP209" s="19">
        <f>Table1[[#This Row],[Mid12]]+Table1[[#This Row],[Mid15]]+Table1[[#This Row],[Mid18]]+Table1[[#This Row],[Mid21]]+Table1[[#This Row],[Mid24]]</f>
        <v>0</v>
      </c>
      <c r="CQ209" s="19">
        <f>Table1[[#This Row],[Mid27]]+Table1[[#This Row],[Mid30]]+Table1[[#This Row],[Mid33]]+Table1[[#This Row],[Mid36]]+Table1[[#This Row],[Mid39]]</f>
        <v>341800</v>
      </c>
      <c r="CR209" t="s">
        <v>439</v>
      </c>
      <c r="CS209" s="19" t="str">
        <f>IF(AND(Table1[[#This Row],[Low41]]=0, Table1[[#This Row],[High43]]=0),"N","Y")</f>
        <v>N</v>
      </c>
    </row>
    <row r="210" spans="1:97" ht="19.5" customHeight="1" x14ac:dyDescent="0.25">
      <c r="A210">
        <v>10207</v>
      </c>
      <c r="B210" t="s">
        <v>888</v>
      </c>
      <c r="C210" t="s">
        <v>165</v>
      </c>
      <c r="D210">
        <v>28.272777779999998</v>
      </c>
      <c r="E210">
        <v>124.155</v>
      </c>
      <c r="F210" t="s">
        <v>904</v>
      </c>
      <c r="G210" t="s">
        <v>903</v>
      </c>
      <c r="I210" t="s">
        <v>433</v>
      </c>
      <c r="J210" t="s">
        <v>202</v>
      </c>
      <c r="K210" t="s">
        <v>203</v>
      </c>
      <c r="L210" t="s">
        <v>121</v>
      </c>
      <c r="N210" s="6" t="s">
        <v>891</v>
      </c>
      <c r="O210" t="s">
        <v>892</v>
      </c>
      <c r="P210" t="s">
        <v>436</v>
      </c>
      <c r="Q210" t="s">
        <v>437</v>
      </c>
      <c r="R210" t="s">
        <v>899</v>
      </c>
      <c r="S210">
        <v>2009</v>
      </c>
      <c r="T210" t="s">
        <v>207</v>
      </c>
      <c r="U210" t="s">
        <v>173</v>
      </c>
      <c r="V210"/>
      <c r="AF210">
        <v>200</v>
      </c>
      <c r="AG210">
        <v>0</v>
      </c>
      <c r="AI210">
        <v>75</v>
      </c>
      <c r="AK210">
        <v>0</v>
      </c>
      <c r="AL210">
        <v>0</v>
      </c>
      <c r="AN210" t="s">
        <v>132</v>
      </c>
      <c r="BN210">
        <v>160</v>
      </c>
      <c r="CE21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10" s="19">
        <f>SUM(Table1[[#This Row],[Mid39]],Table1[[#This Row],[Mid36]],Table1[[#This Row],[Mid33]],Table1[[#This Row],[Mid30]],Table1[[#This Row],[Mid27]],Table1[[#This Row],[Mid24]],Table1[[#This Row],[Mid21]],Table1[[#This Row],[Mid18]],Table1[[#This Row],[Mid15]],Table1[[#This Row],[Mid12]],Table1[[#This Row],[Mid9]],Table1[[#This Row],[Mid6]],Table1[[#This Row],[Mid3]],Table1[[#This Row],[Mid]])</f>
        <v>160</v>
      </c>
      <c r="CG2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10" t="s">
        <v>135</v>
      </c>
      <c r="CI210" t="s">
        <v>189</v>
      </c>
      <c r="CJ210" t="s">
        <v>158</v>
      </c>
      <c r="CL210" s="19">
        <f>IF(Table1[[#This Row],[Type]]="Petroleum",1,IF(ISERROR(Table1[[#This Row],[Well Density]]*Table1[[#This Row],[Single Well Discovery Area]]),"",IF(Table1[[#This Row],[Well Density]]*Table1[[#This Row],[Single Well Discovery Area]]&gt;1,1,Table1[[#This Row],[Well Density]]*Table1[[#This Row],[Single Well Discovery Area]])))</f>
        <v>1</v>
      </c>
      <c r="CM210" t="s">
        <v>158</v>
      </c>
      <c r="CN210" s="19">
        <f>Table1[[#This Row],[Mid]]</f>
        <v>0</v>
      </c>
      <c r="CO210" s="19">
        <f>Table1[[#This Row],[Mid3]]+Table1[[#This Row],[Mid6]]+Table1[[#This Row],[Mid9]]</f>
        <v>0</v>
      </c>
      <c r="CP210" s="19">
        <f>Table1[[#This Row],[Mid12]]+Table1[[#This Row],[Mid15]]+Table1[[#This Row],[Mid18]]+Table1[[#This Row],[Mid21]]+Table1[[#This Row],[Mid24]]</f>
        <v>160</v>
      </c>
      <c r="CQ210" s="19">
        <f>Table1[[#This Row],[Mid27]]+Table1[[#This Row],[Mid30]]+Table1[[#This Row],[Mid33]]+Table1[[#This Row],[Mid36]]+Table1[[#This Row],[Mid39]]</f>
        <v>0</v>
      </c>
      <c r="CR210" t="s">
        <v>439</v>
      </c>
      <c r="CS210" s="19" t="str">
        <f>IF(AND(Table1[[#This Row],[Low41]]=0, Table1[[#This Row],[High43]]=0),"N","Y")</f>
        <v>N</v>
      </c>
    </row>
    <row r="211" spans="1:97" ht="19.5" customHeight="1" x14ac:dyDescent="0.25">
      <c r="A211">
        <v>10208</v>
      </c>
      <c r="B211" t="s">
        <v>888</v>
      </c>
      <c r="C211" t="s">
        <v>165</v>
      </c>
      <c r="D211">
        <v>39.904166670000002</v>
      </c>
      <c r="E211">
        <v>116.42388889999999</v>
      </c>
      <c r="F211" t="s">
        <v>905</v>
      </c>
      <c r="I211" t="s">
        <v>118</v>
      </c>
      <c r="J211" t="s">
        <v>119</v>
      </c>
      <c r="K211" t="s">
        <v>167</v>
      </c>
      <c r="L211" t="s">
        <v>18</v>
      </c>
      <c r="N211" s="6" t="s">
        <v>891</v>
      </c>
      <c r="O211" t="s">
        <v>892</v>
      </c>
      <c r="P211" t="s">
        <v>436</v>
      </c>
      <c r="Q211" t="s">
        <v>893</v>
      </c>
      <c r="R211" t="s">
        <v>894</v>
      </c>
      <c r="S211">
        <v>2009</v>
      </c>
      <c r="T211" t="s">
        <v>207</v>
      </c>
      <c r="U211" t="s">
        <v>173</v>
      </c>
      <c r="V211"/>
      <c r="Z211">
        <v>15</v>
      </c>
      <c r="AF211">
        <v>200</v>
      </c>
      <c r="AG211">
        <v>0</v>
      </c>
      <c r="AK211">
        <v>0</v>
      </c>
      <c r="AL211">
        <v>0</v>
      </c>
      <c r="AN211" t="s">
        <v>132</v>
      </c>
      <c r="CC211">
        <v>1900</v>
      </c>
      <c r="CE21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11" s="19">
        <f>SUM(Table1[[#This Row],[Mid39]],Table1[[#This Row],[Mid36]],Table1[[#This Row],[Mid33]],Table1[[#This Row],[Mid30]],Table1[[#This Row],[Mid27]],Table1[[#This Row],[Mid24]],Table1[[#This Row],[Mid21]],Table1[[#This Row],[Mid18]],Table1[[#This Row],[Mid15]],Table1[[#This Row],[Mid12]],Table1[[#This Row],[Mid9]],Table1[[#This Row],[Mid6]],Table1[[#This Row],[Mid3]],Table1[[#This Row],[Mid]])</f>
        <v>1900</v>
      </c>
      <c r="CG2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11" t="s">
        <v>189</v>
      </c>
      <c r="CJ211" t="s">
        <v>158</v>
      </c>
      <c r="CL211" s="19">
        <f>IF(Table1[[#This Row],[Type]]="Petroleum",1,IF(ISERROR(Table1[[#This Row],[Well Density]]*Table1[[#This Row],[Single Well Discovery Area]]),"",IF(Table1[[#This Row],[Well Density]]*Table1[[#This Row],[Single Well Discovery Area]]&gt;1,1,Table1[[#This Row],[Well Density]]*Table1[[#This Row],[Single Well Discovery Area]])))</f>
        <v>0</v>
      </c>
      <c r="CM211" t="s">
        <v>158</v>
      </c>
      <c r="CN211" s="19">
        <f>Table1[[#This Row],[Mid]]</f>
        <v>0</v>
      </c>
      <c r="CO211" s="19">
        <f>Table1[[#This Row],[Mid3]]+Table1[[#This Row],[Mid6]]+Table1[[#This Row],[Mid9]]</f>
        <v>0</v>
      </c>
      <c r="CP211" s="19">
        <f>Table1[[#This Row],[Mid12]]+Table1[[#This Row],[Mid15]]+Table1[[#This Row],[Mid18]]+Table1[[#This Row],[Mid21]]+Table1[[#This Row],[Mid24]]</f>
        <v>0</v>
      </c>
      <c r="CQ211" s="19">
        <f>Table1[[#This Row],[Mid27]]+Table1[[#This Row],[Mid30]]+Table1[[#This Row],[Mid33]]+Table1[[#This Row],[Mid36]]+Table1[[#This Row],[Mid39]]</f>
        <v>1900</v>
      </c>
      <c r="CR211" t="s">
        <v>439</v>
      </c>
      <c r="CS211" s="19" t="str">
        <f>IF(AND(Table1[[#This Row],[Low41]]=0, Table1[[#This Row],[High43]]=0),"N","Y")</f>
        <v>N</v>
      </c>
    </row>
    <row r="212" spans="1:97" ht="19.5" customHeight="1" x14ac:dyDescent="0.25">
      <c r="A212">
        <v>10209</v>
      </c>
      <c r="B212" t="s">
        <v>888</v>
      </c>
      <c r="C212" t="s">
        <v>165</v>
      </c>
      <c r="D212">
        <v>39.904166670000002</v>
      </c>
      <c r="E212">
        <v>116.4405556</v>
      </c>
      <c r="F212" t="s">
        <v>906</v>
      </c>
      <c r="G212" t="s">
        <v>907</v>
      </c>
      <c r="I212" t="s">
        <v>118</v>
      </c>
      <c r="J212" t="s">
        <v>119</v>
      </c>
      <c r="K212" t="s">
        <v>167</v>
      </c>
      <c r="L212" t="s">
        <v>18</v>
      </c>
      <c r="N212" s="6" t="s">
        <v>891</v>
      </c>
      <c r="O212" t="s">
        <v>892</v>
      </c>
      <c r="P212" t="s">
        <v>436</v>
      </c>
      <c r="Q212" t="s">
        <v>893</v>
      </c>
      <c r="R212" t="s">
        <v>894</v>
      </c>
      <c r="S212">
        <v>2009</v>
      </c>
      <c r="T212" t="s">
        <v>207</v>
      </c>
      <c r="U212" t="s">
        <v>173</v>
      </c>
      <c r="V212"/>
      <c r="Z212">
        <v>20</v>
      </c>
      <c r="AF212">
        <v>200</v>
      </c>
      <c r="AG212">
        <v>0</v>
      </c>
      <c r="AK212">
        <v>0</v>
      </c>
      <c r="AL212">
        <v>0</v>
      </c>
      <c r="AN212" t="s">
        <v>132</v>
      </c>
      <c r="CC212">
        <v>31500</v>
      </c>
      <c r="CE21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12" s="19">
        <f>SUM(Table1[[#This Row],[Mid39]],Table1[[#This Row],[Mid36]],Table1[[#This Row],[Mid33]],Table1[[#This Row],[Mid30]],Table1[[#This Row],[Mid27]],Table1[[#This Row],[Mid24]],Table1[[#This Row],[Mid21]],Table1[[#This Row],[Mid18]],Table1[[#This Row],[Mid15]],Table1[[#This Row],[Mid12]],Table1[[#This Row],[Mid9]],Table1[[#This Row],[Mid6]],Table1[[#This Row],[Mid3]],Table1[[#This Row],[Mid]])</f>
        <v>31500</v>
      </c>
      <c r="CG2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12" t="s">
        <v>189</v>
      </c>
      <c r="CJ212" t="s">
        <v>158</v>
      </c>
      <c r="CL212" s="19">
        <f>IF(Table1[[#This Row],[Type]]="Petroleum",1,IF(ISERROR(Table1[[#This Row],[Well Density]]*Table1[[#This Row],[Single Well Discovery Area]]),"",IF(Table1[[#This Row],[Well Density]]*Table1[[#This Row],[Single Well Discovery Area]]&gt;1,1,Table1[[#This Row],[Well Density]]*Table1[[#This Row],[Single Well Discovery Area]])))</f>
        <v>0</v>
      </c>
      <c r="CM212" t="s">
        <v>158</v>
      </c>
      <c r="CN212" s="19">
        <f>Table1[[#This Row],[Mid]]</f>
        <v>0</v>
      </c>
      <c r="CO212" s="19">
        <f>Table1[[#This Row],[Mid3]]+Table1[[#This Row],[Mid6]]+Table1[[#This Row],[Mid9]]</f>
        <v>0</v>
      </c>
      <c r="CP212" s="19">
        <f>Table1[[#This Row],[Mid12]]+Table1[[#This Row],[Mid15]]+Table1[[#This Row],[Mid18]]+Table1[[#This Row],[Mid21]]+Table1[[#This Row],[Mid24]]</f>
        <v>0</v>
      </c>
      <c r="CQ212" s="19">
        <f>Table1[[#This Row],[Mid27]]+Table1[[#This Row],[Mid30]]+Table1[[#This Row],[Mid33]]+Table1[[#This Row],[Mid36]]+Table1[[#This Row],[Mid39]]</f>
        <v>31500</v>
      </c>
      <c r="CR212" t="s">
        <v>439</v>
      </c>
      <c r="CS212" s="19" t="str">
        <f>IF(AND(Table1[[#This Row],[Low41]]=0, Table1[[#This Row],[High43]]=0),"N","Y")</f>
        <v>N</v>
      </c>
    </row>
    <row r="213" spans="1:97" ht="19.5" customHeight="1" x14ac:dyDescent="0.25">
      <c r="A213">
        <v>10210</v>
      </c>
      <c r="B213" t="s">
        <v>888</v>
      </c>
      <c r="C213" t="s">
        <v>165</v>
      </c>
      <c r="D213">
        <v>20.51583333</v>
      </c>
      <c r="E213">
        <v>114.24055559999999</v>
      </c>
      <c r="F213" t="s">
        <v>908</v>
      </c>
      <c r="G213" t="s">
        <v>909</v>
      </c>
      <c r="I213" t="s">
        <v>118</v>
      </c>
      <c r="J213" t="s">
        <v>119</v>
      </c>
      <c r="K213" t="s">
        <v>167</v>
      </c>
      <c r="L213" t="s">
        <v>18</v>
      </c>
      <c r="N213" s="6" t="s">
        <v>891</v>
      </c>
      <c r="O213" t="s">
        <v>892</v>
      </c>
      <c r="P213" t="s">
        <v>436</v>
      </c>
      <c r="Q213" t="s">
        <v>893</v>
      </c>
      <c r="R213" t="s">
        <v>894</v>
      </c>
      <c r="S213">
        <v>2009</v>
      </c>
      <c r="T213" t="s">
        <v>207</v>
      </c>
      <c r="U213" t="s">
        <v>173</v>
      </c>
      <c r="V213"/>
      <c r="Z213">
        <v>15</v>
      </c>
      <c r="AF213">
        <v>200</v>
      </c>
      <c r="AG213">
        <v>0</v>
      </c>
      <c r="AK213">
        <v>0</v>
      </c>
      <c r="AL213">
        <v>0</v>
      </c>
      <c r="AN213" t="s">
        <v>132</v>
      </c>
      <c r="CC213">
        <v>69700</v>
      </c>
      <c r="CE21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13" s="19">
        <f>SUM(Table1[[#This Row],[Mid39]],Table1[[#This Row],[Mid36]],Table1[[#This Row],[Mid33]],Table1[[#This Row],[Mid30]],Table1[[#This Row],[Mid27]],Table1[[#This Row],[Mid24]],Table1[[#This Row],[Mid21]],Table1[[#This Row],[Mid18]],Table1[[#This Row],[Mid15]],Table1[[#This Row],[Mid12]],Table1[[#This Row],[Mid9]],Table1[[#This Row],[Mid6]],Table1[[#This Row],[Mid3]],Table1[[#This Row],[Mid]])</f>
        <v>69700</v>
      </c>
      <c r="CG2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13" t="s">
        <v>189</v>
      </c>
      <c r="CJ213" t="s">
        <v>158</v>
      </c>
      <c r="CL213" s="19">
        <f>IF(Table1[[#This Row],[Type]]="Petroleum",1,IF(ISERROR(Table1[[#This Row],[Well Density]]*Table1[[#This Row],[Single Well Discovery Area]]),"",IF(Table1[[#This Row],[Well Density]]*Table1[[#This Row],[Single Well Discovery Area]]&gt;1,1,Table1[[#This Row],[Well Density]]*Table1[[#This Row],[Single Well Discovery Area]])))</f>
        <v>0</v>
      </c>
      <c r="CM213" t="s">
        <v>158</v>
      </c>
      <c r="CN213" s="19">
        <f>Table1[[#This Row],[Mid]]</f>
        <v>0</v>
      </c>
      <c r="CO213" s="19">
        <f>Table1[[#This Row],[Mid3]]+Table1[[#This Row],[Mid6]]+Table1[[#This Row],[Mid9]]</f>
        <v>0</v>
      </c>
      <c r="CP213" s="19">
        <f>Table1[[#This Row],[Mid12]]+Table1[[#This Row],[Mid15]]+Table1[[#This Row],[Mid18]]+Table1[[#This Row],[Mid21]]+Table1[[#This Row],[Mid24]]</f>
        <v>0</v>
      </c>
      <c r="CQ213" s="19">
        <f>Table1[[#This Row],[Mid27]]+Table1[[#This Row],[Mid30]]+Table1[[#This Row],[Mid33]]+Table1[[#This Row],[Mid36]]+Table1[[#This Row],[Mid39]]</f>
        <v>69700</v>
      </c>
      <c r="CR213" t="s">
        <v>439</v>
      </c>
      <c r="CS213" s="19" t="str">
        <f>IF(AND(Table1[[#This Row],[Low41]]=0, Table1[[#This Row],[High43]]=0),"N","Y")</f>
        <v>N</v>
      </c>
    </row>
    <row r="214" spans="1:97" ht="19.5" customHeight="1" x14ac:dyDescent="0.25">
      <c r="A214">
        <v>10211</v>
      </c>
      <c r="B214" t="s">
        <v>888</v>
      </c>
      <c r="C214" t="s">
        <v>165</v>
      </c>
      <c r="D214">
        <v>21.00444444</v>
      </c>
      <c r="E214">
        <v>115.6761111</v>
      </c>
      <c r="F214" t="s">
        <v>910</v>
      </c>
      <c r="G214" t="s">
        <v>909</v>
      </c>
      <c r="I214" t="s">
        <v>433</v>
      </c>
      <c r="J214" t="s">
        <v>202</v>
      </c>
      <c r="K214" t="s">
        <v>203</v>
      </c>
      <c r="L214" t="s">
        <v>121</v>
      </c>
      <c r="N214" s="6" t="s">
        <v>891</v>
      </c>
      <c r="O214" t="s">
        <v>892</v>
      </c>
      <c r="P214" t="s">
        <v>436</v>
      </c>
      <c r="Q214" t="s">
        <v>437</v>
      </c>
      <c r="R214" t="s">
        <v>899</v>
      </c>
      <c r="S214">
        <v>2009</v>
      </c>
      <c r="T214" t="s">
        <v>207</v>
      </c>
      <c r="U214" t="s">
        <v>173</v>
      </c>
      <c r="V214"/>
      <c r="AF214">
        <v>200</v>
      </c>
      <c r="AG214">
        <v>0</v>
      </c>
      <c r="AI214">
        <v>75</v>
      </c>
      <c r="AK214">
        <v>0</v>
      </c>
      <c r="AL214">
        <v>0</v>
      </c>
      <c r="AN214" t="s">
        <v>132</v>
      </c>
      <c r="BN214">
        <v>12</v>
      </c>
      <c r="CE21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14" s="19">
        <f>SUM(Table1[[#This Row],[Mid39]],Table1[[#This Row],[Mid36]],Table1[[#This Row],[Mid33]],Table1[[#This Row],[Mid30]],Table1[[#This Row],[Mid27]],Table1[[#This Row],[Mid24]],Table1[[#This Row],[Mid21]],Table1[[#This Row],[Mid18]],Table1[[#This Row],[Mid15]],Table1[[#This Row],[Mid12]],Table1[[#This Row],[Mid9]],Table1[[#This Row],[Mid6]],Table1[[#This Row],[Mid3]],Table1[[#This Row],[Mid]])</f>
        <v>12</v>
      </c>
      <c r="CG2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14" t="s">
        <v>135</v>
      </c>
      <c r="CI214" t="s">
        <v>189</v>
      </c>
      <c r="CJ214" t="s">
        <v>158</v>
      </c>
      <c r="CL214" s="19">
        <f>IF(Table1[[#This Row],[Type]]="Petroleum",1,IF(ISERROR(Table1[[#This Row],[Well Density]]*Table1[[#This Row],[Single Well Discovery Area]]),"",IF(Table1[[#This Row],[Well Density]]*Table1[[#This Row],[Single Well Discovery Area]]&gt;1,1,Table1[[#This Row],[Well Density]]*Table1[[#This Row],[Single Well Discovery Area]])))</f>
        <v>1</v>
      </c>
      <c r="CM214" t="s">
        <v>158</v>
      </c>
      <c r="CN214" s="19">
        <f>Table1[[#This Row],[Mid]]</f>
        <v>0</v>
      </c>
      <c r="CO214" s="19">
        <f>Table1[[#This Row],[Mid3]]+Table1[[#This Row],[Mid6]]+Table1[[#This Row],[Mid9]]</f>
        <v>0</v>
      </c>
      <c r="CP214" s="19">
        <f>Table1[[#This Row],[Mid12]]+Table1[[#This Row],[Mid15]]+Table1[[#This Row],[Mid18]]+Table1[[#This Row],[Mid21]]+Table1[[#This Row],[Mid24]]</f>
        <v>12</v>
      </c>
      <c r="CQ214" s="19">
        <f>Table1[[#This Row],[Mid27]]+Table1[[#This Row],[Mid30]]+Table1[[#This Row],[Mid33]]+Table1[[#This Row],[Mid36]]+Table1[[#This Row],[Mid39]]</f>
        <v>0</v>
      </c>
      <c r="CR214" t="s">
        <v>439</v>
      </c>
      <c r="CS214" s="19" t="str">
        <f>IF(AND(Table1[[#This Row],[Low41]]=0, Table1[[#This Row],[High43]]=0),"N","Y")</f>
        <v>N</v>
      </c>
    </row>
    <row r="215" spans="1:97" ht="19.5" customHeight="1" x14ac:dyDescent="0.25">
      <c r="A215">
        <v>10212</v>
      </c>
      <c r="B215" t="s">
        <v>888</v>
      </c>
      <c r="C215" t="s">
        <v>165</v>
      </c>
      <c r="D215">
        <v>21.00444444</v>
      </c>
      <c r="E215">
        <v>115.6733333</v>
      </c>
      <c r="F215" t="s">
        <v>911</v>
      </c>
      <c r="G215" t="s">
        <v>909</v>
      </c>
      <c r="I215" t="s">
        <v>582</v>
      </c>
      <c r="J215" t="s">
        <v>202</v>
      </c>
      <c r="K215" t="s">
        <v>203</v>
      </c>
      <c r="L215" t="s">
        <v>121</v>
      </c>
      <c r="N215" s="6" t="s">
        <v>891</v>
      </c>
      <c r="O215" t="s">
        <v>892</v>
      </c>
      <c r="P215" t="s">
        <v>436</v>
      </c>
      <c r="Q215" t="s">
        <v>437</v>
      </c>
      <c r="R215" t="s">
        <v>896</v>
      </c>
      <c r="S215">
        <v>2009</v>
      </c>
      <c r="T215" t="s">
        <v>207</v>
      </c>
      <c r="U215" t="s">
        <v>173</v>
      </c>
      <c r="V215"/>
      <c r="AF215">
        <v>200</v>
      </c>
      <c r="AG215">
        <v>0</v>
      </c>
      <c r="AI215">
        <v>75</v>
      </c>
      <c r="AK215">
        <v>0</v>
      </c>
      <c r="AL215">
        <v>0</v>
      </c>
      <c r="AN215" t="s">
        <v>132</v>
      </c>
      <c r="BH215">
        <v>41</v>
      </c>
      <c r="CE21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15" s="19">
        <f>SUM(Table1[[#This Row],[Mid39]],Table1[[#This Row],[Mid36]],Table1[[#This Row],[Mid33]],Table1[[#This Row],[Mid30]],Table1[[#This Row],[Mid27]],Table1[[#This Row],[Mid24]],Table1[[#This Row],[Mid21]],Table1[[#This Row],[Mid18]],Table1[[#This Row],[Mid15]],Table1[[#This Row],[Mid12]],Table1[[#This Row],[Mid9]],Table1[[#This Row],[Mid6]],Table1[[#This Row],[Mid3]],Table1[[#This Row],[Mid]])</f>
        <v>41</v>
      </c>
      <c r="CG2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15" t="s">
        <v>135</v>
      </c>
      <c r="CI215" t="s">
        <v>189</v>
      </c>
      <c r="CJ215" t="s">
        <v>158</v>
      </c>
      <c r="CL215" s="19">
        <f>IF(Table1[[#This Row],[Type]]="Petroleum",1,IF(ISERROR(Table1[[#This Row],[Well Density]]*Table1[[#This Row],[Single Well Discovery Area]]),"",IF(Table1[[#This Row],[Well Density]]*Table1[[#This Row],[Single Well Discovery Area]]&gt;1,1,Table1[[#This Row],[Well Density]]*Table1[[#This Row],[Single Well Discovery Area]])))</f>
        <v>1</v>
      </c>
      <c r="CM215" t="s">
        <v>158</v>
      </c>
      <c r="CN215" s="19">
        <f>Table1[[#This Row],[Mid]]</f>
        <v>0</v>
      </c>
      <c r="CO215" s="19">
        <f>Table1[[#This Row],[Mid3]]+Table1[[#This Row],[Mid6]]+Table1[[#This Row],[Mid9]]</f>
        <v>0</v>
      </c>
      <c r="CP215" s="19">
        <f>Table1[[#This Row],[Mid12]]+Table1[[#This Row],[Mid15]]+Table1[[#This Row],[Mid18]]+Table1[[#This Row],[Mid21]]+Table1[[#This Row],[Mid24]]</f>
        <v>41</v>
      </c>
      <c r="CQ215" s="19">
        <f>Table1[[#This Row],[Mid27]]+Table1[[#This Row],[Mid30]]+Table1[[#This Row],[Mid33]]+Table1[[#This Row],[Mid36]]+Table1[[#This Row],[Mid39]]</f>
        <v>0</v>
      </c>
      <c r="CR215" t="s">
        <v>439</v>
      </c>
      <c r="CS215" s="19" t="str">
        <f>IF(AND(Table1[[#This Row],[Low41]]=0, Table1[[#This Row],[High43]]=0),"N","Y")</f>
        <v>N</v>
      </c>
    </row>
    <row r="216" spans="1:97" ht="19.5" customHeight="1" x14ac:dyDescent="0.25">
      <c r="A216">
        <v>10213</v>
      </c>
      <c r="B216" t="s">
        <v>888</v>
      </c>
      <c r="C216" t="s">
        <v>165</v>
      </c>
      <c r="D216">
        <v>34.772500000000001</v>
      </c>
      <c r="E216">
        <v>122.92638890000001</v>
      </c>
      <c r="F216" t="s">
        <v>912</v>
      </c>
      <c r="G216" t="s">
        <v>907</v>
      </c>
      <c r="I216" t="s">
        <v>118</v>
      </c>
      <c r="J216" t="s">
        <v>119</v>
      </c>
      <c r="K216" t="s">
        <v>167</v>
      </c>
      <c r="L216" t="s">
        <v>18</v>
      </c>
      <c r="N216" s="6" t="s">
        <v>891</v>
      </c>
      <c r="O216" t="s">
        <v>892</v>
      </c>
      <c r="P216" t="s">
        <v>436</v>
      </c>
      <c r="Q216" t="s">
        <v>893</v>
      </c>
      <c r="R216" t="s">
        <v>894</v>
      </c>
      <c r="S216">
        <v>2009</v>
      </c>
      <c r="T216" t="s">
        <v>207</v>
      </c>
      <c r="U216" t="s">
        <v>173</v>
      </c>
      <c r="V216"/>
      <c r="Z216">
        <v>15</v>
      </c>
      <c r="AF216">
        <v>200</v>
      </c>
      <c r="AG216">
        <v>0</v>
      </c>
      <c r="AK216">
        <v>0</v>
      </c>
      <c r="AL216">
        <v>0</v>
      </c>
      <c r="AN216" t="s">
        <v>132</v>
      </c>
      <c r="CC216">
        <v>133800</v>
      </c>
      <c r="CE21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16" s="19">
        <f>SUM(Table1[[#This Row],[Mid39]],Table1[[#This Row],[Mid36]],Table1[[#This Row],[Mid33]],Table1[[#This Row],[Mid30]],Table1[[#This Row],[Mid27]],Table1[[#This Row],[Mid24]],Table1[[#This Row],[Mid21]],Table1[[#This Row],[Mid18]],Table1[[#This Row],[Mid15]],Table1[[#This Row],[Mid12]],Table1[[#This Row],[Mid9]],Table1[[#This Row],[Mid6]],Table1[[#This Row],[Mid3]],Table1[[#This Row],[Mid]])</f>
        <v>133800</v>
      </c>
      <c r="CG2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16" t="s">
        <v>189</v>
      </c>
      <c r="CJ216" t="s">
        <v>158</v>
      </c>
      <c r="CL216" s="19">
        <f>IF(Table1[[#This Row],[Type]]="Petroleum",1,IF(ISERROR(Table1[[#This Row],[Well Density]]*Table1[[#This Row],[Single Well Discovery Area]]),"",IF(Table1[[#This Row],[Well Density]]*Table1[[#This Row],[Single Well Discovery Area]]&gt;1,1,Table1[[#This Row],[Well Density]]*Table1[[#This Row],[Single Well Discovery Area]])))</f>
        <v>0</v>
      </c>
      <c r="CM216" t="s">
        <v>158</v>
      </c>
      <c r="CN216" s="19">
        <f>Table1[[#This Row],[Mid]]</f>
        <v>0</v>
      </c>
      <c r="CO216" s="19">
        <f>Table1[[#This Row],[Mid3]]+Table1[[#This Row],[Mid6]]+Table1[[#This Row],[Mid9]]</f>
        <v>0</v>
      </c>
      <c r="CP216" s="19">
        <f>Table1[[#This Row],[Mid12]]+Table1[[#This Row],[Mid15]]+Table1[[#This Row],[Mid18]]+Table1[[#This Row],[Mid21]]+Table1[[#This Row],[Mid24]]</f>
        <v>0</v>
      </c>
      <c r="CQ216" s="19">
        <f>Table1[[#This Row],[Mid27]]+Table1[[#This Row],[Mid30]]+Table1[[#This Row],[Mid33]]+Table1[[#This Row],[Mid36]]+Table1[[#This Row],[Mid39]]</f>
        <v>133800</v>
      </c>
      <c r="CR216" t="s">
        <v>439</v>
      </c>
      <c r="CS216" s="19" t="str">
        <f>IF(AND(Table1[[#This Row],[Low41]]=0, Table1[[#This Row],[High43]]=0),"N","Y")</f>
        <v>N</v>
      </c>
    </row>
    <row r="217" spans="1:97" ht="19.5" customHeight="1" x14ac:dyDescent="0.25">
      <c r="A217">
        <v>10214</v>
      </c>
      <c r="B217" t="s">
        <v>888</v>
      </c>
      <c r="C217" t="s">
        <v>165</v>
      </c>
      <c r="D217">
        <v>23.287777779999999</v>
      </c>
      <c r="E217">
        <v>119.59222219999999</v>
      </c>
      <c r="F217" t="s">
        <v>913</v>
      </c>
      <c r="G217" t="s">
        <v>914</v>
      </c>
      <c r="I217" t="s">
        <v>118</v>
      </c>
      <c r="J217" t="s">
        <v>119</v>
      </c>
      <c r="K217" t="s">
        <v>167</v>
      </c>
      <c r="L217" t="s">
        <v>18</v>
      </c>
      <c r="N217" s="6" t="s">
        <v>891</v>
      </c>
      <c r="O217" t="s">
        <v>892</v>
      </c>
      <c r="P217" t="s">
        <v>436</v>
      </c>
      <c r="Q217" t="s">
        <v>893</v>
      </c>
      <c r="R217" t="s">
        <v>894</v>
      </c>
      <c r="S217">
        <v>2009</v>
      </c>
      <c r="T217" t="s">
        <v>207</v>
      </c>
      <c r="U217" t="s">
        <v>173</v>
      </c>
      <c r="V217"/>
      <c r="Z217">
        <v>10</v>
      </c>
      <c r="AF217">
        <v>200</v>
      </c>
      <c r="AG217">
        <v>0</v>
      </c>
      <c r="AK217">
        <v>0</v>
      </c>
      <c r="AL217">
        <v>0</v>
      </c>
      <c r="AN217" t="s">
        <v>132</v>
      </c>
      <c r="CC217">
        <v>11000</v>
      </c>
      <c r="CE21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17" s="19">
        <f>SUM(Table1[[#This Row],[Mid39]],Table1[[#This Row],[Mid36]],Table1[[#This Row],[Mid33]],Table1[[#This Row],[Mid30]],Table1[[#This Row],[Mid27]],Table1[[#This Row],[Mid24]],Table1[[#This Row],[Mid21]],Table1[[#This Row],[Mid18]],Table1[[#This Row],[Mid15]],Table1[[#This Row],[Mid12]],Table1[[#This Row],[Mid9]],Table1[[#This Row],[Mid6]],Table1[[#This Row],[Mid3]],Table1[[#This Row],[Mid]])</f>
        <v>11000</v>
      </c>
      <c r="CG2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17" t="s">
        <v>189</v>
      </c>
      <c r="CJ217" t="s">
        <v>158</v>
      </c>
      <c r="CL217" s="19">
        <f>IF(Table1[[#This Row],[Type]]="Petroleum",1,IF(ISERROR(Table1[[#This Row],[Well Density]]*Table1[[#This Row],[Single Well Discovery Area]]),"",IF(Table1[[#This Row],[Well Density]]*Table1[[#This Row],[Single Well Discovery Area]]&gt;1,1,Table1[[#This Row],[Well Density]]*Table1[[#This Row],[Single Well Discovery Area]])))</f>
        <v>0</v>
      </c>
      <c r="CM217" t="s">
        <v>158</v>
      </c>
      <c r="CN217" s="19">
        <f>Table1[[#This Row],[Mid]]</f>
        <v>0</v>
      </c>
      <c r="CO217" s="19">
        <f>Table1[[#This Row],[Mid3]]+Table1[[#This Row],[Mid6]]+Table1[[#This Row],[Mid9]]</f>
        <v>0</v>
      </c>
      <c r="CP217" s="19">
        <f>Table1[[#This Row],[Mid12]]+Table1[[#This Row],[Mid15]]+Table1[[#This Row],[Mid18]]+Table1[[#This Row],[Mid21]]+Table1[[#This Row],[Mid24]]</f>
        <v>0</v>
      </c>
      <c r="CQ217" s="19">
        <f>Table1[[#This Row],[Mid27]]+Table1[[#This Row],[Mid30]]+Table1[[#This Row],[Mid33]]+Table1[[#This Row],[Mid36]]+Table1[[#This Row],[Mid39]]</f>
        <v>11000</v>
      </c>
      <c r="CR217" t="s">
        <v>439</v>
      </c>
      <c r="CS217" s="19" t="str">
        <f>IF(AND(Table1[[#This Row],[Low41]]=0, Table1[[#This Row],[High43]]=0),"N","Y")</f>
        <v>N</v>
      </c>
    </row>
    <row r="218" spans="1:97" ht="19.5" customHeight="1" x14ac:dyDescent="0.25">
      <c r="A218">
        <v>10215</v>
      </c>
      <c r="B218" t="s">
        <v>888</v>
      </c>
      <c r="C218" t="s">
        <v>165</v>
      </c>
      <c r="D218">
        <v>17.67055556</v>
      </c>
      <c r="E218">
        <v>110.3952778</v>
      </c>
      <c r="F218" t="s">
        <v>915</v>
      </c>
      <c r="G218" t="s">
        <v>916</v>
      </c>
      <c r="I218" t="s">
        <v>118</v>
      </c>
      <c r="J218" t="s">
        <v>119</v>
      </c>
      <c r="K218" t="s">
        <v>167</v>
      </c>
      <c r="L218" t="s">
        <v>18</v>
      </c>
      <c r="N218" s="6" t="s">
        <v>891</v>
      </c>
      <c r="O218" t="s">
        <v>892</v>
      </c>
      <c r="P218" t="s">
        <v>436</v>
      </c>
      <c r="Q218" t="s">
        <v>893</v>
      </c>
      <c r="R218" t="s">
        <v>894</v>
      </c>
      <c r="S218">
        <v>2009</v>
      </c>
      <c r="T218" t="s">
        <v>207</v>
      </c>
      <c r="U218" t="s">
        <v>173</v>
      </c>
      <c r="V218"/>
      <c r="Z218">
        <v>15</v>
      </c>
      <c r="AF218">
        <v>200</v>
      </c>
      <c r="AG218">
        <v>0</v>
      </c>
      <c r="AK218">
        <v>0</v>
      </c>
      <c r="AL218">
        <v>0</v>
      </c>
      <c r="AN218" t="s">
        <v>132</v>
      </c>
      <c r="CC218">
        <v>56000</v>
      </c>
      <c r="CE21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18" s="19">
        <f>SUM(Table1[[#This Row],[Mid39]],Table1[[#This Row],[Mid36]],Table1[[#This Row],[Mid33]],Table1[[#This Row],[Mid30]],Table1[[#This Row],[Mid27]],Table1[[#This Row],[Mid24]],Table1[[#This Row],[Mid21]],Table1[[#This Row],[Mid18]],Table1[[#This Row],[Mid15]],Table1[[#This Row],[Mid12]],Table1[[#This Row],[Mid9]],Table1[[#This Row],[Mid6]],Table1[[#This Row],[Mid3]],Table1[[#This Row],[Mid]])</f>
        <v>56000</v>
      </c>
      <c r="CG21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18" t="s">
        <v>189</v>
      </c>
      <c r="CJ218" t="s">
        <v>158</v>
      </c>
      <c r="CL218" s="19">
        <f>IF(Table1[[#This Row],[Type]]="Petroleum",1,IF(ISERROR(Table1[[#This Row],[Well Density]]*Table1[[#This Row],[Single Well Discovery Area]]),"",IF(Table1[[#This Row],[Well Density]]*Table1[[#This Row],[Single Well Discovery Area]]&gt;1,1,Table1[[#This Row],[Well Density]]*Table1[[#This Row],[Single Well Discovery Area]])))</f>
        <v>0</v>
      </c>
      <c r="CM218" t="s">
        <v>158</v>
      </c>
      <c r="CN218" s="19">
        <f>Table1[[#This Row],[Mid]]</f>
        <v>0</v>
      </c>
      <c r="CO218" s="19">
        <f>Table1[[#This Row],[Mid3]]+Table1[[#This Row],[Mid6]]+Table1[[#This Row],[Mid9]]</f>
        <v>0</v>
      </c>
      <c r="CP218" s="19">
        <f>Table1[[#This Row],[Mid12]]+Table1[[#This Row],[Mid15]]+Table1[[#This Row],[Mid18]]+Table1[[#This Row],[Mid21]]+Table1[[#This Row],[Mid24]]</f>
        <v>0</v>
      </c>
      <c r="CQ218" s="19">
        <f>Table1[[#This Row],[Mid27]]+Table1[[#This Row],[Mid30]]+Table1[[#This Row],[Mid33]]+Table1[[#This Row],[Mid36]]+Table1[[#This Row],[Mid39]]</f>
        <v>56000</v>
      </c>
      <c r="CR218" t="s">
        <v>439</v>
      </c>
      <c r="CS218" s="19" t="str">
        <f>IF(AND(Table1[[#This Row],[Low41]]=0, Table1[[#This Row],[High43]]=0),"N","Y")</f>
        <v>N</v>
      </c>
    </row>
    <row r="219" spans="1:97" ht="19.5" customHeight="1" x14ac:dyDescent="0.25">
      <c r="A219">
        <v>10216</v>
      </c>
      <c r="B219" t="s">
        <v>888</v>
      </c>
      <c r="C219" t="s">
        <v>165</v>
      </c>
      <c r="D219">
        <v>17.661944439999999</v>
      </c>
      <c r="E219">
        <v>108.3152778</v>
      </c>
      <c r="F219" t="s">
        <v>917</v>
      </c>
      <c r="G219" t="s">
        <v>916</v>
      </c>
      <c r="I219" t="s">
        <v>433</v>
      </c>
      <c r="J219" t="s">
        <v>202</v>
      </c>
      <c r="K219" t="s">
        <v>203</v>
      </c>
      <c r="L219" t="s">
        <v>121</v>
      </c>
      <c r="N219" s="6" t="s">
        <v>891</v>
      </c>
      <c r="O219" t="s">
        <v>892</v>
      </c>
      <c r="P219" t="s">
        <v>436</v>
      </c>
      <c r="Q219" t="s">
        <v>437</v>
      </c>
      <c r="R219" t="s">
        <v>899</v>
      </c>
      <c r="S219">
        <v>2009</v>
      </c>
      <c r="T219" t="s">
        <v>207</v>
      </c>
      <c r="U219" t="s">
        <v>173</v>
      </c>
      <c r="V219"/>
      <c r="AF219">
        <v>200</v>
      </c>
      <c r="AG219">
        <v>0</v>
      </c>
      <c r="AI219">
        <v>75</v>
      </c>
      <c r="AK219">
        <v>0</v>
      </c>
      <c r="AL219">
        <v>0</v>
      </c>
      <c r="AN219" t="s">
        <v>132</v>
      </c>
      <c r="BN219">
        <v>680</v>
      </c>
      <c r="CE21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19" s="19">
        <f>SUM(Table1[[#This Row],[Mid39]],Table1[[#This Row],[Mid36]],Table1[[#This Row],[Mid33]],Table1[[#This Row],[Mid30]],Table1[[#This Row],[Mid27]],Table1[[#This Row],[Mid24]],Table1[[#This Row],[Mid21]],Table1[[#This Row],[Mid18]],Table1[[#This Row],[Mid15]],Table1[[#This Row],[Mid12]],Table1[[#This Row],[Mid9]],Table1[[#This Row],[Mid6]],Table1[[#This Row],[Mid3]],Table1[[#This Row],[Mid]])</f>
        <v>680</v>
      </c>
      <c r="CG2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19" t="s">
        <v>135</v>
      </c>
      <c r="CI219" t="s">
        <v>189</v>
      </c>
      <c r="CJ219" t="s">
        <v>158</v>
      </c>
      <c r="CL219" s="19">
        <f>IF(Table1[[#This Row],[Type]]="Petroleum",1,IF(ISERROR(Table1[[#This Row],[Well Density]]*Table1[[#This Row],[Single Well Discovery Area]]),"",IF(Table1[[#This Row],[Well Density]]*Table1[[#This Row],[Single Well Discovery Area]]&gt;1,1,Table1[[#This Row],[Well Density]]*Table1[[#This Row],[Single Well Discovery Area]])))</f>
        <v>1</v>
      </c>
      <c r="CM219" t="s">
        <v>158</v>
      </c>
      <c r="CN219" s="19">
        <f>Table1[[#This Row],[Mid]]</f>
        <v>0</v>
      </c>
      <c r="CO219" s="19">
        <f>Table1[[#This Row],[Mid3]]+Table1[[#This Row],[Mid6]]+Table1[[#This Row],[Mid9]]</f>
        <v>0</v>
      </c>
      <c r="CP219" s="19">
        <f>Table1[[#This Row],[Mid12]]+Table1[[#This Row],[Mid15]]+Table1[[#This Row],[Mid18]]+Table1[[#This Row],[Mid21]]+Table1[[#This Row],[Mid24]]</f>
        <v>680</v>
      </c>
      <c r="CQ219" s="19">
        <f>Table1[[#This Row],[Mid27]]+Table1[[#This Row],[Mid30]]+Table1[[#This Row],[Mid33]]+Table1[[#This Row],[Mid36]]+Table1[[#This Row],[Mid39]]</f>
        <v>0</v>
      </c>
      <c r="CR219" t="s">
        <v>439</v>
      </c>
      <c r="CS219" s="19" t="str">
        <f>IF(AND(Table1[[#This Row],[Low41]]=0, Table1[[#This Row],[High43]]=0),"N","Y")</f>
        <v>N</v>
      </c>
    </row>
    <row r="220" spans="1:97" ht="19.5" customHeight="1" x14ac:dyDescent="0.25">
      <c r="A220">
        <v>10217</v>
      </c>
      <c r="B220" t="s">
        <v>888</v>
      </c>
      <c r="C220" t="s">
        <v>223</v>
      </c>
      <c r="D220">
        <v>38.233333330000001</v>
      </c>
      <c r="E220">
        <v>117.7208333</v>
      </c>
      <c r="F220" t="s">
        <v>918</v>
      </c>
      <c r="G220" t="s">
        <v>898</v>
      </c>
      <c r="I220" t="s">
        <v>118</v>
      </c>
      <c r="J220" t="s">
        <v>119</v>
      </c>
      <c r="K220" t="s">
        <v>167</v>
      </c>
      <c r="L220" t="s">
        <v>18</v>
      </c>
      <c r="N220" s="6" t="s">
        <v>891</v>
      </c>
      <c r="O220" t="s">
        <v>892</v>
      </c>
      <c r="P220" t="s">
        <v>436</v>
      </c>
      <c r="Q220" t="s">
        <v>893</v>
      </c>
      <c r="R220" t="s">
        <v>894</v>
      </c>
      <c r="S220">
        <v>2009</v>
      </c>
      <c r="T220" t="s">
        <v>207</v>
      </c>
      <c r="U220" t="s">
        <v>173</v>
      </c>
      <c r="V220"/>
      <c r="Z220">
        <v>20</v>
      </c>
      <c r="AF220">
        <v>200</v>
      </c>
      <c r="AG220">
        <v>0</v>
      </c>
      <c r="AK220">
        <v>0</v>
      </c>
      <c r="AL220">
        <v>0</v>
      </c>
      <c r="AN220" t="s">
        <v>132</v>
      </c>
      <c r="CC220">
        <v>208100</v>
      </c>
      <c r="CE22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20" s="19">
        <f>SUM(Table1[[#This Row],[Mid39]],Table1[[#This Row],[Mid36]],Table1[[#This Row],[Mid33]],Table1[[#This Row],[Mid30]],Table1[[#This Row],[Mid27]],Table1[[#This Row],[Mid24]],Table1[[#This Row],[Mid21]],Table1[[#This Row],[Mid18]],Table1[[#This Row],[Mid15]],Table1[[#This Row],[Mid12]],Table1[[#This Row],[Mid9]],Table1[[#This Row],[Mid6]],Table1[[#This Row],[Mid3]],Table1[[#This Row],[Mid]])</f>
        <v>208100</v>
      </c>
      <c r="CG2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20" t="s">
        <v>189</v>
      </c>
      <c r="CJ220" t="s">
        <v>158</v>
      </c>
      <c r="CL220" s="19">
        <f>IF(Table1[[#This Row],[Type]]="Petroleum",1,IF(ISERROR(Table1[[#This Row],[Well Density]]*Table1[[#This Row],[Single Well Discovery Area]]),"",IF(Table1[[#This Row],[Well Density]]*Table1[[#This Row],[Single Well Discovery Area]]&gt;1,1,Table1[[#This Row],[Well Density]]*Table1[[#This Row],[Single Well Discovery Area]])))</f>
        <v>0</v>
      </c>
      <c r="CM220" t="s">
        <v>158</v>
      </c>
      <c r="CN220" s="19">
        <f>Table1[[#This Row],[Mid]]</f>
        <v>0</v>
      </c>
      <c r="CO220" s="19">
        <f>Table1[[#This Row],[Mid3]]+Table1[[#This Row],[Mid6]]+Table1[[#This Row],[Mid9]]</f>
        <v>0</v>
      </c>
      <c r="CP220" s="19">
        <f>Table1[[#This Row],[Mid12]]+Table1[[#This Row],[Mid15]]+Table1[[#This Row],[Mid18]]+Table1[[#This Row],[Mid21]]+Table1[[#This Row],[Mid24]]</f>
        <v>0</v>
      </c>
      <c r="CQ220" s="19">
        <f>Table1[[#This Row],[Mid27]]+Table1[[#This Row],[Mid30]]+Table1[[#This Row],[Mid33]]+Table1[[#This Row],[Mid36]]+Table1[[#This Row],[Mid39]]</f>
        <v>208100</v>
      </c>
      <c r="CR220" t="s">
        <v>439</v>
      </c>
      <c r="CS220" s="19" t="str">
        <f>IF(AND(Table1[[#This Row],[Low41]]=0, Table1[[#This Row],[High43]]=0),"N","Y")</f>
        <v>N</v>
      </c>
    </row>
    <row r="221" spans="1:97" ht="19.5" customHeight="1" x14ac:dyDescent="0.25">
      <c r="A221">
        <v>10218</v>
      </c>
      <c r="B221" t="s">
        <v>888</v>
      </c>
      <c r="C221" t="s">
        <v>223</v>
      </c>
      <c r="D221">
        <v>40.166944440000002</v>
      </c>
      <c r="E221">
        <v>116.545</v>
      </c>
      <c r="F221" t="s">
        <v>919</v>
      </c>
      <c r="G221" t="s">
        <v>898</v>
      </c>
      <c r="I221" t="s">
        <v>433</v>
      </c>
      <c r="J221" t="s">
        <v>202</v>
      </c>
      <c r="K221" t="s">
        <v>203</v>
      </c>
      <c r="L221" t="s">
        <v>121</v>
      </c>
      <c r="N221" s="6" t="s">
        <v>891</v>
      </c>
      <c r="O221" t="s">
        <v>892</v>
      </c>
      <c r="P221" t="s">
        <v>436</v>
      </c>
      <c r="Q221" t="s">
        <v>437</v>
      </c>
      <c r="R221" t="s">
        <v>899</v>
      </c>
      <c r="S221">
        <v>2009</v>
      </c>
      <c r="T221" t="s">
        <v>207</v>
      </c>
      <c r="U221" t="s">
        <v>173</v>
      </c>
      <c r="V221"/>
      <c r="AF221">
        <v>200</v>
      </c>
      <c r="AG221">
        <v>0</v>
      </c>
      <c r="AI221">
        <v>75</v>
      </c>
      <c r="AK221">
        <v>0</v>
      </c>
      <c r="AL221">
        <v>0</v>
      </c>
      <c r="AN221" t="s">
        <v>132</v>
      </c>
      <c r="BN221">
        <v>200</v>
      </c>
      <c r="CE22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21" s="19">
        <f>SUM(Table1[[#This Row],[Mid39]],Table1[[#This Row],[Mid36]],Table1[[#This Row],[Mid33]],Table1[[#This Row],[Mid30]],Table1[[#This Row],[Mid27]],Table1[[#This Row],[Mid24]],Table1[[#This Row],[Mid21]],Table1[[#This Row],[Mid18]],Table1[[#This Row],[Mid15]],Table1[[#This Row],[Mid12]],Table1[[#This Row],[Mid9]],Table1[[#This Row],[Mid6]],Table1[[#This Row],[Mid3]],Table1[[#This Row],[Mid]])</f>
        <v>200</v>
      </c>
      <c r="CG2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21" t="s">
        <v>135</v>
      </c>
      <c r="CI221" t="s">
        <v>189</v>
      </c>
      <c r="CJ221" t="s">
        <v>158</v>
      </c>
      <c r="CL221" s="19">
        <f>IF(Table1[[#This Row],[Type]]="Petroleum",1,IF(ISERROR(Table1[[#This Row],[Well Density]]*Table1[[#This Row],[Single Well Discovery Area]]),"",IF(Table1[[#This Row],[Well Density]]*Table1[[#This Row],[Single Well Discovery Area]]&gt;1,1,Table1[[#This Row],[Well Density]]*Table1[[#This Row],[Single Well Discovery Area]])))</f>
        <v>1</v>
      </c>
      <c r="CM221" t="s">
        <v>158</v>
      </c>
      <c r="CN221" s="19">
        <f>Table1[[#This Row],[Mid]]</f>
        <v>0</v>
      </c>
      <c r="CO221" s="19">
        <f>Table1[[#This Row],[Mid3]]+Table1[[#This Row],[Mid6]]+Table1[[#This Row],[Mid9]]</f>
        <v>0</v>
      </c>
      <c r="CP221" s="19">
        <f>Table1[[#This Row],[Mid12]]+Table1[[#This Row],[Mid15]]+Table1[[#This Row],[Mid18]]+Table1[[#This Row],[Mid21]]+Table1[[#This Row],[Mid24]]</f>
        <v>200</v>
      </c>
      <c r="CQ221" s="19">
        <f>Table1[[#This Row],[Mid27]]+Table1[[#This Row],[Mid30]]+Table1[[#This Row],[Mid33]]+Table1[[#This Row],[Mid36]]+Table1[[#This Row],[Mid39]]</f>
        <v>0</v>
      </c>
      <c r="CR221" t="s">
        <v>439</v>
      </c>
      <c r="CS221" s="19" t="str">
        <f>IF(AND(Table1[[#This Row],[Low41]]=0, Table1[[#This Row],[High43]]=0),"N","Y")</f>
        <v>N</v>
      </c>
    </row>
    <row r="222" spans="1:97" ht="19.5" customHeight="1" x14ac:dyDescent="0.25">
      <c r="A222">
        <v>10219</v>
      </c>
      <c r="B222" t="s">
        <v>888</v>
      </c>
      <c r="C222" t="s">
        <v>223</v>
      </c>
      <c r="D222">
        <v>40.166944440000002</v>
      </c>
      <c r="E222">
        <v>116.5422222</v>
      </c>
      <c r="F222" t="s">
        <v>920</v>
      </c>
      <c r="G222" t="s">
        <v>898</v>
      </c>
      <c r="I222" t="s">
        <v>582</v>
      </c>
      <c r="J222" t="s">
        <v>202</v>
      </c>
      <c r="K222" t="s">
        <v>203</v>
      </c>
      <c r="L222" t="s">
        <v>121</v>
      </c>
      <c r="N222" s="6" t="s">
        <v>891</v>
      </c>
      <c r="O222" t="s">
        <v>892</v>
      </c>
      <c r="P222" t="s">
        <v>436</v>
      </c>
      <c r="Q222" t="s">
        <v>437</v>
      </c>
      <c r="R222" t="s">
        <v>921</v>
      </c>
      <c r="S222">
        <v>2009</v>
      </c>
      <c r="T222" t="s">
        <v>207</v>
      </c>
      <c r="U222" t="s">
        <v>173</v>
      </c>
      <c r="V222"/>
      <c r="AF222">
        <v>200</v>
      </c>
      <c r="AG222">
        <v>0</v>
      </c>
      <c r="AI222">
        <v>75</v>
      </c>
      <c r="AK222">
        <v>0</v>
      </c>
      <c r="AL222">
        <v>0</v>
      </c>
      <c r="AN222" t="s">
        <v>132</v>
      </c>
      <c r="BH222">
        <v>1490</v>
      </c>
      <c r="CE22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22" s="19">
        <f>SUM(Table1[[#This Row],[Mid39]],Table1[[#This Row],[Mid36]],Table1[[#This Row],[Mid33]],Table1[[#This Row],[Mid30]],Table1[[#This Row],[Mid27]],Table1[[#This Row],[Mid24]],Table1[[#This Row],[Mid21]],Table1[[#This Row],[Mid18]],Table1[[#This Row],[Mid15]],Table1[[#This Row],[Mid12]],Table1[[#This Row],[Mid9]],Table1[[#This Row],[Mid6]],Table1[[#This Row],[Mid3]],Table1[[#This Row],[Mid]])</f>
        <v>1490</v>
      </c>
      <c r="CG2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22" t="s">
        <v>135</v>
      </c>
      <c r="CI222" t="s">
        <v>189</v>
      </c>
      <c r="CJ222" t="s">
        <v>158</v>
      </c>
      <c r="CL222" s="19">
        <f>IF(Table1[[#This Row],[Type]]="Petroleum",1,IF(ISERROR(Table1[[#This Row],[Well Density]]*Table1[[#This Row],[Single Well Discovery Area]]),"",IF(Table1[[#This Row],[Well Density]]*Table1[[#This Row],[Single Well Discovery Area]]&gt;1,1,Table1[[#This Row],[Well Density]]*Table1[[#This Row],[Single Well Discovery Area]])))</f>
        <v>1</v>
      </c>
      <c r="CM222" t="s">
        <v>158</v>
      </c>
      <c r="CN222" s="19">
        <f>Table1[[#This Row],[Mid]]</f>
        <v>0</v>
      </c>
      <c r="CO222" s="19">
        <f>Table1[[#This Row],[Mid3]]+Table1[[#This Row],[Mid6]]+Table1[[#This Row],[Mid9]]</f>
        <v>0</v>
      </c>
      <c r="CP222" s="19">
        <f>Table1[[#This Row],[Mid12]]+Table1[[#This Row],[Mid15]]+Table1[[#This Row],[Mid18]]+Table1[[#This Row],[Mid21]]+Table1[[#This Row],[Mid24]]</f>
        <v>1490</v>
      </c>
      <c r="CQ222" s="19">
        <f>Table1[[#This Row],[Mid27]]+Table1[[#This Row],[Mid30]]+Table1[[#This Row],[Mid33]]+Table1[[#This Row],[Mid36]]+Table1[[#This Row],[Mid39]]</f>
        <v>0</v>
      </c>
      <c r="CR222" t="s">
        <v>439</v>
      </c>
      <c r="CS222" s="19" t="str">
        <f>IF(AND(Table1[[#This Row],[Low41]]=0, Table1[[#This Row],[High43]]=0),"N","Y")</f>
        <v>N</v>
      </c>
    </row>
    <row r="223" spans="1:97" ht="19.5" customHeight="1" x14ac:dyDescent="0.25">
      <c r="A223">
        <v>10220</v>
      </c>
      <c r="B223" t="s">
        <v>888</v>
      </c>
      <c r="C223" t="s">
        <v>223</v>
      </c>
      <c r="D223">
        <v>41.525555560000001</v>
      </c>
      <c r="E223">
        <v>122.6052778</v>
      </c>
      <c r="F223" t="s">
        <v>922</v>
      </c>
      <c r="G223" t="s">
        <v>898</v>
      </c>
      <c r="I223" t="s">
        <v>118</v>
      </c>
      <c r="J223" t="s">
        <v>119</v>
      </c>
      <c r="K223" t="s">
        <v>167</v>
      </c>
      <c r="L223" t="s">
        <v>18</v>
      </c>
      <c r="N223" s="6" t="s">
        <v>891</v>
      </c>
      <c r="O223" t="s">
        <v>892</v>
      </c>
      <c r="P223" t="s">
        <v>436</v>
      </c>
      <c r="Q223" t="s">
        <v>893</v>
      </c>
      <c r="R223" t="s">
        <v>894</v>
      </c>
      <c r="S223">
        <v>2009</v>
      </c>
      <c r="T223" t="s">
        <v>207</v>
      </c>
      <c r="U223" t="s">
        <v>173</v>
      </c>
      <c r="V223"/>
      <c r="Z223">
        <v>20</v>
      </c>
      <c r="AF223">
        <v>200</v>
      </c>
      <c r="AG223">
        <v>0</v>
      </c>
      <c r="AK223">
        <v>0</v>
      </c>
      <c r="AL223">
        <v>0</v>
      </c>
      <c r="AN223" t="s">
        <v>132</v>
      </c>
      <c r="CC223">
        <v>25300</v>
      </c>
      <c r="CE22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23" s="19">
        <f>SUM(Table1[[#This Row],[Mid39]],Table1[[#This Row],[Mid36]],Table1[[#This Row],[Mid33]],Table1[[#This Row],[Mid30]],Table1[[#This Row],[Mid27]],Table1[[#This Row],[Mid24]],Table1[[#This Row],[Mid21]],Table1[[#This Row],[Mid18]],Table1[[#This Row],[Mid15]],Table1[[#This Row],[Mid12]],Table1[[#This Row],[Mid9]],Table1[[#This Row],[Mid6]],Table1[[#This Row],[Mid3]],Table1[[#This Row],[Mid]])</f>
        <v>25300</v>
      </c>
      <c r="CG2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23" t="s">
        <v>189</v>
      </c>
      <c r="CJ223" t="s">
        <v>158</v>
      </c>
      <c r="CL223" s="19">
        <f>IF(Table1[[#This Row],[Type]]="Petroleum",1,IF(ISERROR(Table1[[#This Row],[Well Density]]*Table1[[#This Row],[Single Well Discovery Area]]),"",IF(Table1[[#This Row],[Well Density]]*Table1[[#This Row],[Single Well Discovery Area]]&gt;1,1,Table1[[#This Row],[Well Density]]*Table1[[#This Row],[Single Well Discovery Area]])))</f>
        <v>0</v>
      </c>
      <c r="CM223" t="s">
        <v>158</v>
      </c>
      <c r="CN223" s="19">
        <f>Table1[[#This Row],[Mid]]</f>
        <v>0</v>
      </c>
      <c r="CO223" s="19">
        <f>Table1[[#This Row],[Mid3]]+Table1[[#This Row],[Mid6]]+Table1[[#This Row],[Mid9]]</f>
        <v>0</v>
      </c>
      <c r="CP223" s="19">
        <f>Table1[[#This Row],[Mid12]]+Table1[[#This Row],[Mid15]]+Table1[[#This Row],[Mid18]]+Table1[[#This Row],[Mid21]]+Table1[[#This Row],[Mid24]]</f>
        <v>0</v>
      </c>
      <c r="CQ223" s="19">
        <f>Table1[[#This Row],[Mid27]]+Table1[[#This Row],[Mid30]]+Table1[[#This Row],[Mid33]]+Table1[[#This Row],[Mid36]]+Table1[[#This Row],[Mid39]]</f>
        <v>25300</v>
      </c>
      <c r="CR223" t="s">
        <v>439</v>
      </c>
      <c r="CS223" s="19" t="str">
        <f>IF(AND(Table1[[#This Row],[Low41]]=0, Table1[[#This Row],[High43]]=0),"N","Y")</f>
        <v>N</v>
      </c>
    </row>
    <row r="224" spans="1:97" ht="19.5" customHeight="1" x14ac:dyDescent="0.25">
      <c r="A224">
        <v>10221</v>
      </c>
      <c r="B224" t="s">
        <v>888</v>
      </c>
      <c r="C224" t="s">
        <v>223</v>
      </c>
      <c r="D224">
        <v>43.313888890000001</v>
      </c>
      <c r="E224">
        <v>114.26722220000001</v>
      </c>
      <c r="F224" t="s">
        <v>923</v>
      </c>
      <c r="G224" t="s">
        <v>923</v>
      </c>
      <c r="I224" t="s">
        <v>118</v>
      </c>
      <c r="J224" t="s">
        <v>119</v>
      </c>
      <c r="K224" t="s">
        <v>167</v>
      </c>
      <c r="L224" t="s">
        <v>18</v>
      </c>
      <c r="N224" s="6" t="s">
        <v>891</v>
      </c>
      <c r="O224" t="s">
        <v>892</v>
      </c>
      <c r="P224" t="s">
        <v>436</v>
      </c>
      <c r="Q224" t="s">
        <v>893</v>
      </c>
      <c r="R224" t="s">
        <v>894</v>
      </c>
      <c r="S224">
        <v>2009</v>
      </c>
      <c r="T224" t="s">
        <v>207</v>
      </c>
      <c r="U224" t="s">
        <v>173</v>
      </c>
      <c r="V224"/>
      <c r="Z224">
        <v>15</v>
      </c>
      <c r="AF224">
        <v>200</v>
      </c>
      <c r="AG224">
        <v>0</v>
      </c>
      <c r="AK224">
        <v>0</v>
      </c>
      <c r="AL224">
        <v>0</v>
      </c>
      <c r="AN224" t="s">
        <v>132</v>
      </c>
      <c r="CC224">
        <v>85000</v>
      </c>
      <c r="CE22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24" s="19">
        <f>SUM(Table1[[#This Row],[Mid39]],Table1[[#This Row],[Mid36]],Table1[[#This Row],[Mid33]],Table1[[#This Row],[Mid30]],Table1[[#This Row],[Mid27]],Table1[[#This Row],[Mid24]],Table1[[#This Row],[Mid21]],Table1[[#This Row],[Mid18]],Table1[[#This Row],[Mid15]],Table1[[#This Row],[Mid12]],Table1[[#This Row],[Mid9]],Table1[[#This Row],[Mid6]],Table1[[#This Row],[Mid3]],Table1[[#This Row],[Mid]])</f>
        <v>85000</v>
      </c>
      <c r="CG2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24" t="s">
        <v>189</v>
      </c>
      <c r="CJ224" t="s">
        <v>158</v>
      </c>
      <c r="CL224" s="19">
        <f>IF(Table1[[#This Row],[Type]]="Petroleum",1,IF(ISERROR(Table1[[#This Row],[Well Density]]*Table1[[#This Row],[Single Well Discovery Area]]),"",IF(Table1[[#This Row],[Well Density]]*Table1[[#This Row],[Single Well Discovery Area]]&gt;1,1,Table1[[#This Row],[Well Density]]*Table1[[#This Row],[Single Well Discovery Area]])))</f>
        <v>0</v>
      </c>
      <c r="CM224" t="s">
        <v>158</v>
      </c>
      <c r="CN224" s="19">
        <f>Table1[[#This Row],[Mid]]</f>
        <v>0</v>
      </c>
      <c r="CO224" s="19">
        <f>Table1[[#This Row],[Mid3]]+Table1[[#This Row],[Mid6]]+Table1[[#This Row],[Mid9]]</f>
        <v>0</v>
      </c>
      <c r="CP224" s="19">
        <f>Table1[[#This Row],[Mid12]]+Table1[[#This Row],[Mid15]]+Table1[[#This Row],[Mid18]]+Table1[[#This Row],[Mid21]]+Table1[[#This Row],[Mid24]]</f>
        <v>0</v>
      </c>
      <c r="CQ224" s="19">
        <f>Table1[[#This Row],[Mid27]]+Table1[[#This Row],[Mid30]]+Table1[[#This Row],[Mid33]]+Table1[[#This Row],[Mid36]]+Table1[[#This Row],[Mid39]]</f>
        <v>85000</v>
      </c>
      <c r="CR224" t="s">
        <v>439</v>
      </c>
      <c r="CS224" s="19" t="str">
        <f>IF(AND(Table1[[#This Row],[Low41]]=0, Table1[[#This Row],[High43]]=0),"N","Y")</f>
        <v>N</v>
      </c>
    </row>
    <row r="225" spans="1:97" ht="19.5" customHeight="1" x14ac:dyDescent="0.25">
      <c r="A225">
        <v>10222</v>
      </c>
      <c r="B225" t="s">
        <v>888</v>
      </c>
      <c r="C225" t="s">
        <v>223</v>
      </c>
      <c r="D225">
        <v>43.663888890000003</v>
      </c>
      <c r="E225">
        <v>113.1891667</v>
      </c>
      <c r="F225" t="s">
        <v>924</v>
      </c>
      <c r="G225" t="s">
        <v>923</v>
      </c>
      <c r="I225" t="s">
        <v>582</v>
      </c>
      <c r="J225" t="s">
        <v>202</v>
      </c>
      <c r="K225" t="s">
        <v>203</v>
      </c>
      <c r="L225" t="s">
        <v>121</v>
      </c>
      <c r="N225" s="6" t="s">
        <v>891</v>
      </c>
      <c r="O225" t="s">
        <v>892</v>
      </c>
      <c r="P225" t="s">
        <v>436</v>
      </c>
      <c r="Q225" t="s">
        <v>437</v>
      </c>
      <c r="R225" t="s">
        <v>921</v>
      </c>
      <c r="S225">
        <v>2009</v>
      </c>
      <c r="T225" t="s">
        <v>207</v>
      </c>
      <c r="U225" t="s">
        <v>173</v>
      </c>
      <c r="V225"/>
      <c r="AF225">
        <v>200</v>
      </c>
      <c r="AG225">
        <v>0</v>
      </c>
      <c r="AI225">
        <v>75</v>
      </c>
      <c r="AK225">
        <v>0</v>
      </c>
      <c r="AL225">
        <v>0</v>
      </c>
      <c r="AN225" t="s">
        <v>132</v>
      </c>
      <c r="BH225">
        <v>31</v>
      </c>
      <c r="CE22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25" s="19">
        <f>SUM(Table1[[#This Row],[Mid39]],Table1[[#This Row],[Mid36]],Table1[[#This Row],[Mid33]],Table1[[#This Row],[Mid30]],Table1[[#This Row],[Mid27]],Table1[[#This Row],[Mid24]],Table1[[#This Row],[Mid21]],Table1[[#This Row],[Mid18]],Table1[[#This Row],[Mid15]],Table1[[#This Row],[Mid12]],Table1[[#This Row],[Mid9]],Table1[[#This Row],[Mid6]],Table1[[#This Row],[Mid3]],Table1[[#This Row],[Mid]])</f>
        <v>31</v>
      </c>
      <c r="CG2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25" t="s">
        <v>135</v>
      </c>
      <c r="CI225" t="s">
        <v>189</v>
      </c>
      <c r="CJ225" t="s">
        <v>158</v>
      </c>
      <c r="CL225" s="19">
        <f>IF(Table1[[#This Row],[Type]]="Petroleum",1,IF(ISERROR(Table1[[#This Row],[Well Density]]*Table1[[#This Row],[Single Well Discovery Area]]),"",IF(Table1[[#This Row],[Well Density]]*Table1[[#This Row],[Single Well Discovery Area]]&gt;1,1,Table1[[#This Row],[Well Density]]*Table1[[#This Row],[Single Well Discovery Area]])))</f>
        <v>1</v>
      </c>
      <c r="CM225" t="s">
        <v>158</v>
      </c>
      <c r="CN225" s="19">
        <f>Table1[[#This Row],[Mid]]</f>
        <v>0</v>
      </c>
      <c r="CO225" s="19">
        <f>Table1[[#This Row],[Mid3]]+Table1[[#This Row],[Mid6]]+Table1[[#This Row],[Mid9]]</f>
        <v>0</v>
      </c>
      <c r="CP225" s="19">
        <f>Table1[[#This Row],[Mid12]]+Table1[[#This Row],[Mid15]]+Table1[[#This Row],[Mid18]]+Table1[[#This Row],[Mid21]]+Table1[[#This Row],[Mid24]]</f>
        <v>31</v>
      </c>
      <c r="CQ225" s="19">
        <f>Table1[[#This Row],[Mid27]]+Table1[[#This Row],[Mid30]]+Table1[[#This Row],[Mid33]]+Table1[[#This Row],[Mid36]]+Table1[[#This Row],[Mid39]]</f>
        <v>0</v>
      </c>
      <c r="CR225" t="s">
        <v>439</v>
      </c>
      <c r="CS225" s="19" t="str">
        <f>IF(AND(Table1[[#This Row],[Low41]]=0, Table1[[#This Row],[High43]]=0),"N","Y")</f>
        <v>N</v>
      </c>
    </row>
    <row r="226" spans="1:97" ht="19.5" customHeight="1" x14ac:dyDescent="0.25">
      <c r="A226">
        <v>10223</v>
      </c>
      <c r="B226" t="s">
        <v>888</v>
      </c>
      <c r="C226" t="s">
        <v>223</v>
      </c>
      <c r="D226">
        <v>47.991388890000003</v>
      </c>
      <c r="E226">
        <v>117.7416667</v>
      </c>
      <c r="F226" t="s">
        <v>925</v>
      </c>
      <c r="G226" t="s">
        <v>926</v>
      </c>
      <c r="I226" t="s">
        <v>118</v>
      </c>
      <c r="J226" t="s">
        <v>119</v>
      </c>
      <c r="K226" t="s">
        <v>167</v>
      </c>
      <c r="L226" t="s">
        <v>18</v>
      </c>
      <c r="N226" s="6" t="s">
        <v>891</v>
      </c>
      <c r="O226" t="s">
        <v>892</v>
      </c>
      <c r="P226" t="s">
        <v>436</v>
      </c>
      <c r="Q226" t="s">
        <v>893</v>
      </c>
      <c r="R226" t="s">
        <v>894</v>
      </c>
      <c r="S226">
        <v>2009</v>
      </c>
      <c r="T226" t="s">
        <v>207</v>
      </c>
      <c r="U226" t="s">
        <v>173</v>
      </c>
      <c r="V226"/>
      <c r="Z226">
        <v>15</v>
      </c>
      <c r="AF226">
        <v>200</v>
      </c>
      <c r="AG226">
        <v>0</v>
      </c>
      <c r="AK226">
        <v>0</v>
      </c>
      <c r="AL226">
        <v>0</v>
      </c>
      <c r="AN226" t="s">
        <v>132</v>
      </c>
      <c r="CC226">
        <v>16100</v>
      </c>
      <c r="CE22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26" s="19">
        <f>SUM(Table1[[#This Row],[Mid39]],Table1[[#This Row],[Mid36]],Table1[[#This Row],[Mid33]],Table1[[#This Row],[Mid30]],Table1[[#This Row],[Mid27]],Table1[[#This Row],[Mid24]],Table1[[#This Row],[Mid21]],Table1[[#This Row],[Mid18]],Table1[[#This Row],[Mid15]],Table1[[#This Row],[Mid12]],Table1[[#This Row],[Mid9]],Table1[[#This Row],[Mid6]],Table1[[#This Row],[Mid3]],Table1[[#This Row],[Mid]])</f>
        <v>16100</v>
      </c>
      <c r="CG2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26" t="s">
        <v>189</v>
      </c>
      <c r="CJ226" t="s">
        <v>158</v>
      </c>
      <c r="CL226" s="19">
        <f>IF(Table1[[#This Row],[Type]]="Petroleum",1,IF(ISERROR(Table1[[#This Row],[Well Density]]*Table1[[#This Row],[Single Well Discovery Area]]),"",IF(Table1[[#This Row],[Well Density]]*Table1[[#This Row],[Single Well Discovery Area]]&gt;1,1,Table1[[#This Row],[Well Density]]*Table1[[#This Row],[Single Well Discovery Area]])))</f>
        <v>0</v>
      </c>
      <c r="CM226" t="s">
        <v>158</v>
      </c>
      <c r="CN226" s="19">
        <f>Table1[[#This Row],[Mid]]</f>
        <v>0</v>
      </c>
      <c r="CO226" s="19">
        <f>Table1[[#This Row],[Mid3]]+Table1[[#This Row],[Mid6]]+Table1[[#This Row],[Mid9]]</f>
        <v>0</v>
      </c>
      <c r="CP226" s="19">
        <f>Table1[[#This Row],[Mid12]]+Table1[[#This Row],[Mid15]]+Table1[[#This Row],[Mid18]]+Table1[[#This Row],[Mid21]]+Table1[[#This Row],[Mid24]]</f>
        <v>0</v>
      </c>
      <c r="CQ226" s="19">
        <f>Table1[[#This Row],[Mid27]]+Table1[[#This Row],[Mid30]]+Table1[[#This Row],[Mid33]]+Table1[[#This Row],[Mid36]]+Table1[[#This Row],[Mid39]]</f>
        <v>16100</v>
      </c>
      <c r="CR226" t="s">
        <v>439</v>
      </c>
      <c r="CS226" s="19" t="str">
        <f>IF(AND(Table1[[#This Row],[Low41]]=0, Table1[[#This Row],[High43]]=0),"N","Y")</f>
        <v>N</v>
      </c>
    </row>
    <row r="227" spans="1:97" ht="19.5" customHeight="1" x14ac:dyDescent="0.25">
      <c r="A227">
        <v>10224</v>
      </c>
      <c r="B227" t="s">
        <v>888</v>
      </c>
      <c r="C227" t="s">
        <v>223</v>
      </c>
      <c r="D227">
        <v>34.218055560000003</v>
      </c>
      <c r="E227">
        <v>115.2783333</v>
      </c>
      <c r="F227" t="s">
        <v>927</v>
      </c>
      <c r="G227" t="s">
        <v>898</v>
      </c>
      <c r="I227" t="s">
        <v>118</v>
      </c>
      <c r="J227" t="s">
        <v>119</v>
      </c>
      <c r="K227" t="s">
        <v>167</v>
      </c>
      <c r="L227" t="s">
        <v>18</v>
      </c>
      <c r="N227" s="6" t="s">
        <v>891</v>
      </c>
      <c r="O227" t="s">
        <v>892</v>
      </c>
      <c r="P227" t="s">
        <v>436</v>
      </c>
      <c r="Q227" t="s">
        <v>893</v>
      </c>
      <c r="R227" t="s">
        <v>894</v>
      </c>
      <c r="S227">
        <v>2009</v>
      </c>
      <c r="T227" t="s">
        <v>207</v>
      </c>
      <c r="U227" t="s">
        <v>173</v>
      </c>
      <c r="V227"/>
      <c r="Z227">
        <v>20</v>
      </c>
      <c r="AF227">
        <v>200</v>
      </c>
      <c r="AG227">
        <v>0</v>
      </c>
      <c r="AK227">
        <v>0</v>
      </c>
      <c r="AL227">
        <v>0</v>
      </c>
      <c r="AN227" t="s">
        <v>132</v>
      </c>
      <c r="CC227">
        <v>178000</v>
      </c>
      <c r="CE22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27" s="19">
        <f>SUM(Table1[[#This Row],[Mid39]],Table1[[#This Row],[Mid36]],Table1[[#This Row],[Mid33]],Table1[[#This Row],[Mid30]],Table1[[#This Row],[Mid27]],Table1[[#This Row],[Mid24]],Table1[[#This Row],[Mid21]],Table1[[#This Row],[Mid18]],Table1[[#This Row],[Mid15]],Table1[[#This Row],[Mid12]],Table1[[#This Row],[Mid9]],Table1[[#This Row],[Mid6]],Table1[[#This Row],[Mid3]],Table1[[#This Row],[Mid]])</f>
        <v>178000</v>
      </c>
      <c r="CG2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27" t="s">
        <v>189</v>
      </c>
      <c r="CJ227" t="s">
        <v>158</v>
      </c>
      <c r="CL227" s="19">
        <f>IF(Table1[[#This Row],[Type]]="Petroleum",1,IF(ISERROR(Table1[[#This Row],[Well Density]]*Table1[[#This Row],[Single Well Discovery Area]]),"",IF(Table1[[#This Row],[Well Density]]*Table1[[#This Row],[Single Well Discovery Area]]&gt;1,1,Table1[[#This Row],[Well Density]]*Table1[[#This Row],[Single Well Discovery Area]])))</f>
        <v>0</v>
      </c>
      <c r="CM227" t="s">
        <v>158</v>
      </c>
      <c r="CN227" s="19">
        <f>Table1[[#This Row],[Mid]]</f>
        <v>0</v>
      </c>
      <c r="CO227" s="19">
        <f>Table1[[#This Row],[Mid3]]+Table1[[#This Row],[Mid6]]+Table1[[#This Row],[Mid9]]</f>
        <v>0</v>
      </c>
      <c r="CP227" s="19">
        <f>Table1[[#This Row],[Mid12]]+Table1[[#This Row],[Mid15]]+Table1[[#This Row],[Mid18]]+Table1[[#This Row],[Mid21]]+Table1[[#This Row],[Mid24]]</f>
        <v>0</v>
      </c>
      <c r="CQ227" s="19">
        <f>Table1[[#This Row],[Mid27]]+Table1[[#This Row],[Mid30]]+Table1[[#This Row],[Mid33]]+Table1[[#This Row],[Mid36]]+Table1[[#This Row],[Mid39]]</f>
        <v>178000</v>
      </c>
      <c r="CR227" t="s">
        <v>439</v>
      </c>
      <c r="CS227" s="19" t="str">
        <f>IF(AND(Table1[[#This Row],[Low41]]=0, Table1[[#This Row],[High43]]=0),"N","Y")</f>
        <v>N</v>
      </c>
    </row>
    <row r="228" spans="1:97" ht="19.5" customHeight="1" x14ac:dyDescent="0.25">
      <c r="A228">
        <v>10225</v>
      </c>
      <c r="B228" t="s">
        <v>888</v>
      </c>
      <c r="C228" t="s">
        <v>223</v>
      </c>
      <c r="D228">
        <v>30.032222220000001</v>
      </c>
      <c r="E228">
        <v>112.19499999999999</v>
      </c>
      <c r="F228" t="s">
        <v>928</v>
      </c>
      <c r="G228" t="s">
        <v>929</v>
      </c>
      <c r="I228" t="s">
        <v>582</v>
      </c>
      <c r="J228" t="s">
        <v>202</v>
      </c>
      <c r="K228" t="s">
        <v>203</v>
      </c>
      <c r="L228" t="s">
        <v>121</v>
      </c>
      <c r="N228" s="6" t="s">
        <v>891</v>
      </c>
      <c r="O228" t="s">
        <v>892</v>
      </c>
      <c r="P228" t="s">
        <v>436</v>
      </c>
      <c r="Q228" t="s">
        <v>437</v>
      </c>
      <c r="R228" t="s">
        <v>921</v>
      </c>
      <c r="S228">
        <v>2009</v>
      </c>
      <c r="T228" t="s">
        <v>207</v>
      </c>
      <c r="U228" t="s">
        <v>173</v>
      </c>
      <c r="V228"/>
      <c r="AF228">
        <v>200</v>
      </c>
      <c r="AG228">
        <v>0</v>
      </c>
      <c r="AI228">
        <v>75</v>
      </c>
      <c r="AK228">
        <v>0</v>
      </c>
      <c r="AL228">
        <v>0</v>
      </c>
      <c r="AN228" t="s">
        <v>132</v>
      </c>
      <c r="BH228">
        <v>24</v>
      </c>
      <c r="CE22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28" s="19">
        <f>SUM(Table1[[#This Row],[Mid39]],Table1[[#This Row],[Mid36]],Table1[[#This Row],[Mid33]],Table1[[#This Row],[Mid30]],Table1[[#This Row],[Mid27]],Table1[[#This Row],[Mid24]],Table1[[#This Row],[Mid21]],Table1[[#This Row],[Mid18]],Table1[[#This Row],[Mid15]],Table1[[#This Row],[Mid12]],Table1[[#This Row],[Mid9]],Table1[[#This Row],[Mid6]],Table1[[#This Row],[Mid3]],Table1[[#This Row],[Mid]])</f>
        <v>24</v>
      </c>
      <c r="CG2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28" t="s">
        <v>135</v>
      </c>
      <c r="CI228" t="s">
        <v>189</v>
      </c>
      <c r="CJ228" t="s">
        <v>158</v>
      </c>
      <c r="CL228" s="19">
        <f>IF(Table1[[#This Row],[Type]]="Petroleum",1,IF(ISERROR(Table1[[#This Row],[Well Density]]*Table1[[#This Row],[Single Well Discovery Area]]),"",IF(Table1[[#This Row],[Well Density]]*Table1[[#This Row],[Single Well Discovery Area]]&gt;1,1,Table1[[#This Row],[Well Density]]*Table1[[#This Row],[Single Well Discovery Area]])))</f>
        <v>1</v>
      </c>
      <c r="CM228" t="s">
        <v>158</v>
      </c>
      <c r="CN228" s="19">
        <f>Table1[[#This Row],[Mid]]</f>
        <v>0</v>
      </c>
      <c r="CO228" s="19">
        <f>Table1[[#This Row],[Mid3]]+Table1[[#This Row],[Mid6]]+Table1[[#This Row],[Mid9]]</f>
        <v>0</v>
      </c>
      <c r="CP228" s="19">
        <f>Table1[[#This Row],[Mid12]]+Table1[[#This Row],[Mid15]]+Table1[[#This Row],[Mid18]]+Table1[[#This Row],[Mid21]]+Table1[[#This Row],[Mid24]]</f>
        <v>24</v>
      </c>
      <c r="CQ228" s="19">
        <f>Table1[[#This Row],[Mid27]]+Table1[[#This Row],[Mid30]]+Table1[[#This Row],[Mid33]]+Table1[[#This Row],[Mid36]]+Table1[[#This Row],[Mid39]]</f>
        <v>0</v>
      </c>
      <c r="CR228" t="s">
        <v>439</v>
      </c>
      <c r="CS228" s="19" t="str">
        <f>IF(AND(Table1[[#This Row],[Low41]]=0, Table1[[#This Row],[High43]]=0),"N","Y")</f>
        <v>N</v>
      </c>
    </row>
    <row r="229" spans="1:97" ht="19.5" customHeight="1" x14ac:dyDescent="0.25">
      <c r="A229">
        <v>10226</v>
      </c>
      <c r="B229" t="s">
        <v>888</v>
      </c>
      <c r="C229" t="s">
        <v>223</v>
      </c>
      <c r="D229">
        <v>30.82638889</v>
      </c>
      <c r="E229">
        <v>113.0822222</v>
      </c>
      <c r="F229" t="s">
        <v>930</v>
      </c>
      <c r="G229" t="s">
        <v>929</v>
      </c>
      <c r="I229" t="s">
        <v>118</v>
      </c>
      <c r="J229" t="s">
        <v>119</v>
      </c>
      <c r="K229" t="s">
        <v>167</v>
      </c>
      <c r="L229" t="s">
        <v>18</v>
      </c>
      <c r="N229" s="6" t="s">
        <v>891</v>
      </c>
      <c r="O229" t="s">
        <v>892</v>
      </c>
      <c r="P229" t="s">
        <v>436</v>
      </c>
      <c r="Q229" t="s">
        <v>893</v>
      </c>
      <c r="R229" t="s">
        <v>894</v>
      </c>
      <c r="S229">
        <v>2009</v>
      </c>
      <c r="T229" t="s">
        <v>207</v>
      </c>
      <c r="U229" t="s">
        <v>173</v>
      </c>
      <c r="V229"/>
      <c r="Z229">
        <v>20</v>
      </c>
      <c r="AF229">
        <v>200</v>
      </c>
      <c r="AG229">
        <v>0</v>
      </c>
      <c r="AK229">
        <v>0</v>
      </c>
      <c r="AL229">
        <v>0</v>
      </c>
      <c r="AN229" t="s">
        <v>132</v>
      </c>
      <c r="CC229">
        <v>52800</v>
      </c>
      <c r="CE22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29" s="19">
        <f>SUM(Table1[[#This Row],[Mid39]],Table1[[#This Row],[Mid36]],Table1[[#This Row],[Mid33]],Table1[[#This Row],[Mid30]],Table1[[#This Row],[Mid27]],Table1[[#This Row],[Mid24]],Table1[[#This Row],[Mid21]],Table1[[#This Row],[Mid18]],Table1[[#This Row],[Mid15]],Table1[[#This Row],[Mid12]],Table1[[#This Row],[Mid9]],Table1[[#This Row],[Mid6]],Table1[[#This Row],[Mid3]],Table1[[#This Row],[Mid]])</f>
        <v>52800</v>
      </c>
      <c r="CG2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29" t="s">
        <v>189</v>
      </c>
      <c r="CJ229" t="s">
        <v>158</v>
      </c>
      <c r="CL229" s="19">
        <f>IF(Table1[[#This Row],[Type]]="Petroleum",1,IF(ISERROR(Table1[[#This Row],[Well Density]]*Table1[[#This Row],[Single Well Discovery Area]]),"",IF(Table1[[#This Row],[Well Density]]*Table1[[#This Row],[Single Well Discovery Area]]&gt;1,1,Table1[[#This Row],[Well Density]]*Table1[[#This Row],[Single Well Discovery Area]])))</f>
        <v>0</v>
      </c>
      <c r="CM229" t="s">
        <v>158</v>
      </c>
      <c r="CN229" s="19">
        <f>Table1[[#This Row],[Mid]]</f>
        <v>0</v>
      </c>
      <c r="CO229" s="19">
        <f>Table1[[#This Row],[Mid3]]+Table1[[#This Row],[Mid6]]+Table1[[#This Row],[Mid9]]</f>
        <v>0</v>
      </c>
      <c r="CP229" s="19">
        <f>Table1[[#This Row],[Mid12]]+Table1[[#This Row],[Mid15]]+Table1[[#This Row],[Mid18]]+Table1[[#This Row],[Mid21]]+Table1[[#This Row],[Mid24]]</f>
        <v>0</v>
      </c>
      <c r="CQ229" s="19">
        <f>Table1[[#This Row],[Mid27]]+Table1[[#This Row],[Mid30]]+Table1[[#This Row],[Mid33]]+Table1[[#This Row],[Mid36]]+Table1[[#This Row],[Mid39]]</f>
        <v>52800</v>
      </c>
      <c r="CR229" t="s">
        <v>439</v>
      </c>
      <c r="CS229" s="19" t="str">
        <f>IF(AND(Table1[[#This Row],[Low41]]=0, Table1[[#This Row],[High43]]=0),"N","Y")</f>
        <v>N</v>
      </c>
    </row>
    <row r="230" spans="1:97" ht="19.5" customHeight="1" x14ac:dyDescent="0.25">
      <c r="A230">
        <v>10227</v>
      </c>
      <c r="B230" t="s">
        <v>888</v>
      </c>
      <c r="C230" t="s">
        <v>223</v>
      </c>
      <c r="D230">
        <v>39.486111110000003</v>
      </c>
      <c r="E230">
        <v>96.617500000000007</v>
      </c>
      <c r="F230" t="s">
        <v>931</v>
      </c>
      <c r="G230" t="s">
        <v>932</v>
      </c>
      <c r="I230" t="s">
        <v>582</v>
      </c>
      <c r="J230" t="s">
        <v>202</v>
      </c>
      <c r="K230" t="s">
        <v>203</v>
      </c>
      <c r="L230" t="s">
        <v>121</v>
      </c>
      <c r="N230" s="6" t="s">
        <v>891</v>
      </c>
      <c r="O230" t="s">
        <v>892</v>
      </c>
      <c r="P230" t="s">
        <v>436</v>
      </c>
      <c r="Q230" t="s">
        <v>437</v>
      </c>
      <c r="R230" t="s">
        <v>921</v>
      </c>
      <c r="S230">
        <v>2009</v>
      </c>
      <c r="T230" t="s">
        <v>207</v>
      </c>
      <c r="U230" t="s">
        <v>173</v>
      </c>
      <c r="V230"/>
      <c r="AF230">
        <v>200</v>
      </c>
      <c r="AG230">
        <v>0</v>
      </c>
      <c r="AI230">
        <v>75</v>
      </c>
      <c r="AK230">
        <v>0</v>
      </c>
      <c r="AL230">
        <v>0</v>
      </c>
      <c r="AN230" t="s">
        <v>132</v>
      </c>
      <c r="BH230">
        <v>15</v>
      </c>
      <c r="CE23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30" s="19">
        <f>SUM(Table1[[#This Row],[Mid39]],Table1[[#This Row],[Mid36]],Table1[[#This Row],[Mid33]],Table1[[#This Row],[Mid30]],Table1[[#This Row],[Mid27]],Table1[[#This Row],[Mid24]],Table1[[#This Row],[Mid21]],Table1[[#This Row],[Mid18]],Table1[[#This Row],[Mid15]],Table1[[#This Row],[Mid12]],Table1[[#This Row],[Mid9]],Table1[[#This Row],[Mid6]],Table1[[#This Row],[Mid3]],Table1[[#This Row],[Mid]])</f>
        <v>15</v>
      </c>
      <c r="CG2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30" t="s">
        <v>135</v>
      </c>
      <c r="CI230" t="s">
        <v>189</v>
      </c>
      <c r="CJ230" t="s">
        <v>158</v>
      </c>
      <c r="CL230" s="19">
        <f>IF(Table1[[#This Row],[Type]]="Petroleum",1,IF(ISERROR(Table1[[#This Row],[Well Density]]*Table1[[#This Row],[Single Well Discovery Area]]),"",IF(Table1[[#This Row],[Well Density]]*Table1[[#This Row],[Single Well Discovery Area]]&gt;1,1,Table1[[#This Row],[Well Density]]*Table1[[#This Row],[Single Well Discovery Area]])))</f>
        <v>1</v>
      </c>
      <c r="CM230" t="s">
        <v>158</v>
      </c>
      <c r="CN230" s="19">
        <f>Table1[[#This Row],[Mid]]</f>
        <v>0</v>
      </c>
      <c r="CO230" s="19">
        <f>Table1[[#This Row],[Mid3]]+Table1[[#This Row],[Mid6]]+Table1[[#This Row],[Mid9]]</f>
        <v>0</v>
      </c>
      <c r="CP230" s="19">
        <f>Table1[[#This Row],[Mid12]]+Table1[[#This Row],[Mid15]]+Table1[[#This Row],[Mid18]]+Table1[[#This Row],[Mid21]]+Table1[[#This Row],[Mid24]]</f>
        <v>15</v>
      </c>
      <c r="CQ230" s="19">
        <f>Table1[[#This Row],[Mid27]]+Table1[[#This Row],[Mid30]]+Table1[[#This Row],[Mid33]]+Table1[[#This Row],[Mid36]]+Table1[[#This Row],[Mid39]]</f>
        <v>0</v>
      </c>
      <c r="CR230" t="s">
        <v>439</v>
      </c>
      <c r="CS230" s="19" t="str">
        <f>IF(AND(Table1[[#This Row],[Low41]]=0, Table1[[#This Row],[High43]]=0),"N","Y")</f>
        <v>N</v>
      </c>
    </row>
    <row r="231" spans="1:97" ht="19.5" customHeight="1" x14ac:dyDescent="0.25">
      <c r="A231">
        <v>10228</v>
      </c>
      <c r="B231" t="s">
        <v>888</v>
      </c>
      <c r="C231" t="s">
        <v>223</v>
      </c>
      <c r="D231">
        <v>39.821111109999997</v>
      </c>
      <c r="E231">
        <v>98.700833329999995</v>
      </c>
      <c r="F231" t="s">
        <v>933</v>
      </c>
      <c r="G231" t="s">
        <v>932</v>
      </c>
      <c r="I231" t="s">
        <v>433</v>
      </c>
      <c r="J231" t="s">
        <v>202</v>
      </c>
      <c r="K231" t="s">
        <v>203</v>
      </c>
      <c r="L231" t="s">
        <v>121</v>
      </c>
      <c r="N231" s="6" t="s">
        <v>891</v>
      </c>
      <c r="O231" t="s">
        <v>892</v>
      </c>
      <c r="P231" t="s">
        <v>436</v>
      </c>
      <c r="Q231" t="s">
        <v>437</v>
      </c>
      <c r="R231" t="s">
        <v>899</v>
      </c>
      <c r="S231">
        <v>2009</v>
      </c>
      <c r="T231" t="s">
        <v>207</v>
      </c>
      <c r="U231" t="s">
        <v>173</v>
      </c>
      <c r="V231"/>
      <c r="AF231">
        <v>200</v>
      </c>
      <c r="AG231">
        <v>0</v>
      </c>
      <c r="AI231">
        <v>75</v>
      </c>
      <c r="AK231">
        <v>0</v>
      </c>
      <c r="AL231">
        <v>0</v>
      </c>
      <c r="AN231" t="s">
        <v>132</v>
      </c>
      <c r="BN231">
        <v>120</v>
      </c>
      <c r="CE2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31" s="19">
        <f>SUM(Table1[[#This Row],[Mid39]],Table1[[#This Row],[Mid36]],Table1[[#This Row],[Mid33]],Table1[[#This Row],[Mid30]],Table1[[#This Row],[Mid27]],Table1[[#This Row],[Mid24]],Table1[[#This Row],[Mid21]],Table1[[#This Row],[Mid18]],Table1[[#This Row],[Mid15]],Table1[[#This Row],[Mid12]],Table1[[#This Row],[Mid9]],Table1[[#This Row],[Mid6]],Table1[[#This Row],[Mid3]],Table1[[#This Row],[Mid]])</f>
        <v>120</v>
      </c>
      <c r="CG2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31" t="s">
        <v>135</v>
      </c>
      <c r="CI231" t="s">
        <v>189</v>
      </c>
      <c r="CJ231" t="s">
        <v>158</v>
      </c>
      <c r="CL231" s="19">
        <f>IF(Table1[[#This Row],[Type]]="Petroleum",1,IF(ISERROR(Table1[[#This Row],[Well Density]]*Table1[[#This Row],[Single Well Discovery Area]]),"",IF(Table1[[#This Row],[Well Density]]*Table1[[#This Row],[Single Well Discovery Area]]&gt;1,1,Table1[[#This Row],[Well Density]]*Table1[[#This Row],[Single Well Discovery Area]])))</f>
        <v>1</v>
      </c>
      <c r="CM231" t="s">
        <v>158</v>
      </c>
      <c r="CN231" s="19">
        <f>Table1[[#This Row],[Mid]]</f>
        <v>0</v>
      </c>
      <c r="CO231" s="19">
        <f>Table1[[#This Row],[Mid3]]+Table1[[#This Row],[Mid6]]+Table1[[#This Row],[Mid9]]</f>
        <v>0</v>
      </c>
      <c r="CP231" s="19">
        <f>Table1[[#This Row],[Mid12]]+Table1[[#This Row],[Mid15]]+Table1[[#This Row],[Mid18]]+Table1[[#This Row],[Mid21]]+Table1[[#This Row],[Mid24]]</f>
        <v>120</v>
      </c>
      <c r="CQ231" s="19">
        <f>Table1[[#This Row],[Mid27]]+Table1[[#This Row],[Mid30]]+Table1[[#This Row],[Mid33]]+Table1[[#This Row],[Mid36]]+Table1[[#This Row],[Mid39]]</f>
        <v>0</v>
      </c>
      <c r="CR231" t="s">
        <v>439</v>
      </c>
      <c r="CS231" s="19" t="str">
        <f>IF(AND(Table1[[#This Row],[Low41]]=0, Table1[[#This Row],[High43]]=0),"N","Y")</f>
        <v>N</v>
      </c>
    </row>
    <row r="232" spans="1:97" ht="19.5" customHeight="1" x14ac:dyDescent="0.25">
      <c r="A232">
        <v>10229</v>
      </c>
      <c r="B232" t="s">
        <v>888</v>
      </c>
      <c r="C232" t="s">
        <v>223</v>
      </c>
      <c r="D232">
        <v>45.333888889999997</v>
      </c>
      <c r="E232">
        <v>87.027500000000003</v>
      </c>
      <c r="F232" t="s">
        <v>934</v>
      </c>
      <c r="G232" t="s">
        <v>934</v>
      </c>
      <c r="I232" t="s">
        <v>118</v>
      </c>
      <c r="J232" t="s">
        <v>119</v>
      </c>
      <c r="K232" t="s">
        <v>167</v>
      </c>
      <c r="L232" t="s">
        <v>18</v>
      </c>
      <c r="N232" s="6" t="s">
        <v>891</v>
      </c>
      <c r="O232" t="s">
        <v>892</v>
      </c>
      <c r="P232" t="s">
        <v>436</v>
      </c>
      <c r="Q232" t="s">
        <v>893</v>
      </c>
      <c r="R232" t="s">
        <v>894</v>
      </c>
      <c r="S232">
        <v>2009</v>
      </c>
      <c r="T232" t="s">
        <v>207</v>
      </c>
      <c r="U232" t="s">
        <v>173</v>
      </c>
      <c r="V232"/>
      <c r="Z232">
        <v>15</v>
      </c>
      <c r="AF232">
        <v>200</v>
      </c>
      <c r="AG232">
        <v>0</v>
      </c>
      <c r="AI232">
        <v>0</v>
      </c>
      <c r="AK232">
        <v>0</v>
      </c>
      <c r="AL232">
        <v>0</v>
      </c>
      <c r="AN232" t="s">
        <v>132</v>
      </c>
      <c r="CC232">
        <v>197100</v>
      </c>
      <c r="CE23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32" s="19">
        <f>SUM(Table1[[#This Row],[Mid39]],Table1[[#This Row],[Mid36]],Table1[[#This Row],[Mid33]],Table1[[#This Row],[Mid30]],Table1[[#This Row],[Mid27]],Table1[[#This Row],[Mid24]],Table1[[#This Row],[Mid21]],Table1[[#This Row],[Mid18]],Table1[[#This Row],[Mid15]],Table1[[#This Row],[Mid12]],Table1[[#This Row],[Mid9]],Table1[[#This Row],[Mid6]],Table1[[#This Row],[Mid3]],Table1[[#This Row],[Mid]])</f>
        <v>197100</v>
      </c>
      <c r="CG2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32" t="s">
        <v>157</v>
      </c>
      <c r="CI232" t="s">
        <v>176</v>
      </c>
      <c r="CJ232" t="s">
        <v>158</v>
      </c>
      <c r="CL232" s="19">
        <f>IF(Table1[[#This Row],[Type]]="Petroleum",1,IF(ISERROR(Table1[[#This Row],[Well Density]]*Table1[[#This Row],[Single Well Discovery Area]]),"",IF(Table1[[#This Row],[Well Density]]*Table1[[#This Row],[Single Well Discovery Area]]&gt;1,1,Table1[[#This Row],[Well Density]]*Table1[[#This Row],[Single Well Discovery Area]])))</f>
        <v>0</v>
      </c>
      <c r="CM232" t="s">
        <v>158</v>
      </c>
      <c r="CN232" s="19">
        <f>Table1[[#This Row],[Mid]]</f>
        <v>0</v>
      </c>
      <c r="CO232" s="19">
        <f>Table1[[#This Row],[Mid3]]+Table1[[#This Row],[Mid6]]+Table1[[#This Row],[Mid9]]</f>
        <v>0</v>
      </c>
      <c r="CP232" s="19">
        <f>Table1[[#This Row],[Mid12]]+Table1[[#This Row],[Mid15]]+Table1[[#This Row],[Mid18]]+Table1[[#This Row],[Mid21]]+Table1[[#This Row],[Mid24]]</f>
        <v>0</v>
      </c>
      <c r="CQ232" s="19">
        <f>Table1[[#This Row],[Mid27]]+Table1[[#This Row],[Mid30]]+Table1[[#This Row],[Mid33]]+Table1[[#This Row],[Mid36]]+Table1[[#This Row],[Mid39]]</f>
        <v>197100</v>
      </c>
      <c r="CR232" t="s">
        <v>439</v>
      </c>
      <c r="CS232" s="19" t="str">
        <f>IF(AND(Table1[[#This Row],[Low41]]=0, Table1[[#This Row],[High43]]=0),"N","Y")</f>
        <v>N</v>
      </c>
    </row>
    <row r="233" spans="1:97" ht="19.5" customHeight="1" x14ac:dyDescent="0.25">
      <c r="A233">
        <v>10230</v>
      </c>
      <c r="B233" t="s">
        <v>888</v>
      </c>
      <c r="C233" t="s">
        <v>223</v>
      </c>
      <c r="D233">
        <v>45.170555559999997</v>
      </c>
      <c r="E233">
        <v>87.832222220000006</v>
      </c>
      <c r="F233" t="s">
        <v>935</v>
      </c>
      <c r="G233" t="s">
        <v>934</v>
      </c>
      <c r="I233" t="s">
        <v>433</v>
      </c>
      <c r="J233" t="s">
        <v>202</v>
      </c>
      <c r="K233" t="s">
        <v>203</v>
      </c>
      <c r="L233" t="s">
        <v>121</v>
      </c>
      <c r="N233" s="6" t="s">
        <v>891</v>
      </c>
      <c r="O233" t="s">
        <v>892</v>
      </c>
      <c r="P233" t="s">
        <v>436</v>
      </c>
      <c r="Q233" t="s">
        <v>437</v>
      </c>
      <c r="R233" t="s">
        <v>899</v>
      </c>
      <c r="S233">
        <v>2009</v>
      </c>
      <c r="T233" t="s">
        <v>207</v>
      </c>
      <c r="U233" t="s">
        <v>173</v>
      </c>
      <c r="V233"/>
      <c r="AF233">
        <v>200</v>
      </c>
      <c r="AG233">
        <v>0</v>
      </c>
      <c r="AI233">
        <v>75</v>
      </c>
      <c r="AK233">
        <v>0</v>
      </c>
      <c r="AL233">
        <v>0</v>
      </c>
      <c r="AN233" t="s">
        <v>132</v>
      </c>
      <c r="BN233">
        <v>100</v>
      </c>
      <c r="CE23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33"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2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33" t="s">
        <v>135</v>
      </c>
      <c r="CI233" t="s">
        <v>176</v>
      </c>
      <c r="CJ233" t="s">
        <v>158</v>
      </c>
      <c r="CL233" s="19">
        <f>IF(Table1[[#This Row],[Type]]="Petroleum",1,IF(ISERROR(Table1[[#This Row],[Well Density]]*Table1[[#This Row],[Single Well Discovery Area]]),"",IF(Table1[[#This Row],[Well Density]]*Table1[[#This Row],[Single Well Discovery Area]]&gt;1,1,Table1[[#This Row],[Well Density]]*Table1[[#This Row],[Single Well Discovery Area]])))</f>
        <v>1</v>
      </c>
      <c r="CM233" t="s">
        <v>158</v>
      </c>
      <c r="CN233" s="19">
        <f>Table1[[#This Row],[Mid]]</f>
        <v>0</v>
      </c>
      <c r="CO233" s="19">
        <f>Table1[[#This Row],[Mid3]]+Table1[[#This Row],[Mid6]]+Table1[[#This Row],[Mid9]]</f>
        <v>0</v>
      </c>
      <c r="CP233" s="19">
        <f>Table1[[#This Row],[Mid12]]+Table1[[#This Row],[Mid15]]+Table1[[#This Row],[Mid18]]+Table1[[#This Row],[Mid21]]+Table1[[#This Row],[Mid24]]</f>
        <v>100</v>
      </c>
      <c r="CQ233" s="19">
        <f>Table1[[#This Row],[Mid27]]+Table1[[#This Row],[Mid30]]+Table1[[#This Row],[Mid33]]+Table1[[#This Row],[Mid36]]+Table1[[#This Row],[Mid39]]</f>
        <v>0</v>
      </c>
      <c r="CR233" t="s">
        <v>439</v>
      </c>
      <c r="CS233" s="19" t="str">
        <f>IF(AND(Table1[[#This Row],[Low41]]=0, Table1[[#This Row],[High43]]=0),"N","Y")</f>
        <v>N</v>
      </c>
    </row>
    <row r="234" spans="1:97" ht="19.5" customHeight="1" x14ac:dyDescent="0.25">
      <c r="A234">
        <v>10231</v>
      </c>
      <c r="B234" t="s">
        <v>888</v>
      </c>
      <c r="C234" t="s">
        <v>223</v>
      </c>
      <c r="D234">
        <v>44.904166670000002</v>
      </c>
      <c r="E234">
        <v>84.716944440000006</v>
      </c>
      <c r="F234" t="s">
        <v>936</v>
      </c>
      <c r="G234" t="s">
        <v>934</v>
      </c>
      <c r="I234" t="s">
        <v>582</v>
      </c>
      <c r="J234" t="s">
        <v>202</v>
      </c>
      <c r="K234" t="s">
        <v>203</v>
      </c>
      <c r="L234" t="s">
        <v>121</v>
      </c>
      <c r="N234" s="6" t="s">
        <v>891</v>
      </c>
      <c r="O234" t="s">
        <v>892</v>
      </c>
      <c r="P234" t="s">
        <v>436</v>
      </c>
      <c r="Q234" t="s">
        <v>437</v>
      </c>
      <c r="R234" t="s">
        <v>921</v>
      </c>
      <c r="S234">
        <v>2009</v>
      </c>
      <c r="T234" t="s">
        <v>207</v>
      </c>
      <c r="U234" t="s">
        <v>173</v>
      </c>
      <c r="V234"/>
      <c r="AF234">
        <v>200</v>
      </c>
      <c r="AG234">
        <v>0</v>
      </c>
      <c r="AI234">
        <v>75</v>
      </c>
      <c r="AK234">
        <v>0</v>
      </c>
      <c r="AL234">
        <v>0</v>
      </c>
      <c r="AN234" t="s">
        <v>132</v>
      </c>
      <c r="BH234">
        <v>200</v>
      </c>
      <c r="CE23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34" s="19">
        <f>SUM(Table1[[#This Row],[Mid39]],Table1[[#This Row],[Mid36]],Table1[[#This Row],[Mid33]],Table1[[#This Row],[Mid30]],Table1[[#This Row],[Mid27]],Table1[[#This Row],[Mid24]],Table1[[#This Row],[Mid21]],Table1[[#This Row],[Mid18]],Table1[[#This Row],[Mid15]],Table1[[#This Row],[Mid12]],Table1[[#This Row],[Mid9]],Table1[[#This Row],[Mid6]],Table1[[#This Row],[Mid3]],Table1[[#This Row],[Mid]])</f>
        <v>200</v>
      </c>
      <c r="CG2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34" t="s">
        <v>135</v>
      </c>
      <c r="CI234" t="s">
        <v>189</v>
      </c>
      <c r="CJ234" t="s">
        <v>158</v>
      </c>
      <c r="CL234" s="19">
        <f>IF(Table1[[#This Row],[Type]]="Petroleum",1,IF(ISERROR(Table1[[#This Row],[Well Density]]*Table1[[#This Row],[Single Well Discovery Area]]),"",IF(Table1[[#This Row],[Well Density]]*Table1[[#This Row],[Single Well Discovery Area]]&gt;1,1,Table1[[#This Row],[Well Density]]*Table1[[#This Row],[Single Well Discovery Area]])))</f>
        <v>1</v>
      </c>
      <c r="CM234" t="s">
        <v>158</v>
      </c>
      <c r="CN234" s="19">
        <f>Table1[[#This Row],[Mid]]</f>
        <v>0</v>
      </c>
      <c r="CO234" s="19">
        <f>Table1[[#This Row],[Mid3]]+Table1[[#This Row],[Mid6]]+Table1[[#This Row],[Mid9]]</f>
        <v>0</v>
      </c>
      <c r="CP234" s="19">
        <f>Table1[[#This Row],[Mid12]]+Table1[[#This Row],[Mid15]]+Table1[[#This Row],[Mid18]]+Table1[[#This Row],[Mid21]]+Table1[[#This Row],[Mid24]]</f>
        <v>200</v>
      </c>
      <c r="CQ234" s="19">
        <f>Table1[[#This Row],[Mid27]]+Table1[[#This Row],[Mid30]]+Table1[[#This Row],[Mid33]]+Table1[[#This Row],[Mid36]]+Table1[[#This Row],[Mid39]]</f>
        <v>0</v>
      </c>
      <c r="CR234" t="s">
        <v>439</v>
      </c>
      <c r="CS234" s="19" t="str">
        <f>IF(AND(Table1[[#This Row],[Low41]]=0, Table1[[#This Row],[High43]]=0),"N","Y")</f>
        <v>N</v>
      </c>
    </row>
    <row r="235" spans="1:97" ht="19.5" customHeight="1" x14ac:dyDescent="0.25">
      <c r="A235">
        <v>10232</v>
      </c>
      <c r="B235" t="s">
        <v>888</v>
      </c>
      <c r="C235" t="s">
        <v>223</v>
      </c>
      <c r="D235">
        <v>41.606111110000001</v>
      </c>
      <c r="E235">
        <v>122.65527779999999</v>
      </c>
      <c r="F235" t="s">
        <v>937</v>
      </c>
      <c r="G235" t="s">
        <v>898</v>
      </c>
      <c r="I235" t="s">
        <v>582</v>
      </c>
      <c r="J235" t="s">
        <v>202</v>
      </c>
      <c r="K235" t="s">
        <v>203</v>
      </c>
      <c r="L235" t="s">
        <v>121</v>
      </c>
      <c r="N235" s="6" t="s">
        <v>891</v>
      </c>
      <c r="O235" t="s">
        <v>892</v>
      </c>
      <c r="P235" t="s">
        <v>436</v>
      </c>
      <c r="Q235" t="s">
        <v>437</v>
      </c>
      <c r="R235" t="s">
        <v>921</v>
      </c>
      <c r="S235">
        <v>2009</v>
      </c>
      <c r="T235" t="s">
        <v>207</v>
      </c>
      <c r="U235" t="s">
        <v>173</v>
      </c>
      <c r="V235"/>
      <c r="AF235">
        <v>200</v>
      </c>
      <c r="AG235">
        <v>0</v>
      </c>
      <c r="AI235">
        <v>75</v>
      </c>
      <c r="AK235">
        <v>0</v>
      </c>
      <c r="AL235">
        <v>0</v>
      </c>
      <c r="AN235" t="s">
        <v>132</v>
      </c>
      <c r="BH235">
        <v>440</v>
      </c>
      <c r="CE23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35" s="19">
        <f>SUM(Table1[[#This Row],[Mid39]],Table1[[#This Row],[Mid36]],Table1[[#This Row],[Mid33]],Table1[[#This Row],[Mid30]],Table1[[#This Row],[Mid27]],Table1[[#This Row],[Mid24]],Table1[[#This Row],[Mid21]],Table1[[#This Row],[Mid18]],Table1[[#This Row],[Mid15]],Table1[[#This Row],[Mid12]],Table1[[#This Row],[Mid9]],Table1[[#This Row],[Mid6]],Table1[[#This Row],[Mid3]],Table1[[#This Row],[Mid]])</f>
        <v>440</v>
      </c>
      <c r="CG2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35" t="s">
        <v>135</v>
      </c>
      <c r="CI235" t="s">
        <v>189</v>
      </c>
      <c r="CJ235" t="s">
        <v>158</v>
      </c>
      <c r="CL235" s="19">
        <f>IF(Table1[[#This Row],[Type]]="Petroleum",1,IF(ISERROR(Table1[[#This Row],[Well Density]]*Table1[[#This Row],[Single Well Discovery Area]]),"",IF(Table1[[#This Row],[Well Density]]*Table1[[#This Row],[Single Well Discovery Area]]&gt;1,1,Table1[[#This Row],[Well Density]]*Table1[[#This Row],[Single Well Discovery Area]])))</f>
        <v>1</v>
      </c>
      <c r="CM235" t="s">
        <v>158</v>
      </c>
      <c r="CN235" s="19">
        <f>Table1[[#This Row],[Mid]]</f>
        <v>0</v>
      </c>
      <c r="CO235" s="19">
        <f>Table1[[#This Row],[Mid3]]+Table1[[#This Row],[Mid6]]+Table1[[#This Row],[Mid9]]</f>
        <v>0</v>
      </c>
      <c r="CP235" s="19">
        <f>Table1[[#This Row],[Mid12]]+Table1[[#This Row],[Mid15]]+Table1[[#This Row],[Mid18]]+Table1[[#This Row],[Mid21]]+Table1[[#This Row],[Mid24]]</f>
        <v>440</v>
      </c>
      <c r="CQ235" s="19">
        <f>Table1[[#This Row],[Mid27]]+Table1[[#This Row],[Mid30]]+Table1[[#This Row],[Mid33]]+Table1[[#This Row],[Mid36]]+Table1[[#This Row],[Mid39]]</f>
        <v>0</v>
      </c>
      <c r="CR235" t="s">
        <v>439</v>
      </c>
      <c r="CS235" s="19" t="str">
        <f>IF(AND(Table1[[#This Row],[Low41]]=0, Table1[[#This Row],[High43]]=0),"N","Y")</f>
        <v>N</v>
      </c>
    </row>
    <row r="236" spans="1:97" ht="19.5" customHeight="1" x14ac:dyDescent="0.25">
      <c r="A236">
        <v>10233</v>
      </c>
      <c r="B236" t="s">
        <v>888</v>
      </c>
      <c r="C236" t="s">
        <v>223</v>
      </c>
      <c r="D236">
        <v>41.606111110000001</v>
      </c>
      <c r="E236">
        <v>122.6580556</v>
      </c>
      <c r="F236" t="s">
        <v>938</v>
      </c>
      <c r="G236" t="s">
        <v>898</v>
      </c>
      <c r="I236" t="s">
        <v>433</v>
      </c>
      <c r="J236" t="s">
        <v>202</v>
      </c>
      <c r="K236" t="s">
        <v>203</v>
      </c>
      <c r="L236" t="s">
        <v>121</v>
      </c>
      <c r="N236" s="6" t="s">
        <v>891</v>
      </c>
      <c r="O236" t="s">
        <v>892</v>
      </c>
      <c r="P236" t="s">
        <v>436</v>
      </c>
      <c r="Q236" t="s">
        <v>437</v>
      </c>
      <c r="R236" t="s">
        <v>899</v>
      </c>
      <c r="S236">
        <v>2009</v>
      </c>
      <c r="T236" t="s">
        <v>207</v>
      </c>
      <c r="U236" t="s">
        <v>173</v>
      </c>
      <c r="V236"/>
      <c r="AF236">
        <v>200</v>
      </c>
      <c r="AG236">
        <v>0</v>
      </c>
      <c r="AI236">
        <v>75</v>
      </c>
      <c r="AK236">
        <v>0</v>
      </c>
      <c r="AL236">
        <v>0</v>
      </c>
      <c r="AN236" t="s">
        <v>132</v>
      </c>
      <c r="BN236">
        <v>80</v>
      </c>
      <c r="CE2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36" s="19">
        <f>SUM(Table1[[#This Row],[Mid39]],Table1[[#This Row],[Mid36]],Table1[[#This Row],[Mid33]],Table1[[#This Row],[Mid30]],Table1[[#This Row],[Mid27]],Table1[[#This Row],[Mid24]],Table1[[#This Row],[Mid21]],Table1[[#This Row],[Mid18]],Table1[[#This Row],[Mid15]],Table1[[#This Row],[Mid12]],Table1[[#This Row],[Mid9]],Table1[[#This Row],[Mid6]],Table1[[#This Row],[Mid3]],Table1[[#This Row],[Mid]])</f>
        <v>80</v>
      </c>
      <c r="CG2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36" t="s">
        <v>135</v>
      </c>
      <c r="CI236" t="s">
        <v>189</v>
      </c>
      <c r="CJ236" t="s">
        <v>158</v>
      </c>
      <c r="CL236" s="19">
        <f>IF(Table1[[#This Row],[Type]]="Petroleum",1,IF(ISERROR(Table1[[#This Row],[Well Density]]*Table1[[#This Row],[Single Well Discovery Area]]),"",IF(Table1[[#This Row],[Well Density]]*Table1[[#This Row],[Single Well Discovery Area]]&gt;1,1,Table1[[#This Row],[Well Density]]*Table1[[#This Row],[Single Well Discovery Area]])))</f>
        <v>1</v>
      </c>
      <c r="CM236" t="s">
        <v>158</v>
      </c>
      <c r="CN236" s="19">
        <f>Table1[[#This Row],[Mid]]</f>
        <v>0</v>
      </c>
      <c r="CO236" s="19">
        <f>Table1[[#This Row],[Mid3]]+Table1[[#This Row],[Mid6]]+Table1[[#This Row],[Mid9]]</f>
        <v>0</v>
      </c>
      <c r="CP236" s="19">
        <f>Table1[[#This Row],[Mid12]]+Table1[[#This Row],[Mid15]]+Table1[[#This Row],[Mid18]]+Table1[[#This Row],[Mid21]]+Table1[[#This Row],[Mid24]]</f>
        <v>80</v>
      </c>
      <c r="CQ236" s="19">
        <f>Table1[[#This Row],[Mid27]]+Table1[[#This Row],[Mid30]]+Table1[[#This Row],[Mid33]]+Table1[[#This Row],[Mid36]]+Table1[[#This Row],[Mid39]]</f>
        <v>0</v>
      </c>
      <c r="CR236" t="s">
        <v>439</v>
      </c>
      <c r="CS236" s="19" t="str">
        <f>IF(AND(Table1[[#This Row],[Low41]]=0, Table1[[#This Row],[High43]]=0),"N","Y")</f>
        <v>N</v>
      </c>
    </row>
    <row r="237" spans="1:97" ht="19.5" customHeight="1" x14ac:dyDescent="0.25">
      <c r="A237">
        <v>10234</v>
      </c>
      <c r="B237" t="s">
        <v>888</v>
      </c>
      <c r="C237" t="s">
        <v>223</v>
      </c>
      <c r="D237">
        <v>32.833888889999997</v>
      </c>
      <c r="E237">
        <v>112.4075</v>
      </c>
      <c r="F237" t="s">
        <v>939</v>
      </c>
      <c r="G237" t="s">
        <v>939</v>
      </c>
      <c r="I237" t="s">
        <v>118</v>
      </c>
      <c r="J237" t="s">
        <v>119</v>
      </c>
      <c r="K237" t="s">
        <v>167</v>
      </c>
      <c r="L237" t="s">
        <v>18</v>
      </c>
      <c r="N237" s="6" t="s">
        <v>891</v>
      </c>
      <c r="O237" t="s">
        <v>892</v>
      </c>
      <c r="P237" t="s">
        <v>436</v>
      </c>
      <c r="Q237" t="s">
        <v>893</v>
      </c>
      <c r="R237" t="s">
        <v>894</v>
      </c>
      <c r="S237">
        <v>2009</v>
      </c>
      <c r="T237" t="s">
        <v>207</v>
      </c>
      <c r="U237" t="s">
        <v>173</v>
      </c>
      <c r="V237"/>
      <c r="Z237">
        <v>15</v>
      </c>
      <c r="AF237">
        <v>200</v>
      </c>
      <c r="AG237">
        <v>0</v>
      </c>
      <c r="AK237">
        <v>0</v>
      </c>
      <c r="AL237">
        <v>0</v>
      </c>
      <c r="AN237" t="s">
        <v>132</v>
      </c>
      <c r="CC237">
        <v>7500</v>
      </c>
      <c r="CE23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37" s="19">
        <f>SUM(Table1[[#This Row],[Mid39]],Table1[[#This Row],[Mid36]],Table1[[#This Row],[Mid33]],Table1[[#This Row],[Mid30]],Table1[[#This Row],[Mid27]],Table1[[#This Row],[Mid24]],Table1[[#This Row],[Mid21]],Table1[[#This Row],[Mid18]],Table1[[#This Row],[Mid15]],Table1[[#This Row],[Mid12]],Table1[[#This Row],[Mid9]],Table1[[#This Row],[Mid6]],Table1[[#This Row],[Mid3]],Table1[[#This Row],[Mid]])</f>
        <v>7500</v>
      </c>
      <c r="CG2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37" t="s">
        <v>189</v>
      </c>
      <c r="CJ237" t="s">
        <v>158</v>
      </c>
      <c r="CL237" s="19">
        <f>IF(Table1[[#This Row],[Type]]="Petroleum",1,IF(ISERROR(Table1[[#This Row],[Well Density]]*Table1[[#This Row],[Single Well Discovery Area]]),"",IF(Table1[[#This Row],[Well Density]]*Table1[[#This Row],[Single Well Discovery Area]]&gt;1,1,Table1[[#This Row],[Well Density]]*Table1[[#This Row],[Single Well Discovery Area]])))</f>
        <v>0</v>
      </c>
      <c r="CM237" t="s">
        <v>158</v>
      </c>
      <c r="CN237" s="19">
        <f>Table1[[#This Row],[Mid]]</f>
        <v>0</v>
      </c>
      <c r="CO237" s="19">
        <f>Table1[[#This Row],[Mid3]]+Table1[[#This Row],[Mid6]]+Table1[[#This Row],[Mid9]]</f>
        <v>0</v>
      </c>
      <c r="CP237" s="19">
        <f>Table1[[#This Row],[Mid12]]+Table1[[#This Row],[Mid15]]+Table1[[#This Row],[Mid18]]+Table1[[#This Row],[Mid21]]+Table1[[#This Row],[Mid24]]</f>
        <v>0</v>
      </c>
      <c r="CQ237" s="19">
        <f>Table1[[#This Row],[Mid27]]+Table1[[#This Row],[Mid30]]+Table1[[#This Row],[Mid33]]+Table1[[#This Row],[Mid36]]+Table1[[#This Row],[Mid39]]</f>
        <v>7500</v>
      </c>
      <c r="CR237" t="s">
        <v>439</v>
      </c>
      <c r="CS237" s="19" t="str">
        <f>IF(AND(Table1[[#This Row],[Low41]]=0, Table1[[#This Row],[High43]]=0),"N","Y")</f>
        <v>N</v>
      </c>
    </row>
    <row r="238" spans="1:97" ht="19.5" customHeight="1" x14ac:dyDescent="0.25">
      <c r="A238">
        <v>10235</v>
      </c>
      <c r="B238" t="s">
        <v>888</v>
      </c>
      <c r="C238" t="s">
        <v>223</v>
      </c>
      <c r="D238">
        <v>32.664999999999999</v>
      </c>
      <c r="E238">
        <v>113.02611109999999</v>
      </c>
      <c r="F238" t="s">
        <v>940</v>
      </c>
      <c r="G238" t="s">
        <v>939</v>
      </c>
      <c r="I238" t="s">
        <v>582</v>
      </c>
      <c r="J238" t="s">
        <v>202</v>
      </c>
      <c r="K238" t="s">
        <v>203</v>
      </c>
      <c r="L238" t="s">
        <v>121</v>
      </c>
      <c r="N238" s="6" t="s">
        <v>891</v>
      </c>
      <c r="O238" t="s">
        <v>892</v>
      </c>
      <c r="P238" t="s">
        <v>436</v>
      </c>
      <c r="Q238" t="s">
        <v>437</v>
      </c>
      <c r="R238" t="s">
        <v>921</v>
      </c>
      <c r="S238">
        <v>2009</v>
      </c>
      <c r="T238" t="s">
        <v>207</v>
      </c>
      <c r="U238" t="s">
        <v>173</v>
      </c>
      <c r="V238"/>
      <c r="AF238">
        <v>200</v>
      </c>
      <c r="AG238">
        <v>0</v>
      </c>
      <c r="AI238">
        <v>75</v>
      </c>
      <c r="AK238">
        <v>0</v>
      </c>
      <c r="AL238">
        <v>0</v>
      </c>
      <c r="AN238" t="s">
        <v>132</v>
      </c>
      <c r="BH238">
        <v>65</v>
      </c>
      <c r="CE23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38" s="19">
        <f>SUM(Table1[[#This Row],[Mid39]],Table1[[#This Row],[Mid36]],Table1[[#This Row],[Mid33]],Table1[[#This Row],[Mid30]],Table1[[#This Row],[Mid27]],Table1[[#This Row],[Mid24]],Table1[[#This Row],[Mid21]],Table1[[#This Row],[Mid18]],Table1[[#This Row],[Mid15]],Table1[[#This Row],[Mid12]],Table1[[#This Row],[Mid9]],Table1[[#This Row],[Mid6]],Table1[[#This Row],[Mid3]],Table1[[#This Row],[Mid]])</f>
        <v>65</v>
      </c>
      <c r="CG2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38" t="s">
        <v>135</v>
      </c>
      <c r="CI238" t="s">
        <v>189</v>
      </c>
      <c r="CJ238" t="s">
        <v>158</v>
      </c>
      <c r="CL238" s="19">
        <f>IF(Table1[[#This Row],[Type]]="Petroleum",1,IF(ISERROR(Table1[[#This Row],[Well Density]]*Table1[[#This Row],[Single Well Discovery Area]]),"",IF(Table1[[#This Row],[Well Density]]*Table1[[#This Row],[Single Well Discovery Area]]&gt;1,1,Table1[[#This Row],[Well Density]]*Table1[[#This Row],[Single Well Discovery Area]])))</f>
        <v>1</v>
      </c>
      <c r="CM238" t="s">
        <v>158</v>
      </c>
      <c r="CN238" s="19">
        <f>Table1[[#This Row],[Mid]]</f>
        <v>0</v>
      </c>
      <c r="CO238" s="19">
        <f>Table1[[#This Row],[Mid3]]+Table1[[#This Row],[Mid6]]+Table1[[#This Row],[Mid9]]</f>
        <v>0</v>
      </c>
      <c r="CP238" s="19">
        <f>Table1[[#This Row],[Mid12]]+Table1[[#This Row],[Mid15]]+Table1[[#This Row],[Mid18]]+Table1[[#This Row],[Mid21]]+Table1[[#This Row],[Mid24]]</f>
        <v>65</v>
      </c>
      <c r="CQ238" s="19">
        <f>Table1[[#This Row],[Mid27]]+Table1[[#This Row],[Mid30]]+Table1[[#This Row],[Mid33]]+Table1[[#This Row],[Mid36]]+Table1[[#This Row],[Mid39]]</f>
        <v>0</v>
      </c>
      <c r="CR238" t="s">
        <v>439</v>
      </c>
      <c r="CS238" s="19" t="str">
        <f>IF(AND(Table1[[#This Row],[Low41]]=0, Table1[[#This Row],[High43]]=0),"N","Y")</f>
        <v>N</v>
      </c>
    </row>
    <row r="239" spans="1:97" ht="19.5" customHeight="1" x14ac:dyDescent="0.25">
      <c r="A239">
        <v>10236</v>
      </c>
      <c r="B239" t="s">
        <v>888</v>
      </c>
      <c r="C239" t="s">
        <v>223</v>
      </c>
      <c r="D239">
        <v>37.911388889999998</v>
      </c>
      <c r="E239">
        <v>108.8813889</v>
      </c>
      <c r="F239" t="s">
        <v>941</v>
      </c>
      <c r="G239" t="s">
        <v>941</v>
      </c>
      <c r="I239" t="s">
        <v>118</v>
      </c>
      <c r="J239" t="s">
        <v>119</v>
      </c>
      <c r="K239" t="s">
        <v>167</v>
      </c>
      <c r="L239" t="s">
        <v>18</v>
      </c>
      <c r="N239" s="6" t="s">
        <v>891</v>
      </c>
      <c r="O239" t="s">
        <v>892</v>
      </c>
      <c r="P239" t="s">
        <v>436</v>
      </c>
      <c r="Q239" t="s">
        <v>893</v>
      </c>
      <c r="R239" t="s">
        <v>894</v>
      </c>
      <c r="S239">
        <v>2009</v>
      </c>
      <c r="T239" t="s">
        <v>207</v>
      </c>
      <c r="U239" t="s">
        <v>173</v>
      </c>
      <c r="V239">
        <v>271300</v>
      </c>
      <c r="Z239">
        <v>15</v>
      </c>
      <c r="AE239">
        <v>0</v>
      </c>
      <c r="AF239">
        <v>200</v>
      </c>
      <c r="AG239">
        <v>0</v>
      </c>
      <c r="AK239">
        <v>0</v>
      </c>
      <c r="AL239">
        <v>0</v>
      </c>
      <c r="AN239" t="s">
        <v>132</v>
      </c>
      <c r="CC239">
        <v>256500</v>
      </c>
      <c r="CE23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39" s="19">
        <f>SUM(Table1[[#This Row],[Mid39]],Table1[[#This Row],[Mid36]],Table1[[#This Row],[Mid33]],Table1[[#This Row],[Mid30]],Table1[[#This Row],[Mid27]],Table1[[#This Row],[Mid24]],Table1[[#This Row],[Mid21]],Table1[[#This Row],[Mid18]],Table1[[#This Row],[Mid15]],Table1[[#This Row],[Mid12]],Table1[[#This Row],[Mid9]],Table1[[#This Row],[Mid6]],Table1[[#This Row],[Mid3]],Table1[[#This Row],[Mid]])</f>
        <v>256500</v>
      </c>
      <c r="CG2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39" t="s">
        <v>189</v>
      </c>
      <c r="CJ239" t="s">
        <v>158</v>
      </c>
      <c r="CL239" s="19">
        <f>IF(Table1[[#This Row],[Type]]="Petroleum",1,IF(ISERROR(Table1[[#This Row],[Well Density]]*Table1[[#This Row],[Single Well Discovery Area]]),"",IF(Table1[[#This Row],[Well Density]]*Table1[[#This Row],[Single Well Discovery Area]]&gt;1,1,Table1[[#This Row],[Well Density]]*Table1[[#This Row],[Single Well Discovery Area]])))</f>
        <v>0</v>
      </c>
      <c r="CM239" t="s">
        <v>158</v>
      </c>
      <c r="CN239" s="19">
        <f>Table1[[#This Row],[Mid]]</f>
        <v>0</v>
      </c>
      <c r="CO239" s="19">
        <f>Table1[[#This Row],[Mid3]]+Table1[[#This Row],[Mid6]]+Table1[[#This Row],[Mid9]]</f>
        <v>0</v>
      </c>
      <c r="CP239" s="19">
        <f>Table1[[#This Row],[Mid12]]+Table1[[#This Row],[Mid15]]+Table1[[#This Row],[Mid18]]+Table1[[#This Row],[Mid21]]+Table1[[#This Row],[Mid24]]</f>
        <v>0</v>
      </c>
      <c r="CQ239" s="19">
        <f>Table1[[#This Row],[Mid27]]+Table1[[#This Row],[Mid30]]+Table1[[#This Row],[Mid33]]+Table1[[#This Row],[Mid36]]+Table1[[#This Row],[Mid39]]</f>
        <v>256500</v>
      </c>
      <c r="CR239" t="s">
        <v>439</v>
      </c>
      <c r="CS239" s="19" t="str">
        <f>IF(AND(Table1[[#This Row],[Low41]]=0, Table1[[#This Row],[High43]]=0),"N","Y")</f>
        <v>N</v>
      </c>
    </row>
    <row r="240" spans="1:97" ht="19.5" customHeight="1" x14ac:dyDescent="0.25">
      <c r="A240">
        <v>10237</v>
      </c>
      <c r="B240" t="s">
        <v>888</v>
      </c>
      <c r="C240" t="s">
        <v>223</v>
      </c>
      <c r="D240">
        <v>37.165555560000001</v>
      </c>
      <c r="E240">
        <v>108.1538889</v>
      </c>
      <c r="F240" t="s">
        <v>942</v>
      </c>
      <c r="G240" t="s">
        <v>941</v>
      </c>
      <c r="I240" t="s">
        <v>433</v>
      </c>
      <c r="J240" t="s">
        <v>202</v>
      </c>
      <c r="K240" t="s">
        <v>203</v>
      </c>
      <c r="L240" t="s">
        <v>121</v>
      </c>
      <c r="N240" s="6" t="s">
        <v>891</v>
      </c>
      <c r="O240" t="s">
        <v>892</v>
      </c>
      <c r="P240" t="s">
        <v>436</v>
      </c>
      <c r="Q240" t="s">
        <v>437</v>
      </c>
      <c r="R240" t="s">
        <v>899</v>
      </c>
      <c r="S240">
        <v>2009</v>
      </c>
      <c r="T240" t="s">
        <v>207</v>
      </c>
      <c r="U240" t="s">
        <v>173</v>
      </c>
      <c r="V240"/>
      <c r="AF240">
        <v>200</v>
      </c>
      <c r="AG240">
        <v>0</v>
      </c>
      <c r="AI240">
        <v>75</v>
      </c>
      <c r="AK240">
        <v>0</v>
      </c>
      <c r="AL240">
        <v>0</v>
      </c>
      <c r="AN240" t="s">
        <v>132</v>
      </c>
      <c r="BN240">
        <v>1110</v>
      </c>
      <c r="CE24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40" s="19">
        <f>SUM(Table1[[#This Row],[Mid39]],Table1[[#This Row],[Mid36]],Table1[[#This Row],[Mid33]],Table1[[#This Row],[Mid30]],Table1[[#This Row],[Mid27]],Table1[[#This Row],[Mid24]],Table1[[#This Row],[Mid21]],Table1[[#This Row],[Mid18]],Table1[[#This Row],[Mid15]],Table1[[#This Row],[Mid12]],Table1[[#This Row],[Mid9]],Table1[[#This Row],[Mid6]],Table1[[#This Row],[Mid3]],Table1[[#This Row],[Mid]])</f>
        <v>1110</v>
      </c>
      <c r="CG2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40" t="s">
        <v>135</v>
      </c>
      <c r="CI240" t="s">
        <v>189</v>
      </c>
      <c r="CJ240" t="s">
        <v>158</v>
      </c>
      <c r="CL240" s="19">
        <f>IF(Table1[[#This Row],[Type]]="Petroleum",1,IF(ISERROR(Table1[[#This Row],[Well Density]]*Table1[[#This Row],[Single Well Discovery Area]]),"",IF(Table1[[#This Row],[Well Density]]*Table1[[#This Row],[Single Well Discovery Area]]&gt;1,1,Table1[[#This Row],[Well Density]]*Table1[[#This Row],[Single Well Discovery Area]])))</f>
        <v>1</v>
      </c>
      <c r="CM240" t="s">
        <v>158</v>
      </c>
      <c r="CN240" s="19">
        <f>Table1[[#This Row],[Mid]]</f>
        <v>0</v>
      </c>
      <c r="CO240" s="19">
        <f>Table1[[#This Row],[Mid3]]+Table1[[#This Row],[Mid6]]+Table1[[#This Row],[Mid9]]</f>
        <v>0</v>
      </c>
      <c r="CP240" s="19">
        <f>Table1[[#This Row],[Mid12]]+Table1[[#This Row],[Mid15]]+Table1[[#This Row],[Mid18]]+Table1[[#This Row],[Mid21]]+Table1[[#This Row],[Mid24]]</f>
        <v>1110</v>
      </c>
      <c r="CQ240" s="19">
        <f>Table1[[#This Row],[Mid27]]+Table1[[#This Row],[Mid30]]+Table1[[#This Row],[Mid33]]+Table1[[#This Row],[Mid36]]+Table1[[#This Row],[Mid39]]</f>
        <v>0</v>
      </c>
      <c r="CR240" t="s">
        <v>439</v>
      </c>
      <c r="CS240" s="19" t="str">
        <f>IF(AND(Table1[[#This Row],[Low41]]=0, Table1[[#This Row],[High43]]=0),"N","Y")</f>
        <v>N</v>
      </c>
    </row>
    <row r="241" spans="1:97" ht="19.5" customHeight="1" x14ac:dyDescent="0.25">
      <c r="A241">
        <v>10238</v>
      </c>
      <c r="B241" t="s">
        <v>888</v>
      </c>
      <c r="C241" t="s">
        <v>223</v>
      </c>
      <c r="D241">
        <v>37.165555560000001</v>
      </c>
      <c r="E241">
        <v>108.1538889</v>
      </c>
      <c r="F241" t="s">
        <v>943</v>
      </c>
      <c r="G241" t="s">
        <v>941</v>
      </c>
      <c r="I241" t="s">
        <v>582</v>
      </c>
      <c r="J241" t="s">
        <v>202</v>
      </c>
      <c r="K241" t="s">
        <v>203</v>
      </c>
      <c r="L241" t="s">
        <v>121</v>
      </c>
      <c r="N241" s="6" t="s">
        <v>891</v>
      </c>
      <c r="O241" t="s">
        <v>892</v>
      </c>
      <c r="P241" t="s">
        <v>436</v>
      </c>
      <c r="Q241" t="s">
        <v>437</v>
      </c>
      <c r="R241" t="s">
        <v>921</v>
      </c>
      <c r="S241">
        <v>2009</v>
      </c>
      <c r="T241" t="s">
        <v>207</v>
      </c>
      <c r="U241" t="s">
        <v>173</v>
      </c>
      <c r="V241"/>
      <c r="AF241">
        <v>200</v>
      </c>
      <c r="AG241">
        <v>0</v>
      </c>
      <c r="AI241">
        <v>75</v>
      </c>
      <c r="AK241">
        <v>0</v>
      </c>
      <c r="AL241">
        <v>0</v>
      </c>
      <c r="AN241" t="s">
        <v>132</v>
      </c>
      <c r="BH241">
        <v>360</v>
      </c>
      <c r="CE24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41" s="19">
        <f>SUM(Table1[[#This Row],[Mid39]],Table1[[#This Row],[Mid36]],Table1[[#This Row],[Mid33]],Table1[[#This Row],[Mid30]],Table1[[#This Row],[Mid27]],Table1[[#This Row],[Mid24]],Table1[[#This Row],[Mid21]],Table1[[#This Row],[Mid18]],Table1[[#This Row],[Mid15]],Table1[[#This Row],[Mid12]],Table1[[#This Row],[Mid9]],Table1[[#This Row],[Mid6]],Table1[[#This Row],[Mid3]],Table1[[#This Row],[Mid]])</f>
        <v>360</v>
      </c>
      <c r="CG2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41" t="s">
        <v>135</v>
      </c>
      <c r="CI241" t="s">
        <v>189</v>
      </c>
      <c r="CJ241" t="s">
        <v>158</v>
      </c>
      <c r="CL241" s="19">
        <f>IF(Table1[[#This Row],[Type]]="Petroleum",1,IF(ISERROR(Table1[[#This Row],[Well Density]]*Table1[[#This Row],[Single Well Discovery Area]]),"",IF(Table1[[#This Row],[Well Density]]*Table1[[#This Row],[Single Well Discovery Area]]&gt;1,1,Table1[[#This Row],[Well Density]]*Table1[[#This Row],[Single Well Discovery Area]])))</f>
        <v>1</v>
      </c>
      <c r="CM241" t="s">
        <v>158</v>
      </c>
      <c r="CN241" s="19">
        <f>Table1[[#This Row],[Mid]]</f>
        <v>0</v>
      </c>
      <c r="CO241" s="19">
        <f>Table1[[#This Row],[Mid3]]+Table1[[#This Row],[Mid6]]+Table1[[#This Row],[Mid9]]</f>
        <v>0</v>
      </c>
      <c r="CP241" s="19">
        <f>Table1[[#This Row],[Mid12]]+Table1[[#This Row],[Mid15]]+Table1[[#This Row],[Mid18]]+Table1[[#This Row],[Mid21]]+Table1[[#This Row],[Mid24]]</f>
        <v>360</v>
      </c>
      <c r="CQ241" s="19">
        <f>Table1[[#This Row],[Mid27]]+Table1[[#This Row],[Mid30]]+Table1[[#This Row],[Mid33]]+Table1[[#This Row],[Mid36]]+Table1[[#This Row],[Mid39]]</f>
        <v>0</v>
      </c>
      <c r="CR241" t="s">
        <v>439</v>
      </c>
      <c r="CS241" s="19" t="str">
        <f>IF(AND(Table1[[#This Row],[Low41]]=0, Table1[[#This Row],[High43]]=0),"N","Y")</f>
        <v>N</v>
      </c>
    </row>
    <row r="242" spans="1:97" ht="19.5" customHeight="1" x14ac:dyDescent="0.25">
      <c r="A242">
        <v>10239</v>
      </c>
      <c r="B242" t="s">
        <v>888</v>
      </c>
      <c r="C242" t="s">
        <v>223</v>
      </c>
      <c r="D242">
        <v>37.373333330000001</v>
      </c>
      <c r="E242">
        <v>94.407777780000004</v>
      </c>
      <c r="F242" t="s">
        <v>944</v>
      </c>
      <c r="G242" t="s">
        <v>944</v>
      </c>
      <c r="I242" t="s">
        <v>118</v>
      </c>
      <c r="J242" t="s">
        <v>119</v>
      </c>
      <c r="K242" t="s">
        <v>167</v>
      </c>
      <c r="L242" t="s">
        <v>18</v>
      </c>
      <c r="N242" s="6" t="s">
        <v>891</v>
      </c>
      <c r="O242" t="s">
        <v>892</v>
      </c>
      <c r="P242" t="s">
        <v>436</v>
      </c>
      <c r="Q242" t="s">
        <v>893</v>
      </c>
      <c r="R242" t="s">
        <v>894</v>
      </c>
      <c r="S242">
        <v>2009</v>
      </c>
      <c r="T242" t="s">
        <v>207</v>
      </c>
      <c r="U242" t="s">
        <v>173</v>
      </c>
      <c r="V242"/>
      <c r="Z242">
        <v>15</v>
      </c>
      <c r="AF242">
        <v>200</v>
      </c>
      <c r="AG242">
        <v>0</v>
      </c>
      <c r="AK242">
        <v>0</v>
      </c>
      <c r="AL242">
        <v>0</v>
      </c>
      <c r="AN242" t="s">
        <v>132</v>
      </c>
      <c r="CC242">
        <v>21500</v>
      </c>
      <c r="CE2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42" s="19">
        <f>SUM(Table1[[#This Row],[Mid39]],Table1[[#This Row],[Mid36]],Table1[[#This Row],[Mid33]],Table1[[#This Row],[Mid30]],Table1[[#This Row],[Mid27]],Table1[[#This Row],[Mid24]],Table1[[#This Row],[Mid21]],Table1[[#This Row],[Mid18]],Table1[[#This Row],[Mid15]],Table1[[#This Row],[Mid12]],Table1[[#This Row],[Mid9]],Table1[[#This Row],[Mid6]],Table1[[#This Row],[Mid3]],Table1[[#This Row],[Mid]])</f>
        <v>21500</v>
      </c>
      <c r="CG2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42" t="s">
        <v>189</v>
      </c>
      <c r="CJ242" t="s">
        <v>158</v>
      </c>
      <c r="CL242" s="19">
        <f>IF(Table1[[#This Row],[Type]]="Petroleum",1,IF(ISERROR(Table1[[#This Row],[Well Density]]*Table1[[#This Row],[Single Well Discovery Area]]),"",IF(Table1[[#This Row],[Well Density]]*Table1[[#This Row],[Single Well Discovery Area]]&gt;1,1,Table1[[#This Row],[Well Density]]*Table1[[#This Row],[Single Well Discovery Area]])))</f>
        <v>0</v>
      </c>
      <c r="CM242" t="s">
        <v>158</v>
      </c>
      <c r="CN242" s="19">
        <f>Table1[[#This Row],[Mid]]</f>
        <v>0</v>
      </c>
      <c r="CO242" s="19">
        <f>Table1[[#This Row],[Mid3]]+Table1[[#This Row],[Mid6]]+Table1[[#This Row],[Mid9]]</f>
        <v>0</v>
      </c>
      <c r="CP242" s="19">
        <f>Table1[[#This Row],[Mid12]]+Table1[[#This Row],[Mid15]]+Table1[[#This Row],[Mid18]]+Table1[[#This Row],[Mid21]]+Table1[[#This Row],[Mid24]]</f>
        <v>0</v>
      </c>
      <c r="CQ242" s="19">
        <f>Table1[[#This Row],[Mid27]]+Table1[[#This Row],[Mid30]]+Table1[[#This Row],[Mid33]]+Table1[[#This Row],[Mid36]]+Table1[[#This Row],[Mid39]]</f>
        <v>21500</v>
      </c>
      <c r="CR242" t="s">
        <v>439</v>
      </c>
      <c r="CS242" s="19" t="str">
        <f>IF(AND(Table1[[#This Row],[Low41]]=0, Table1[[#This Row],[High43]]=0),"N","Y")</f>
        <v>N</v>
      </c>
    </row>
    <row r="243" spans="1:97" ht="19.5" customHeight="1" x14ac:dyDescent="0.25">
      <c r="A243">
        <v>10240</v>
      </c>
      <c r="B243" t="s">
        <v>888</v>
      </c>
      <c r="C243" t="s">
        <v>223</v>
      </c>
      <c r="D243">
        <v>37.544444439999999</v>
      </c>
      <c r="E243">
        <v>93.294444440000007</v>
      </c>
      <c r="F243" t="s">
        <v>945</v>
      </c>
      <c r="G243" t="s">
        <v>944</v>
      </c>
      <c r="I243" t="s">
        <v>433</v>
      </c>
      <c r="J243" t="s">
        <v>202</v>
      </c>
      <c r="K243" t="s">
        <v>203</v>
      </c>
      <c r="L243" t="s">
        <v>121</v>
      </c>
      <c r="N243" s="6" t="s">
        <v>891</v>
      </c>
      <c r="O243" t="s">
        <v>892</v>
      </c>
      <c r="P243" t="s">
        <v>436</v>
      </c>
      <c r="Q243" t="s">
        <v>437</v>
      </c>
      <c r="R243" t="s">
        <v>899</v>
      </c>
      <c r="S243">
        <v>2009</v>
      </c>
      <c r="T243" t="s">
        <v>207</v>
      </c>
      <c r="U243" t="s">
        <v>173</v>
      </c>
      <c r="V243"/>
      <c r="AF243">
        <v>200</v>
      </c>
      <c r="AG243">
        <v>0</v>
      </c>
      <c r="AI243">
        <v>75</v>
      </c>
      <c r="AK243">
        <v>0</v>
      </c>
      <c r="AL243">
        <v>0</v>
      </c>
      <c r="AN243" t="s">
        <v>132</v>
      </c>
      <c r="BN243">
        <v>350</v>
      </c>
      <c r="CE24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43" s="19">
        <f>SUM(Table1[[#This Row],[Mid39]],Table1[[#This Row],[Mid36]],Table1[[#This Row],[Mid33]],Table1[[#This Row],[Mid30]],Table1[[#This Row],[Mid27]],Table1[[#This Row],[Mid24]],Table1[[#This Row],[Mid21]],Table1[[#This Row],[Mid18]],Table1[[#This Row],[Mid15]],Table1[[#This Row],[Mid12]],Table1[[#This Row],[Mid9]],Table1[[#This Row],[Mid6]],Table1[[#This Row],[Mid3]],Table1[[#This Row],[Mid]])</f>
        <v>350</v>
      </c>
      <c r="CG2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43" t="s">
        <v>135</v>
      </c>
      <c r="CI243" t="s">
        <v>189</v>
      </c>
      <c r="CJ243" t="s">
        <v>158</v>
      </c>
      <c r="CL243" s="19">
        <f>IF(Table1[[#This Row],[Type]]="Petroleum",1,IF(ISERROR(Table1[[#This Row],[Well Density]]*Table1[[#This Row],[Single Well Discovery Area]]),"",IF(Table1[[#This Row],[Well Density]]*Table1[[#This Row],[Single Well Discovery Area]]&gt;1,1,Table1[[#This Row],[Well Density]]*Table1[[#This Row],[Single Well Discovery Area]])))</f>
        <v>1</v>
      </c>
      <c r="CM243" t="s">
        <v>158</v>
      </c>
      <c r="CN243" s="19">
        <f>Table1[[#This Row],[Mid]]</f>
        <v>0</v>
      </c>
      <c r="CO243" s="19">
        <f>Table1[[#This Row],[Mid3]]+Table1[[#This Row],[Mid6]]+Table1[[#This Row],[Mid9]]</f>
        <v>0</v>
      </c>
      <c r="CP243" s="19">
        <f>Table1[[#This Row],[Mid12]]+Table1[[#This Row],[Mid15]]+Table1[[#This Row],[Mid18]]+Table1[[#This Row],[Mid21]]+Table1[[#This Row],[Mid24]]</f>
        <v>350</v>
      </c>
      <c r="CQ243" s="19">
        <f>Table1[[#This Row],[Mid27]]+Table1[[#This Row],[Mid30]]+Table1[[#This Row],[Mid33]]+Table1[[#This Row],[Mid36]]+Table1[[#This Row],[Mid39]]</f>
        <v>0</v>
      </c>
      <c r="CR243" t="s">
        <v>439</v>
      </c>
      <c r="CS243" s="19" t="str">
        <f>IF(AND(Table1[[#This Row],[Low41]]=0, Table1[[#This Row],[High43]]=0),"N","Y")</f>
        <v>N</v>
      </c>
    </row>
    <row r="244" spans="1:97" ht="19.5" customHeight="1" x14ac:dyDescent="0.25">
      <c r="A244">
        <v>10241</v>
      </c>
      <c r="B244" t="s">
        <v>888</v>
      </c>
      <c r="C244" t="s">
        <v>223</v>
      </c>
      <c r="D244">
        <v>38.312222220000002</v>
      </c>
      <c r="E244">
        <v>90.766388890000002</v>
      </c>
      <c r="F244" t="s">
        <v>946</v>
      </c>
      <c r="G244" t="s">
        <v>944</v>
      </c>
      <c r="I244" t="s">
        <v>582</v>
      </c>
      <c r="J244" t="s">
        <v>202</v>
      </c>
      <c r="K244" t="s">
        <v>203</v>
      </c>
      <c r="L244" t="s">
        <v>121</v>
      </c>
      <c r="N244" s="6" t="s">
        <v>891</v>
      </c>
      <c r="O244" t="s">
        <v>892</v>
      </c>
      <c r="P244" t="s">
        <v>436</v>
      </c>
      <c r="Q244" t="s">
        <v>437</v>
      </c>
      <c r="R244" t="s">
        <v>921</v>
      </c>
      <c r="S244">
        <v>2009</v>
      </c>
      <c r="T244" t="s">
        <v>207</v>
      </c>
      <c r="U244" t="s">
        <v>173</v>
      </c>
      <c r="V244"/>
      <c r="AF244">
        <v>200</v>
      </c>
      <c r="AG244">
        <v>0</v>
      </c>
      <c r="AI244">
        <v>75</v>
      </c>
      <c r="AK244">
        <v>0</v>
      </c>
      <c r="AL244">
        <v>0</v>
      </c>
      <c r="AN244" t="s">
        <v>132</v>
      </c>
      <c r="BH244">
        <v>81</v>
      </c>
      <c r="CE24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44" s="19">
        <f>SUM(Table1[[#This Row],[Mid39]],Table1[[#This Row],[Mid36]],Table1[[#This Row],[Mid33]],Table1[[#This Row],[Mid30]],Table1[[#This Row],[Mid27]],Table1[[#This Row],[Mid24]],Table1[[#This Row],[Mid21]],Table1[[#This Row],[Mid18]],Table1[[#This Row],[Mid15]],Table1[[#This Row],[Mid12]],Table1[[#This Row],[Mid9]],Table1[[#This Row],[Mid6]],Table1[[#This Row],[Mid3]],Table1[[#This Row],[Mid]])</f>
        <v>81</v>
      </c>
      <c r="CG2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44" t="s">
        <v>135</v>
      </c>
      <c r="CI244" t="s">
        <v>189</v>
      </c>
      <c r="CJ244" t="s">
        <v>158</v>
      </c>
      <c r="CL244" s="19">
        <f>IF(Table1[[#This Row],[Type]]="Petroleum",1,IF(ISERROR(Table1[[#This Row],[Well Density]]*Table1[[#This Row],[Single Well Discovery Area]]),"",IF(Table1[[#This Row],[Well Density]]*Table1[[#This Row],[Single Well Discovery Area]]&gt;1,1,Table1[[#This Row],[Well Density]]*Table1[[#This Row],[Single Well Discovery Area]])))</f>
        <v>1</v>
      </c>
      <c r="CM244" t="s">
        <v>158</v>
      </c>
      <c r="CN244" s="19">
        <f>Table1[[#This Row],[Mid]]</f>
        <v>0</v>
      </c>
      <c r="CO244" s="19">
        <f>Table1[[#This Row],[Mid3]]+Table1[[#This Row],[Mid6]]+Table1[[#This Row],[Mid9]]</f>
        <v>0</v>
      </c>
      <c r="CP244" s="19">
        <f>Table1[[#This Row],[Mid12]]+Table1[[#This Row],[Mid15]]+Table1[[#This Row],[Mid18]]+Table1[[#This Row],[Mid21]]+Table1[[#This Row],[Mid24]]</f>
        <v>81</v>
      </c>
      <c r="CQ244" s="19">
        <f>Table1[[#This Row],[Mid27]]+Table1[[#This Row],[Mid30]]+Table1[[#This Row],[Mid33]]+Table1[[#This Row],[Mid36]]+Table1[[#This Row],[Mid39]]</f>
        <v>0</v>
      </c>
      <c r="CR244" t="s">
        <v>439</v>
      </c>
      <c r="CS244" s="19" t="str">
        <f>IF(AND(Table1[[#This Row],[Low41]]=0, Table1[[#This Row],[High43]]=0),"N","Y")</f>
        <v>N</v>
      </c>
    </row>
    <row r="245" spans="1:97" ht="19.5" customHeight="1" x14ac:dyDescent="0.25">
      <c r="A245">
        <v>10242</v>
      </c>
      <c r="B245" t="s">
        <v>888</v>
      </c>
      <c r="C245" t="s">
        <v>223</v>
      </c>
      <c r="D245">
        <v>48.058611110000001</v>
      </c>
      <c r="E245">
        <v>134.18083329999999</v>
      </c>
      <c r="F245" t="s">
        <v>947</v>
      </c>
      <c r="G245" t="s">
        <v>948</v>
      </c>
      <c r="I245" t="s">
        <v>118</v>
      </c>
      <c r="J245" t="s">
        <v>119</v>
      </c>
      <c r="K245" t="s">
        <v>167</v>
      </c>
      <c r="L245" t="s">
        <v>18</v>
      </c>
      <c r="N245" s="6" t="s">
        <v>891</v>
      </c>
      <c r="O245" t="s">
        <v>892</v>
      </c>
      <c r="P245" t="s">
        <v>436</v>
      </c>
      <c r="Q245" t="s">
        <v>893</v>
      </c>
      <c r="R245" t="s">
        <v>894</v>
      </c>
      <c r="S245">
        <v>2009</v>
      </c>
      <c r="T245" t="s">
        <v>207</v>
      </c>
      <c r="U245" t="s">
        <v>173</v>
      </c>
      <c r="V245"/>
      <c r="Z245">
        <v>15</v>
      </c>
      <c r="AF245">
        <v>200</v>
      </c>
      <c r="AG245">
        <v>0</v>
      </c>
      <c r="AK245">
        <v>0</v>
      </c>
      <c r="AL245">
        <v>0</v>
      </c>
      <c r="AN245" t="s">
        <v>132</v>
      </c>
      <c r="CC245">
        <v>44900</v>
      </c>
      <c r="CE24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45" s="19">
        <f>SUM(Table1[[#This Row],[Mid39]],Table1[[#This Row],[Mid36]],Table1[[#This Row],[Mid33]],Table1[[#This Row],[Mid30]],Table1[[#This Row],[Mid27]],Table1[[#This Row],[Mid24]],Table1[[#This Row],[Mid21]],Table1[[#This Row],[Mid18]],Table1[[#This Row],[Mid15]],Table1[[#This Row],[Mid12]],Table1[[#This Row],[Mid9]],Table1[[#This Row],[Mid6]],Table1[[#This Row],[Mid3]],Table1[[#This Row],[Mid]])</f>
        <v>44900</v>
      </c>
      <c r="CG2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45" t="s">
        <v>189</v>
      </c>
      <c r="CJ245" t="s">
        <v>158</v>
      </c>
      <c r="CL245" s="19">
        <f>IF(Table1[[#This Row],[Type]]="Petroleum",1,IF(ISERROR(Table1[[#This Row],[Well Density]]*Table1[[#This Row],[Single Well Discovery Area]]),"",IF(Table1[[#This Row],[Well Density]]*Table1[[#This Row],[Single Well Discovery Area]]&gt;1,1,Table1[[#This Row],[Well Density]]*Table1[[#This Row],[Single Well Discovery Area]])))</f>
        <v>0</v>
      </c>
      <c r="CM245" t="s">
        <v>158</v>
      </c>
      <c r="CN245" s="19">
        <f>Table1[[#This Row],[Mid]]</f>
        <v>0</v>
      </c>
      <c r="CO245" s="19">
        <f>Table1[[#This Row],[Mid3]]+Table1[[#This Row],[Mid6]]+Table1[[#This Row],[Mid9]]</f>
        <v>0</v>
      </c>
      <c r="CP245" s="19">
        <f>Table1[[#This Row],[Mid12]]+Table1[[#This Row],[Mid15]]+Table1[[#This Row],[Mid18]]+Table1[[#This Row],[Mid21]]+Table1[[#This Row],[Mid24]]</f>
        <v>0</v>
      </c>
      <c r="CQ245" s="19">
        <f>Table1[[#This Row],[Mid27]]+Table1[[#This Row],[Mid30]]+Table1[[#This Row],[Mid33]]+Table1[[#This Row],[Mid36]]+Table1[[#This Row],[Mid39]]</f>
        <v>44900</v>
      </c>
      <c r="CR245" t="s">
        <v>439</v>
      </c>
      <c r="CS245" s="19" t="str">
        <f>IF(AND(Table1[[#This Row],[Low41]]=0, Table1[[#This Row],[High43]]=0),"N","Y")</f>
        <v>N</v>
      </c>
    </row>
    <row r="246" spans="1:97" ht="19.5" customHeight="1" x14ac:dyDescent="0.25">
      <c r="A246">
        <v>10243</v>
      </c>
      <c r="B246" t="s">
        <v>888</v>
      </c>
      <c r="C246" t="s">
        <v>223</v>
      </c>
      <c r="D246">
        <v>30.730555559999999</v>
      </c>
      <c r="E246">
        <v>106.3758333</v>
      </c>
      <c r="F246" t="s">
        <v>949</v>
      </c>
      <c r="G246" t="s">
        <v>949</v>
      </c>
      <c r="I246" t="s">
        <v>118</v>
      </c>
      <c r="J246" t="s">
        <v>119</v>
      </c>
      <c r="K246" t="s">
        <v>167</v>
      </c>
      <c r="L246" t="s">
        <v>18</v>
      </c>
      <c r="N246" s="6" t="s">
        <v>891</v>
      </c>
      <c r="O246" t="s">
        <v>892</v>
      </c>
      <c r="P246" t="s">
        <v>436</v>
      </c>
      <c r="Q246" t="s">
        <v>893</v>
      </c>
      <c r="R246" t="s">
        <v>894</v>
      </c>
      <c r="S246">
        <v>2009</v>
      </c>
      <c r="T246" t="s">
        <v>207</v>
      </c>
      <c r="U246" t="s">
        <v>173</v>
      </c>
      <c r="V246"/>
      <c r="Z246">
        <v>5</v>
      </c>
      <c r="AF246">
        <v>200</v>
      </c>
      <c r="AG246">
        <v>0</v>
      </c>
      <c r="AK246">
        <v>0</v>
      </c>
      <c r="AL246">
        <v>0</v>
      </c>
      <c r="AN246" t="s">
        <v>132</v>
      </c>
      <c r="CC246">
        <v>77600</v>
      </c>
      <c r="CE24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46" s="19">
        <f>SUM(Table1[[#This Row],[Mid39]],Table1[[#This Row],[Mid36]],Table1[[#This Row],[Mid33]],Table1[[#This Row],[Mid30]],Table1[[#This Row],[Mid27]],Table1[[#This Row],[Mid24]],Table1[[#This Row],[Mid21]],Table1[[#This Row],[Mid18]],Table1[[#This Row],[Mid15]],Table1[[#This Row],[Mid12]],Table1[[#This Row],[Mid9]],Table1[[#This Row],[Mid6]],Table1[[#This Row],[Mid3]],Table1[[#This Row],[Mid]])</f>
        <v>77600</v>
      </c>
      <c r="CG2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46" t="s">
        <v>189</v>
      </c>
      <c r="CJ246" t="s">
        <v>158</v>
      </c>
      <c r="CL246" s="19">
        <f>IF(Table1[[#This Row],[Type]]="Petroleum",1,IF(ISERROR(Table1[[#This Row],[Well Density]]*Table1[[#This Row],[Single Well Discovery Area]]),"",IF(Table1[[#This Row],[Well Density]]*Table1[[#This Row],[Single Well Discovery Area]]&gt;1,1,Table1[[#This Row],[Well Density]]*Table1[[#This Row],[Single Well Discovery Area]])))</f>
        <v>0</v>
      </c>
      <c r="CM246" t="s">
        <v>158</v>
      </c>
      <c r="CN246" s="19">
        <f>Table1[[#This Row],[Mid]]</f>
        <v>0</v>
      </c>
      <c r="CO246" s="19">
        <f>Table1[[#This Row],[Mid3]]+Table1[[#This Row],[Mid6]]+Table1[[#This Row],[Mid9]]</f>
        <v>0</v>
      </c>
      <c r="CP246" s="19">
        <f>Table1[[#This Row],[Mid12]]+Table1[[#This Row],[Mid15]]+Table1[[#This Row],[Mid18]]+Table1[[#This Row],[Mid21]]+Table1[[#This Row],[Mid24]]</f>
        <v>0</v>
      </c>
      <c r="CQ246" s="19">
        <f>Table1[[#This Row],[Mid27]]+Table1[[#This Row],[Mid30]]+Table1[[#This Row],[Mid33]]+Table1[[#This Row],[Mid36]]+Table1[[#This Row],[Mid39]]</f>
        <v>77600</v>
      </c>
      <c r="CR246" t="s">
        <v>439</v>
      </c>
      <c r="CS246" s="19" t="str">
        <f>IF(AND(Table1[[#This Row],[Low41]]=0, Table1[[#This Row],[High43]]=0),"N","Y")</f>
        <v>N</v>
      </c>
    </row>
    <row r="247" spans="1:97" ht="19.5" customHeight="1" x14ac:dyDescent="0.25">
      <c r="A247">
        <v>10244</v>
      </c>
      <c r="B247" t="s">
        <v>888</v>
      </c>
      <c r="C247" t="s">
        <v>223</v>
      </c>
      <c r="D247">
        <v>29.710277779999998</v>
      </c>
      <c r="E247">
        <v>107.25</v>
      </c>
      <c r="F247" t="s">
        <v>950</v>
      </c>
      <c r="G247" t="s">
        <v>949</v>
      </c>
      <c r="I247" t="s">
        <v>433</v>
      </c>
      <c r="J247" t="s">
        <v>202</v>
      </c>
      <c r="K247" t="s">
        <v>203</v>
      </c>
      <c r="L247" t="s">
        <v>121</v>
      </c>
      <c r="N247" s="6" t="s">
        <v>891</v>
      </c>
      <c r="O247" t="s">
        <v>892</v>
      </c>
      <c r="P247" t="s">
        <v>436</v>
      </c>
      <c r="Q247" t="s">
        <v>437</v>
      </c>
      <c r="R247" t="s">
        <v>899</v>
      </c>
      <c r="S247">
        <v>2009</v>
      </c>
      <c r="T247" t="s">
        <v>207</v>
      </c>
      <c r="U247" t="s">
        <v>173</v>
      </c>
      <c r="V247"/>
      <c r="AF247">
        <v>200</v>
      </c>
      <c r="AG247">
        <v>0</v>
      </c>
      <c r="AI247">
        <v>75</v>
      </c>
      <c r="AK247">
        <v>0</v>
      </c>
      <c r="AL247">
        <v>0</v>
      </c>
      <c r="AN247" t="s">
        <v>132</v>
      </c>
      <c r="BN247">
        <v>1050</v>
      </c>
      <c r="CE24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47" s="19">
        <f>SUM(Table1[[#This Row],[Mid39]],Table1[[#This Row],[Mid36]],Table1[[#This Row],[Mid33]],Table1[[#This Row],[Mid30]],Table1[[#This Row],[Mid27]],Table1[[#This Row],[Mid24]],Table1[[#This Row],[Mid21]],Table1[[#This Row],[Mid18]],Table1[[#This Row],[Mid15]],Table1[[#This Row],[Mid12]],Table1[[#This Row],[Mid9]],Table1[[#This Row],[Mid6]],Table1[[#This Row],[Mid3]],Table1[[#This Row],[Mid]])</f>
        <v>1050</v>
      </c>
      <c r="CG2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47" t="s">
        <v>135</v>
      </c>
      <c r="CI247" t="s">
        <v>189</v>
      </c>
      <c r="CJ247" t="s">
        <v>158</v>
      </c>
      <c r="CL247" s="19">
        <f>IF(Table1[[#This Row],[Type]]="Petroleum",1,IF(ISERROR(Table1[[#This Row],[Well Density]]*Table1[[#This Row],[Single Well Discovery Area]]),"",IF(Table1[[#This Row],[Well Density]]*Table1[[#This Row],[Single Well Discovery Area]]&gt;1,1,Table1[[#This Row],[Well Density]]*Table1[[#This Row],[Single Well Discovery Area]])))</f>
        <v>1</v>
      </c>
      <c r="CM247" t="s">
        <v>158</v>
      </c>
      <c r="CN247" s="19">
        <f>Table1[[#This Row],[Mid]]</f>
        <v>0</v>
      </c>
      <c r="CO247" s="19">
        <f>Table1[[#This Row],[Mid3]]+Table1[[#This Row],[Mid6]]+Table1[[#This Row],[Mid9]]</f>
        <v>0</v>
      </c>
      <c r="CP247" s="19">
        <f>Table1[[#This Row],[Mid12]]+Table1[[#This Row],[Mid15]]+Table1[[#This Row],[Mid18]]+Table1[[#This Row],[Mid21]]+Table1[[#This Row],[Mid24]]</f>
        <v>1050</v>
      </c>
      <c r="CQ247" s="19">
        <f>Table1[[#This Row],[Mid27]]+Table1[[#This Row],[Mid30]]+Table1[[#This Row],[Mid33]]+Table1[[#This Row],[Mid36]]+Table1[[#This Row],[Mid39]]</f>
        <v>0</v>
      </c>
      <c r="CR247" t="s">
        <v>439</v>
      </c>
      <c r="CS247" s="19" t="str">
        <f>IF(AND(Table1[[#This Row],[Low41]]=0, Table1[[#This Row],[High43]]=0),"N","Y")</f>
        <v>N</v>
      </c>
    </row>
    <row r="248" spans="1:97" ht="19.5" customHeight="1" x14ac:dyDescent="0.25">
      <c r="A248">
        <v>10245</v>
      </c>
      <c r="B248" t="s">
        <v>888</v>
      </c>
      <c r="C248" t="s">
        <v>223</v>
      </c>
      <c r="D248">
        <v>29.710277779999998</v>
      </c>
      <c r="E248">
        <v>107.2472222</v>
      </c>
      <c r="F248" t="s">
        <v>951</v>
      </c>
      <c r="G248" t="s">
        <v>949</v>
      </c>
      <c r="I248" t="s">
        <v>582</v>
      </c>
      <c r="J248" t="s">
        <v>202</v>
      </c>
      <c r="K248" t="s">
        <v>203</v>
      </c>
      <c r="L248" t="s">
        <v>121</v>
      </c>
      <c r="N248" s="6" t="s">
        <v>891</v>
      </c>
      <c r="O248" t="s">
        <v>892</v>
      </c>
      <c r="P248" t="s">
        <v>436</v>
      </c>
      <c r="Q248" t="s">
        <v>437</v>
      </c>
      <c r="R248" t="s">
        <v>921</v>
      </c>
      <c r="S248">
        <v>2009</v>
      </c>
      <c r="T248" t="s">
        <v>207</v>
      </c>
      <c r="U248" t="s">
        <v>173</v>
      </c>
      <c r="V248"/>
      <c r="AF248">
        <v>200</v>
      </c>
      <c r="AG248">
        <v>0</v>
      </c>
      <c r="AI248">
        <v>75</v>
      </c>
      <c r="AK248">
        <v>0</v>
      </c>
      <c r="AL248">
        <v>0</v>
      </c>
      <c r="AN248" t="s">
        <v>132</v>
      </c>
      <c r="BH248">
        <v>20</v>
      </c>
      <c r="CE24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48" s="19">
        <f>SUM(Table1[[#This Row],[Mid39]],Table1[[#This Row],[Mid36]],Table1[[#This Row],[Mid33]],Table1[[#This Row],[Mid30]],Table1[[#This Row],[Mid27]],Table1[[#This Row],[Mid24]],Table1[[#This Row],[Mid21]],Table1[[#This Row],[Mid18]],Table1[[#This Row],[Mid15]],Table1[[#This Row],[Mid12]],Table1[[#This Row],[Mid9]],Table1[[#This Row],[Mid6]],Table1[[#This Row],[Mid3]],Table1[[#This Row],[Mid]])</f>
        <v>20</v>
      </c>
      <c r="CG24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48" t="s">
        <v>135</v>
      </c>
      <c r="CI248" t="s">
        <v>189</v>
      </c>
      <c r="CJ248" t="s">
        <v>158</v>
      </c>
      <c r="CL248" s="19">
        <f>IF(Table1[[#This Row],[Type]]="Petroleum",1,IF(ISERROR(Table1[[#This Row],[Well Density]]*Table1[[#This Row],[Single Well Discovery Area]]),"",IF(Table1[[#This Row],[Well Density]]*Table1[[#This Row],[Single Well Discovery Area]]&gt;1,1,Table1[[#This Row],[Well Density]]*Table1[[#This Row],[Single Well Discovery Area]])))</f>
        <v>1</v>
      </c>
      <c r="CM248" t="s">
        <v>158</v>
      </c>
      <c r="CN248" s="19">
        <f>Table1[[#This Row],[Mid]]</f>
        <v>0</v>
      </c>
      <c r="CO248" s="19">
        <f>Table1[[#This Row],[Mid3]]+Table1[[#This Row],[Mid6]]+Table1[[#This Row],[Mid9]]</f>
        <v>0</v>
      </c>
      <c r="CP248" s="19">
        <f>Table1[[#This Row],[Mid12]]+Table1[[#This Row],[Mid15]]+Table1[[#This Row],[Mid18]]+Table1[[#This Row],[Mid21]]+Table1[[#This Row],[Mid24]]</f>
        <v>20</v>
      </c>
      <c r="CQ248" s="19">
        <f>Table1[[#This Row],[Mid27]]+Table1[[#This Row],[Mid30]]+Table1[[#This Row],[Mid33]]+Table1[[#This Row],[Mid36]]+Table1[[#This Row],[Mid39]]</f>
        <v>0</v>
      </c>
      <c r="CR248" t="s">
        <v>439</v>
      </c>
      <c r="CS248" s="19" t="str">
        <f>IF(AND(Table1[[#This Row],[Low41]]=0, Table1[[#This Row],[High43]]=0),"N","Y")</f>
        <v>N</v>
      </c>
    </row>
    <row r="249" spans="1:97" ht="19.5" customHeight="1" x14ac:dyDescent="0.25">
      <c r="A249">
        <v>10246</v>
      </c>
      <c r="B249" t="s">
        <v>888</v>
      </c>
      <c r="C249" t="s">
        <v>223</v>
      </c>
      <c r="D249">
        <v>45.539722220000002</v>
      </c>
      <c r="E249">
        <v>124.60666670000001</v>
      </c>
      <c r="F249" t="s">
        <v>952</v>
      </c>
      <c r="G249" t="s">
        <v>952</v>
      </c>
      <c r="I249" t="s">
        <v>118</v>
      </c>
      <c r="J249" t="s">
        <v>119</v>
      </c>
      <c r="K249" t="s">
        <v>167</v>
      </c>
      <c r="L249" t="s">
        <v>18</v>
      </c>
      <c r="N249" s="6" t="s">
        <v>891</v>
      </c>
      <c r="O249" t="s">
        <v>892</v>
      </c>
      <c r="P249" t="s">
        <v>436</v>
      </c>
      <c r="Q249" t="s">
        <v>893</v>
      </c>
      <c r="R249" t="s">
        <v>894</v>
      </c>
      <c r="S249">
        <v>2009</v>
      </c>
      <c r="T249" t="s">
        <v>207</v>
      </c>
      <c r="U249" t="s">
        <v>173</v>
      </c>
      <c r="V249"/>
      <c r="Z249">
        <v>15</v>
      </c>
      <c r="AF249">
        <v>200</v>
      </c>
      <c r="AG249">
        <v>0</v>
      </c>
      <c r="AK249">
        <v>0</v>
      </c>
      <c r="AL249">
        <v>0</v>
      </c>
      <c r="AN249" t="s">
        <v>132</v>
      </c>
      <c r="CC249">
        <v>227800</v>
      </c>
      <c r="CE24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49" s="19">
        <f>SUM(Table1[[#This Row],[Mid39]],Table1[[#This Row],[Mid36]],Table1[[#This Row],[Mid33]],Table1[[#This Row],[Mid30]],Table1[[#This Row],[Mid27]],Table1[[#This Row],[Mid24]],Table1[[#This Row],[Mid21]],Table1[[#This Row],[Mid18]],Table1[[#This Row],[Mid15]],Table1[[#This Row],[Mid12]],Table1[[#This Row],[Mid9]],Table1[[#This Row],[Mid6]],Table1[[#This Row],[Mid3]],Table1[[#This Row],[Mid]])</f>
        <v>227800</v>
      </c>
      <c r="CG2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49" t="s">
        <v>189</v>
      </c>
      <c r="CJ249" t="s">
        <v>158</v>
      </c>
      <c r="CL249" s="19">
        <f>IF(Table1[[#This Row],[Type]]="Petroleum",1,IF(ISERROR(Table1[[#This Row],[Well Density]]*Table1[[#This Row],[Single Well Discovery Area]]),"",IF(Table1[[#This Row],[Well Density]]*Table1[[#This Row],[Single Well Discovery Area]]&gt;1,1,Table1[[#This Row],[Well Density]]*Table1[[#This Row],[Single Well Discovery Area]])))</f>
        <v>0</v>
      </c>
      <c r="CM249" t="s">
        <v>158</v>
      </c>
      <c r="CN249" s="19">
        <f>Table1[[#This Row],[Mid]]</f>
        <v>0</v>
      </c>
      <c r="CO249" s="19">
        <f>Table1[[#This Row],[Mid3]]+Table1[[#This Row],[Mid6]]+Table1[[#This Row],[Mid9]]</f>
        <v>0</v>
      </c>
      <c r="CP249" s="19">
        <f>Table1[[#This Row],[Mid12]]+Table1[[#This Row],[Mid15]]+Table1[[#This Row],[Mid18]]+Table1[[#This Row],[Mid21]]+Table1[[#This Row],[Mid24]]</f>
        <v>0</v>
      </c>
      <c r="CQ249" s="19">
        <f>Table1[[#This Row],[Mid27]]+Table1[[#This Row],[Mid30]]+Table1[[#This Row],[Mid33]]+Table1[[#This Row],[Mid36]]+Table1[[#This Row],[Mid39]]</f>
        <v>227800</v>
      </c>
      <c r="CR249" t="s">
        <v>439</v>
      </c>
      <c r="CS249" s="19" t="str">
        <f>IF(AND(Table1[[#This Row],[Low41]]=0, Table1[[#This Row],[High43]]=0),"N","Y")</f>
        <v>N</v>
      </c>
    </row>
    <row r="250" spans="1:97" ht="19.5" customHeight="1" x14ac:dyDescent="0.25">
      <c r="A250">
        <v>10247</v>
      </c>
      <c r="B250" t="s">
        <v>888</v>
      </c>
      <c r="C250" t="s">
        <v>223</v>
      </c>
      <c r="D250">
        <v>43.647777779999998</v>
      </c>
      <c r="E250">
        <v>123.8936111</v>
      </c>
      <c r="F250" t="s">
        <v>953</v>
      </c>
      <c r="G250" t="s">
        <v>952</v>
      </c>
      <c r="I250" t="s">
        <v>433</v>
      </c>
      <c r="J250" t="s">
        <v>202</v>
      </c>
      <c r="K250" t="s">
        <v>203</v>
      </c>
      <c r="L250" t="s">
        <v>121</v>
      </c>
      <c r="N250" s="6" t="s">
        <v>891</v>
      </c>
      <c r="O250" t="s">
        <v>892</v>
      </c>
      <c r="P250" t="s">
        <v>436</v>
      </c>
      <c r="Q250" t="s">
        <v>437</v>
      </c>
      <c r="R250" t="s">
        <v>899</v>
      </c>
      <c r="S250">
        <v>2009</v>
      </c>
      <c r="T250" t="s">
        <v>207</v>
      </c>
      <c r="U250" t="s">
        <v>173</v>
      </c>
      <c r="V250"/>
      <c r="AF250">
        <v>200</v>
      </c>
      <c r="AG250">
        <v>0</v>
      </c>
      <c r="AI250">
        <v>75</v>
      </c>
      <c r="AK250">
        <v>0</v>
      </c>
      <c r="AL250">
        <v>0</v>
      </c>
      <c r="AN250" t="s">
        <v>132</v>
      </c>
      <c r="BN250">
        <v>590</v>
      </c>
      <c r="CE25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50" s="19">
        <f>SUM(Table1[[#This Row],[Mid39]],Table1[[#This Row],[Mid36]],Table1[[#This Row],[Mid33]],Table1[[#This Row],[Mid30]],Table1[[#This Row],[Mid27]],Table1[[#This Row],[Mid24]],Table1[[#This Row],[Mid21]],Table1[[#This Row],[Mid18]],Table1[[#This Row],[Mid15]],Table1[[#This Row],[Mid12]],Table1[[#This Row],[Mid9]],Table1[[#This Row],[Mid6]],Table1[[#This Row],[Mid3]],Table1[[#This Row],[Mid]])</f>
        <v>590</v>
      </c>
      <c r="CG2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50" t="s">
        <v>135</v>
      </c>
      <c r="CI250" t="s">
        <v>189</v>
      </c>
      <c r="CJ250" t="s">
        <v>158</v>
      </c>
      <c r="CL250" s="19">
        <f>IF(Table1[[#This Row],[Type]]="Petroleum",1,IF(ISERROR(Table1[[#This Row],[Well Density]]*Table1[[#This Row],[Single Well Discovery Area]]),"",IF(Table1[[#This Row],[Well Density]]*Table1[[#This Row],[Single Well Discovery Area]]&gt;1,1,Table1[[#This Row],[Well Density]]*Table1[[#This Row],[Single Well Discovery Area]])))</f>
        <v>1</v>
      </c>
      <c r="CM250" t="s">
        <v>158</v>
      </c>
      <c r="CN250" s="19">
        <f>Table1[[#This Row],[Mid]]</f>
        <v>0</v>
      </c>
      <c r="CO250" s="19">
        <f>Table1[[#This Row],[Mid3]]+Table1[[#This Row],[Mid6]]+Table1[[#This Row],[Mid9]]</f>
        <v>0</v>
      </c>
      <c r="CP250" s="19">
        <f>Table1[[#This Row],[Mid12]]+Table1[[#This Row],[Mid15]]+Table1[[#This Row],[Mid18]]+Table1[[#This Row],[Mid21]]+Table1[[#This Row],[Mid24]]</f>
        <v>590</v>
      </c>
      <c r="CQ250" s="19">
        <f>Table1[[#This Row],[Mid27]]+Table1[[#This Row],[Mid30]]+Table1[[#This Row],[Mid33]]+Table1[[#This Row],[Mid36]]+Table1[[#This Row],[Mid39]]</f>
        <v>0</v>
      </c>
      <c r="CR250" t="s">
        <v>439</v>
      </c>
      <c r="CS250" s="19" t="str">
        <f>IF(AND(Table1[[#This Row],[Low41]]=0, Table1[[#This Row],[High43]]=0),"N","Y")</f>
        <v>N</v>
      </c>
    </row>
    <row r="251" spans="1:97" ht="19.5" customHeight="1" x14ac:dyDescent="0.25">
      <c r="A251">
        <v>10248</v>
      </c>
      <c r="B251" t="s">
        <v>888</v>
      </c>
      <c r="C251" t="s">
        <v>223</v>
      </c>
      <c r="D251">
        <v>43.647777779999998</v>
      </c>
      <c r="E251">
        <v>123.89638890000001</v>
      </c>
      <c r="F251" t="s">
        <v>954</v>
      </c>
      <c r="G251" t="s">
        <v>952</v>
      </c>
      <c r="I251" t="s">
        <v>582</v>
      </c>
      <c r="J251" t="s">
        <v>202</v>
      </c>
      <c r="K251" t="s">
        <v>203</v>
      </c>
      <c r="L251" t="s">
        <v>121</v>
      </c>
      <c r="N251" s="6" t="s">
        <v>891</v>
      </c>
      <c r="O251" t="s">
        <v>892</v>
      </c>
      <c r="P251" t="s">
        <v>436</v>
      </c>
      <c r="Q251" t="s">
        <v>437</v>
      </c>
      <c r="R251" t="s">
        <v>921</v>
      </c>
      <c r="S251">
        <v>2009</v>
      </c>
      <c r="T251" t="s">
        <v>207</v>
      </c>
      <c r="U251" t="s">
        <v>173</v>
      </c>
      <c r="V251"/>
      <c r="AF251">
        <v>200</v>
      </c>
      <c r="AG251">
        <v>0</v>
      </c>
      <c r="AI251">
        <v>75</v>
      </c>
      <c r="AK251">
        <v>0</v>
      </c>
      <c r="AL251">
        <v>0</v>
      </c>
      <c r="AN251" t="s">
        <v>132</v>
      </c>
      <c r="BH251">
        <v>1570</v>
      </c>
      <c r="CE2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51" s="19">
        <f>SUM(Table1[[#This Row],[Mid39]],Table1[[#This Row],[Mid36]],Table1[[#This Row],[Mid33]],Table1[[#This Row],[Mid30]],Table1[[#This Row],[Mid27]],Table1[[#This Row],[Mid24]],Table1[[#This Row],[Mid21]],Table1[[#This Row],[Mid18]],Table1[[#This Row],[Mid15]],Table1[[#This Row],[Mid12]],Table1[[#This Row],[Mid9]],Table1[[#This Row],[Mid6]],Table1[[#This Row],[Mid3]],Table1[[#This Row],[Mid]])</f>
        <v>1570</v>
      </c>
      <c r="CG2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51" t="s">
        <v>135</v>
      </c>
      <c r="CI251" t="s">
        <v>189</v>
      </c>
      <c r="CJ251" t="s">
        <v>158</v>
      </c>
      <c r="CL251" s="19">
        <f>IF(Table1[[#This Row],[Type]]="Petroleum",1,IF(ISERROR(Table1[[#This Row],[Well Density]]*Table1[[#This Row],[Single Well Discovery Area]]),"",IF(Table1[[#This Row],[Well Density]]*Table1[[#This Row],[Single Well Discovery Area]]&gt;1,1,Table1[[#This Row],[Well Density]]*Table1[[#This Row],[Single Well Discovery Area]])))</f>
        <v>1</v>
      </c>
      <c r="CM251" t="s">
        <v>158</v>
      </c>
      <c r="CN251" s="19">
        <f>Table1[[#This Row],[Mid]]</f>
        <v>0</v>
      </c>
      <c r="CO251" s="19">
        <f>Table1[[#This Row],[Mid3]]+Table1[[#This Row],[Mid6]]+Table1[[#This Row],[Mid9]]</f>
        <v>0</v>
      </c>
      <c r="CP251" s="19">
        <f>Table1[[#This Row],[Mid12]]+Table1[[#This Row],[Mid15]]+Table1[[#This Row],[Mid18]]+Table1[[#This Row],[Mid21]]+Table1[[#This Row],[Mid24]]</f>
        <v>1570</v>
      </c>
      <c r="CQ251" s="19">
        <f>Table1[[#This Row],[Mid27]]+Table1[[#This Row],[Mid30]]+Table1[[#This Row],[Mid33]]+Table1[[#This Row],[Mid36]]+Table1[[#This Row],[Mid39]]</f>
        <v>0</v>
      </c>
      <c r="CR251" t="s">
        <v>439</v>
      </c>
      <c r="CS251" s="19" t="str">
        <f>IF(AND(Table1[[#This Row],[Low41]]=0, Table1[[#This Row],[High43]]=0),"N","Y")</f>
        <v>N</v>
      </c>
    </row>
    <row r="252" spans="1:97" ht="19.5" customHeight="1" x14ac:dyDescent="0.25">
      <c r="A252">
        <v>10249</v>
      </c>
      <c r="B252" t="s">
        <v>888</v>
      </c>
      <c r="C252" t="s">
        <v>223</v>
      </c>
      <c r="D252">
        <v>39.904166670000002</v>
      </c>
      <c r="E252">
        <v>116.4572222</v>
      </c>
      <c r="F252" t="s">
        <v>955</v>
      </c>
      <c r="G252" t="s">
        <v>907</v>
      </c>
      <c r="I252" t="s">
        <v>118</v>
      </c>
      <c r="J252" t="s">
        <v>119</v>
      </c>
      <c r="K252" t="s">
        <v>167</v>
      </c>
      <c r="L252" t="s">
        <v>18</v>
      </c>
      <c r="N252" s="6" t="s">
        <v>891</v>
      </c>
      <c r="O252" t="s">
        <v>892</v>
      </c>
      <c r="P252" t="s">
        <v>436</v>
      </c>
      <c r="Q252" t="s">
        <v>893</v>
      </c>
      <c r="R252" t="s">
        <v>894</v>
      </c>
      <c r="S252">
        <v>2009</v>
      </c>
      <c r="T252" t="s">
        <v>207</v>
      </c>
      <c r="U252" t="s">
        <v>173</v>
      </c>
      <c r="V252"/>
      <c r="Z252">
        <v>20</v>
      </c>
      <c r="AF252">
        <v>200</v>
      </c>
      <c r="AG252">
        <v>0</v>
      </c>
      <c r="AK252">
        <v>0</v>
      </c>
      <c r="AL252">
        <v>0</v>
      </c>
      <c r="AN252" t="s">
        <v>132</v>
      </c>
      <c r="CC252">
        <v>89900</v>
      </c>
      <c r="CE2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52" s="19">
        <f>SUM(Table1[[#This Row],[Mid39]],Table1[[#This Row],[Mid36]],Table1[[#This Row],[Mid33]],Table1[[#This Row],[Mid30]],Table1[[#This Row],[Mid27]],Table1[[#This Row],[Mid24]],Table1[[#This Row],[Mid21]],Table1[[#This Row],[Mid18]],Table1[[#This Row],[Mid15]],Table1[[#This Row],[Mid12]],Table1[[#This Row],[Mid9]],Table1[[#This Row],[Mid6]],Table1[[#This Row],[Mid3]],Table1[[#This Row],[Mid]])</f>
        <v>89900</v>
      </c>
      <c r="CG2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52" t="s">
        <v>189</v>
      </c>
      <c r="CJ252" t="s">
        <v>158</v>
      </c>
      <c r="CL252" s="19">
        <f>IF(Table1[[#This Row],[Type]]="Petroleum",1,IF(ISERROR(Table1[[#This Row],[Well Density]]*Table1[[#This Row],[Single Well Discovery Area]]),"",IF(Table1[[#This Row],[Well Density]]*Table1[[#This Row],[Single Well Discovery Area]]&gt;1,1,Table1[[#This Row],[Well Density]]*Table1[[#This Row],[Single Well Discovery Area]])))</f>
        <v>0</v>
      </c>
      <c r="CM252" t="s">
        <v>158</v>
      </c>
      <c r="CN252" s="19">
        <f>Table1[[#This Row],[Mid]]</f>
        <v>0</v>
      </c>
      <c r="CO252" s="19">
        <f>Table1[[#This Row],[Mid3]]+Table1[[#This Row],[Mid6]]+Table1[[#This Row],[Mid9]]</f>
        <v>0</v>
      </c>
      <c r="CP252" s="19">
        <f>Table1[[#This Row],[Mid12]]+Table1[[#This Row],[Mid15]]+Table1[[#This Row],[Mid18]]+Table1[[#This Row],[Mid21]]+Table1[[#This Row],[Mid24]]</f>
        <v>0</v>
      </c>
      <c r="CQ252" s="19">
        <f>Table1[[#This Row],[Mid27]]+Table1[[#This Row],[Mid30]]+Table1[[#This Row],[Mid33]]+Table1[[#This Row],[Mid36]]+Table1[[#This Row],[Mid39]]</f>
        <v>89900</v>
      </c>
      <c r="CR252" t="s">
        <v>439</v>
      </c>
      <c r="CS252" s="19" t="str">
        <f>IF(AND(Table1[[#This Row],[Low41]]=0, Table1[[#This Row],[High43]]=0),"N","Y")</f>
        <v>N</v>
      </c>
    </row>
    <row r="253" spans="1:97" ht="19.5" customHeight="1" x14ac:dyDescent="0.25">
      <c r="A253">
        <v>10250</v>
      </c>
      <c r="B253" t="s">
        <v>888</v>
      </c>
      <c r="C253" t="s">
        <v>223</v>
      </c>
      <c r="D253">
        <v>32.668888889999998</v>
      </c>
      <c r="E253">
        <v>120.13083330000001</v>
      </c>
      <c r="F253" t="s">
        <v>956</v>
      </c>
      <c r="G253" t="s">
        <v>907</v>
      </c>
      <c r="I253" t="s">
        <v>433</v>
      </c>
      <c r="J253" t="s">
        <v>202</v>
      </c>
      <c r="K253" t="s">
        <v>203</v>
      </c>
      <c r="L253" t="s">
        <v>121</v>
      </c>
      <c r="N253" s="6" t="s">
        <v>891</v>
      </c>
      <c r="O253" t="s">
        <v>892</v>
      </c>
      <c r="P253" t="s">
        <v>436</v>
      </c>
      <c r="Q253" t="s">
        <v>437</v>
      </c>
      <c r="R253" t="s">
        <v>899</v>
      </c>
      <c r="S253">
        <v>2009</v>
      </c>
      <c r="T253" t="s">
        <v>207</v>
      </c>
      <c r="U253" t="s">
        <v>173</v>
      </c>
      <c r="V253"/>
      <c r="AF253">
        <v>200</v>
      </c>
      <c r="AG253">
        <v>0</v>
      </c>
      <c r="AI253">
        <v>75</v>
      </c>
      <c r="AK253">
        <v>0</v>
      </c>
      <c r="AL253">
        <v>0</v>
      </c>
      <c r="AN253" t="s">
        <v>132</v>
      </c>
      <c r="BN253">
        <v>8</v>
      </c>
      <c r="CE2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53" s="19">
        <f>SUM(Table1[[#This Row],[Mid39]],Table1[[#This Row],[Mid36]],Table1[[#This Row],[Mid33]],Table1[[#This Row],[Mid30]],Table1[[#This Row],[Mid27]],Table1[[#This Row],[Mid24]],Table1[[#This Row],[Mid21]],Table1[[#This Row],[Mid18]],Table1[[#This Row],[Mid15]],Table1[[#This Row],[Mid12]],Table1[[#This Row],[Mid9]],Table1[[#This Row],[Mid6]],Table1[[#This Row],[Mid3]],Table1[[#This Row],[Mid]])</f>
        <v>8</v>
      </c>
      <c r="CG2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53" t="s">
        <v>135</v>
      </c>
      <c r="CI253" t="s">
        <v>189</v>
      </c>
      <c r="CJ253" t="s">
        <v>158</v>
      </c>
      <c r="CL253" s="19">
        <f>IF(Table1[[#This Row],[Type]]="Petroleum",1,IF(ISERROR(Table1[[#This Row],[Well Density]]*Table1[[#This Row],[Single Well Discovery Area]]),"",IF(Table1[[#This Row],[Well Density]]*Table1[[#This Row],[Single Well Discovery Area]]&gt;1,1,Table1[[#This Row],[Well Density]]*Table1[[#This Row],[Single Well Discovery Area]])))</f>
        <v>1</v>
      </c>
      <c r="CM253" t="s">
        <v>158</v>
      </c>
      <c r="CN253" s="19">
        <f>Table1[[#This Row],[Mid]]</f>
        <v>0</v>
      </c>
      <c r="CO253" s="19">
        <f>Table1[[#This Row],[Mid3]]+Table1[[#This Row],[Mid6]]+Table1[[#This Row],[Mid9]]</f>
        <v>0</v>
      </c>
      <c r="CP253" s="19">
        <f>Table1[[#This Row],[Mid12]]+Table1[[#This Row],[Mid15]]+Table1[[#This Row],[Mid18]]+Table1[[#This Row],[Mid21]]+Table1[[#This Row],[Mid24]]</f>
        <v>8</v>
      </c>
      <c r="CQ253" s="19">
        <f>Table1[[#This Row],[Mid27]]+Table1[[#This Row],[Mid30]]+Table1[[#This Row],[Mid33]]+Table1[[#This Row],[Mid36]]+Table1[[#This Row],[Mid39]]</f>
        <v>0</v>
      </c>
      <c r="CR253" t="s">
        <v>439</v>
      </c>
      <c r="CS253" s="19" t="str">
        <f>IF(AND(Table1[[#This Row],[Low41]]=0, Table1[[#This Row],[High43]]=0),"N","Y")</f>
        <v>N</v>
      </c>
    </row>
    <row r="254" spans="1:97" ht="19.5" customHeight="1" x14ac:dyDescent="0.25">
      <c r="A254">
        <v>10251</v>
      </c>
      <c r="B254" t="s">
        <v>888</v>
      </c>
      <c r="C254" t="s">
        <v>223</v>
      </c>
      <c r="D254">
        <v>32.668888889999998</v>
      </c>
      <c r="E254">
        <v>120.13083330000001</v>
      </c>
      <c r="F254" t="s">
        <v>957</v>
      </c>
      <c r="G254" t="s">
        <v>907</v>
      </c>
      <c r="I254" t="s">
        <v>582</v>
      </c>
      <c r="J254" t="s">
        <v>202</v>
      </c>
      <c r="K254" t="s">
        <v>203</v>
      </c>
      <c r="L254" t="s">
        <v>121</v>
      </c>
      <c r="N254" s="6" t="s">
        <v>891</v>
      </c>
      <c r="O254" t="s">
        <v>892</v>
      </c>
      <c r="P254" t="s">
        <v>436</v>
      </c>
      <c r="Q254" t="s">
        <v>437</v>
      </c>
      <c r="R254" t="s">
        <v>921</v>
      </c>
      <c r="S254">
        <v>2009</v>
      </c>
      <c r="T254" t="s">
        <v>207</v>
      </c>
      <c r="U254" t="s">
        <v>173</v>
      </c>
      <c r="V254"/>
      <c r="AF254">
        <v>200</v>
      </c>
      <c r="AG254">
        <v>0</v>
      </c>
      <c r="AI254">
        <v>75</v>
      </c>
      <c r="AK254">
        <v>0</v>
      </c>
      <c r="AL254">
        <v>0</v>
      </c>
      <c r="AN254" t="s">
        <v>132</v>
      </c>
      <c r="BH254">
        <v>100</v>
      </c>
      <c r="CE25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54"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25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54" t="s">
        <v>135</v>
      </c>
      <c r="CI254" t="s">
        <v>189</v>
      </c>
      <c r="CJ254" t="s">
        <v>158</v>
      </c>
      <c r="CL254" s="19">
        <f>IF(Table1[[#This Row],[Type]]="Petroleum",1,IF(ISERROR(Table1[[#This Row],[Well Density]]*Table1[[#This Row],[Single Well Discovery Area]]),"",IF(Table1[[#This Row],[Well Density]]*Table1[[#This Row],[Single Well Discovery Area]]&gt;1,1,Table1[[#This Row],[Well Density]]*Table1[[#This Row],[Single Well Discovery Area]])))</f>
        <v>1</v>
      </c>
      <c r="CM254" t="s">
        <v>158</v>
      </c>
      <c r="CN254" s="19">
        <f>Table1[[#This Row],[Mid]]</f>
        <v>0</v>
      </c>
      <c r="CO254" s="19">
        <f>Table1[[#This Row],[Mid3]]+Table1[[#This Row],[Mid6]]+Table1[[#This Row],[Mid9]]</f>
        <v>0</v>
      </c>
      <c r="CP254" s="19">
        <f>Table1[[#This Row],[Mid12]]+Table1[[#This Row],[Mid15]]+Table1[[#This Row],[Mid18]]+Table1[[#This Row],[Mid21]]+Table1[[#This Row],[Mid24]]</f>
        <v>100</v>
      </c>
      <c r="CQ254" s="19">
        <f>Table1[[#This Row],[Mid27]]+Table1[[#This Row],[Mid30]]+Table1[[#This Row],[Mid33]]+Table1[[#This Row],[Mid36]]+Table1[[#This Row],[Mid39]]</f>
        <v>0</v>
      </c>
      <c r="CR254" t="s">
        <v>439</v>
      </c>
      <c r="CS254" s="19" t="str">
        <f>IF(AND(Table1[[#This Row],[Low41]]=0, Table1[[#This Row],[High43]]=0),"N","Y")</f>
        <v>N</v>
      </c>
    </row>
    <row r="255" spans="1:97" ht="19.5" customHeight="1" x14ac:dyDescent="0.25">
      <c r="A255">
        <v>10252</v>
      </c>
      <c r="B255" t="s">
        <v>888</v>
      </c>
      <c r="C255" t="s">
        <v>223</v>
      </c>
      <c r="D255">
        <v>39.751944440000003</v>
      </c>
      <c r="E255">
        <v>82.699166669999997</v>
      </c>
      <c r="F255" t="s">
        <v>958</v>
      </c>
      <c r="G255" t="s">
        <v>958</v>
      </c>
      <c r="I255" t="s">
        <v>118</v>
      </c>
      <c r="J255" t="s">
        <v>119</v>
      </c>
      <c r="K255" t="s">
        <v>167</v>
      </c>
      <c r="L255" t="s">
        <v>18</v>
      </c>
      <c r="N255" s="6" t="s">
        <v>891</v>
      </c>
      <c r="O255" t="s">
        <v>892</v>
      </c>
      <c r="P255" t="s">
        <v>436</v>
      </c>
      <c r="Q255" t="s">
        <v>893</v>
      </c>
      <c r="R255" t="s">
        <v>894</v>
      </c>
      <c r="S255">
        <v>2009</v>
      </c>
      <c r="T255" t="s">
        <v>207</v>
      </c>
      <c r="U255" t="s">
        <v>173</v>
      </c>
      <c r="V255"/>
      <c r="Z255">
        <v>15</v>
      </c>
      <c r="AF255">
        <v>200</v>
      </c>
      <c r="AG255">
        <v>0</v>
      </c>
      <c r="AK255">
        <v>0</v>
      </c>
      <c r="AL255">
        <v>0</v>
      </c>
      <c r="AN255" t="s">
        <v>132</v>
      </c>
      <c r="CC255">
        <v>745800</v>
      </c>
      <c r="CE25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55" s="19">
        <f>SUM(Table1[[#This Row],[Mid39]],Table1[[#This Row],[Mid36]],Table1[[#This Row],[Mid33]],Table1[[#This Row],[Mid30]],Table1[[#This Row],[Mid27]],Table1[[#This Row],[Mid24]],Table1[[#This Row],[Mid21]],Table1[[#This Row],[Mid18]],Table1[[#This Row],[Mid15]],Table1[[#This Row],[Mid12]],Table1[[#This Row],[Mid9]],Table1[[#This Row],[Mid6]],Table1[[#This Row],[Mid3]],Table1[[#This Row],[Mid]])</f>
        <v>745800</v>
      </c>
      <c r="CG25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55" t="s">
        <v>189</v>
      </c>
      <c r="CJ255" t="s">
        <v>158</v>
      </c>
      <c r="CL255" s="19">
        <f>IF(Table1[[#This Row],[Type]]="Petroleum",1,IF(ISERROR(Table1[[#This Row],[Well Density]]*Table1[[#This Row],[Single Well Discovery Area]]),"",IF(Table1[[#This Row],[Well Density]]*Table1[[#This Row],[Single Well Discovery Area]]&gt;1,1,Table1[[#This Row],[Well Density]]*Table1[[#This Row],[Single Well Discovery Area]])))</f>
        <v>0</v>
      </c>
      <c r="CM255" t="s">
        <v>158</v>
      </c>
      <c r="CN255" s="19">
        <f>Table1[[#This Row],[Mid]]</f>
        <v>0</v>
      </c>
      <c r="CO255" s="19">
        <f>Table1[[#This Row],[Mid3]]+Table1[[#This Row],[Mid6]]+Table1[[#This Row],[Mid9]]</f>
        <v>0</v>
      </c>
      <c r="CP255" s="19">
        <f>Table1[[#This Row],[Mid12]]+Table1[[#This Row],[Mid15]]+Table1[[#This Row],[Mid18]]+Table1[[#This Row],[Mid21]]+Table1[[#This Row],[Mid24]]</f>
        <v>0</v>
      </c>
      <c r="CQ255" s="19">
        <f>Table1[[#This Row],[Mid27]]+Table1[[#This Row],[Mid30]]+Table1[[#This Row],[Mid33]]+Table1[[#This Row],[Mid36]]+Table1[[#This Row],[Mid39]]</f>
        <v>745800</v>
      </c>
      <c r="CR255" t="s">
        <v>439</v>
      </c>
      <c r="CS255" s="19" t="str">
        <f>IF(AND(Table1[[#This Row],[Low41]]=0, Table1[[#This Row],[High43]]=0),"N","Y")</f>
        <v>N</v>
      </c>
    </row>
    <row r="256" spans="1:97" ht="19.5" customHeight="1" x14ac:dyDescent="0.25">
      <c r="A256">
        <v>10253</v>
      </c>
      <c r="B256" t="s">
        <v>888</v>
      </c>
      <c r="C256" t="s">
        <v>223</v>
      </c>
      <c r="D256">
        <v>37.27416667</v>
      </c>
      <c r="E256">
        <v>77.218888890000002</v>
      </c>
      <c r="F256" t="s">
        <v>959</v>
      </c>
      <c r="G256" t="s">
        <v>958</v>
      </c>
      <c r="I256" t="s">
        <v>433</v>
      </c>
      <c r="J256" t="s">
        <v>202</v>
      </c>
      <c r="K256" t="s">
        <v>203</v>
      </c>
      <c r="L256" t="s">
        <v>121</v>
      </c>
      <c r="N256" s="6" t="s">
        <v>891</v>
      </c>
      <c r="O256" t="s">
        <v>892</v>
      </c>
      <c r="P256" t="s">
        <v>436</v>
      </c>
      <c r="Q256" t="s">
        <v>437</v>
      </c>
      <c r="R256" t="s">
        <v>899</v>
      </c>
      <c r="S256">
        <v>2009</v>
      </c>
      <c r="T256" t="s">
        <v>207</v>
      </c>
      <c r="U256" t="s">
        <v>173</v>
      </c>
      <c r="V256"/>
      <c r="AF256">
        <v>200</v>
      </c>
      <c r="AG256">
        <v>0</v>
      </c>
      <c r="AI256">
        <v>75</v>
      </c>
      <c r="AK256">
        <v>0</v>
      </c>
      <c r="AL256">
        <v>0</v>
      </c>
      <c r="AN256" t="s">
        <v>132</v>
      </c>
      <c r="BN256">
        <v>620</v>
      </c>
      <c r="CE25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56" s="19">
        <f>SUM(Table1[[#This Row],[Mid39]],Table1[[#This Row],[Mid36]],Table1[[#This Row],[Mid33]],Table1[[#This Row],[Mid30]],Table1[[#This Row],[Mid27]],Table1[[#This Row],[Mid24]],Table1[[#This Row],[Mid21]],Table1[[#This Row],[Mid18]],Table1[[#This Row],[Mid15]],Table1[[#This Row],[Mid12]],Table1[[#This Row],[Mid9]],Table1[[#This Row],[Mid6]],Table1[[#This Row],[Mid3]],Table1[[#This Row],[Mid]])</f>
        <v>620</v>
      </c>
      <c r="CG25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56" t="s">
        <v>135</v>
      </c>
      <c r="CI256" t="s">
        <v>189</v>
      </c>
      <c r="CJ256" t="s">
        <v>158</v>
      </c>
      <c r="CL256" s="19">
        <f>IF(Table1[[#This Row],[Type]]="Petroleum",1,IF(ISERROR(Table1[[#This Row],[Well Density]]*Table1[[#This Row],[Single Well Discovery Area]]),"",IF(Table1[[#This Row],[Well Density]]*Table1[[#This Row],[Single Well Discovery Area]]&gt;1,1,Table1[[#This Row],[Well Density]]*Table1[[#This Row],[Single Well Discovery Area]])))</f>
        <v>1</v>
      </c>
      <c r="CM256" t="s">
        <v>158</v>
      </c>
      <c r="CN256" s="19">
        <f>Table1[[#This Row],[Mid]]</f>
        <v>0</v>
      </c>
      <c r="CO256" s="19">
        <f>Table1[[#This Row],[Mid3]]+Table1[[#This Row],[Mid6]]+Table1[[#This Row],[Mid9]]</f>
        <v>0</v>
      </c>
      <c r="CP256" s="19">
        <f>Table1[[#This Row],[Mid12]]+Table1[[#This Row],[Mid15]]+Table1[[#This Row],[Mid18]]+Table1[[#This Row],[Mid21]]+Table1[[#This Row],[Mid24]]</f>
        <v>620</v>
      </c>
      <c r="CQ256" s="19">
        <f>Table1[[#This Row],[Mid27]]+Table1[[#This Row],[Mid30]]+Table1[[#This Row],[Mid33]]+Table1[[#This Row],[Mid36]]+Table1[[#This Row],[Mid39]]</f>
        <v>0</v>
      </c>
      <c r="CR256" t="s">
        <v>439</v>
      </c>
      <c r="CS256" s="19" t="str">
        <f>IF(AND(Table1[[#This Row],[Low41]]=0, Table1[[#This Row],[High43]]=0),"N","Y")</f>
        <v>N</v>
      </c>
    </row>
    <row r="257" spans="1:97" ht="19.5" customHeight="1" x14ac:dyDescent="0.25">
      <c r="A257">
        <v>10254</v>
      </c>
      <c r="B257" t="s">
        <v>888</v>
      </c>
      <c r="C257" t="s">
        <v>223</v>
      </c>
      <c r="D257">
        <v>37.375277779999998</v>
      </c>
      <c r="E257">
        <v>76.347222220000006</v>
      </c>
      <c r="F257" t="s">
        <v>960</v>
      </c>
      <c r="G257" t="s">
        <v>958</v>
      </c>
      <c r="I257" t="s">
        <v>582</v>
      </c>
      <c r="J257" t="s">
        <v>202</v>
      </c>
      <c r="K257" t="s">
        <v>203</v>
      </c>
      <c r="L257" t="s">
        <v>121</v>
      </c>
      <c r="N257" s="6" t="s">
        <v>891</v>
      </c>
      <c r="O257" t="s">
        <v>892</v>
      </c>
      <c r="P257" t="s">
        <v>436</v>
      </c>
      <c r="Q257" t="s">
        <v>437</v>
      </c>
      <c r="R257" t="s">
        <v>921</v>
      </c>
      <c r="S257">
        <v>2009</v>
      </c>
      <c r="T257" t="s">
        <v>207</v>
      </c>
      <c r="U257" t="s">
        <v>173</v>
      </c>
      <c r="V257"/>
      <c r="AF257">
        <v>200</v>
      </c>
      <c r="AG257">
        <v>0</v>
      </c>
      <c r="AI257">
        <v>75</v>
      </c>
      <c r="AK257">
        <v>0</v>
      </c>
      <c r="AL257">
        <v>0</v>
      </c>
      <c r="AN257" t="s">
        <v>132</v>
      </c>
      <c r="BH257">
        <v>69</v>
      </c>
      <c r="CE25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57" s="19">
        <f>SUM(Table1[[#This Row],[Mid39]],Table1[[#This Row],[Mid36]],Table1[[#This Row],[Mid33]],Table1[[#This Row],[Mid30]],Table1[[#This Row],[Mid27]],Table1[[#This Row],[Mid24]],Table1[[#This Row],[Mid21]],Table1[[#This Row],[Mid18]],Table1[[#This Row],[Mid15]],Table1[[#This Row],[Mid12]],Table1[[#This Row],[Mid9]],Table1[[#This Row],[Mid6]],Table1[[#This Row],[Mid3]],Table1[[#This Row],[Mid]])</f>
        <v>69</v>
      </c>
      <c r="CG25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57" t="s">
        <v>135</v>
      </c>
      <c r="CI257" t="s">
        <v>189</v>
      </c>
      <c r="CJ257" t="s">
        <v>158</v>
      </c>
      <c r="CL257" s="19">
        <f>IF(Table1[[#This Row],[Type]]="Petroleum",1,IF(ISERROR(Table1[[#This Row],[Well Density]]*Table1[[#This Row],[Single Well Discovery Area]]),"",IF(Table1[[#This Row],[Well Density]]*Table1[[#This Row],[Single Well Discovery Area]]&gt;1,1,Table1[[#This Row],[Well Density]]*Table1[[#This Row],[Single Well Discovery Area]])))</f>
        <v>1</v>
      </c>
      <c r="CM257" t="s">
        <v>158</v>
      </c>
      <c r="CN257" s="19">
        <f>Table1[[#This Row],[Mid]]</f>
        <v>0</v>
      </c>
      <c r="CO257" s="19">
        <f>Table1[[#This Row],[Mid3]]+Table1[[#This Row],[Mid6]]+Table1[[#This Row],[Mid9]]</f>
        <v>0</v>
      </c>
      <c r="CP257" s="19">
        <f>Table1[[#This Row],[Mid12]]+Table1[[#This Row],[Mid15]]+Table1[[#This Row],[Mid18]]+Table1[[#This Row],[Mid21]]+Table1[[#This Row],[Mid24]]</f>
        <v>69</v>
      </c>
      <c r="CQ257" s="19">
        <f>Table1[[#This Row],[Mid27]]+Table1[[#This Row],[Mid30]]+Table1[[#This Row],[Mid33]]+Table1[[#This Row],[Mid36]]+Table1[[#This Row],[Mid39]]</f>
        <v>0</v>
      </c>
      <c r="CR257" t="s">
        <v>439</v>
      </c>
      <c r="CS257" s="19" t="str">
        <f>IF(AND(Table1[[#This Row],[Low41]]=0, Table1[[#This Row],[High43]]=0),"N","Y")</f>
        <v>N</v>
      </c>
    </row>
    <row r="258" spans="1:97" ht="19.5" customHeight="1" x14ac:dyDescent="0.25">
      <c r="A258">
        <v>10255</v>
      </c>
      <c r="B258" t="s">
        <v>888</v>
      </c>
      <c r="C258" t="s">
        <v>223</v>
      </c>
      <c r="D258">
        <v>42.87944444</v>
      </c>
      <c r="E258">
        <v>91.508333329999999</v>
      </c>
      <c r="F258" t="s">
        <v>961</v>
      </c>
      <c r="G258" t="s">
        <v>962</v>
      </c>
      <c r="I258" t="s">
        <v>118</v>
      </c>
      <c r="J258" t="s">
        <v>119</v>
      </c>
      <c r="K258" t="s">
        <v>167</v>
      </c>
      <c r="L258" t="s">
        <v>18</v>
      </c>
      <c r="N258" s="6" t="s">
        <v>891</v>
      </c>
      <c r="O258" t="s">
        <v>892</v>
      </c>
      <c r="P258" t="s">
        <v>436</v>
      </c>
      <c r="Q258" t="s">
        <v>893</v>
      </c>
      <c r="R258" t="s">
        <v>894</v>
      </c>
      <c r="S258">
        <v>2009</v>
      </c>
      <c r="T258" t="s">
        <v>207</v>
      </c>
      <c r="U258" t="s">
        <v>173</v>
      </c>
      <c r="V258"/>
      <c r="Z258">
        <v>15</v>
      </c>
      <c r="AF258">
        <v>200</v>
      </c>
      <c r="AG258">
        <v>0</v>
      </c>
      <c r="AK258">
        <v>0</v>
      </c>
      <c r="AL258">
        <v>0</v>
      </c>
      <c r="AN258" t="s">
        <v>132</v>
      </c>
      <c r="CC258">
        <v>54300</v>
      </c>
      <c r="CE25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58" s="19">
        <f>SUM(Table1[[#This Row],[Mid39]],Table1[[#This Row],[Mid36]],Table1[[#This Row],[Mid33]],Table1[[#This Row],[Mid30]],Table1[[#This Row],[Mid27]],Table1[[#This Row],[Mid24]],Table1[[#This Row],[Mid21]],Table1[[#This Row],[Mid18]],Table1[[#This Row],[Mid15]],Table1[[#This Row],[Mid12]],Table1[[#This Row],[Mid9]],Table1[[#This Row],[Mid6]],Table1[[#This Row],[Mid3]],Table1[[#This Row],[Mid]])</f>
        <v>54300</v>
      </c>
      <c r="CG25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58" t="s">
        <v>189</v>
      </c>
      <c r="CJ258" t="s">
        <v>158</v>
      </c>
      <c r="CL258" s="19">
        <f>IF(Table1[[#This Row],[Type]]="Petroleum",1,IF(ISERROR(Table1[[#This Row],[Well Density]]*Table1[[#This Row],[Single Well Discovery Area]]),"",IF(Table1[[#This Row],[Well Density]]*Table1[[#This Row],[Single Well Discovery Area]]&gt;1,1,Table1[[#This Row],[Well Density]]*Table1[[#This Row],[Single Well Discovery Area]])))</f>
        <v>0</v>
      </c>
      <c r="CM258" t="s">
        <v>158</v>
      </c>
      <c r="CN258" s="19">
        <f>Table1[[#This Row],[Mid]]</f>
        <v>0</v>
      </c>
      <c r="CO258" s="19">
        <f>Table1[[#This Row],[Mid3]]+Table1[[#This Row],[Mid6]]+Table1[[#This Row],[Mid9]]</f>
        <v>0</v>
      </c>
      <c r="CP258" s="19">
        <f>Table1[[#This Row],[Mid12]]+Table1[[#This Row],[Mid15]]+Table1[[#This Row],[Mid18]]+Table1[[#This Row],[Mid21]]+Table1[[#This Row],[Mid24]]</f>
        <v>0</v>
      </c>
      <c r="CQ258" s="19">
        <f>Table1[[#This Row],[Mid27]]+Table1[[#This Row],[Mid30]]+Table1[[#This Row],[Mid33]]+Table1[[#This Row],[Mid36]]+Table1[[#This Row],[Mid39]]</f>
        <v>54300</v>
      </c>
      <c r="CR258" t="s">
        <v>439</v>
      </c>
      <c r="CS258" s="19" t="str">
        <f>IF(AND(Table1[[#This Row],[Low41]]=0, Table1[[#This Row],[High43]]=0),"N","Y")</f>
        <v>N</v>
      </c>
    </row>
    <row r="259" spans="1:97" ht="19.5" customHeight="1" x14ac:dyDescent="0.25">
      <c r="A259">
        <v>10256</v>
      </c>
      <c r="B259" t="s">
        <v>888</v>
      </c>
      <c r="C259" t="s">
        <v>223</v>
      </c>
      <c r="D259">
        <v>43.743055560000002</v>
      </c>
      <c r="E259">
        <v>90.199444439999994</v>
      </c>
      <c r="F259" t="s">
        <v>963</v>
      </c>
      <c r="G259" t="s">
        <v>962</v>
      </c>
      <c r="I259" t="s">
        <v>433</v>
      </c>
      <c r="J259" t="s">
        <v>202</v>
      </c>
      <c r="K259" t="s">
        <v>203</v>
      </c>
      <c r="L259" t="s">
        <v>121</v>
      </c>
      <c r="N259" s="6" t="s">
        <v>891</v>
      </c>
      <c r="O259" t="s">
        <v>892</v>
      </c>
      <c r="P259" t="s">
        <v>436</v>
      </c>
      <c r="Q259" t="s">
        <v>437</v>
      </c>
      <c r="R259" t="s">
        <v>899</v>
      </c>
      <c r="S259">
        <v>2009</v>
      </c>
      <c r="T259" t="s">
        <v>207</v>
      </c>
      <c r="U259" t="s">
        <v>173</v>
      </c>
      <c r="V259"/>
      <c r="AF259">
        <v>200</v>
      </c>
      <c r="AG259">
        <v>0</v>
      </c>
      <c r="AI259">
        <v>75</v>
      </c>
      <c r="AK259">
        <v>0</v>
      </c>
      <c r="AL259">
        <v>0</v>
      </c>
      <c r="AN259" t="s">
        <v>132</v>
      </c>
      <c r="BN259">
        <v>36</v>
      </c>
      <c r="CE25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59" s="19">
        <f>SUM(Table1[[#This Row],[Mid39]],Table1[[#This Row],[Mid36]],Table1[[#This Row],[Mid33]],Table1[[#This Row],[Mid30]],Table1[[#This Row],[Mid27]],Table1[[#This Row],[Mid24]],Table1[[#This Row],[Mid21]],Table1[[#This Row],[Mid18]],Table1[[#This Row],[Mid15]],Table1[[#This Row],[Mid12]],Table1[[#This Row],[Mid9]],Table1[[#This Row],[Mid6]],Table1[[#This Row],[Mid3]],Table1[[#This Row],[Mid]])</f>
        <v>36</v>
      </c>
      <c r="CG25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59" t="s">
        <v>135</v>
      </c>
      <c r="CI259" t="s">
        <v>189</v>
      </c>
      <c r="CJ259" t="s">
        <v>158</v>
      </c>
      <c r="CL259" s="19">
        <f>IF(Table1[[#This Row],[Type]]="Petroleum",1,IF(ISERROR(Table1[[#This Row],[Well Density]]*Table1[[#This Row],[Single Well Discovery Area]]),"",IF(Table1[[#This Row],[Well Density]]*Table1[[#This Row],[Single Well Discovery Area]]&gt;1,1,Table1[[#This Row],[Well Density]]*Table1[[#This Row],[Single Well Discovery Area]])))</f>
        <v>1</v>
      </c>
      <c r="CM259" t="s">
        <v>158</v>
      </c>
      <c r="CN259" s="19">
        <f>Table1[[#This Row],[Mid]]</f>
        <v>0</v>
      </c>
      <c r="CO259" s="19">
        <f>Table1[[#This Row],[Mid3]]+Table1[[#This Row],[Mid6]]+Table1[[#This Row],[Mid9]]</f>
        <v>0</v>
      </c>
      <c r="CP259" s="19">
        <f>Table1[[#This Row],[Mid12]]+Table1[[#This Row],[Mid15]]+Table1[[#This Row],[Mid18]]+Table1[[#This Row],[Mid21]]+Table1[[#This Row],[Mid24]]</f>
        <v>36</v>
      </c>
      <c r="CQ259" s="19">
        <f>Table1[[#This Row],[Mid27]]+Table1[[#This Row],[Mid30]]+Table1[[#This Row],[Mid33]]+Table1[[#This Row],[Mid36]]+Table1[[#This Row],[Mid39]]</f>
        <v>0</v>
      </c>
      <c r="CR259" t="s">
        <v>439</v>
      </c>
      <c r="CS259" s="19" t="str">
        <f>IF(AND(Table1[[#This Row],[Low41]]=0, Table1[[#This Row],[High43]]=0),"N","Y")</f>
        <v>N</v>
      </c>
    </row>
    <row r="260" spans="1:97" ht="19.5" customHeight="1" x14ac:dyDescent="0.25">
      <c r="A260">
        <v>10257</v>
      </c>
      <c r="B260" t="s">
        <v>888</v>
      </c>
      <c r="C260" t="s">
        <v>223</v>
      </c>
      <c r="D260">
        <v>43.743055560000002</v>
      </c>
      <c r="E260">
        <v>90.199444439999994</v>
      </c>
      <c r="F260" t="s">
        <v>964</v>
      </c>
      <c r="G260" t="s">
        <v>962</v>
      </c>
      <c r="I260" t="s">
        <v>582</v>
      </c>
      <c r="J260" t="s">
        <v>202</v>
      </c>
      <c r="K260" t="s">
        <v>203</v>
      </c>
      <c r="L260" t="s">
        <v>121</v>
      </c>
      <c r="N260" s="6" t="s">
        <v>891</v>
      </c>
      <c r="O260" t="s">
        <v>892</v>
      </c>
      <c r="P260" t="s">
        <v>436</v>
      </c>
      <c r="Q260" t="s">
        <v>437</v>
      </c>
      <c r="R260" t="s">
        <v>921</v>
      </c>
      <c r="S260">
        <v>2009</v>
      </c>
      <c r="T260" t="s">
        <v>207</v>
      </c>
      <c r="U260" t="s">
        <v>173</v>
      </c>
      <c r="V260"/>
      <c r="AF260">
        <v>200</v>
      </c>
      <c r="AG260">
        <v>0</v>
      </c>
      <c r="AI260">
        <v>75</v>
      </c>
      <c r="AK260">
        <v>0</v>
      </c>
      <c r="AL260">
        <v>0</v>
      </c>
      <c r="AN260" t="s">
        <v>132</v>
      </c>
      <c r="BH260">
        <v>120</v>
      </c>
      <c r="CE26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60" s="19">
        <f>SUM(Table1[[#This Row],[Mid39]],Table1[[#This Row],[Mid36]],Table1[[#This Row],[Mid33]],Table1[[#This Row],[Mid30]],Table1[[#This Row],[Mid27]],Table1[[#This Row],[Mid24]],Table1[[#This Row],[Mid21]],Table1[[#This Row],[Mid18]],Table1[[#This Row],[Mid15]],Table1[[#This Row],[Mid12]],Table1[[#This Row],[Mid9]],Table1[[#This Row],[Mid6]],Table1[[#This Row],[Mid3]],Table1[[#This Row],[Mid]])</f>
        <v>120</v>
      </c>
      <c r="CG26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60" t="s">
        <v>135</v>
      </c>
      <c r="CI260" t="s">
        <v>189</v>
      </c>
      <c r="CJ260" t="s">
        <v>158</v>
      </c>
      <c r="CL260" s="19">
        <f>IF(Table1[[#This Row],[Type]]="Petroleum",1,IF(ISERROR(Table1[[#This Row],[Well Density]]*Table1[[#This Row],[Single Well Discovery Area]]),"",IF(Table1[[#This Row],[Well Density]]*Table1[[#This Row],[Single Well Discovery Area]]&gt;1,1,Table1[[#This Row],[Well Density]]*Table1[[#This Row],[Single Well Discovery Area]])))</f>
        <v>1</v>
      </c>
      <c r="CM260" t="s">
        <v>158</v>
      </c>
      <c r="CN260" s="19">
        <f>Table1[[#This Row],[Mid]]</f>
        <v>0</v>
      </c>
      <c r="CO260" s="19">
        <f>Table1[[#This Row],[Mid3]]+Table1[[#This Row],[Mid6]]+Table1[[#This Row],[Mid9]]</f>
        <v>0</v>
      </c>
      <c r="CP260" s="19">
        <f>Table1[[#This Row],[Mid12]]+Table1[[#This Row],[Mid15]]+Table1[[#This Row],[Mid18]]+Table1[[#This Row],[Mid21]]+Table1[[#This Row],[Mid24]]</f>
        <v>120</v>
      </c>
      <c r="CQ260" s="19">
        <f>Table1[[#This Row],[Mid27]]+Table1[[#This Row],[Mid30]]+Table1[[#This Row],[Mid33]]+Table1[[#This Row],[Mid36]]+Table1[[#This Row],[Mid39]]</f>
        <v>0</v>
      </c>
      <c r="CR260" t="s">
        <v>439</v>
      </c>
      <c r="CS260" s="19" t="str">
        <f>IF(AND(Table1[[#This Row],[Low41]]=0, Table1[[#This Row],[High43]]=0),"N","Y")</f>
        <v>N</v>
      </c>
    </row>
    <row r="261" spans="1:97" ht="19.5" customHeight="1" x14ac:dyDescent="0.25">
      <c r="A261">
        <v>10258</v>
      </c>
      <c r="B261" t="s">
        <v>888</v>
      </c>
      <c r="C261" t="s">
        <v>223</v>
      </c>
      <c r="D261">
        <v>42.135277780000003</v>
      </c>
      <c r="E261">
        <v>86.873333329999994</v>
      </c>
      <c r="F261" t="s">
        <v>965</v>
      </c>
      <c r="G261" t="s">
        <v>958</v>
      </c>
      <c r="I261" t="s">
        <v>433</v>
      </c>
      <c r="J261" t="s">
        <v>202</v>
      </c>
      <c r="K261" t="s">
        <v>203</v>
      </c>
      <c r="L261" t="s">
        <v>121</v>
      </c>
      <c r="N261" s="6" t="s">
        <v>891</v>
      </c>
      <c r="O261" t="s">
        <v>892</v>
      </c>
      <c r="P261" t="s">
        <v>436</v>
      </c>
      <c r="Q261" t="s">
        <v>437</v>
      </c>
      <c r="R261" t="s">
        <v>899</v>
      </c>
      <c r="S261">
        <v>2009</v>
      </c>
      <c r="T261" t="s">
        <v>207</v>
      </c>
      <c r="U261" t="s">
        <v>173</v>
      </c>
      <c r="V261"/>
      <c r="AF261">
        <v>200</v>
      </c>
      <c r="AG261">
        <v>0</v>
      </c>
      <c r="AI261">
        <v>75</v>
      </c>
      <c r="AK261">
        <v>0</v>
      </c>
      <c r="AL261">
        <v>0</v>
      </c>
      <c r="AN261" t="s">
        <v>132</v>
      </c>
      <c r="BN261">
        <v>15</v>
      </c>
      <c r="CE26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61" s="19">
        <f>SUM(Table1[[#This Row],[Mid39]],Table1[[#This Row],[Mid36]],Table1[[#This Row],[Mid33]],Table1[[#This Row],[Mid30]],Table1[[#This Row],[Mid27]],Table1[[#This Row],[Mid24]],Table1[[#This Row],[Mid21]],Table1[[#This Row],[Mid18]],Table1[[#This Row],[Mid15]],Table1[[#This Row],[Mid12]],Table1[[#This Row],[Mid9]],Table1[[#This Row],[Mid6]],Table1[[#This Row],[Mid3]],Table1[[#This Row],[Mid]])</f>
        <v>15</v>
      </c>
      <c r="CG26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61" t="s">
        <v>135</v>
      </c>
      <c r="CI261" t="s">
        <v>189</v>
      </c>
      <c r="CJ261" t="s">
        <v>158</v>
      </c>
      <c r="CL261" s="19">
        <f>IF(Table1[[#This Row],[Type]]="Petroleum",1,IF(ISERROR(Table1[[#This Row],[Well Density]]*Table1[[#This Row],[Single Well Discovery Area]]),"",IF(Table1[[#This Row],[Well Density]]*Table1[[#This Row],[Single Well Discovery Area]]&gt;1,1,Table1[[#This Row],[Well Density]]*Table1[[#This Row],[Single Well Discovery Area]])))</f>
        <v>1</v>
      </c>
      <c r="CM261" t="s">
        <v>158</v>
      </c>
      <c r="CN261" s="19">
        <f>Table1[[#This Row],[Mid]]</f>
        <v>0</v>
      </c>
      <c r="CO261" s="19">
        <f>Table1[[#This Row],[Mid3]]+Table1[[#This Row],[Mid6]]+Table1[[#This Row],[Mid9]]</f>
        <v>0</v>
      </c>
      <c r="CP261" s="19">
        <f>Table1[[#This Row],[Mid12]]+Table1[[#This Row],[Mid15]]+Table1[[#This Row],[Mid18]]+Table1[[#This Row],[Mid21]]+Table1[[#This Row],[Mid24]]</f>
        <v>15</v>
      </c>
      <c r="CQ261" s="19">
        <f>Table1[[#This Row],[Mid27]]+Table1[[#This Row],[Mid30]]+Table1[[#This Row],[Mid33]]+Table1[[#This Row],[Mid36]]+Table1[[#This Row],[Mid39]]</f>
        <v>0</v>
      </c>
      <c r="CR261" t="s">
        <v>439</v>
      </c>
      <c r="CS261" s="19" t="str">
        <f>IF(AND(Table1[[#This Row],[Low41]]=0, Table1[[#This Row],[High43]]=0),"N","Y")</f>
        <v>N</v>
      </c>
    </row>
    <row r="262" spans="1:97" ht="19.5" customHeight="1" x14ac:dyDescent="0.25">
      <c r="A262">
        <v>10259</v>
      </c>
      <c r="B262" t="s">
        <v>888</v>
      </c>
      <c r="C262" t="s">
        <v>223</v>
      </c>
      <c r="D262">
        <v>42.135277780000003</v>
      </c>
      <c r="E262">
        <v>86.876111109999997</v>
      </c>
      <c r="F262" t="s">
        <v>966</v>
      </c>
      <c r="G262" t="s">
        <v>958</v>
      </c>
      <c r="I262" t="s">
        <v>582</v>
      </c>
      <c r="J262" t="s">
        <v>202</v>
      </c>
      <c r="K262" t="s">
        <v>203</v>
      </c>
      <c r="L262" t="s">
        <v>121</v>
      </c>
      <c r="N262" s="6" t="s">
        <v>891</v>
      </c>
      <c r="O262" t="s">
        <v>892</v>
      </c>
      <c r="P262" t="s">
        <v>436</v>
      </c>
      <c r="Q262" t="s">
        <v>437</v>
      </c>
      <c r="R262" t="s">
        <v>921</v>
      </c>
      <c r="S262">
        <v>2009</v>
      </c>
      <c r="T262" t="s">
        <v>207</v>
      </c>
      <c r="U262" t="s">
        <v>173</v>
      </c>
      <c r="V262"/>
      <c r="AF262">
        <v>200</v>
      </c>
      <c r="AG262">
        <v>0</v>
      </c>
      <c r="AI262">
        <v>75</v>
      </c>
      <c r="AK262">
        <v>0</v>
      </c>
      <c r="AL262">
        <v>0</v>
      </c>
      <c r="AN262" t="s">
        <v>132</v>
      </c>
      <c r="BH262">
        <v>7</v>
      </c>
      <c r="CE26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62" s="19">
        <f>SUM(Table1[[#This Row],[Mid39]],Table1[[#This Row],[Mid36]],Table1[[#This Row],[Mid33]],Table1[[#This Row],[Mid30]],Table1[[#This Row],[Mid27]],Table1[[#This Row],[Mid24]],Table1[[#This Row],[Mid21]],Table1[[#This Row],[Mid18]],Table1[[#This Row],[Mid15]],Table1[[#This Row],[Mid12]],Table1[[#This Row],[Mid9]],Table1[[#This Row],[Mid6]],Table1[[#This Row],[Mid3]],Table1[[#This Row],[Mid]])</f>
        <v>7</v>
      </c>
      <c r="CG26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62" t="s">
        <v>135</v>
      </c>
      <c r="CI262" t="s">
        <v>189</v>
      </c>
      <c r="CJ262" t="s">
        <v>158</v>
      </c>
      <c r="CL262" s="19">
        <f>IF(Table1[[#This Row],[Type]]="Petroleum",1,IF(ISERROR(Table1[[#This Row],[Well Density]]*Table1[[#This Row],[Single Well Discovery Area]]),"",IF(Table1[[#This Row],[Well Density]]*Table1[[#This Row],[Single Well Discovery Area]]&gt;1,1,Table1[[#This Row],[Well Density]]*Table1[[#This Row],[Single Well Discovery Area]])))</f>
        <v>1</v>
      </c>
      <c r="CM262" t="s">
        <v>158</v>
      </c>
      <c r="CN262" s="19">
        <f>Table1[[#This Row],[Mid]]</f>
        <v>0</v>
      </c>
      <c r="CO262" s="19">
        <f>Table1[[#This Row],[Mid3]]+Table1[[#This Row],[Mid6]]+Table1[[#This Row],[Mid9]]</f>
        <v>0</v>
      </c>
      <c r="CP262" s="19">
        <f>Table1[[#This Row],[Mid12]]+Table1[[#This Row],[Mid15]]+Table1[[#This Row],[Mid18]]+Table1[[#This Row],[Mid21]]+Table1[[#This Row],[Mid24]]</f>
        <v>7</v>
      </c>
      <c r="CQ262" s="19">
        <f>Table1[[#This Row],[Mid27]]+Table1[[#This Row],[Mid30]]+Table1[[#This Row],[Mid33]]+Table1[[#This Row],[Mid36]]+Table1[[#This Row],[Mid39]]</f>
        <v>0</v>
      </c>
      <c r="CR262" t="s">
        <v>439</v>
      </c>
      <c r="CS262" s="19" t="str">
        <f>IF(AND(Table1[[#This Row],[Low41]]=0, Table1[[#This Row],[High43]]=0),"N","Y")</f>
        <v>N</v>
      </c>
    </row>
    <row r="263" spans="1:97" ht="19.5" customHeight="1" x14ac:dyDescent="0.25">
      <c r="A263">
        <v>10260</v>
      </c>
      <c r="B263" t="s">
        <v>888</v>
      </c>
      <c r="C263" t="s">
        <v>223</v>
      </c>
      <c r="D263">
        <v>44.761666669999997</v>
      </c>
      <c r="E263">
        <v>127.27083330000001</v>
      </c>
      <c r="F263" t="s">
        <v>967</v>
      </c>
      <c r="G263" t="s">
        <v>968</v>
      </c>
      <c r="I263" t="s">
        <v>433</v>
      </c>
      <c r="J263" t="s">
        <v>202</v>
      </c>
      <c r="K263" t="s">
        <v>203</v>
      </c>
      <c r="L263" t="s">
        <v>121</v>
      </c>
      <c r="N263" s="6" t="s">
        <v>891</v>
      </c>
      <c r="O263" t="s">
        <v>892</v>
      </c>
      <c r="P263" t="s">
        <v>436</v>
      </c>
      <c r="Q263" t="s">
        <v>437</v>
      </c>
      <c r="R263" t="s">
        <v>899</v>
      </c>
      <c r="S263">
        <v>2009</v>
      </c>
      <c r="T263" t="s">
        <v>207</v>
      </c>
      <c r="U263" t="s">
        <v>173</v>
      </c>
      <c r="V263"/>
      <c r="AF263">
        <v>200</v>
      </c>
      <c r="AG263">
        <v>0</v>
      </c>
      <c r="AI263">
        <v>75</v>
      </c>
      <c r="AK263">
        <v>0</v>
      </c>
      <c r="AL263">
        <v>0</v>
      </c>
      <c r="AN263" t="s">
        <v>132</v>
      </c>
      <c r="BN263">
        <v>5</v>
      </c>
      <c r="CE26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63" s="19">
        <f>SUM(Table1[[#This Row],[Mid39]],Table1[[#This Row],[Mid36]],Table1[[#This Row],[Mid33]],Table1[[#This Row],[Mid30]],Table1[[#This Row],[Mid27]],Table1[[#This Row],[Mid24]],Table1[[#This Row],[Mid21]],Table1[[#This Row],[Mid18]],Table1[[#This Row],[Mid15]],Table1[[#This Row],[Mid12]],Table1[[#This Row],[Mid9]],Table1[[#This Row],[Mid6]],Table1[[#This Row],[Mid3]],Table1[[#This Row],[Mid]])</f>
        <v>5</v>
      </c>
      <c r="CG26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63" t="s">
        <v>135</v>
      </c>
      <c r="CI263" t="s">
        <v>189</v>
      </c>
      <c r="CJ263" t="s">
        <v>158</v>
      </c>
      <c r="CL263" s="19">
        <f>IF(Table1[[#This Row],[Type]]="Petroleum",1,IF(ISERROR(Table1[[#This Row],[Well Density]]*Table1[[#This Row],[Single Well Discovery Area]]),"",IF(Table1[[#This Row],[Well Density]]*Table1[[#This Row],[Single Well Discovery Area]]&gt;1,1,Table1[[#This Row],[Well Density]]*Table1[[#This Row],[Single Well Discovery Area]])))</f>
        <v>1</v>
      </c>
      <c r="CM263" t="s">
        <v>158</v>
      </c>
      <c r="CN263" s="19">
        <f>Table1[[#This Row],[Mid]]</f>
        <v>0</v>
      </c>
      <c r="CO263" s="19">
        <f>Table1[[#This Row],[Mid3]]+Table1[[#This Row],[Mid6]]+Table1[[#This Row],[Mid9]]</f>
        <v>0</v>
      </c>
      <c r="CP263" s="19">
        <f>Table1[[#This Row],[Mid12]]+Table1[[#This Row],[Mid15]]+Table1[[#This Row],[Mid18]]+Table1[[#This Row],[Mid21]]+Table1[[#This Row],[Mid24]]</f>
        <v>5</v>
      </c>
      <c r="CQ263" s="19">
        <f>Table1[[#This Row],[Mid27]]+Table1[[#This Row],[Mid30]]+Table1[[#This Row],[Mid33]]+Table1[[#This Row],[Mid36]]+Table1[[#This Row],[Mid39]]</f>
        <v>0</v>
      </c>
      <c r="CR263" t="s">
        <v>439</v>
      </c>
      <c r="CS263" s="19" t="str">
        <f>IF(AND(Table1[[#This Row],[Low41]]=0, Table1[[#This Row],[High43]]=0),"N","Y")</f>
        <v>N</v>
      </c>
    </row>
    <row r="264" spans="1:97" ht="19.5" customHeight="1" x14ac:dyDescent="0.25">
      <c r="A264">
        <v>10261</v>
      </c>
      <c r="B264" t="s">
        <v>888</v>
      </c>
      <c r="C264" t="s">
        <v>223</v>
      </c>
      <c r="D264">
        <v>44.761666669999997</v>
      </c>
      <c r="E264">
        <v>127.2680556</v>
      </c>
      <c r="F264" t="s">
        <v>969</v>
      </c>
      <c r="G264" t="s">
        <v>968</v>
      </c>
      <c r="I264" t="s">
        <v>582</v>
      </c>
      <c r="J264" t="s">
        <v>202</v>
      </c>
      <c r="K264" t="s">
        <v>203</v>
      </c>
      <c r="L264" t="s">
        <v>121</v>
      </c>
      <c r="N264" s="6" t="s">
        <v>891</v>
      </c>
      <c r="O264" t="s">
        <v>892</v>
      </c>
      <c r="P264" t="s">
        <v>436</v>
      </c>
      <c r="Q264" t="s">
        <v>437</v>
      </c>
      <c r="R264" t="s">
        <v>921</v>
      </c>
      <c r="S264">
        <v>2009</v>
      </c>
      <c r="T264" t="s">
        <v>207</v>
      </c>
      <c r="U264" t="s">
        <v>173</v>
      </c>
      <c r="V264"/>
      <c r="AF264">
        <v>200</v>
      </c>
      <c r="AG264">
        <v>0</v>
      </c>
      <c r="AI264">
        <v>75</v>
      </c>
      <c r="AK264">
        <v>0</v>
      </c>
      <c r="AL264">
        <v>0</v>
      </c>
      <c r="AN264" t="s">
        <v>132</v>
      </c>
      <c r="BH264">
        <v>14</v>
      </c>
      <c r="CE26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64" s="19">
        <f>SUM(Table1[[#This Row],[Mid39]],Table1[[#This Row],[Mid36]],Table1[[#This Row],[Mid33]],Table1[[#This Row],[Mid30]],Table1[[#This Row],[Mid27]],Table1[[#This Row],[Mid24]],Table1[[#This Row],[Mid21]],Table1[[#This Row],[Mid18]],Table1[[#This Row],[Mid15]],Table1[[#This Row],[Mid12]],Table1[[#This Row],[Mid9]],Table1[[#This Row],[Mid6]],Table1[[#This Row],[Mid3]],Table1[[#This Row],[Mid]])</f>
        <v>14</v>
      </c>
      <c r="CG26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64" t="s">
        <v>135</v>
      </c>
      <c r="CI264" t="s">
        <v>189</v>
      </c>
      <c r="CJ264" t="s">
        <v>158</v>
      </c>
      <c r="CL264" s="19">
        <f>IF(Table1[[#This Row],[Type]]="Petroleum",1,IF(ISERROR(Table1[[#This Row],[Well Density]]*Table1[[#This Row],[Single Well Discovery Area]]),"",IF(Table1[[#This Row],[Well Density]]*Table1[[#This Row],[Single Well Discovery Area]]&gt;1,1,Table1[[#This Row],[Well Density]]*Table1[[#This Row],[Single Well Discovery Area]])))</f>
        <v>1</v>
      </c>
      <c r="CM264" t="s">
        <v>158</v>
      </c>
      <c r="CN264" s="19">
        <f>Table1[[#This Row],[Mid]]</f>
        <v>0</v>
      </c>
      <c r="CO264" s="19">
        <f>Table1[[#This Row],[Mid3]]+Table1[[#This Row],[Mid6]]+Table1[[#This Row],[Mid9]]</f>
        <v>0</v>
      </c>
      <c r="CP264" s="19">
        <f>Table1[[#This Row],[Mid12]]+Table1[[#This Row],[Mid15]]+Table1[[#This Row],[Mid18]]+Table1[[#This Row],[Mid21]]+Table1[[#This Row],[Mid24]]</f>
        <v>14</v>
      </c>
      <c r="CQ264" s="19">
        <f>Table1[[#This Row],[Mid27]]+Table1[[#This Row],[Mid30]]+Table1[[#This Row],[Mid33]]+Table1[[#This Row],[Mid36]]+Table1[[#This Row],[Mid39]]</f>
        <v>0</v>
      </c>
      <c r="CR264" t="s">
        <v>439</v>
      </c>
      <c r="CS264" s="19" t="str">
        <f>IF(AND(Table1[[#This Row],[Low41]]=0, Table1[[#This Row],[High43]]=0),"N","Y")</f>
        <v>N</v>
      </c>
    </row>
    <row r="265" spans="1:97" ht="19.5" customHeight="1" x14ac:dyDescent="0.25">
      <c r="A265">
        <v>10262</v>
      </c>
      <c r="B265" t="s">
        <v>888</v>
      </c>
      <c r="C265" t="s">
        <v>941</v>
      </c>
      <c r="D265">
        <v>39.380000000000003</v>
      </c>
      <c r="E265">
        <v>110.07361109999999</v>
      </c>
      <c r="F265" t="s">
        <v>970</v>
      </c>
      <c r="G265" t="s">
        <v>941</v>
      </c>
      <c r="H265" t="s">
        <v>971</v>
      </c>
      <c r="I265" t="s">
        <v>118</v>
      </c>
      <c r="J265" t="s">
        <v>119</v>
      </c>
      <c r="K265" t="s">
        <v>120</v>
      </c>
      <c r="L265" t="s">
        <v>121</v>
      </c>
      <c r="M265" t="s">
        <v>972</v>
      </c>
      <c r="N265" s="6" t="s">
        <v>973</v>
      </c>
      <c r="O265" t="s">
        <v>974</v>
      </c>
      <c r="P265" t="s">
        <v>975</v>
      </c>
      <c r="Q265" t="s">
        <v>976</v>
      </c>
      <c r="R265" t="s">
        <v>977</v>
      </c>
      <c r="S265">
        <v>2018</v>
      </c>
      <c r="T265" t="s">
        <v>153</v>
      </c>
      <c r="U265" t="s">
        <v>154</v>
      </c>
      <c r="V265">
        <v>25</v>
      </c>
      <c r="AD265">
        <v>1</v>
      </c>
      <c r="AE265">
        <v>0.04</v>
      </c>
      <c r="AF265">
        <v>200</v>
      </c>
      <c r="AG265">
        <v>22.794076560000001</v>
      </c>
      <c r="AK265">
        <v>0</v>
      </c>
      <c r="AL265">
        <v>0</v>
      </c>
      <c r="AN265" t="s">
        <v>132</v>
      </c>
      <c r="AP265">
        <v>0.6</v>
      </c>
      <c r="CE26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65" s="19">
        <f>SUM(Table1[[#This Row],[Mid39]],Table1[[#This Row],[Mid36]],Table1[[#This Row],[Mid33]],Table1[[#This Row],[Mid30]],Table1[[#This Row],[Mid27]],Table1[[#This Row],[Mid24]],Table1[[#This Row],[Mid21]],Table1[[#This Row],[Mid18]],Table1[[#This Row],[Mid15]],Table1[[#This Row],[Mid12]],Table1[[#This Row],[Mid9]],Table1[[#This Row],[Mid6]],Table1[[#This Row],[Mid3]],Table1[[#This Row],[Mid]])</f>
        <v>0.6</v>
      </c>
      <c r="CG26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65" t="s">
        <v>157</v>
      </c>
      <c r="CI265" t="s">
        <v>176</v>
      </c>
      <c r="CJ265" t="s">
        <v>135</v>
      </c>
      <c r="CL265" s="19">
        <f>IF(Table1[[#This Row],[Type]]="Petroleum",1,IF(ISERROR(Table1[[#This Row],[Well Density]]*Table1[[#This Row],[Single Well Discovery Area]]),"",IF(Table1[[#This Row],[Well Density]]*Table1[[#This Row],[Single Well Discovery Area]]&gt;1,1,Table1[[#This Row],[Well Density]]*Table1[[#This Row],[Single Well Discovery Area]])))</f>
        <v>1</v>
      </c>
      <c r="CM265" t="s">
        <v>135</v>
      </c>
      <c r="CN265" s="19">
        <f>Table1[[#This Row],[Mid]]</f>
        <v>0.6</v>
      </c>
      <c r="CO265" s="19">
        <f>Table1[[#This Row],[Mid3]]+Table1[[#This Row],[Mid6]]+Table1[[#This Row],[Mid9]]</f>
        <v>0</v>
      </c>
      <c r="CP265" s="19">
        <f>Table1[[#This Row],[Mid12]]+Table1[[#This Row],[Mid15]]+Table1[[#This Row],[Mid18]]+Table1[[#This Row],[Mid21]]+Table1[[#This Row],[Mid24]]</f>
        <v>0</v>
      </c>
      <c r="CQ265" s="19">
        <f>Table1[[#This Row],[Mid27]]+Table1[[#This Row],[Mid30]]+Table1[[#This Row],[Mid33]]+Table1[[#This Row],[Mid36]]+Table1[[#This Row],[Mid39]]</f>
        <v>0</v>
      </c>
      <c r="CR265" t="s">
        <v>439</v>
      </c>
      <c r="CS265" s="19" t="str">
        <f>IF(AND(Table1[[#This Row],[Low41]]=0, Table1[[#This Row],[High43]]=0),"N","Y")</f>
        <v>N</v>
      </c>
    </row>
    <row r="266" spans="1:97" ht="19.5" customHeight="1" x14ac:dyDescent="0.25">
      <c r="A266">
        <v>10263</v>
      </c>
      <c r="B266" t="s">
        <v>888</v>
      </c>
      <c r="C266" t="s">
        <v>978</v>
      </c>
      <c r="D266">
        <v>39.904166670000002</v>
      </c>
      <c r="E266">
        <v>116.40722220000001</v>
      </c>
      <c r="F266" t="s">
        <v>979</v>
      </c>
      <c r="G266" t="s">
        <v>898</v>
      </c>
      <c r="I266" t="s">
        <v>582</v>
      </c>
      <c r="J266" t="s">
        <v>202</v>
      </c>
      <c r="K266" t="s">
        <v>203</v>
      </c>
      <c r="L266" t="s">
        <v>121</v>
      </c>
      <c r="N266" s="6" t="s">
        <v>980</v>
      </c>
      <c r="O266" t="s">
        <v>981</v>
      </c>
      <c r="P266" t="s">
        <v>170</v>
      </c>
      <c r="Q266" t="s">
        <v>982</v>
      </c>
      <c r="R266" t="s">
        <v>983</v>
      </c>
      <c r="S266">
        <v>2010</v>
      </c>
      <c r="T266" t="s">
        <v>153</v>
      </c>
      <c r="U266" t="s">
        <v>154</v>
      </c>
      <c r="V266"/>
      <c r="Z266">
        <v>31</v>
      </c>
      <c r="AA266">
        <v>392</v>
      </c>
      <c r="AF266">
        <v>200</v>
      </c>
      <c r="AG266">
        <v>0</v>
      </c>
      <c r="AH266" t="s">
        <v>984</v>
      </c>
      <c r="AI266">
        <v>2</v>
      </c>
      <c r="AK266">
        <v>0</v>
      </c>
      <c r="AL266">
        <v>0</v>
      </c>
      <c r="AN266" t="s">
        <v>132</v>
      </c>
      <c r="BN266">
        <v>448</v>
      </c>
      <c r="CE26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66" s="19">
        <f>SUM(Table1[[#This Row],[Mid39]],Table1[[#This Row],[Mid36]],Table1[[#This Row],[Mid33]],Table1[[#This Row],[Mid30]],Table1[[#This Row],[Mid27]],Table1[[#This Row],[Mid24]],Table1[[#This Row],[Mid21]],Table1[[#This Row],[Mid18]],Table1[[#This Row],[Mid15]],Table1[[#This Row],[Mid12]],Table1[[#This Row],[Mid9]],Table1[[#This Row],[Mid6]],Table1[[#This Row],[Mid3]],Table1[[#This Row],[Mid]])</f>
        <v>448</v>
      </c>
      <c r="CG26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66" t="s">
        <v>135</v>
      </c>
      <c r="CI266" t="s">
        <v>134</v>
      </c>
      <c r="CJ266" t="s">
        <v>158</v>
      </c>
      <c r="CL266" s="19">
        <f>IF(Table1[[#This Row],[Type]]="Petroleum",1,IF(ISERROR(Table1[[#This Row],[Well Density]]*Table1[[#This Row],[Single Well Discovery Area]]),"",IF(Table1[[#This Row],[Well Density]]*Table1[[#This Row],[Single Well Discovery Area]]&gt;1,1,Table1[[#This Row],[Well Density]]*Table1[[#This Row],[Single Well Discovery Area]])))</f>
        <v>1</v>
      </c>
      <c r="CM266" t="s">
        <v>158</v>
      </c>
      <c r="CN266" s="19">
        <f>Table1[[#This Row],[Mid]]</f>
        <v>0</v>
      </c>
      <c r="CO266" s="19">
        <f>Table1[[#This Row],[Mid3]]+Table1[[#This Row],[Mid6]]+Table1[[#This Row],[Mid9]]</f>
        <v>0</v>
      </c>
      <c r="CP266" s="19">
        <f>Table1[[#This Row],[Mid12]]+Table1[[#This Row],[Mid15]]+Table1[[#This Row],[Mid18]]+Table1[[#This Row],[Mid21]]+Table1[[#This Row],[Mid24]]</f>
        <v>448</v>
      </c>
      <c r="CQ266" s="19">
        <f>Table1[[#This Row],[Mid27]]+Table1[[#This Row],[Mid30]]+Table1[[#This Row],[Mid33]]+Table1[[#This Row],[Mid36]]+Table1[[#This Row],[Mid39]]</f>
        <v>0</v>
      </c>
      <c r="CR266" t="s">
        <v>439</v>
      </c>
      <c r="CS266" s="19" t="str">
        <f>IF(AND(Table1[[#This Row],[Low41]]=0, Table1[[#This Row],[High43]]=0),"N","Y")</f>
        <v>N</v>
      </c>
    </row>
    <row r="267" spans="1:97" ht="19.5" customHeight="1" x14ac:dyDescent="0.25">
      <c r="A267">
        <v>10264</v>
      </c>
      <c r="B267" t="s">
        <v>888</v>
      </c>
      <c r="C267" t="s">
        <v>985</v>
      </c>
      <c r="D267">
        <v>38.704166669999999</v>
      </c>
      <c r="E267">
        <v>117.4216667</v>
      </c>
      <c r="F267" t="s">
        <v>986</v>
      </c>
      <c r="G267" t="s">
        <v>898</v>
      </c>
      <c r="H267" t="s">
        <v>987</v>
      </c>
      <c r="I267" t="s">
        <v>582</v>
      </c>
      <c r="J267" t="s">
        <v>202</v>
      </c>
      <c r="K267" t="s">
        <v>203</v>
      </c>
      <c r="L267" t="s">
        <v>121</v>
      </c>
      <c r="N267" s="6" t="s">
        <v>980</v>
      </c>
      <c r="O267" t="s">
        <v>981</v>
      </c>
      <c r="P267" t="s">
        <v>170</v>
      </c>
      <c r="Q267" t="s">
        <v>982</v>
      </c>
      <c r="R267" t="s">
        <v>988</v>
      </c>
      <c r="S267">
        <v>2010</v>
      </c>
      <c r="T267" t="s">
        <v>153</v>
      </c>
      <c r="U267" t="s">
        <v>154</v>
      </c>
      <c r="V267"/>
      <c r="AC267">
        <v>0.62</v>
      </c>
      <c r="AF267">
        <v>200</v>
      </c>
      <c r="AG267">
        <v>0</v>
      </c>
      <c r="AK267">
        <v>0</v>
      </c>
      <c r="AL267">
        <v>0</v>
      </c>
      <c r="AN267" t="s">
        <v>132</v>
      </c>
      <c r="BN267">
        <v>27.51</v>
      </c>
      <c r="CE26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67" s="19">
        <f>SUM(Table1[[#This Row],[Mid39]],Table1[[#This Row],[Mid36]],Table1[[#This Row],[Mid33]],Table1[[#This Row],[Mid30]],Table1[[#This Row],[Mid27]],Table1[[#This Row],[Mid24]],Table1[[#This Row],[Mid21]],Table1[[#This Row],[Mid18]],Table1[[#This Row],[Mid15]],Table1[[#This Row],[Mid12]],Table1[[#This Row],[Mid9]],Table1[[#This Row],[Mid6]],Table1[[#This Row],[Mid3]],Table1[[#This Row],[Mid]])</f>
        <v>27.51</v>
      </c>
      <c r="CG26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67" t="s">
        <v>135</v>
      </c>
      <c r="CI267" t="s">
        <v>189</v>
      </c>
      <c r="CJ267" t="s">
        <v>158</v>
      </c>
      <c r="CL267" s="19">
        <f>IF(Table1[[#This Row],[Type]]="Petroleum",1,IF(ISERROR(Table1[[#This Row],[Well Density]]*Table1[[#This Row],[Single Well Discovery Area]]),"",IF(Table1[[#This Row],[Well Density]]*Table1[[#This Row],[Single Well Discovery Area]]&gt;1,1,Table1[[#This Row],[Well Density]]*Table1[[#This Row],[Single Well Discovery Area]])))</f>
        <v>1</v>
      </c>
      <c r="CM267" t="s">
        <v>158</v>
      </c>
      <c r="CN267" s="19">
        <f>Table1[[#This Row],[Mid]]</f>
        <v>0</v>
      </c>
      <c r="CO267" s="19">
        <f>Table1[[#This Row],[Mid3]]+Table1[[#This Row],[Mid6]]+Table1[[#This Row],[Mid9]]</f>
        <v>0</v>
      </c>
      <c r="CP267" s="19">
        <f>Table1[[#This Row],[Mid12]]+Table1[[#This Row],[Mid15]]+Table1[[#This Row],[Mid18]]+Table1[[#This Row],[Mid21]]+Table1[[#This Row],[Mid24]]</f>
        <v>27.51</v>
      </c>
      <c r="CQ267" s="19">
        <f>Table1[[#This Row],[Mid27]]+Table1[[#This Row],[Mid30]]+Table1[[#This Row],[Mid33]]+Table1[[#This Row],[Mid36]]+Table1[[#This Row],[Mid39]]</f>
        <v>0</v>
      </c>
      <c r="CR267" t="s">
        <v>439</v>
      </c>
      <c r="CS267" s="19" t="str">
        <f>IF(AND(Table1[[#This Row],[Low41]]=0, Table1[[#This Row],[High43]]=0),"N","Y")</f>
        <v>N</v>
      </c>
    </row>
    <row r="268" spans="1:97" ht="19.5" customHeight="1" x14ac:dyDescent="0.25">
      <c r="A268">
        <v>10265</v>
      </c>
      <c r="B268" t="s">
        <v>888</v>
      </c>
      <c r="C268" t="s">
        <v>985</v>
      </c>
      <c r="D268">
        <v>38.704166669999999</v>
      </c>
      <c r="E268">
        <v>117.4244444</v>
      </c>
      <c r="F268" t="s">
        <v>989</v>
      </c>
      <c r="G268" t="s">
        <v>898</v>
      </c>
      <c r="H268" t="s">
        <v>990</v>
      </c>
      <c r="I268" t="s">
        <v>582</v>
      </c>
      <c r="J268" t="s">
        <v>202</v>
      </c>
      <c r="K268" t="s">
        <v>203</v>
      </c>
      <c r="L268" t="s">
        <v>121</v>
      </c>
      <c r="N268" s="6" t="s">
        <v>980</v>
      </c>
      <c r="O268" t="s">
        <v>981</v>
      </c>
      <c r="P268" t="s">
        <v>170</v>
      </c>
      <c r="Q268" t="s">
        <v>982</v>
      </c>
      <c r="R268" t="s">
        <v>988</v>
      </c>
      <c r="S268">
        <v>2010</v>
      </c>
      <c r="T268" t="s">
        <v>153</v>
      </c>
      <c r="U268" t="s">
        <v>154</v>
      </c>
      <c r="V268"/>
      <c r="AC268">
        <v>0.62</v>
      </c>
      <c r="AF268">
        <v>200</v>
      </c>
      <c r="AG268">
        <v>0</v>
      </c>
      <c r="AK268">
        <v>0</v>
      </c>
      <c r="AL268">
        <v>0</v>
      </c>
      <c r="AN268" t="s">
        <v>132</v>
      </c>
      <c r="BN268">
        <v>23.5</v>
      </c>
      <c r="CE26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68" s="19">
        <f>SUM(Table1[[#This Row],[Mid39]],Table1[[#This Row],[Mid36]],Table1[[#This Row],[Mid33]],Table1[[#This Row],[Mid30]],Table1[[#This Row],[Mid27]],Table1[[#This Row],[Mid24]],Table1[[#This Row],[Mid21]],Table1[[#This Row],[Mid18]],Table1[[#This Row],[Mid15]],Table1[[#This Row],[Mid12]],Table1[[#This Row],[Mid9]],Table1[[#This Row],[Mid6]],Table1[[#This Row],[Mid3]],Table1[[#This Row],[Mid]])</f>
        <v>23.5</v>
      </c>
      <c r="CG26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68" t="s">
        <v>135</v>
      </c>
      <c r="CI268" t="s">
        <v>176</v>
      </c>
      <c r="CJ268" t="s">
        <v>158</v>
      </c>
      <c r="CL268" s="19">
        <f>IF(Table1[[#This Row],[Type]]="Petroleum",1,IF(ISERROR(Table1[[#This Row],[Well Density]]*Table1[[#This Row],[Single Well Discovery Area]]),"",IF(Table1[[#This Row],[Well Density]]*Table1[[#This Row],[Single Well Discovery Area]]&gt;1,1,Table1[[#This Row],[Well Density]]*Table1[[#This Row],[Single Well Discovery Area]])))</f>
        <v>1</v>
      </c>
      <c r="CM268" t="s">
        <v>158</v>
      </c>
      <c r="CN268" s="19">
        <f>Table1[[#This Row],[Mid]]</f>
        <v>0</v>
      </c>
      <c r="CO268" s="19">
        <f>Table1[[#This Row],[Mid3]]+Table1[[#This Row],[Mid6]]+Table1[[#This Row],[Mid9]]</f>
        <v>0</v>
      </c>
      <c r="CP268" s="19">
        <f>Table1[[#This Row],[Mid12]]+Table1[[#This Row],[Mid15]]+Table1[[#This Row],[Mid18]]+Table1[[#This Row],[Mid21]]+Table1[[#This Row],[Mid24]]</f>
        <v>23.5</v>
      </c>
      <c r="CQ268" s="19">
        <f>Table1[[#This Row],[Mid27]]+Table1[[#This Row],[Mid30]]+Table1[[#This Row],[Mid33]]+Table1[[#This Row],[Mid36]]+Table1[[#This Row],[Mid39]]</f>
        <v>0</v>
      </c>
      <c r="CR268" t="s">
        <v>439</v>
      </c>
      <c r="CS268" s="19" t="str">
        <f>IF(AND(Table1[[#This Row],[Low41]]=0, Table1[[#This Row],[High43]]=0),"N","Y")</f>
        <v>N</v>
      </c>
    </row>
    <row r="269" spans="1:97" ht="19.5" customHeight="1" x14ac:dyDescent="0.25">
      <c r="A269">
        <v>10266</v>
      </c>
      <c r="B269" t="s">
        <v>888</v>
      </c>
      <c r="C269" t="s">
        <v>985</v>
      </c>
      <c r="D269">
        <v>38.704166669999999</v>
      </c>
      <c r="E269">
        <v>117.43</v>
      </c>
      <c r="F269" t="s">
        <v>991</v>
      </c>
      <c r="G269" t="s">
        <v>898</v>
      </c>
      <c r="H269" t="s">
        <v>992</v>
      </c>
      <c r="I269" t="s">
        <v>582</v>
      </c>
      <c r="J269" t="s">
        <v>202</v>
      </c>
      <c r="K269" t="s">
        <v>203</v>
      </c>
      <c r="L269" t="s">
        <v>121</v>
      </c>
      <c r="N269" s="6" t="s">
        <v>980</v>
      </c>
      <c r="O269" t="s">
        <v>981</v>
      </c>
      <c r="P269" t="s">
        <v>170</v>
      </c>
      <c r="Q269" t="s">
        <v>982</v>
      </c>
      <c r="R269" t="s">
        <v>988</v>
      </c>
      <c r="S269">
        <v>2010</v>
      </c>
      <c r="T269" t="s">
        <v>153</v>
      </c>
      <c r="U269" t="s">
        <v>154</v>
      </c>
      <c r="V269"/>
      <c r="AC269">
        <v>0.62</v>
      </c>
      <c r="AF269">
        <v>200</v>
      </c>
      <c r="AG269">
        <v>0</v>
      </c>
      <c r="AK269">
        <v>0</v>
      </c>
      <c r="AL269">
        <v>0</v>
      </c>
      <c r="AN269" t="s">
        <v>132</v>
      </c>
      <c r="BN269">
        <v>0.31</v>
      </c>
      <c r="CE26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69" s="19">
        <f>SUM(Table1[[#This Row],[Mid39]],Table1[[#This Row],[Mid36]],Table1[[#This Row],[Mid33]],Table1[[#This Row],[Mid30]],Table1[[#This Row],[Mid27]],Table1[[#This Row],[Mid24]],Table1[[#This Row],[Mid21]],Table1[[#This Row],[Mid18]],Table1[[#This Row],[Mid15]],Table1[[#This Row],[Mid12]],Table1[[#This Row],[Mid9]],Table1[[#This Row],[Mid6]],Table1[[#This Row],[Mid3]],Table1[[#This Row],[Mid]])</f>
        <v>0.31</v>
      </c>
      <c r="CG26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69" t="s">
        <v>157</v>
      </c>
      <c r="CI269" t="s">
        <v>176</v>
      </c>
      <c r="CJ269" t="s">
        <v>158</v>
      </c>
      <c r="CL269" s="19">
        <f>IF(Table1[[#This Row],[Type]]="Petroleum",1,IF(ISERROR(Table1[[#This Row],[Well Density]]*Table1[[#This Row],[Single Well Discovery Area]]),"",IF(Table1[[#This Row],[Well Density]]*Table1[[#This Row],[Single Well Discovery Area]]&gt;1,1,Table1[[#This Row],[Well Density]]*Table1[[#This Row],[Single Well Discovery Area]])))</f>
        <v>1</v>
      </c>
      <c r="CM269" t="s">
        <v>158</v>
      </c>
      <c r="CN269" s="19">
        <f>Table1[[#This Row],[Mid]]</f>
        <v>0</v>
      </c>
      <c r="CO269" s="19">
        <f>Table1[[#This Row],[Mid3]]+Table1[[#This Row],[Mid6]]+Table1[[#This Row],[Mid9]]</f>
        <v>0</v>
      </c>
      <c r="CP269" s="19">
        <f>Table1[[#This Row],[Mid12]]+Table1[[#This Row],[Mid15]]+Table1[[#This Row],[Mid18]]+Table1[[#This Row],[Mid21]]+Table1[[#This Row],[Mid24]]</f>
        <v>0.31</v>
      </c>
      <c r="CQ269" s="19">
        <f>Table1[[#This Row],[Mid27]]+Table1[[#This Row],[Mid30]]+Table1[[#This Row],[Mid33]]+Table1[[#This Row],[Mid36]]+Table1[[#This Row],[Mid39]]</f>
        <v>0</v>
      </c>
      <c r="CR269" t="s">
        <v>439</v>
      </c>
      <c r="CS269" s="19" t="str">
        <f>IF(AND(Table1[[#This Row],[Low41]]=0, Table1[[#This Row],[High43]]=0),"N","Y")</f>
        <v>N</v>
      </c>
    </row>
    <row r="270" spans="1:97" ht="19.5" customHeight="1" x14ac:dyDescent="0.25">
      <c r="A270">
        <v>10267</v>
      </c>
      <c r="B270" t="s">
        <v>888</v>
      </c>
      <c r="C270" t="s">
        <v>985</v>
      </c>
      <c r="D270">
        <v>38.704166669999999</v>
      </c>
      <c r="E270">
        <v>117.4327778</v>
      </c>
      <c r="F270" t="s">
        <v>991</v>
      </c>
      <c r="G270" t="s">
        <v>898</v>
      </c>
      <c r="H270" t="s">
        <v>993</v>
      </c>
      <c r="I270" t="s">
        <v>582</v>
      </c>
      <c r="J270" t="s">
        <v>202</v>
      </c>
      <c r="K270" t="s">
        <v>203</v>
      </c>
      <c r="L270" t="s">
        <v>121</v>
      </c>
      <c r="N270" s="6" t="s">
        <v>980</v>
      </c>
      <c r="O270" t="s">
        <v>981</v>
      </c>
      <c r="P270" t="s">
        <v>170</v>
      </c>
      <c r="Q270" t="s">
        <v>982</v>
      </c>
      <c r="R270" t="s">
        <v>988</v>
      </c>
      <c r="S270">
        <v>2010</v>
      </c>
      <c r="T270" t="s">
        <v>153</v>
      </c>
      <c r="U270" t="s">
        <v>154</v>
      </c>
      <c r="V270"/>
      <c r="AC270">
        <v>0.62</v>
      </c>
      <c r="AF270">
        <v>200</v>
      </c>
      <c r="AG270">
        <v>0</v>
      </c>
      <c r="AK270">
        <v>0</v>
      </c>
      <c r="AL270">
        <v>0</v>
      </c>
      <c r="AN270" t="s">
        <v>132</v>
      </c>
      <c r="BN270">
        <v>4.22</v>
      </c>
      <c r="CE27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70" s="19">
        <f>SUM(Table1[[#This Row],[Mid39]],Table1[[#This Row],[Mid36]],Table1[[#This Row],[Mid33]],Table1[[#This Row],[Mid30]],Table1[[#This Row],[Mid27]],Table1[[#This Row],[Mid24]],Table1[[#This Row],[Mid21]],Table1[[#This Row],[Mid18]],Table1[[#This Row],[Mid15]],Table1[[#This Row],[Mid12]],Table1[[#This Row],[Mid9]],Table1[[#This Row],[Mid6]],Table1[[#This Row],[Mid3]],Table1[[#This Row],[Mid]])</f>
        <v>4.22</v>
      </c>
      <c r="CG27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70" t="s">
        <v>135</v>
      </c>
      <c r="CI270" t="s">
        <v>189</v>
      </c>
      <c r="CJ270" t="s">
        <v>158</v>
      </c>
      <c r="CL270" s="19">
        <f>IF(Table1[[#This Row],[Type]]="Petroleum",1,IF(ISERROR(Table1[[#This Row],[Well Density]]*Table1[[#This Row],[Single Well Discovery Area]]),"",IF(Table1[[#This Row],[Well Density]]*Table1[[#This Row],[Single Well Discovery Area]]&gt;1,1,Table1[[#This Row],[Well Density]]*Table1[[#This Row],[Single Well Discovery Area]])))</f>
        <v>1</v>
      </c>
      <c r="CM270" t="s">
        <v>158</v>
      </c>
      <c r="CN270" s="19">
        <f>Table1[[#This Row],[Mid]]</f>
        <v>0</v>
      </c>
      <c r="CO270" s="19">
        <f>Table1[[#This Row],[Mid3]]+Table1[[#This Row],[Mid6]]+Table1[[#This Row],[Mid9]]</f>
        <v>0</v>
      </c>
      <c r="CP270" s="19">
        <f>Table1[[#This Row],[Mid12]]+Table1[[#This Row],[Mid15]]+Table1[[#This Row],[Mid18]]+Table1[[#This Row],[Mid21]]+Table1[[#This Row],[Mid24]]</f>
        <v>4.22</v>
      </c>
      <c r="CQ270" s="19">
        <f>Table1[[#This Row],[Mid27]]+Table1[[#This Row],[Mid30]]+Table1[[#This Row],[Mid33]]+Table1[[#This Row],[Mid36]]+Table1[[#This Row],[Mid39]]</f>
        <v>0</v>
      </c>
      <c r="CR270" t="s">
        <v>439</v>
      </c>
      <c r="CS270" s="19" t="str">
        <f>IF(AND(Table1[[#This Row],[Low41]]=0, Table1[[#This Row],[High43]]=0),"N","Y")</f>
        <v>N</v>
      </c>
    </row>
    <row r="271" spans="1:97" ht="19.5" customHeight="1" x14ac:dyDescent="0.25">
      <c r="A271">
        <v>10268</v>
      </c>
      <c r="B271" t="s">
        <v>888</v>
      </c>
      <c r="C271" t="s">
        <v>985</v>
      </c>
      <c r="D271">
        <v>38.704166669999999</v>
      </c>
      <c r="E271">
        <v>117.4355556</v>
      </c>
      <c r="F271" t="s">
        <v>994</v>
      </c>
      <c r="G271" t="s">
        <v>898</v>
      </c>
      <c r="H271" t="s">
        <v>993</v>
      </c>
      <c r="I271" t="s">
        <v>582</v>
      </c>
      <c r="J271" t="s">
        <v>202</v>
      </c>
      <c r="K271" t="s">
        <v>203</v>
      </c>
      <c r="L271" t="s">
        <v>121</v>
      </c>
      <c r="N271" s="6" t="s">
        <v>980</v>
      </c>
      <c r="O271" t="s">
        <v>981</v>
      </c>
      <c r="P271" t="s">
        <v>170</v>
      </c>
      <c r="Q271" t="s">
        <v>982</v>
      </c>
      <c r="R271" t="s">
        <v>988</v>
      </c>
      <c r="S271">
        <v>2010</v>
      </c>
      <c r="T271" t="s">
        <v>153</v>
      </c>
      <c r="U271" t="s">
        <v>154</v>
      </c>
      <c r="V271"/>
      <c r="AC271">
        <v>0.62</v>
      </c>
      <c r="AF271">
        <v>200</v>
      </c>
      <c r="AG271">
        <v>0</v>
      </c>
      <c r="AK271">
        <v>0</v>
      </c>
      <c r="AL271">
        <v>0</v>
      </c>
      <c r="AN271" t="s">
        <v>132</v>
      </c>
      <c r="BN271">
        <v>1.42</v>
      </c>
      <c r="CE27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71" s="19">
        <f>SUM(Table1[[#This Row],[Mid39]],Table1[[#This Row],[Mid36]],Table1[[#This Row],[Mid33]],Table1[[#This Row],[Mid30]],Table1[[#This Row],[Mid27]],Table1[[#This Row],[Mid24]],Table1[[#This Row],[Mid21]],Table1[[#This Row],[Mid18]],Table1[[#This Row],[Mid15]],Table1[[#This Row],[Mid12]],Table1[[#This Row],[Mid9]],Table1[[#This Row],[Mid6]],Table1[[#This Row],[Mid3]],Table1[[#This Row],[Mid]])</f>
        <v>1.42</v>
      </c>
      <c r="CG27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71" t="s">
        <v>135</v>
      </c>
      <c r="CI271" t="s">
        <v>189</v>
      </c>
      <c r="CJ271" t="s">
        <v>158</v>
      </c>
      <c r="CL271" s="19">
        <f>IF(Table1[[#This Row],[Type]]="Petroleum",1,IF(ISERROR(Table1[[#This Row],[Well Density]]*Table1[[#This Row],[Single Well Discovery Area]]),"",IF(Table1[[#This Row],[Well Density]]*Table1[[#This Row],[Single Well Discovery Area]]&gt;1,1,Table1[[#This Row],[Well Density]]*Table1[[#This Row],[Single Well Discovery Area]])))</f>
        <v>1</v>
      </c>
      <c r="CM271" t="s">
        <v>158</v>
      </c>
      <c r="CN271" s="19">
        <f>Table1[[#This Row],[Mid]]</f>
        <v>0</v>
      </c>
      <c r="CO271" s="19">
        <f>Table1[[#This Row],[Mid3]]+Table1[[#This Row],[Mid6]]+Table1[[#This Row],[Mid9]]</f>
        <v>0</v>
      </c>
      <c r="CP271" s="19">
        <f>Table1[[#This Row],[Mid12]]+Table1[[#This Row],[Mid15]]+Table1[[#This Row],[Mid18]]+Table1[[#This Row],[Mid21]]+Table1[[#This Row],[Mid24]]</f>
        <v>1.42</v>
      </c>
      <c r="CQ271" s="19">
        <f>Table1[[#This Row],[Mid27]]+Table1[[#This Row],[Mid30]]+Table1[[#This Row],[Mid33]]+Table1[[#This Row],[Mid36]]+Table1[[#This Row],[Mid39]]</f>
        <v>0</v>
      </c>
      <c r="CR271" t="s">
        <v>439</v>
      </c>
      <c r="CS271" s="19" t="str">
        <f>IF(AND(Table1[[#This Row],[Low41]]=0, Table1[[#This Row],[High43]]=0),"N","Y")</f>
        <v>N</v>
      </c>
    </row>
    <row r="272" spans="1:97" ht="19.5" customHeight="1" x14ac:dyDescent="0.25">
      <c r="A272">
        <v>10269</v>
      </c>
      <c r="B272" t="s">
        <v>888</v>
      </c>
      <c r="C272" t="s">
        <v>985</v>
      </c>
      <c r="D272">
        <v>38.704166669999999</v>
      </c>
      <c r="E272">
        <v>117.4383333</v>
      </c>
      <c r="F272" t="s">
        <v>994</v>
      </c>
      <c r="G272" t="s">
        <v>898</v>
      </c>
      <c r="H272" t="s">
        <v>995</v>
      </c>
      <c r="I272" t="s">
        <v>582</v>
      </c>
      <c r="J272" t="s">
        <v>202</v>
      </c>
      <c r="K272" t="s">
        <v>203</v>
      </c>
      <c r="L272" t="s">
        <v>121</v>
      </c>
      <c r="N272" s="6" t="s">
        <v>980</v>
      </c>
      <c r="O272" t="s">
        <v>981</v>
      </c>
      <c r="P272" t="s">
        <v>170</v>
      </c>
      <c r="Q272" t="s">
        <v>982</v>
      </c>
      <c r="R272" t="s">
        <v>988</v>
      </c>
      <c r="S272">
        <v>2010</v>
      </c>
      <c r="T272" t="s">
        <v>153</v>
      </c>
      <c r="U272" t="s">
        <v>154</v>
      </c>
      <c r="V272"/>
      <c r="AC272">
        <v>0.62</v>
      </c>
      <c r="AF272">
        <v>200</v>
      </c>
      <c r="AG272">
        <v>0</v>
      </c>
      <c r="AK272">
        <v>0</v>
      </c>
      <c r="AL272">
        <v>0</v>
      </c>
      <c r="AN272" t="s">
        <v>132</v>
      </c>
      <c r="BN272">
        <v>0.82</v>
      </c>
      <c r="CE27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72" s="19">
        <f>SUM(Table1[[#This Row],[Mid39]],Table1[[#This Row],[Mid36]],Table1[[#This Row],[Mid33]],Table1[[#This Row],[Mid30]],Table1[[#This Row],[Mid27]],Table1[[#This Row],[Mid24]],Table1[[#This Row],[Mid21]],Table1[[#This Row],[Mid18]],Table1[[#This Row],[Mid15]],Table1[[#This Row],[Mid12]],Table1[[#This Row],[Mid9]],Table1[[#This Row],[Mid6]],Table1[[#This Row],[Mid3]],Table1[[#This Row],[Mid]])</f>
        <v>0.82</v>
      </c>
      <c r="CG27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72" t="s">
        <v>135</v>
      </c>
      <c r="CI272" t="s">
        <v>189</v>
      </c>
      <c r="CJ272" t="s">
        <v>158</v>
      </c>
      <c r="CL272" s="19">
        <f>IF(Table1[[#This Row],[Type]]="Petroleum",1,IF(ISERROR(Table1[[#This Row],[Well Density]]*Table1[[#This Row],[Single Well Discovery Area]]),"",IF(Table1[[#This Row],[Well Density]]*Table1[[#This Row],[Single Well Discovery Area]]&gt;1,1,Table1[[#This Row],[Well Density]]*Table1[[#This Row],[Single Well Discovery Area]])))</f>
        <v>1</v>
      </c>
      <c r="CM272" t="s">
        <v>158</v>
      </c>
      <c r="CN272" s="19">
        <f>Table1[[#This Row],[Mid]]</f>
        <v>0</v>
      </c>
      <c r="CO272" s="19">
        <f>Table1[[#This Row],[Mid3]]+Table1[[#This Row],[Mid6]]+Table1[[#This Row],[Mid9]]</f>
        <v>0</v>
      </c>
      <c r="CP272" s="19">
        <f>Table1[[#This Row],[Mid12]]+Table1[[#This Row],[Mid15]]+Table1[[#This Row],[Mid18]]+Table1[[#This Row],[Mid21]]+Table1[[#This Row],[Mid24]]</f>
        <v>0.82</v>
      </c>
      <c r="CQ272" s="19">
        <f>Table1[[#This Row],[Mid27]]+Table1[[#This Row],[Mid30]]+Table1[[#This Row],[Mid33]]+Table1[[#This Row],[Mid36]]+Table1[[#This Row],[Mid39]]</f>
        <v>0</v>
      </c>
      <c r="CR272" t="s">
        <v>439</v>
      </c>
      <c r="CS272" s="19" t="str">
        <f>IF(AND(Table1[[#This Row],[Low41]]=0, Table1[[#This Row],[High43]]=0),"N","Y")</f>
        <v>N</v>
      </c>
    </row>
    <row r="273" spans="1:97" ht="19.5" customHeight="1" x14ac:dyDescent="0.25">
      <c r="A273">
        <v>10270</v>
      </c>
      <c r="B273" t="s">
        <v>888</v>
      </c>
      <c r="C273" t="s">
        <v>985</v>
      </c>
      <c r="D273">
        <v>38.704166669999999</v>
      </c>
      <c r="E273">
        <v>117.4188889</v>
      </c>
      <c r="F273" t="s">
        <v>994</v>
      </c>
      <c r="G273" t="s">
        <v>898</v>
      </c>
      <c r="I273" t="s">
        <v>582</v>
      </c>
      <c r="J273" t="s">
        <v>202</v>
      </c>
      <c r="K273" t="s">
        <v>203</v>
      </c>
      <c r="L273" t="s">
        <v>121</v>
      </c>
      <c r="N273" s="6" t="s">
        <v>980</v>
      </c>
      <c r="O273" t="s">
        <v>981</v>
      </c>
      <c r="P273" t="s">
        <v>170</v>
      </c>
      <c r="Q273" t="s">
        <v>982</v>
      </c>
      <c r="R273" t="s">
        <v>988</v>
      </c>
      <c r="S273">
        <v>2010</v>
      </c>
      <c r="T273" t="s">
        <v>153</v>
      </c>
      <c r="U273" t="s">
        <v>154</v>
      </c>
      <c r="V273"/>
      <c r="AC273">
        <v>0.62</v>
      </c>
      <c r="AF273">
        <v>200</v>
      </c>
      <c r="AG273">
        <v>0</v>
      </c>
      <c r="AK273">
        <v>0</v>
      </c>
      <c r="AL273">
        <v>0</v>
      </c>
      <c r="AN273" t="s">
        <v>132</v>
      </c>
      <c r="BN273">
        <v>0.14000000000000001</v>
      </c>
      <c r="CE27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73" s="19">
        <f>SUM(Table1[[#This Row],[Mid39]],Table1[[#This Row],[Mid36]],Table1[[#This Row],[Mid33]],Table1[[#This Row],[Mid30]],Table1[[#This Row],[Mid27]],Table1[[#This Row],[Mid24]],Table1[[#This Row],[Mid21]],Table1[[#This Row],[Mid18]],Table1[[#This Row],[Mid15]],Table1[[#This Row],[Mid12]],Table1[[#This Row],[Mid9]],Table1[[#This Row],[Mid6]],Table1[[#This Row],[Mid3]],Table1[[#This Row],[Mid]])</f>
        <v>0.14000000000000001</v>
      </c>
      <c r="CG27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73" t="s">
        <v>135</v>
      </c>
      <c r="CI273" t="s">
        <v>189</v>
      </c>
      <c r="CJ273" t="s">
        <v>158</v>
      </c>
      <c r="CL273" s="19">
        <f>IF(Table1[[#This Row],[Type]]="Petroleum",1,IF(ISERROR(Table1[[#This Row],[Well Density]]*Table1[[#This Row],[Single Well Discovery Area]]),"",IF(Table1[[#This Row],[Well Density]]*Table1[[#This Row],[Single Well Discovery Area]]&gt;1,1,Table1[[#This Row],[Well Density]]*Table1[[#This Row],[Single Well Discovery Area]])))</f>
        <v>1</v>
      </c>
      <c r="CM273" t="s">
        <v>158</v>
      </c>
      <c r="CN273" s="19">
        <f>Table1[[#This Row],[Mid]]</f>
        <v>0</v>
      </c>
      <c r="CO273" s="19">
        <f>Table1[[#This Row],[Mid3]]+Table1[[#This Row],[Mid6]]+Table1[[#This Row],[Mid9]]</f>
        <v>0</v>
      </c>
      <c r="CP273" s="19">
        <f>Table1[[#This Row],[Mid12]]+Table1[[#This Row],[Mid15]]+Table1[[#This Row],[Mid18]]+Table1[[#This Row],[Mid21]]+Table1[[#This Row],[Mid24]]</f>
        <v>0.14000000000000001</v>
      </c>
      <c r="CQ273" s="19">
        <f>Table1[[#This Row],[Mid27]]+Table1[[#This Row],[Mid30]]+Table1[[#This Row],[Mid33]]+Table1[[#This Row],[Mid36]]+Table1[[#This Row],[Mid39]]</f>
        <v>0</v>
      </c>
      <c r="CR273" t="s">
        <v>439</v>
      </c>
      <c r="CS273" s="19" t="str">
        <f>IF(AND(Table1[[#This Row],[Low41]]=0, Table1[[#This Row],[High43]]=0),"N","Y")</f>
        <v>N</v>
      </c>
    </row>
    <row r="274" spans="1:97" ht="19.5" customHeight="1" x14ac:dyDescent="0.25">
      <c r="A274">
        <v>10271</v>
      </c>
      <c r="B274" t="s">
        <v>888</v>
      </c>
      <c r="C274" t="s">
        <v>985</v>
      </c>
      <c r="D274">
        <v>38.704166669999999</v>
      </c>
      <c r="E274">
        <v>117.4272222</v>
      </c>
      <c r="F274" t="s">
        <v>996</v>
      </c>
      <c r="G274" t="s">
        <v>898</v>
      </c>
      <c r="H274" t="s">
        <v>997</v>
      </c>
      <c r="I274" t="s">
        <v>582</v>
      </c>
      <c r="J274" t="s">
        <v>202</v>
      </c>
      <c r="K274" t="s">
        <v>203</v>
      </c>
      <c r="L274" t="s">
        <v>121</v>
      </c>
      <c r="N274" s="6" t="s">
        <v>980</v>
      </c>
      <c r="O274" t="s">
        <v>981</v>
      </c>
      <c r="P274" t="s">
        <v>170</v>
      </c>
      <c r="Q274" t="s">
        <v>982</v>
      </c>
      <c r="R274" t="s">
        <v>988</v>
      </c>
      <c r="S274">
        <v>2010</v>
      </c>
      <c r="T274" t="s">
        <v>153</v>
      </c>
      <c r="U274" t="s">
        <v>154</v>
      </c>
      <c r="V274"/>
      <c r="AC274">
        <v>0.62</v>
      </c>
      <c r="AF274">
        <v>200</v>
      </c>
      <c r="AG274">
        <v>0</v>
      </c>
      <c r="AK274">
        <v>0</v>
      </c>
      <c r="AL274">
        <v>0</v>
      </c>
      <c r="AN274" t="s">
        <v>132</v>
      </c>
      <c r="BN274">
        <v>19.2</v>
      </c>
      <c r="CE27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74" s="19">
        <f>SUM(Table1[[#This Row],[Mid39]],Table1[[#This Row],[Mid36]],Table1[[#This Row],[Mid33]],Table1[[#This Row],[Mid30]],Table1[[#This Row],[Mid27]],Table1[[#This Row],[Mid24]],Table1[[#This Row],[Mid21]],Table1[[#This Row],[Mid18]],Table1[[#This Row],[Mid15]],Table1[[#This Row],[Mid12]],Table1[[#This Row],[Mid9]],Table1[[#This Row],[Mid6]],Table1[[#This Row],[Mid3]],Table1[[#This Row],[Mid]])</f>
        <v>19.2</v>
      </c>
      <c r="CG27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74" t="s">
        <v>135</v>
      </c>
      <c r="CI274" t="s">
        <v>189</v>
      </c>
      <c r="CJ274" t="s">
        <v>158</v>
      </c>
      <c r="CL274" s="19">
        <f>IF(Table1[[#This Row],[Type]]="Petroleum",1,IF(ISERROR(Table1[[#This Row],[Well Density]]*Table1[[#This Row],[Single Well Discovery Area]]),"",IF(Table1[[#This Row],[Well Density]]*Table1[[#This Row],[Single Well Discovery Area]]&gt;1,1,Table1[[#This Row],[Well Density]]*Table1[[#This Row],[Single Well Discovery Area]])))</f>
        <v>1</v>
      </c>
      <c r="CM274" t="s">
        <v>158</v>
      </c>
      <c r="CN274" s="19">
        <f>Table1[[#This Row],[Mid]]</f>
        <v>0</v>
      </c>
      <c r="CO274" s="19">
        <f>Table1[[#This Row],[Mid3]]+Table1[[#This Row],[Mid6]]+Table1[[#This Row],[Mid9]]</f>
        <v>0</v>
      </c>
      <c r="CP274" s="19">
        <f>Table1[[#This Row],[Mid12]]+Table1[[#This Row],[Mid15]]+Table1[[#This Row],[Mid18]]+Table1[[#This Row],[Mid21]]+Table1[[#This Row],[Mid24]]</f>
        <v>19.2</v>
      </c>
      <c r="CQ274" s="19">
        <f>Table1[[#This Row],[Mid27]]+Table1[[#This Row],[Mid30]]+Table1[[#This Row],[Mid33]]+Table1[[#This Row],[Mid36]]+Table1[[#This Row],[Mid39]]</f>
        <v>0</v>
      </c>
      <c r="CR274" t="s">
        <v>439</v>
      </c>
      <c r="CS274" s="19" t="str">
        <f>IF(AND(Table1[[#This Row],[Low41]]=0, Table1[[#This Row],[High43]]=0),"N","Y")</f>
        <v>N</v>
      </c>
    </row>
    <row r="275" spans="1:97" ht="19.5" customHeight="1" x14ac:dyDescent="0.25">
      <c r="A275">
        <v>10272</v>
      </c>
      <c r="B275" t="s">
        <v>888</v>
      </c>
      <c r="C275" t="s">
        <v>998</v>
      </c>
      <c r="D275">
        <v>44.459722220000003</v>
      </c>
      <c r="E275">
        <v>88.431666669999998</v>
      </c>
      <c r="F275" t="s">
        <v>999</v>
      </c>
      <c r="G275" t="s">
        <v>934</v>
      </c>
      <c r="H275" t="s">
        <v>1000</v>
      </c>
      <c r="I275" t="s">
        <v>118</v>
      </c>
      <c r="J275" t="s">
        <v>119</v>
      </c>
      <c r="K275" t="s">
        <v>120</v>
      </c>
      <c r="L275" t="s">
        <v>121</v>
      </c>
      <c r="M275" t="s">
        <v>122</v>
      </c>
      <c r="N275" s="6" t="s">
        <v>1001</v>
      </c>
      <c r="O275" t="s">
        <v>1002</v>
      </c>
      <c r="P275" t="s">
        <v>1003</v>
      </c>
      <c r="Q275" t="s">
        <v>1004</v>
      </c>
      <c r="R275" t="s">
        <v>1005</v>
      </c>
      <c r="S275">
        <v>2018</v>
      </c>
      <c r="T275" t="s">
        <v>153</v>
      </c>
      <c r="U275" t="s">
        <v>154</v>
      </c>
      <c r="V275">
        <v>100</v>
      </c>
      <c r="W275">
        <v>2250</v>
      </c>
      <c r="X275">
        <v>350</v>
      </c>
      <c r="AC275">
        <v>0.69299999999999995</v>
      </c>
      <c r="AD275">
        <v>1</v>
      </c>
      <c r="AE275">
        <v>0.01</v>
      </c>
      <c r="AF275">
        <v>200</v>
      </c>
      <c r="AG275">
        <v>1.42032056</v>
      </c>
      <c r="AH275" t="s">
        <v>1006</v>
      </c>
      <c r="AI275">
        <v>2.4</v>
      </c>
      <c r="AK275">
        <v>0</v>
      </c>
      <c r="AL275">
        <v>1.42032056</v>
      </c>
      <c r="AN275" t="s">
        <v>132</v>
      </c>
      <c r="BM275">
        <v>6.3</v>
      </c>
      <c r="BN275">
        <v>31.4</v>
      </c>
      <c r="BO275">
        <v>72</v>
      </c>
      <c r="CE275" s="19">
        <f>SUM(Table1[[#This Row],[Low38]],Table1[[#This Row],[Low35]],Table1[[#This Row],[Low32]],Table1[[#This Row],[Low29]],Table1[[#This Row],[Low26]],Table1[[#This Row],[Low23]],Table1[[#This Row],[Low20]],Table1[[#This Row],[Low17]],Table1[[#This Row],[Low14]],Table1[[#This Row],[Low11]],Table1[[#This Row],[Low8]],Table1[[#This Row],[Low5]],Table1[[#This Row],[Low2]],Table1[[#This Row],[Low]])</f>
        <v>6.3</v>
      </c>
      <c r="CF275" s="19">
        <f>SUM(Table1[[#This Row],[Mid39]],Table1[[#This Row],[Mid36]],Table1[[#This Row],[Mid33]],Table1[[#This Row],[Mid30]],Table1[[#This Row],[Mid27]],Table1[[#This Row],[Mid24]],Table1[[#This Row],[Mid21]],Table1[[#This Row],[Mid18]],Table1[[#This Row],[Mid15]],Table1[[#This Row],[Mid12]],Table1[[#This Row],[Mid9]],Table1[[#This Row],[Mid6]],Table1[[#This Row],[Mid3]],Table1[[#This Row],[Mid]])</f>
        <v>31.4</v>
      </c>
      <c r="CG27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72</v>
      </c>
      <c r="CH275" t="s">
        <v>158</v>
      </c>
      <c r="CI275" t="s">
        <v>134</v>
      </c>
      <c r="CJ275" t="s">
        <v>135</v>
      </c>
      <c r="CK275">
        <v>4330</v>
      </c>
      <c r="CL275" s="19">
        <f>IF(Table1[[#This Row],[Type]]="Petroleum",1,IF(ISERROR(Table1[[#This Row],[Well Density]]*Table1[[#This Row],[Single Well Discovery Area]]),"",IF(Table1[[#This Row],[Well Density]]*Table1[[#This Row],[Single Well Discovery Area]]&gt;1,1,Table1[[#This Row],[Well Density]]*Table1[[#This Row],[Single Well Discovery Area]])))</f>
        <v>1</v>
      </c>
      <c r="CM275" t="s">
        <v>135</v>
      </c>
      <c r="CN275" s="19">
        <f>Table1[[#This Row],[Mid]]</f>
        <v>0</v>
      </c>
      <c r="CO275" s="19">
        <f>Table1[[#This Row],[Mid3]]+Table1[[#This Row],[Mid6]]+Table1[[#This Row],[Mid9]]</f>
        <v>0</v>
      </c>
      <c r="CP275" s="19">
        <f>Table1[[#This Row],[Mid12]]+Table1[[#This Row],[Mid15]]+Table1[[#This Row],[Mid18]]+Table1[[#This Row],[Mid21]]+Table1[[#This Row],[Mid24]]</f>
        <v>31.4</v>
      </c>
      <c r="CQ275" s="19">
        <f>Table1[[#This Row],[Mid27]]+Table1[[#This Row],[Mid30]]+Table1[[#This Row],[Mid33]]+Table1[[#This Row],[Mid36]]+Table1[[#This Row],[Mid39]]</f>
        <v>0</v>
      </c>
      <c r="CR275" t="s">
        <v>439</v>
      </c>
      <c r="CS275" s="19" t="str">
        <f>IF(AND(Table1[[#This Row],[Low41]]=0, Table1[[#This Row],[High43]]=0),"N","Y")</f>
        <v>Y</v>
      </c>
    </row>
    <row r="276" spans="1:97" ht="19.5" customHeight="1" x14ac:dyDescent="0.25">
      <c r="A276">
        <v>10273</v>
      </c>
      <c r="B276" t="s">
        <v>1007</v>
      </c>
      <c r="C276" t="s">
        <v>430</v>
      </c>
      <c r="D276">
        <v>25.674166670000002</v>
      </c>
      <c r="E276">
        <v>93.580555559999993</v>
      </c>
      <c r="F276" t="s">
        <v>1008</v>
      </c>
      <c r="G276" t="s">
        <v>1009</v>
      </c>
      <c r="I276" t="s">
        <v>118</v>
      </c>
      <c r="J276" t="s">
        <v>119</v>
      </c>
      <c r="K276" t="s">
        <v>167</v>
      </c>
      <c r="L276" t="s">
        <v>18</v>
      </c>
      <c r="N276" s="6" t="s">
        <v>434</v>
      </c>
      <c r="O276" t="s">
        <v>435</v>
      </c>
      <c r="P276" t="s">
        <v>436</v>
      </c>
      <c r="Q276" t="s">
        <v>443</v>
      </c>
      <c r="R276" t="s">
        <v>444</v>
      </c>
      <c r="S276">
        <v>2008</v>
      </c>
      <c r="T276" t="s">
        <v>207</v>
      </c>
      <c r="U276" t="s">
        <v>173</v>
      </c>
      <c r="V276">
        <v>56000</v>
      </c>
      <c r="AE276">
        <v>0</v>
      </c>
      <c r="AF276">
        <v>200</v>
      </c>
      <c r="AG276">
        <v>0</v>
      </c>
      <c r="AK276">
        <v>0</v>
      </c>
      <c r="AL276">
        <v>0</v>
      </c>
      <c r="AN276" t="s">
        <v>132</v>
      </c>
      <c r="CC276">
        <v>5600</v>
      </c>
      <c r="CE27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76" s="19">
        <f>SUM(Table1[[#This Row],[Mid39]],Table1[[#This Row],[Mid36]],Table1[[#This Row],[Mid33]],Table1[[#This Row],[Mid30]],Table1[[#This Row],[Mid27]],Table1[[#This Row],[Mid24]],Table1[[#This Row],[Mid21]],Table1[[#This Row],[Mid18]],Table1[[#This Row],[Mid15]],Table1[[#This Row],[Mid12]],Table1[[#This Row],[Mid9]],Table1[[#This Row],[Mid6]],Table1[[#This Row],[Mid3]],Table1[[#This Row],[Mid]])</f>
        <v>5600</v>
      </c>
      <c r="CG27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76" t="s">
        <v>189</v>
      </c>
      <c r="CJ276" t="s">
        <v>158</v>
      </c>
      <c r="CL276" s="19">
        <f>IF(Table1[[#This Row],[Type]]="Petroleum",1,IF(ISERROR(Table1[[#This Row],[Well Density]]*Table1[[#This Row],[Single Well Discovery Area]]),"",IF(Table1[[#This Row],[Well Density]]*Table1[[#This Row],[Single Well Discovery Area]]&gt;1,1,Table1[[#This Row],[Well Density]]*Table1[[#This Row],[Single Well Discovery Area]])))</f>
        <v>0</v>
      </c>
      <c r="CM276" t="s">
        <v>158</v>
      </c>
      <c r="CN276" s="19">
        <f>Table1[[#This Row],[Mid]]</f>
        <v>0</v>
      </c>
      <c r="CO276" s="19">
        <f>Table1[[#This Row],[Mid3]]+Table1[[#This Row],[Mid6]]+Table1[[#This Row],[Mid9]]</f>
        <v>0</v>
      </c>
      <c r="CP276" s="19">
        <f>Table1[[#This Row],[Mid12]]+Table1[[#This Row],[Mid15]]+Table1[[#This Row],[Mid18]]+Table1[[#This Row],[Mid21]]+Table1[[#This Row],[Mid24]]</f>
        <v>0</v>
      </c>
      <c r="CQ276" s="19">
        <f>Table1[[#This Row],[Mid27]]+Table1[[#This Row],[Mid30]]+Table1[[#This Row],[Mid33]]+Table1[[#This Row],[Mid36]]+Table1[[#This Row],[Mid39]]</f>
        <v>5600</v>
      </c>
      <c r="CR276" t="s">
        <v>439</v>
      </c>
      <c r="CS276" s="19" t="str">
        <f>IF(AND(Table1[[#This Row],[Low41]]=0, Table1[[#This Row],[High43]]=0),"N","Y")</f>
        <v>N</v>
      </c>
    </row>
    <row r="277" spans="1:97" ht="19.5" customHeight="1" x14ac:dyDescent="0.25">
      <c r="A277">
        <v>10274</v>
      </c>
      <c r="B277" t="s">
        <v>1007</v>
      </c>
      <c r="C277" t="s">
        <v>430</v>
      </c>
      <c r="D277">
        <v>26.889166670000002</v>
      </c>
      <c r="E277">
        <v>94.964444439999994</v>
      </c>
      <c r="F277" t="s">
        <v>1010</v>
      </c>
      <c r="G277" t="s">
        <v>1009</v>
      </c>
      <c r="I277" t="s">
        <v>201</v>
      </c>
      <c r="J277" t="s">
        <v>202</v>
      </c>
      <c r="K277" t="s">
        <v>203</v>
      </c>
      <c r="L277" t="s">
        <v>121</v>
      </c>
      <c r="N277" s="6" t="s">
        <v>434</v>
      </c>
      <c r="O277" t="s">
        <v>435</v>
      </c>
      <c r="P277" t="s">
        <v>436</v>
      </c>
      <c r="Q277" t="s">
        <v>437</v>
      </c>
      <c r="R277" t="s">
        <v>1011</v>
      </c>
      <c r="S277">
        <v>2008</v>
      </c>
      <c r="T277" t="s">
        <v>207</v>
      </c>
      <c r="U277" t="s">
        <v>173</v>
      </c>
      <c r="V277"/>
      <c r="AC277">
        <v>600</v>
      </c>
      <c r="AF277">
        <v>200</v>
      </c>
      <c r="AG277">
        <v>0</v>
      </c>
      <c r="AK277">
        <v>0</v>
      </c>
      <c r="AL277">
        <v>0</v>
      </c>
      <c r="AN277" t="s">
        <v>132</v>
      </c>
      <c r="BN277">
        <v>186</v>
      </c>
      <c r="CE27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77" s="19">
        <f>SUM(Table1[[#This Row],[Mid39]],Table1[[#This Row],[Mid36]],Table1[[#This Row],[Mid33]],Table1[[#This Row],[Mid30]],Table1[[#This Row],[Mid27]],Table1[[#This Row],[Mid24]],Table1[[#This Row],[Mid21]],Table1[[#This Row],[Mid18]],Table1[[#This Row],[Mid15]],Table1[[#This Row],[Mid12]],Table1[[#This Row],[Mid9]],Table1[[#This Row],[Mid6]],Table1[[#This Row],[Mid3]],Table1[[#This Row],[Mid]])</f>
        <v>186</v>
      </c>
      <c r="CG27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77" t="s">
        <v>135</v>
      </c>
      <c r="CI277" t="s">
        <v>189</v>
      </c>
      <c r="CJ277" t="s">
        <v>158</v>
      </c>
      <c r="CL277" s="19">
        <f>IF(Table1[[#This Row],[Type]]="Petroleum",1,IF(ISERROR(Table1[[#This Row],[Well Density]]*Table1[[#This Row],[Single Well Discovery Area]]),"",IF(Table1[[#This Row],[Well Density]]*Table1[[#This Row],[Single Well Discovery Area]]&gt;1,1,Table1[[#This Row],[Well Density]]*Table1[[#This Row],[Single Well Discovery Area]])))</f>
        <v>1</v>
      </c>
      <c r="CM277" t="s">
        <v>158</v>
      </c>
      <c r="CN277" s="19">
        <f>Table1[[#This Row],[Mid]]</f>
        <v>0</v>
      </c>
      <c r="CO277" s="19">
        <f>Table1[[#This Row],[Mid3]]+Table1[[#This Row],[Mid6]]+Table1[[#This Row],[Mid9]]</f>
        <v>0</v>
      </c>
      <c r="CP277" s="19">
        <f>Table1[[#This Row],[Mid12]]+Table1[[#This Row],[Mid15]]+Table1[[#This Row],[Mid18]]+Table1[[#This Row],[Mid21]]+Table1[[#This Row],[Mid24]]</f>
        <v>186</v>
      </c>
      <c r="CQ277" s="19">
        <f>Table1[[#This Row],[Mid27]]+Table1[[#This Row],[Mid30]]+Table1[[#This Row],[Mid33]]+Table1[[#This Row],[Mid36]]+Table1[[#This Row],[Mid39]]</f>
        <v>0</v>
      </c>
      <c r="CR277" t="s">
        <v>439</v>
      </c>
      <c r="CS277" s="19" t="str">
        <f>IF(AND(Table1[[#This Row],[Low41]]=0, Table1[[#This Row],[High43]]=0),"N","Y")</f>
        <v>N</v>
      </c>
    </row>
    <row r="278" spans="1:97" ht="19.5" customHeight="1" x14ac:dyDescent="0.25">
      <c r="A278">
        <v>10275</v>
      </c>
      <c r="B278" t="s">
        <v>1007</v>
      </c>
      <c r="C278" t="s">
        <v>430</v>
      </c>
      <c r="D278">
        <v>23.84638889</v>
      </c>
      <c r="E278">
        <v>92.909166670000005</v>
      </c>
      <c r="F278" t="s">
        <v>1012</v>
      </c>
      <c r="G278" t="s">
        <v>432</v>
      </c>
      <c r="I278" t="s">
        <v>118</v>
      </c>
      <c r="J278" t="s">
        <v>119</v>
      </c>
      <c r="K278" t="s">
        <v>167</v>
      </c>
      <c r="L278" t="s">
        <v>18</v>
      </c>
      <c r="N278" s="6" t="s">
        <v>434</v>
      </c>
      <c r="O278" t="s">
        <v>435</v>
      </c>
      <c r="P278" t="s">
        <v>436</v>
      </c>
      <c r="Q278" t="s">
        <v>443</v>
      </c>
      <c r="R278" t="s">
        <v>444</v>
      </c>
      <c r="S278">
        <v>2008</v>
      </c>
      <c r="T278" t="s">
        <v>207</v>
      </c>
      <c r="U278" t="s">
        <v>173</v>
      </c>
      <c r="V278">
        <v>68000</v>
      </c>
      <c r="AE278">
        <v>0</v>
      </c>
      <c r="AF278">
        <v>200</v>
      </c>
      <c r="AG278">
        <v>0</v>
      </c>
      <c r="AK278">
        <v>0</v>
      </c>
      <c r="AL278">
        <v>0</v>
      </c>
      <c r="AN278" t="s">
        <v>132</v>
      </c>
      <c r="CC278">
        <v>6800</v>
      </c>
      <c r="CE27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78" s="19">
        <f>SUM(Table1[[#This Row],[Mid39]],Table1[[#This Row],[Mid36]],Table1[[#This Row],[Mid33]],Table1[[#This Row],[Mid30]],Table1[[#This Row],[Mid27]],Table1[[#This Row],[Mid24]],Table1[[#This Row],[Mid21]],Table1[[#This Row],[Mid18]],Table1[[#This Row],[Mid15]],Table1[[#This Row],[Mid12]],Table1[[#This Row],[Mid9]],Table1[[#This Row],[Mid6]],Table1[[#This Row],[Mid3]],Table1[[#This Row],[Mid]])</f>
        <v>6800</v>
      </c>
      <c r="CG27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78" t="s">
        <v>189</v>
      </c>
      <c r="CJ278" t="s">
        <v>158</v>
      </c>
      <c r="CL278" s="19">
        <f>IF(Table1[[#This Row],[Type]]="Petroleum",1,IF(ISERROR(Table1[[#This Row],[Well Density]]*Table1[[#This Row],[Single Well Discovery Area]]),"",IF(Table1[[#This Row],[Well Density]]*Table1[[#This Row],[Single Well Discovery Area]]&gt;1,1,Table1[[#This Row],[Well Density]]*Table1[[#This Row],[Single Well Discovery Area]])))</f>
        <v>0</v>
      </c>
      <c r="CM278" t="s">
        <v>158</v>
      </c>
      <c r="CN278" s="19">
        <f>Table1[[#This Row],[Mid]]</f>
        <v>0</v>
      </c>
      <c r="CO278" s="19">
        <f>Table1[[#This Row],[Mid3]]+Table1[[#This Row],[Mid6]]+Table1[[#This Row],[Mid9]]</f>
        <v>0</v>
      </c>
      <c r="CP278" s="19">
        <f>Table1[[#This Row],[Mid12]]+Table1[[#This Row],[Mid15]]+Table1[[#This Row],[Mid18]]+Table1[[#This Row],[Mid21]]+Table1[[#This Row],[Mid24]]</f>
        <v>0</v>
      </c>
      <c r="CQ278" s="19">
        <f>Table1[[#This Row],[Mid27]]+Table1[[#This Row],[Mid30]]+Table1[[#This Row],[Mid33]]+Table1[[#This Row],[Mid36]]+Table1[[#This Row],[Mid39]]</f>
        <v>6800</v>
      </c>
      <c r="CR278" t="s">
        <v>439</v>
      </c>
      <c r="CS278" s="19" t="str">
        <f>IF(AND(Table1[[#This Row],[Low41]]=0, Table1[[#This Row],[High43]]=0),"N","Y")</f>
        <v>N</v>
      </c>
    </row>
    <row r="279" spans="1:97" ht="19.5" customHeight="1" x14ac:dyDescent="0.25">
      <c r="A279">
        <v>10276</v>
      </c>
      <c r="B279" t="s">
        <v>1007</v>
      </c>
      <c r="C279" t="s">
        <v>430</v>
      </c>
      <c r="D279">
        <v>25.258888890000001</v>
      </c>
      <c r="E279">
        <v>71.816666670000004</v>
      </c>
      <c r="F279" t="s">
        <v>1013</v>
      </c>
      <c r="G279" t="s">
        <v>1014</v>
      </c>
      <c r="I279" t="s">
        <v>118</v>
      </c>
      <c r="J279" t="s">
        <v>119</v>
      </c>
      <c r="K279" t="s">
        <v>167</v>
      </c>
      <c r="L279" t="s">
        <v>18</v>
      </c>
      <c r="N279" s="6" t="s">
        <v>434</v>
      </c>
      <c r="O279" t="s">
        <v>435</v>
      </c>
      <c r="P279" t="s">
        <v>436</v>
      </c>
      <c r="Q279" t="s">
        <v>443</v>
      </c>
      <c r="R279" t="s">
        <v>444</v>
      </c>
      <c r="S279">
        <v>2008</v>
      </c>
      <c r="T279" t="s">
        <v>207</v>
      </c>
      <c r="U279" t="s">
        <v>173</v>
      </c>
      <c r="V279">
        <v>10000</v>
      </c>
      <c r="AE279">
        <v>0</v>
      </c>
      <c r="AF279">
        <v>200</v>
      </c>
      <c r="AG279">
        <v>0</v>
      </c>
      <c r="AK279">
        <v>0</v>
      </c>
      <c r="AL279">
        <v>0</v>
      </c>
      <c r="AN279" t="s">
        <v>132</v>
      </c>
      <c r="CC279">
        <v>1000</v>
      </c>
      <c r="CE27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79" s="19">
        <f>SUM(Table1[[#This Row],[Mid39]],Table1[[#This Row],[Mid36]],Table1[[#This Row],[Mid33]],Table1[[#This Row],[Mid30]],Table1[[#This Row],[Mid27]],Table1[[#This Row],[Mid24]],Table1[[#This Row],[Mid21]],Table1[[#This Row],[Mid18]],Table1[[#This Row],[Mid15]],Table1[[#This Row],[Mid12]],Table1[[#This Row],[Mid9]],Table1[[#This Row],[Mid6]],Table1[[#This Row],[Mid3]],Table1[[#This Row],[Mid]])</f>
        <v>1000</v>
      </c>
      <c r="CG27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79" t="s">
        <v>189</v>
      </c>
      <c r="CJ279" t="s">
        <v>158</v>
      </c>
      <c r="CL279" s="19">
        <f>IF(Table1[[#This Row],[Type]]="Petroleum",1,IF(ISERROR(Table1[[#This Row],[Well Density]]*Table1[[#This Row],[Single Well Discovery Area]]),"",IF(Table1[[#This Row],[Well Density]]*Table1[[#This Row],[Single Well Discovery Area]]&gt;1,1,Table1[[#This Row],[Well Density]]*Table1[[#This Row],[Single Well Discovery Area]])))</f>
        <v>0</v>
      </c>
      <c r="CM279" t="s">
        <v>158</v>
      </c>
      <c r="CN279" s="19">
        <f>Table1[[#This Row],[Mid]]</f>
        <v>0</v>
      </c>
      <c r="CO279" s="19">
        <f>Table1[[#This Row],[Mid3]]+Table1[[#This Row],[Mid6]]+Table1[[#This Row],[Mid9]]</f>
        <v>0</v>
      </c>
      <c r="CP279" s="19">
        <f>Table1[[#This Row],[Mid12]]+Table1[[#This Row],[Mid15]]+Table1[[#This Row],[Mid18]]+Table1[[#This Row],[Mid21]]+Table1[[#This Row],[Mid24]]</f>
        <v>0</v>
      </c>
      <c r="CQ279" s="19">
        <f>Table1[[#This Row],[Mid27]]+Table1[[#This Row],[Mid30]]+Table1[[#This Row],[Mid33]]+Table1[[#This Row],[Mid36]]+Table1[[#This Row],[Mid39]]</f>
        <v>1000</v>
      </c>
      <c r="CR279" t="s">
        <v>439</v>
      </c>
      <c r="CS279" s="19" t="str">
        <f>IF(AND(Table1[[#This Row],[Low41]]=0, Table1[[#This Row],[High43]]=0),"N","Y")</f>
        <v>N</v>
      </c>
    </row>
    <row r="280" spans="1:97" ht="19.5" customHeight="1" x14ac:dyDescent="0.25">
      <c r="A280">
        <v>10277</v>
      </c>
      <c r="B280" t="s">
        <v>1007</v>
      </c>
      <c r="C280" t="s">
        <v>430</v>
      </c>
      <c r="D280">
        <v>25.258888890000001</v>
      </c>
      <c r="E280">
        <v>71.819444439999998</v>
      </c>
      <c r="F280" t="s">
        <v>1015</v>
      </c>
      <c r="G280" t="s">
        <v>1014</v>
      </c>
      <c r="I280" t="s">
        <v>201</v>
      </c>
      <c r="J280" t="s">
        <v>202</v>
      </c>
      <c r="K280" t="s">
        <v>203</v>
      </c>
      <c r="L280" t="s">
        <v>121</v>
      </c>
      <c r="N280" s="6" t="s">
        <v>434</v>
      </c>
      <c r="O280" t="s">
        <v>435</v>
      </c>
      <c r="P280" t="s">
        <v>436</v>
      </c>
      <c r="Q280" t="s">
        <v>437</v>
      </c>
      <c r="R280" t="s">
        <v>1011</v>
      </c>
      <c r="S280">
        <v>2008</v>
      </c>
      <c r="T280" t="s">
        <v>207</v>
      </c>
      <c r="U280" t="s">
        <v>173</v>
      </c>
      <c r="V280"/>
      <c r="AC280">
        <v>600</v>
      </c>
      <c r="AF280">
        <v>200</v>
      </c>
      <c r="AG280">
        <v>0</v>
      </c>
      <c r="AK280">
        <v>0</v>
      </c>
      <c r="AL280">
        <v>0</v>
      </c>
      <c r="AN280" t="s">
        <v>132</v>
      </c>
      <c r="BN280">
        <v>24</v>
      </c>
      <c r="CE28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80" s="19">
        <f>SUM(Table1[[#This Row],[Mid39]],Table1[[#This Row],[Mid36]],Table1[[#This Row],[Mid33]],Table1[[#This Row],[Mid30]],Table1[[#This Row],[Mid27]],Table1[[#This Row],[Mid24]],Table1[[#This Row],[Mid21]],Table1[[#This Row],[Mid18]],Table1[[#This Row],[Mid15]],Table1[[#This Row],[Mid12]],Table1[[#This Row],[Mid9]],Table1[[#This Row],[Mid6]],Table1[[#This Row],[Mid3]],Table1[[#This Row],[Mid]])</f>
        <v>24</v>
      </c>
      <c r="CG28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80" t="s">
        <v>135</v>
      </c>
      <c r="CI280" t="s">
        <v>189</v>
      </c>
      <c r="CJ280" t="s">
        <v>158</v>
      </c>
      <c r="CL280" s="19">
        <f>IF(Table1[[#This Row],[Type]]="Petroleum",1,IF(ISERROR(Table1[[#This Row],[Well Density]]*Table1[[#This Row],[Single Well Discovery Area]]),"",IF(Table1[[#This Row],[Well Density]]*Table1[[#This Row],[Single Well Discovery Area]]&gt;1,1,Table1[[#This Row],[Well Density]]*Table1[[#This Row],[Single Well Discovery Area]])))</f>
        <v>1</v>
      </c>
      <c r="CM280" t="s">
        <v>158</v>
      </c>
      <c r="CN280" s="19">
        <f>Table1[[#This Row],[Mid]]</f>
        <v>0</v>
      </c>
      <c r="CO280" s="19">
        <f>Table1[[#This Row],[Mid3]]+Table1[[#This Row],[Mid6]]+Table1[[#This Row],[Mid9]]</f>
        <v>0</v>
      </c>
      <c r="CP280" s="19">
        <f>Table1[[#This Row],[Mid12]]+Table1[[#This Row],[Mid15]]+Table1[[#This Row],[Mid18]]+Table1[[#This Row],[Mid21]]+Table1[[#This Row],[Mid24]]</f>
        <v>24</v>
      </c>
      <c r="CQ280" s="19">
        <f>Table1[[#This Row],[Mid27]]+Table1[[#This Row],[Mid30]]+Table1[[#This Row],[Mid33]]+Table1[[#This Row],[Mid36]]+Table1[[#This Row],[Mid39]]</f>
        <v>0</v>
      </c>
      <c r="CR280" t="s">
        <v>439</v>
      </c>
      <c r="CS280" s="19" t="str">
        <f>IF(AND(Table1[[#This Row],[Low41]]=0, Table1[[#This Row],[High43]]=0),"N","Y")</f>
        <v>N</v>
      </c>
    </row>
    <row r="281" spans="1:97" ht="19.5" customHeight="1" x14ac:dyDescent="0.25">
      <c r="A281">
        <v>10278</v>
      </c>
      <c r="B281" t="s">
        <v>1007</v>
      </c>
      <c r="C281" t="s">
        <v>430</v>
      </c>
      <c r="D281">
        <v>27.343888889999999</v>
      </c>
      <c r="E281">
        <v>73.316388889999999</v>
      </c>
      <c r="F281" t="s">
        <v>1016</v>
      </c>
      <c r="G281" t="s">
        <v>1017</v>
      </c>
      <c r="I281" t="s">
        <v>118</v>
      </c>
      <c r="J281" t="s">
        <v>119</v>
      </c>
      <c r="K281" t="s">
        <v>167</v>
      </c>
      <c r="L281" t="s">
        <v>18</v>
      </c>
      <c r="N281" s="6" t="s">
        <v>434</v>
      </c>
      <c r="O281" t="s">
        <v>435</v>
      </c>
      <c r="P281" t="s">
        <v>436</v>
      </c>
      <c r="Q281" t="s">
        <v>443</v>
      </c>
      <c r="R281" t="s">
        <v>444</v>
      </c>
      <c r="S281">
        <v>2008</v>
      </c>
      <c r="T281" t="s">
        <v>207</v>
      </c>
      <c r="U281" t="s">
        <v>173</v>
      </c>
      <c r="V281">
        <v>36000</v>
      </c>
      <c r="AE281">
        <v>0</v>
      </c>
      <c r="AF281">
        <v>200</v>
      </c>
      <c r="AG281">
        <v>0</v>
      </c>
      <c r="AK281">
        <v>0</v>
      </c>
      <c r="AL281">
        <v>0</v>
      </c>
      <c r="AN281" t="s">
        <v>132</v>
      </c>
      <c r="CC281">
        <v>3600</v>
      </c>
      <c r="CE28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81" s="19">
        <f>SUM(Table1[[#This Row],[Mid39]],Table1[[#This Row],[Mid36]],Table1[[#This Row],[Mid33]],Table1[[#This Row],[Mid30]],Table1[[#This Row],[Mid27]],Table1[[#This Row],[Mid24]],Table1[[#This Row],[Mid21]],Table1[[#This Row],[Mid18]],Table1[[#This Row],[Mid15]],Table1[[#This Row],[Mid12]],Table1[[#This Row],[Mid9]],Table1[[#This Row],[Mid6]],Table1[[#This Row],[Mid3]],Table1[[#This Row],[Mid]])</f>
        <v>3600</v>
      </c>
      <c r="CG28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81" t="s">
        <v>189</v>
      </c>
      <c r="CJ281" t="s">
        <v>158</v>
      </c>
      <c r="CL281" s="19">
        <f>IF(Table1[[#This Row],[Type]]="Petroleum",1,IF(ISERROR(Table1[[#This Row],[Well Density]]*Table1[[#This Row],[Single Well Discovery Area]]),"",IF(Table1[[#This Row],[Well Density]]*Table1[[#This Row],[Single Well Discovery Area]]&gt;1,1,Table1[[#This Row],[Well Density]]*Table1[[#This Row],[Single Well Discovery Area]])))</f>
        <v>0</v>
      </c>
      <c r="CM281" t="s">
        <v>158</v>
      </c>
      <c r="CN281" s="19">
        <f>Table1[[#This Row],[Mid]]</f>
        <v>0</v>
      </c>
      <c r="CO281" s="19">
        <f>Table1[[#This Row],[Mid3]]+Table1[[#This Row],[Mid6]]+Table1[[#This Row],[Mid9]]</f>
        <v>0</v>
      </c>
      <c r="CP281" s="19">
        <f>Table1[[#This Row],[Mid12]]+Table1[[#This Row],[Mid15]]+Table1[[#This Row],[Mid18]]+Table1[[#This Row],[Mid21]]+Table1[[#This Row],[Mid24]]</f>
        <v>0</v>
      </c>
      <c r="CQ281" s="19">
        <f>Table1[[#This Row],[Mid27]]+Table1[[#This Row],[Mid30]]+Table1[[#This Row],[Mid33]]+Table1[[#This Row],[Mid36]]+Table1[[#This Row],[Mid39]]</f>
        <v>3600</v>
      </c>
      <c r="CR281" t="s">
        <v>439</v>
      </c>
      <c r="CS281" s="19" t="str">
        <f>IF(AND(Table1[[#This Row],[Low41]]=0, Table1[[#This Row],[High43]]=0),"N","Y")</f>
        <v>N</v>
      </c>
    </row>
    <row r="282" spans="1:97" ht="19.5" customHeight="1" x14ac:dyDescent="0.25">
      <c r="A282">
        <v>10279</v>
      </c>
      <c r="B282" t="s">
        <v>1007</v>
      </c>
      <c r="C282" t="s">
        <v>430</v>
      </c>
      <c r="D282">
        <v>22.477499999999999</v>
      </c>
      <c r="E282">
        <v>72.900000000000006</v>
      </c>
      <c r="F282" t="s">
        <v>1018</v>
      </c>
      <c r="G282" t="s">
        <v>1014</v>
      </c>
      <c r="I282" t="s">
        <v>118</v>
      </c>
      <c r="J282" t="s">
        <v>119</v>
      </c>
      <c r="K282" t="s">
        <v>167</v>
      </c>
      <c r="L282" t="s">
        <v>18</v>
      </c>
      <c r="N282" s="6" t="s">
        <v>434</v>
      </c>
      <c r="O282" t="s">
        <v>435</v>
      </c>
      <c r="P282" t="s">
        <v>436</v>
      </c>
      <c r="Q282" t="s">
        <v>443</v>
      </c>
      <c r="R282" t="s">
        <v>444</v>
      </c>
      <c r="S282">
        <v>2008</v>
      </c>
      <c r="T282" t="s">
        <v>207</v>
      </c>
      <c r="U282" t="s">
        <v>173</v>
      </c>
      <c r="V282">
        <v>56000</v>
      </c>
      <c r="AE282">
        <v>0</v>
      </c>
      <c r="AF282">
        <v>200</v>
      </c>
      <c r="AG282">
        <v>0</v>
      </c>
      <c r="AK282">
        <v>0</v>
      </c>
      <c r="AL282">
        <v>0</v>
      </c>
      <c r="AN282" t="s">
        <v>132</v>
      </c>
      <c r="CC282">
        <v>5600</v>
      </c>
      <c r="CE28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82" s="19">
        <f>SUM(Table1[[#This Row],[Mid39]],Table1[[#This Row],[Mid36]],Table1[[#This Row],[Mid33]],Table1[[#This Row],[Mid30]],Table1[[#This Row],[Mid27]],Table1[[#This Row],[Mid24]],Table1[[#This Row],[Mid21]],Table1[[#This Row],[Mid18]],Table1[[#This Row],[Mid15]],Table1[[#This Row],[Mid12]],Table1[[#This Row],[Mid9]],Table1[[#This Row],[Mid6]],Table1[[#This Row],[Mid3]],Table1[[#This Row],[Mid]])</f>
        <v>5600</v>
      </c>
      <c r="CG28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82" t="s">
        <v>189</v>
      </c>
      <c r="CJ282" t="s">
        <v>158</v>
      </c>
      <c r="CL282" s="19">
        <f>IF(Table1[[#This Row],[Type]]="Petroleum",1,IF(ISERROR(Table1[[#This Row],[Well Density]]*Table1[[#This Row],[Single Well Discovery Area]]),"",IF(Table1[[#This Row],[Well Density]]*Table1[[#This Row],[Single Well Discovery Area]]&gt;1,1,Table1[[#This Row],[Well Density]]*Table1[[#This Row],[Single Well Discovery Area]])))</f>
        <v>0</v>
      </c>
      <c r="CM282" t="s">
        <v>158</v>
      </c>
      <c r="CN282" s="19">
        <f>Table1[[#This Row],[Mid]]</f>
        <v>0</v>
      </c>
      <c r="CO282" s="19">
        <f>Table1[[#This Row],[Mid3]]+Table1[[#This Row],[Mid6]]+Table1[[#This Row],[Mid9]]</f>
        <v>0</v>
      </c>
      <c r="CP282" s="19">
        <f>Table1[[#This Row],[Mid12]]+Table1[[#This Row],[Mid15]]+Table1[[#This Row],[Mid18]]+Table1[[#This Row],[Mid21]]+Table1[[#This Row],[Mid24]]</f>
        <v>0</v>
      </c>
      <c r="CQ282" s="19">
        <f>Table1[[#This Row],[Mid27]]+Table1[[#This Row],[Mid30]]+Table1[[#This Row],[Mid33]]+Table1[[#This Row],[Mid36]]+Table1[[#This Row],[Mid39]]</f>
        <v>5600</v>
      </c>
      <c r="CR282" t="s">
        <v>439</v>
      </c>
      <c r="CS282" s="19" t="str">
        <f>IF(AND(Table1[[#This Row],[Low41]]=0, Table1[[#This Row],[High43]]=0),"N","Y")</f>
        <v>N</v>
      </c>
    </row>
    <row r="283" spans="1:97" ht="19.5" customHeight="1" x14ac:dyDescent="0.25">
      <c r="A283">
        <v>10280</v>
      </c>
      <c r="B283" t="s">
        <v>1007</v>
      </c>
      <c r="C283" t="s">
        <v>430</v>
      </c>
      <c r="D283">
        <v>22.477499999999999</v>
      </c>
      <c r="E283">
        <v>72.902777779999994</v>
      </c>
      <c r="F283" t="s">
        <v>1019</v>
      </c>
      <c r="G283" t="s">
        <v>1014</v>
      </c>
      <c r="I283" t="s">
        <v>201</v>
      </c>
      <c r="J283" t="s">
        <v>202</v>
      </c>
      <c r="K283" t="s">
        <v>203</v>
      </c>
      <c r="L283" t="s">
        <v>121</v>
      </c>
      <c r="N283" s="6" t="s">
        <v>434</v>
      </c>
      <c r="O283" t="s">
        <v>435</v>
      </c>
      <c r="P283" t="s">
        <v>436</v>
      </c>
      <c r="Q283" t="s">
        <v>437</v>
      </c>
      <c r="R283" t="s">
        <v>1011</v>
      </c>
      <c r="S283">
        <v>2008</v>
      </c>
      <c r="T283" t="s">
        <v>207</v>
      </c>
      <c r="U283" t="s">
        <v>173</v>
      </c>
      <c r="V283"/>
      <c r="AC283">
        <v>600</v>
      </c>
      <c r="AF283">
        <v>200</v>
      </c>
      <c r="AG283">
        <v>0</v>
      </c>
      <c r="AK283">
        <v>0</v>
      </c>
      <c r="AL283">
        <v>0</v>
      </c>
      <c r="AN283" t="s">
        <v>132</v>
      </c>
      <c r="BN283">
        <v>156</v>
      </c>
      <c r="CE28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83" s="19">
        <f>SUM(Table1[[#This Row],[Mid39]],Table1[[#This Row],[Mid36]],Table1[[#This Row],[Mid33]],Table1[[#This Row],[Mid30]],Table1[[#This Row],[Mid27]],Table1[[#This Row],[Mid24]],Table1[[#This Row],[Mid21]],Table1[[#This Row],[Mid18]],Table1[[#This Row],[Mid15]],Table1[[#This Row],[Mid12]],Table1[[#This Row],[Mid9]],Table1[[#This Row],[Mid6]],Table1[[#This Row],[Mid3]],Table1[[#This Row],[Mid]])</f>
        <v>156</v>
      </c>
      <c r="CG28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83" t="s">
        <v>135</v>
      </c>
      <c r="CI283" t="s">
        <v>189</v>
      </c>
      <c r="CJ283" t="s">
        <v>158</v>
      </c>
      <c r="CL283" s="19">
        <f>IF(Table1[[#This Row],[Type]]="Petroleum",1,IF(ISERROR(Table1[[#This Row],[Well Density]]*Table1[[#This Row],[Single Well Discovery Area]]),"",IF(Table1[[#This Row],[Well Density]]*Table1[[#This Row],[Single Well Discovery Area]]&gt;1,1,Table1[[#This Row],[Well Density]]*Table1[[#This Row],[Single Well Discovery Area]])))</f>
        <v>1</v>
      </c>
      <c r="CM283" t="s">
        <v>158</v>
      </c>
      <c r="CN283" s="19">
        <f>Table1[[#This Row],[Mid]]</f>
        <v>0</v>
      </c>
      <c r="CO283" s="19">
        <f>Table1[[#This Row],[Mid3]]+Table1[[#This Row],[Mid6]]+Table1[[#This Row],[Mid9]]</f>
        <v>0</v>
      </c>
      <c r="CP283" s="19">
        <f>Table1[[#This Row],[Mid12]]+Table1[[#This Row],[Mid15]]+Table1[[#This Row],[Mid18]]+Table1[[#This Row],[Mid21]]+Table1[[#This Row],[Mid24]]</f>
        <v>156</v>
      </c>
      <c r="CQ283" s="19">
        <f>Table1[[#This Row],[Mid27]]+Table1[[#This Row],[Mid30]]+Table1[[#This Row],[Mid33]]+Table1[[#This Row],[Mid36]]+Table1[[#This Row],[Mid39]]</f>
        <v>0</v>
      </c>
      <c r="CR283" t="s">
        <v>439</v>
      </c>
      <c r="CS283" s="19" t="str">
        <f>IF(AND(Table1[[#This Row],[Low41]]=0, Table1[[#This Row],[High43]]=0),"N","Y")</f>
        <v>N</v>
      </c>
    </row>
    <row r="284" spans="1:97" ht="19.5" customHeight="1" x14ac:dyDescent="0.25">
      <c r="A284">
        <v>10281</v>
      </c>
      <c r="B284" t="s">
        <v>1007</v>
      </c>
      <c r="C284" t="s">
        <v>430</v>
      </c>
      <c r="D284">
        <v>9.9725000000000001</v>
      </c>
      <c r="E284">
        <v>79.309444439999993</v>
      </c>
      <c r="F284" t="s">
        <v>1020</v>
      </c>
      <c r="G284" t="s">
        <v>1021</v>
      </c>
      <c r="I284" t="s">
        <v>118</v>
      </c>
      <c r="J284" t="s">
        <v>119</v>
      </c>
      <c r="K284" t="s">
        <v>167</v>
      </c>
      <c r="L284" t="s">
        <v>18</v>
      </c>
      <c r="N284" s="6" t="s">
        <v>434</v>
      </c>
      <c r="O284" t="s">
        <v>435</v>
      </c>
      <c r="P284" t="s">
        <v>436</v>
      </c>
      <c r="Q284" t="s">
        <v>443</v>
      </c>
      <c r="R284" t="s">
        <v>444</v>
      </c>
      <c r="S284">
        <v>2008</v>
      </c>
      <c r="T284" t="s">
        <v>207</v>
      </c>
      <c r="U284" t="s">
        <v>173</v>
      </c>
      <c r="V284">
        <v>60000</v>
      </c>
      <c r="AE284">
        <v>0</v>
      </c>
      <c r="AF284">
        <v>200</v>
      </c>
      <c r="AG284">
        <v>0</v>
      </c>
      <c r="AK284">
        <v>0</v>
      </c>
      <c r="AL284">
        <v>0</v>
      </c>
      <c r="AN284" t="s">
        <v>132</v>
      </c>
      <c r="CC284">
        <v>6000</v>
      </c>
      <c r="CE28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84" s="19">
        <f>SUM(Table1[[#This Row],[Mid39]],Table1[[#This Row],[Mid36]],Table1[[#This Row],[Mid33]],Table1[[#This Row],[Mid30]],Table1[[#This Row],[Mid27]],Table1[[#This Row],[Mid24]],Table1[[#This Row],[Mid21]],Table1[[#This Row],[Mid18]],Table1[[#This Row],[Mid15]],Table1[[#This Row],[Mid12]],Table1[[#This Row],[Mid9]],Table1[[#This Row],[Mid6]],Table1[[#This Row],[Mid3]],Table1[[#This Row],[Mid]])</f>
        <v>6000</v>
      </c>
      <c r="CG28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84" t="s">
        <v>189</v>
      </c>
      <c r="CJ284" t="s">
        <v>158</v>
      </c>
      <c r="CL284" s="19">
        <f>IF(Table1[[#This Row],[Type]]="Petroleum",1,IF(ISERROR(Table1[[#This Row],[Well Density]]*Table1[[#This Row],[Single Well Discovery Area]]),"",IF(Table1[[#This Row],[Well Density]]*Table1[[#This Row],[Single Well Discovery Area]]&gt;1,1,Table1[[#This Row],[Well Density]]*Table1[[#This Row],[Single Well Discovery Area]])))</f>
        <v>0</v>
      </c>
      <c r="CM284" t="s">
        <v>158</v>
      </c>
      <c r="CN284" s="19">
        <f>Table1[[#This Row],[Mid]]</f>
        <v>0</v>
      </c>
      <c r="CO284" s="19">
        <f>Table1[[#This Row],[Mid3]]+Table1[[#This Row],[Mid6]]+Table1[[#This Row],[Mid9]]</f>
        <v>0</v>
      </c>
      <c r="CP284" s="19">
        <f>Table1[[#This Row],[Mid12]]+Table1[[#This Row],[Mid15]]+Table1[[#This Row],[Mid18]]+Table1[[#This Row],[Mid21]]+Table1[[#This Row],[Mid24]]</f>
        <v>0</v>
      </c>
      <c r="CQ284" s="19">
        <f>Table1[[#This Row],[Mid27]]+Table1[[#This Row],[Mid30]]+Table1[[#This Row],[Mid33]]+Table1[[#This Row],[Mid36]]+Table1[[#This Row],[Mid39]]</f>
        <v>6000</v>
      </c>
      <c r="CR284" t="s">
        <v>439</v>
      </c>
      <c r="CS284" s="19" t="str">
        <f>IF(AND(Table1[[#This Row],[Low41]]=0, Table1[[#This Row],[High43]]=0),"N","Y")</f>
        <v>N</v>
      </c>
    </row>
    <row r="285" spans="1:97" ht="19.5" customHeight="1" x14ac:dyDescent="0.25">
      <c r="A285">
        <v>10282</v>
      </c>
      <c r="B285" t="s">
        <v>1007</v>
      </c>
      <c r="C285" t="s">
        <v>430</v>
      </c>
      <c r="D285">
        <v>26.87166667</v>
      </c>
      <c r="E285">
        <v>70.80722222</v>
      </c>
      <c r="F285" t="s">
        <v>1022</v>
      </c>
      <c r="G285" t="s">
        <v>1017</v>
      </c>
      <c r="I285" t="s">
        <v>118</v>
      </c>
      <c r="J285" t="s">
        <v>119</v>
      </c>
      <c r="K285" t="s">
        <v>167</v>
      </c>
      <c r="L285" t="s">
        <v>18</v>
      </c>
      <c r="N285" s="6" t="s">
        <v>434</v>
      </c>
      <c r="O285" t="s">
        <v>435</v>
      </c>
      <c r="P285" t="s">
        <v>436</v>
      </c>
      <c r="Q285" t="s">
        <v>443</v>
      </c>
      <c r="R285" t="s">
        <v>444</v>
      </c>
      <c r="S285">
        <v>2008</v>
      </c>
      <c r="T285" t="s">
        <v>207</v>
      </c>
      <c r="U285" t="s">
        <v>173</v>
      </c>
      <c r="V285">
        <v>30000</v>
      </c>
      <c r="AE285">
        <v>0</v>
      </c>
      <c r="AF285">
        <v>200</v>
      </c>
      <c r="AG285">
        <v>0</v>
      </c>
      <c r="AK285">
        <v>0</v>
      </c>
      <c r="AL285">
        <v>0</v>
      </c>
      <c r="AN285" t="s">
        <v>132</v>
      </c>
      <c r="CC285">
        <v>3000</v>
      </c>
      <c r="CE28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85" s="19">
        <f>SUM(Table1[[#This Row],[Mid39]],Table1[[#This Row],[Mid36]],Table1[[#This Row],[Mid33]],Table1[[#This Row],[Mid30]],Table1[[#This Row],[Mid27]],Table1[[#This Row],[Mid24]],Table1[[#This Row],[Mid21]],Table1[[#This Row],[Mid18]],Table1[[#This Row],[Mid15]],Table1[[#This Row],[Mid12]],Table1[[#This Row],[Mid9]],Table1[[#This Row],[Mid6]],Table1[[#This Row],[Mid3]],Table1[[#This Row],[Mid]])</f>
        <v>3000</v>
      </c>
      <c r="CG28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85" t="s">
        <v>189</v>
      </c>
      <c r="CJ285" t="s">
        <v>158</v>
      </c>
      <c r="CL285" s="19">
        <f>IF(Table1[[#This Row],[Type]]="Petroleum",1,IF(ISERROR(Table1[[#This Row],[Well Density]]*Table1[[#This Row],[Single Well Discovery Area]]),"",IF(Table1[[#This Row],[Well Density]]*Table1[[#This Row],[Single Well Discovery Area]]&gt;1,1,Table1[[#This Row],[Well Density]]*Table1[[#This Row],[Single Well Discovery Area]])))</f>
        <v>0</v>
      </c>
      <c r="CM285" t="s">
        <v>158</v>
      </c>
      <c r="CN285" s="19">
        <f>Table1[[#This Row],[Mid]]</f>
        <v>0</v>
      </c>
      <c r="CO285" s="19">
        <f>Table1[[#This Row],[Mid3]]+Table1[[#This Row],[Mid6]]+Table1[[#This Row],[Mid9]]</f>
        <v>0</v>
      </c>
      <c r="CP285" s="19">
        <f>Table1[[#This Row],[Mid12]]+Table1[[#This Row],[Mid15]]+Table1[[#This Row],[Mid18]]+Table1[[#This Row],[Mid21]]+Table1[[#This Row],[Mid24]]</f>
        <v>0</v>
      </c>
      <c r="CQ285" s="19">
        <f>Table1[[#This Row],[Mid27]]+Table1[[#This Row],[Mid30]]+Table1[[#This Row],[Mid33]]+Table1[[#This Row],[Mid36]]+Table1[[#This Row],[Mid39]]</f>
        <v>3000</v>
      </c>
      <c r="CR285" t="s">
        <v>439</v>
      </c>
      <c r="CS285" s="19" t="str">
        <f>IF(AND(Table1[[#This Row],[Low41]]=0, Table1[[#This Row],[High43]]=0),"N","Y")</f>
        <v>N</v>
      </c>
    </row>
    <row r="286" spans="1:97" ht="19.5" customHeight="1" x14ac:dyDescent="0.25">
      <c r="A286">
        <v>10283</v>
      </c>
      <c r="B286" t="s">
        <v>1007</v>
      </c>
      <c r="C286" t="s">
        <v>430</v>
      </c>
      <c r="D286">
        <v>15.10222222</v>
      </c>
      <c r="E286">
        <v>80.782499999999999</v>
      </c>
      <c r="F286" t="s">
        <v>1023</v>
      </c>
      <c r="G286" t="s">
        <v>1024</v>
      </c>
      <c r="I286" t="s">
        <v>118</v>
      </c>
      <c r="J286" t="s">
        <v>119</v>
      </c>
      <c r="K286" t="s">
        <v>167</v>
      </c>
      <c r="L286" t="s">
        <v>18</v>
      </c>
      <c r="N286" s="6" t="s">
        <v>434</v>
      </c>
      <c r="O286" t="s">
        <v>435</v>
      </c>
      <c r="P286" t="s">
        <v>436</v>
      </c>
      <c r="Q286" t="s">
        <v>443</v>
      </c>
      <c r="R286" t="s">
        <v>444</v>
      </c>
      <c r="S286">
        <v>2008</v>
      </c>
      <c r="T286" t="s">
        <v>207</v>
      </c>
      <c r="U286" t="s">
        <v>173</v>
      </c>
      <c r="V286">
        <v>40000</v>
      </c>
      <c r="AE286">
        <v>0</v>
      </c>
      <c r="AF286">
        <v>200</v>
      </c>
      <c r="AG286">
        <v>0</v>
      </c>
      <c r="AK286">
        <v>0</v>
      </c>
      <c r="AL286">
        <v>0</v>
      </c>
      <c r="AN286" t="s">
        <v>132</v>
      </c>
      <c r="CC286">
        <v>4000</v>
      </c>
      <c r="CE28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86" s="19">
        <f>SUM(Table1[[#This Row],[Mid39]],Table1[[#This Row],[Mid36]],Table1[[#This Row],[Mid33]],Table1[[#This Row],[Mid30]],Table1[[#This Row],[Mid27]],Table1[[#This Row],[Mid24]],Table1[[#This Row],[Mid21]],Table1[[#This Row],[Mid18]],Table1[[#This Row],[Mid15]],Table1[[#This Row],[Mid12]],Table1[[#This Row],[Mid9]],Table1[[#This Row],[Mid6]],Table1[[#This Row],[Mid3]],Table1[[#This Row],[Mid]])</f>
        <v>4000</v>
      </c>
      <c r="CG28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86" t="s">
        <v>189</v>
      </c>
      <c r="CJ286" t="s">
        <v>158</v>
      </c>
      <c r="CL286" s="19">
        <f>IF(Table1[[#This Row],[Type]]="Petroleum",1,IF(ISERROR(Table1[[#This Row],[Well Density]]*Table1[[#This Row],[Single Well Discovery Area]]),"",IF(Table1[[#This Row],[Well Density]]*Table1[[#This Row],[Single Well Discovery Area]]&gt;1,1,Table1[[#This Row],[Well Density]]*Table1[[#This Row],[Single Well Discovery Area]])))</f>
        <v>0</v>
      </c>
      <c r="CM286" t="s">
        <v>158</v>
      </c>
      <c r="CN286" s="19">
        <f>Table1[[#This Row],[Mid]]</f>
        <v>0</v>
      </c>
      <c r="CO286" s="19">
        <f>Table1[[#This Row],[Mid3]]+Table1[[#This Row],[Mid6]]+Table1[[#This Row],[Mid9]]</f>
        <v>0</v>
      </c>
      <c r="CP286" s="19">
        <f>Table1[[#This Row],[Mid12]]+Table1[[#This Row],[Mid15]]+Table1[[#This Row],[Mid18]]+Table1[[#This Row],[Mid21]]+Table1[[#This Row],[Mid24]]</f>
        <v>0</v>
      </c>
      <c r="CQ286" s="19">
        <f>Table1[[#This Row],[Mid27]]+Table1[[#This Row],[Mid30]]+Table1[[#This Row],[Mid33]]+Table1[[#This Row],[Mid36]]+Table1[[#This Row],[Mid39]]</f>
        <v>4000</v>
      </c>
      <c r="CR286" t="s">
        <v>439</v>
      </c>
      <c r="CS286" s="19" t="str">
        <f>IF(AND(Table1[[#This Row],[Low41]]=0, Table1[[#This Row],[High43]]=0),"N","Y")</f>
        <v>N</v>
      </c>
    </row>
    <row r="287" spans="1:97" ht="19.5" customHeight="1" x14ac:dyDescent="0.25">
      <c r="A287">
        <v>10284</v>
      </c>
      <c r="B287" t="s">
        <v>1007</v>
      </c>
      <c r="C287" t="s">
        <v>430</v>
      </c>
      <c r="D287">
        <v>23.181388890000001</v>
      </c>
      <c r="E287">
        <v>69.73944444</v>
      </c>
      <c r="F287" t="s">
        <v>1025</v>
      </c>
      <c r="G287" t="s">
        <v>1026</v>
      </c>
      <c r="I287" t="s">
        <v>118</v>
      </c>
      <c r="J287" t="s">
        <v>119</v>
      </c>
      <c r="K287" t="s">
        <v>167</v>
      </c>
      <c r="L287" t="s">
        <v>18</v>
      </c>
      <c r="N287" s="6" t="s">
        <v>434</v>
      </c>
      <c r="O287" t="s">
        <v>435</v>
      </c>
      <c r="P287" t="s">
        <v>436</v>
      </c>
      <c r="Q287" t="s">
        <v>443</v>
      </c>
      <c r="R287" t="s">
        <v>444</v>
      </c>
      <c r="S287">
        <v>2008</v>
      </c>
      <c r="T287" t="s">
        <v>207</v>
      </c>
      <c r="U287" t="s">
        <v>173</v>
      </c>
      <c r="V287">
        <v>71000</v>
      </c>
      <c r="AE287">
        <v>0</v>
      </c>
      <c r="AF287">
        <v>200</v>
      </c>
      <c r="AG287">
        <v>0</v>
      </c>
      <c r="AK287">
        <v>0</v>
      </c>
      <c r="AL287">
        <v>0</v>
      </c>
      <c r="AN287" t="s">
        <v>132</v>
      </c>
      <c r="CC287">
        <v>7100</v>
      </c>
      <c r="CE28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87" s="19">
        <f>SUM(Table1[[#This Row],[Mid39]],Table1[[#This Row],[Mid36]],Table1[[#This Row],[Mid33]],Table1[[#This Row],[Mid30]],Table1[[#This Row],[Mid27]],Table1[[#This Row],[Mid24]],Table1[[#This Row],[Mid21]],Table1[[#This Row],[Mid18]],Table1[[#This Row],[Mid15]],Table1[[#This Row],[Mid12]],Table1[[#This Row],[Mid9]],Table1[[#This Row],[Mid6]],Table1[[#This Row],[Mid3]],Table1[[#This Row],[Mid]])</f>
        <v>7100</v>
      </c>
      <c r="CG28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87" t="s">
        <v>189</v>
      </c>
      <c r="CJ287" t="s">
        <v>158</v>
      </c>
      <c r="CL287" s="19">
        <f>IF(Table1[[#This Row],[Type]]="Petroleum",1,IF(ISERROR(Table1[[#This Row],[Well Density]]*Table1[[#This Row],[Single Well Discovery Area]]),"",IF(Table1[[#This Row],[Well Density]]*Table1[[#This Row],[Single Well Discovery Area]]&gt;1,1,Table1[[#This Row],[Well Density]]*Table1[[#This Row],[Single Well Discovery Area]])))</f>
        <v>0</v>
      </c>
      <c r="CM287" t="s">
        <v>158</v>
      </c>
      <c r="CN287" s="19">
        <f>Table1[[#This Row],[Mid]]</f>
        <v>0</v>
      </c>
      <c r="CO287" s="19">
        <f>Table1[[#This Row],[Mid3]]+Table1[[#This Row],[Mid6]]+Table1[[#This Row],[Mid9]]</f>
        <v>0</v>
      </c>
      <c r="CP287" s="19">
        <f>Table1[[#This Row],[Mid12]]+Table1[[#This Row],[Mid15]]+Table1[[#This Row],[Mid18]]+Table1[[#This Row],[Mid21]]+Table1[[#This Row],[Mid24]]</f>
        <v>0</v>
      </c>
      <c r="CQ287" s="19">
        <f>Table1[[#This Row],[Mid27]]+Table1[[#This Row],[Mid30]]+Table1[[#This Row],[Mid33]]+Table1[[#This Row],[Mid36]]+Table1[[#This Row],[Mid39]]</f>
        <v>7100</v>
      </c>
      <c r="CR287" t="s">
        <v>439</v>
      </c>
      <c r="CS287" s="19" t="str">
        <f>IF(AND(Table1[[#This Row],[Low41]]=0, Table1[[#This Row],[High43]]=0),"N","Y")</f>
        <v>N</v>
      </c>
    </row>
    <row r="288" spans="1:97" ht="19.5" customHeight="1" x14ac:dyDescent="0.25">
      <c r="A288">
        <v>10285</v>
      </c>
      <c r="B288" t="s">
        <v>1007</v>
      </c>
      <c r="C288" t="s">
        <v>430</v>
      </c>
      <c r="D288">
        <v>18.811666670000001</v>
      </c>
      <c r="E288">
        <v>85.666666669999998</v>
      </c>
      <c r="F288" t="s">
        <v>1027</v>
      </c>
      <c r="G288" t="s">
        <v>1028</v>
      </c>
      <c r="I288" t="s">
        <v>118</v>
      </c>
      <c r="J288" t="s">
        <v>119</v>
      </c>
      <c r="K288" t="s">
        <v>167</v>
      </c>
      <c r="L288" t="s">
        <v>18</v>
      </c>
      <c r="N288" s="6" t="s">
        <v>434</v>
      </c>
      <c r="O288" t="s">
        <v>435</v>
      </c>
      <c r="P288" t="s">
        <v>436</v>
      </c>
      <c r="Q288" t="s">
        <v>443</v>
      </c>
      <c r="R288" t="s">
        <v>444</v>
      </c>
      <c r="S288">
        <v>2008</v>
      </c>
      <c r="T288" t="s">
        <v>207</v>
      </c>
      <c r="U288" t="s">
        <v>173</v>
      </c>
      <c r="V288">
        <v>86000</v>
      </c>
      <c r="AE288">
        <v>0</v>
      </c>
      <c r="AF288">
        <v>200</v>
      </c>
      <c r="AG288">
        <v>0</v>
      </c>
      <c r="AK288">
        <v>0</v>
      </c>
      <c r="AL288">
        <v>0</v>
      </c>
      <c r="AN288" t="s">
        <v>132</v>
      </c>
      <c r="CC288">
        <v>8600</v>
      </c>
      <c r="CE28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88" s="19">
        <f>SUM(Table1[[#This Row],[Mid39]],Table1[[#This Row],[Mid36]],Table1[[#This Row],[Mid33]],Table1[[#This Row],[Mid30]],Table1[[#This Row],[Mid27]],Table1[[#This Row],[Mid24]],Table1[[#This Row],[Mid21]],Table1[[#This Row],[Mid18]],Table1[[#This Row],[Mid15]],Table1[[#This Row],[Mid12]],Table1[[#This Row],[Mid9]],Table1[[#This Row],[Mid6]],Table1[[#This Row],[Mid3]],Table1[[#This Row],[Mid]])</f>
        <v>8600</v>
      </c>
      <c r="CG28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88" t="s">
        <v>189</v>
      </c>
      <c r="CJ288" t="s">
        <v>158</v>
      </c>
      <c r="CL288" s="19">
        <f>IF(Table1[[#This Row],[Type]]="Petroleum",1,IF(ISERROR(Table1[[#This Row],[Well Density]]*Table1[[#This Row],[Single Well Discovery Area]]),"",IF(Table1[[#This Row],[Well Density]]*Table1[[#This Row],[Single Well Discovery Area]]&gt;1,1,Table1[[#This Row],[Well Density]]*Table1[[#This Row],[Single Well Discovery Area]])))</f>
        <v>0</v>
      </c>
      <c r="CM288" t="s">
        <v>158</v>
      </c>
      <c r="CN288" s="19">
        <f>Table1[[#This Row],[Mid]]</f>
        <v>0</v>
      </c>
      <c r="CO288" s="19">
        <f>Table1[[#This Row],[Mid3]]+Table1[[#This Row],[Mid6]]+Table1[[#This Row],[Mid9]]</f>
        <v>0</v>
      </c>
      <c r="CP288" s="19">
        <f>Table1[[#This Row],[Mid12]]+Table1[[#This Row],[Mid15]]+Table1[[#This Row],[Mid18]]+Table1[[#This Row],[Mid21]]+Table1[[#This Row],[Mid24]]</f>
        <v>0</v>
      </c>
      <c r="CQ288" s="19">
        <f>Table1[[#This Row],[Mid27]]+Table1[[#This Row],[Mid30]]+Table1[[#This Row],[Mid33]]+Table1[[#This Row],[Mid36]]+Table1[[#This Row],[Mid39]]</f>
        <v>8600</v>
      </c>
      <c r="CR288" t="s">
        <v>439</v>
      </c>
      <c r="CS288" s="19" t="str">
        <f>IF(AND(Table1[[#This Row],[Low41]]=0, Table1[[#This Row],[High43]]=0),"N","Y")</f>
        <v>N</v>
      </c>
    </row>
    <row r="289" spans="1:97" ht="19.5" customHeight="1" x14ac:dyDescent="0.25">
      <c r="A289">
        <v>10286</v>
      </c>
      <c r="B289" t="s">
        <v>1007</v>
      </c>
      <c r="C289" t="s">
        <v>430</v>
      </c>
      <c r="D289">
        <v>18.228611109999999</v>
      </c>
      <c r="E289">
        <v>71.621388890000006</v>
      </c>
      <c r="F289" t="s">
        <v>1029</v>
      </c>
      <c r="G289" t="s">
        <v>1030</v>
      </c>
      <c r="I289" t="s">
        <v>118</v>
      </c>
      <c r="J289" t="s">
        <v>119</v>
      </c>
      <c r="K289" t="s">
        <v>167</v>
      </c>
      <c r="L289" t="s">
        <v>18</v>
      </c>
      <c r="N289" s="6" t="s">
        <v>434</v>
      </c>
      <c r="O289" t="s">
        <v>435</v>
      </c>
      <c r="P289" t="s">
        <v>436</v>
      </c>
      <c r="Q289" t="s">
        <v>443</v>
      </c>
      <c r="R289" t="s">
        <v>444</v>
      </c>
      <c r="S289">
        <v>2008</v>
      </c>
      <c r="T289" t="s">
        <v>207</v>
      </c>
      <c r="U289" t="s">
        <v>173</v>
      </c>
      <c r="V289">
        <v>120000</v>
      </c>
      <c r="AE289">
        <v>0</v>
      </c>
      <c r="AF289">
        <v>200</v>
      </c>
      <c r="AG289">
        <v>0</v>
      </c>
      <c r="AK289">
        <v>0</v>
      </c>
      <c r="AL289">
        <v>0</v>
      </c>
      <c r="AN289" t="s">
        <v>132</v>
      </c>
      <c r="CC289">
        <v>12000</v>
      </c>
      <c r="CE28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89" s="19">
        <f>SUM(Table1[[#This Row],[Mid39]],Table1[[#This Row],[Mid36]],Table1[[#This Row],[Mid33]],Table1[[#This Row],[Mid30]],Table1[[#This Row],[Mid27]],Table1[[#This Row],[Mid24]],Table1[[#This Row],[Mid21]],Table1[[#This Row],[Mid18]],Table1[[#This Row],[Mid15]],Table1[[#This Row],[Mid12]],Table1[[#This Row],[Mid9]],Table1[[#This Row],[Mid6]],Table1[[#This Row],[Mid3]],Table1[[#This Row],[Mid]])</f>
        <v>12000</v>
      </c>
      <c r="CG28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289" t="s">
        <v>189</v>
      </c>
      <c r="CJ289" t="s">
        <v>158</v>
      </c>
      <c r="CL289" s="19">
        <f>IF(Table1[[#This Row],[Type]]="Petroleum",1,IF(ISERROR(Table1[[#This Row],[Well Density]]*Table1[[#This Row],[Single Well Discovery Area]]),"",IF(Table1[[#This Row],[Well Density]]*Table1[[#This Row],[Single Well Discovery Area]]&gt;1,1,Table1[[#This Row],[Well Density]]*Table1[[#This Row],[Single Well Discovery Area]])))</f>
        <v>0</v>
      </c>
      <c r="CM289" t="s">
        <v>158</v>
      </c>
      <c r="CN289" s="19">
        <f>Table1[[#This Row],[Mid]]</f>
        <v>0</v>
      </c>
      <c r="CO289" s="19">
        <f>Table1[[#This Row],[Mid3]]+Table1[[#This Row],[Mid6]]+Table1[[#This Row],[Mid9]]</f>
        <v>0</v>
      </c>
      <c r="CP289" s="19">
        <f>Table1[[#This Row],[Mid12]]+Table1[[#This Row],[Mid15]]+Table1[[#This Row],[Mid18]]+Table1[[#This Row],[Mid21]]+Table1[[#This Row],[Mid24]]</f>
        <v>0</v>
      </c>
      <c r="CQ289" s="19">
        <f>Table1[[#This Row],[Mid27]]+Table1[[#This Row],[Mid30]]+Table1[[#This Row],[Mid33]]+Table1[[#This Row],[Mid36]]+Table1[[#This Row],[Mid39]]</f>
        <v>12000</v>
      </c>
      <c r="CR289" t="s">
        <v>439</v>
      </c>
      <c r="CS289" s="19" t="str">
        <f>IF(AND(Table1[[#This Row],[Low41]]=0, Table1[[#This Row],[High43]]=0),"N","Y")</f>
        <v>N</v>
      </c>
    </row>
    <row r="290" spans="1:97" ht="19.5" customHeight="1" x14ac:dyDescent="0.25">
      <c r="A290">
        <v>10287</v>
      </c>
      <c r="B290" t="s">
        <v>1007</v>
      </c>
      <c r="C290" t="s">
        <v>430</v>
      </c>
      <c r="D290">
        <v>18.228611109999999</v>
      </c>
      <c r="E290">
        <v>71.624166669999994</v>
      </c>
      <c r="F290" t="s">
        <v>1031</v>
      </c>
      <c r="G290" t="s">
        <v>1030</v>
      </c>
      <c r="I290" t="s">
        <v>201</v>
      </c>
      <c r="J290" t="s">
        <v>202</v>
      </c>
      <c r="K290" t="s">
        <v>203</v>
      </c>
      <c r="L290" t="s">
        <v>121</v>
      </c>
      <c r="N290" s="6" t="s">
        <v>434</v>
      </c>
      <c r="O290" t="s">
        <v>435</v>
      </c>
      <c r="P290" t="s">
        <v>436</v>
      </c>
      <c r="Q290" t="s">
        <v>437</v>
      </c>
      <c r="R290" t="s">
        <v>1011</v>
      </c>
      <c r="S290">
        <v>2008</v>
      </c>
      <c r="T290" t="s">
        <v>207</v>
      </c>
      <c r="U290" t="s">
        <v>173</v>
      </c>
      <c r="V290"/>
      <c r="AC290">
        <v>600</v>
      </c>
      <c r="AF290">
        <v>200</v>
      </c>
      <c r="AG290">
        <v>0</v>
      </c>
      <c r="AK290">
        <v>0</v>
      </c>
      <c r="AL290">
        <v>0</v>
      </c>
      <c r="AN290" t="s">
        <v>132</v>
      </c>
      <c r="BN290">
        <v>469</v>
      </c>
      <c r="CE29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90" s="19">
        <f>SUM(Table1[[#This Row],[Mid39]],Table1[[#This Row],[Mid36]],Table1[[#This Row],[Mid33]],Table1[[#This Row],[Mid30]],Table1[[#This Row],[Mid27]],Table1[[#This Row],[Mid24]],Table1[[#This Row],[Mid21]],Table1[[#This Row],[Mid18]],Table1[[#This Row],[Mid15]],Table1[[#This Row],[Mid12]],Table1[[#This Row],[Mid9]],Table1[[#This Row],[Mid6]],Table1[[#This Row],[Mid3]],Table1[[#This Row],[Mid]])</f>
        <v>469</v>
      </c>
      <c r="CG29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90" t="s">
        <v>135</v>
      </c>
      <c r="CI290" t="s">
        <v>189</v>
      </c>
      <c r="CJ290" t="s">
        <v>158</v>
      </c>
      <c r="CL290" s="19">
        <f>IF(Table1[[#This Row],[Type]]="Petroleum",1,IF(ISERROR(Table1[[#This Row],[Well Density]]*Table1[[#This Row],[Single Well Discovery Area]]),"",IF(Table1[[#This Row],[Well Density]]*Table1[[#This Row],[Single Well Discovery Area]]&gt;1,1,Table1[[#This Row],[Well Density]]*Table1[[#This Row],[Single Well Discovery Area]])))</f>
        <v>1</v>
      </c>
      <c r="CM290" t="s">
        <v>158</v>
      </c>
      <c r="CN290" s="19">
        <f>Table1[[#This Row],[Mid]]</f>
        <v>0</v>
      </c>
      <c r="CO290" s="19">
        <f>Table1[[#This Row],[Mid3]]+Table1[[#This Row],[Mid6]]+Table1[[#This Row],[Mid9]]</f>
        <v>0</v>
      </c>
      <c r="CP290" s="19">
        <f>Table1[[#This Row],[Mid12]]+Table1[[#This Row],[Mid15]]+Table1[[#This Row],[Mid18]]+Table1[[#This Row],[Mid21]]+Table1[[#This Row],[Mid24]]</f>
        <v>469</v>
      </c>
      <c r="CQ290" s="19">
        <f>Table1[[#This Row],[Mid27]]+Table1[[#This Row],[Mid30]]+Table1[[#This Row],[Mid33]]+Table1[[#This Row],[Mid36]]+Table1[[#This Row],[Mid39]]</f>
        <v>0</v>
      </c>
      <c r="CR290" t="s">
        <v>439</v>
      </c>
      <c r="CS290" s="19" t="str">
        <f>IF(AND(Table1[[#This Row],[Low41]]=0, Table1[[#This Row],[High43]]=0),"N","Y")</f>
        <v>N</v>
      </c>
    </row>
    <row r="291" spans="1:97" ht="19.5" customHeight="1" x14ac:dyDescent="0.25">
      <c r="A291">
        <v>10288</v>
      </c>
      <c r="B291" t="s">
        <v>1032</v>
      </c>
      <c r="C291" t="s">
        <v>1033</v>
      </c>
      <c r="D291">
        <v>-2.5861111110000001</v>
      </c>
      <c r="E291">
        <v>133.47305560000001</v>
      </c>
      <c r="F291" t="s">
        <v>1034</v>
      </c>
      <c r="G291" t="s">
        <v>1035</v>
      </c>
      <c r="H291" t="s">
        <v>1036</v>
      </c>
      <c r="I291" t="s">
        <v>118</v>
      </c>
      <c r="J291" t="s">
        <v>119</v>
      </c>
      <c r="K291" t="s">
        <v>190</v>
      </c>
      <c r="L291" t="s">
        <v>18</v>
      </c>
      <c r="N291" s="6" t="s">
        <v>1037</v>
      </c>
      <c r="P291" t="s">
        <v>1038</v>
      </c>
      <c r="Q291" t="s">
        <v>1039</v>
      </c>
      <c r="R291" t="s">
        <v>1040</v>
      </c>
      <c r="S291">
        <v>2010</v>
      </c>
      <c r="T291" t="s">
        <v>128</v>
      </c>
      <c r="U291" t="s">
        <v>173</v>
      </c>
      <c r="V291">
        <v>0</v>
      </c>
      <c r="W291">
        <v>3788</v>
      </c>
      <c r="X291">
        <v>50</v>
      </c>
      <c r="Y291">
        <v>0</v>
      </c>
      <c r="Z291">
        <v>12</v>
      </c>
      <c r="AA291">
        <v>250</v>
      </c>
      <c r="AB291">
        <v>0</v>
      </c>
      <c r="AC291">
        <v>0</v>
      </c>
      <c r="AD291">
        <v>0</v>
      </c>
      <c r="AF291">
        <v>200</v>
      </c>
      <c r="AG291">
        <v>37.997022360000003</v>
      </c>
      <c r="AI291">
        <v>0</v>
      </c>
      <c r="AJ291">
        <v>0</v>
      </c>
      <c r="AK291">
        <v>60.99794172</v>
      </c>
      <c r="AL291">
        <v>0</v>
      </c>
      <c r="AN291" t="s">
        <v>132</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58</v>
      </c>
      <c r="CD291">
        <v>0</v>
      </c>
      <c r="CE29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91" s="19">
        <f>SUM(Table1[[#This Row],[Mid39]],Table1[[#This Row],[Mid36]],Table1[[#This Row],[Mid33]],Table1[[#This Row],[Mid30]],Table1[[#This Row],[Mid27]],Table1[[#This Row],[Mid24]],Table1[[#This Row],[Mid21]],Table1[[#This Row],[Mid18]],Table1[[#This Row],[Mid15]],Table1[[#This Row],[Mid12]],Table1[[#This Row],[Mid9]],Table1[[#This Row],[Mid6]],Table1[[#This Row],[Mid3]],Table1[[#This Row],[Mid]])</f>
        <v>58</v>
      </c>
      <c r="CG29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91" t="s">
        <v>157</v>
      </c>
      <c r="CI291" t="s">
        <v>134</v>
      </c>
      <c r="CJ291" t="s">
        <v>135</v>
      </c>
      <c r="CL291" s="19">
        <f>IF(Table1[[#This Row],[Type]]="Petroleum",1,IF(ISERROR(Table1[[#This Row],[Well Density]]*Table1[[#This Row],[Single Well Discovery Area]]),"",IF(Table1[[#This Row],[Well Density]]*Table1[[#This Row],[Single Well Discovery Area]]&gt;1,1,Table1[[#This Row],[Well Density]]*Table1[[#This Row],[Single Well Discovery Area]])))</f>
        <v>0</v>
      </c>
      <c r="CM291" t="s">
        <v>135</v>
      </c>
      <c r="CN291" s="19">
        <f>Table1[[#This Row],[Mid]]</f>
        <v>0</v>
      </c>
      <c r="CO291" s="19">
        <f>Table1[[#This Row],[Mid3]]+Table1[[#This Row],[Mid6]]+Table1[[#This Row],[Mid9]]</f>
        <v>0</v>
      </c>
      <c r="CP291" s="19">
        <f>Table1[[#This Row],[Mid12]]+Table1[[#This Row],[Mid15]]+Table1[[#This Row],[Mid18]]+Table1[[#This Row],[Mid21]]+Table1[[#This Row],[Mid24]]</f>
        <v>0</v>
      </c>
      <c r="CQ291" s="19">
        <f>Table1[[#This Row],[Mid27]]+Table1[[#This Row],[Mid30]]+Table1[[#This Row],[Mid33]]+Table1[[#This Row],[Mid36]]+Table1[[#This Row],[Mid39]]</f>
        <v>58</v>
      </c>
      <c r="CR291" t="s">
        <v>439</v>
      </c>
      <c r="CS291" s="19" t="str">
        <f>IF(AND(Table1[[#This Row],[Low41]]=0, Table1[[#This Row],[High43]]=0),"N","Y")</f>
        <v>N</v>
      </c>
    </row>
    <row r="292" spans="1:97" ht="19.5" customHeight="1" x14ac:dyDescent="0.25">
      <c r="A292">
        <v>10289</v>
      </c>
      <c r="B292" t="s">
        <v>1032</v>
      </c>
      <c r="C292" t="s">
        <v>1041</v>
      </c>
      <c r="D292">
        <v>1.008055556</v>
      </c>
      <c r="E292">
        <v>101.8347222</v>
      </c>
      <c r="F292" t="s">
        <v>1042</v>
      </c>
      <c r="G292" t="s">
        <v>1043</v>
      </c>
      <c r="H292" t="s">
        <v>252</v>
      </c>
      <c r="I292" t="s">
        <v>201</v>
      </c>
      <c r="J292" t="s">
        <v>202</v>
      </c>
      <c r="K292" t="s">
        <v>1044</v>
      </c>
      <c r="L292" t="s">
        <v>204</v>
      </c>
      <c r="M292" t="s">
        <v>252</v>
      </c>
      <c r="N292" s="6" t="s">
        <v>1045</v>
      </c>
      <c r="O292" t="s">
        <v>1046</v>
      </c>
      <c r="P292" t="s">
        <v>1047</v>
      </c>
      <c r="Q292" t="s">
        <v>195</v>
      </c>
      <c r="R292" t="s">
        <v>1048</v>
      </c>
      <c r="S292">
        <v>2013</v>
      </c>
      <c r="T292" t="s">
        <v>128</v>
      </c>
      <c r="U292" t="s">
        <v>173</v>
      </c>
      <c r="V292">
        <v>0</v>
      </c>
      <c r="W292">
        <v>0</v>
      </c>
      <c r="X292">
        <v>0</v>
      </c>
      <c r="Y292">
        <v>0</v>
      </c>
      <c r="Z292">
        <v>0</v>
      </c>
      <c r="AA292">
        <v>0</v>
      </c>
      <c r="AB292">
        <v>0</v>
      </c>
      <c r="AC292">
        <v>0</v>
      </c>
      <c r="AD292">
        <v>0</v>
      </c>
      <c r="AF292">
        <v>200</v>
      </c>
      <c r="AG292">
        <v>0</v>
      </c>
      <c r="AH292" t="s">
        <v>1049</v>
      </c>
      <c r="AI292">
        <v>0</v>
      </c>
      <c r="AJ292">
        <v>0</v>
      </c>
      <c r="AK292">
        <v>0</v>
      </c>
      <c r="AL292">
        <v>0</v>
      </c>
      <c r="AM292" t="s">
        <v>1049</v>
      </c>
      <c r="AN292" t="s">
        <v>132</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229</v>
      </c>
      <c r="BO292">
        <v>0</v>
      </c>
      <c r="BP292">
        <v>0</v>
      </c>
      <c r="BQ292">
        <v>0</v>
      </c>
      <c r="BR292">
        <v>0</v>
      </c>
      <c r="BS292">
        <v>0</v>
      </c>
      <c r="BT292">
        <v>0</v>
      </c>
      <c r="BU292">
        <v>0</v>
      </c>
      <c r="BV292">
        <v>0</v>
      </c>
      <c r="BW292">
        <v>0</v>
      </c>
      <c r="BX292">
        <v>0</v>
      </c>
      <c r="BY292">
        <v>0</v>
      </c>
      <c r="BZ292">
        <v>0</v>
      </c>
      <c r="CA292">
        <v>0</v>
      </c>
      <c r="CB292">
        <v>0</v>
      </c>
      <c r="CC292">
        <v>0</v>
      </c>
      <c r="CD292">
        <v>0</v>
      </c>
      <c r="CE29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92" s="19">
        <f>SUM(Table1[[#This Row],[Mid39]],Table1[[#This Row],[Mid36]],Table1[[#This Row],[Mid33]],Table1[[#This Row],[Mid30]],Table1[[#This Row],[Mid27]],Table1[[#This Row],[Mid24]],Table1[[#This Row],[Mid21]],Table1[[#This Row],[Mid18]],Table1[[#This Row],[Mid15]],Table1[[#This Row],[Mid12]],Table1[[#This Row],[Mid9]],Table1[[#This Row],[Mid6]],Table1[[#This Row],[Mid3]],Table1[[#This Row],[Mid]])</f>
        <v>229</v>
      </c>
      <c r="CG29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92" t="s">
        <v>157</v>
      </c>
      <c r="CI292" t="s">
        <v>134</v>
      </c>
      <c r="CJ292" t="s">
        <v>158</v>
      </c>
      <c r="CL292" s="19">
        <f>IF(Table1[[#This Row],[Type]]="Petroleum",1,IF(ISERROR(Table1[[#This Row],[Well Density]]*Table1[[#This Row],[Single Well Discovery Area]]),"",IF(Table1[[#This Row],[Well Density]]*Table1[[#This Row],[Single Well Discovery Area]]&gt;1,1,Table1[[#This Row],[Well Density]]*Table1[[#This Row],[Single Well Discovery Area]])))</f>
        <v>1</v>
      </c>
      <c r="CM292" t="s">
        <v>158</v>
      </c>
      <c r="CN292" s="19">
        <f>Table1[[#This Row],[Mid]]</f>
        <v>0</v>
      </c>
      <c r="CO292" s="19">
        <f>Table1[[#This Row],[Mid3]]+Table1[[#This Row],[Mid6]]+Table1[[#This Row],[Mid9]]</f>
        <v>0</v>
      </c>
      <c r="CP292" s="19">
        <f>Table1[[#This Row],[Mid12]]+Table1[[#This Row],[Mid15]]+Table1[[#This Row],[Mid18]]+Table1[[#This Row],[Mid21]]+Table1[[#This Row],[Mid24]]</f>
        <v>229</v>
      </c>
      <c r="CQ292" s="19">
        <f>Table1[[#This Row],[Mid27]]+Table1[[#This Row],[Mid30]]+Table1[[#This Row],[Mid33]]+Table1[[#This Row],[Mid36]]+Table1[[#This Row],[Mid39]]</f>
        <v>0</v>
      </c>
      <c r="CR292" t="s">
        <v>439</v>
      </c>
      <c r="CS292" s="19" t="str">
        <f>IF(AND(Table1[[#This Row],[Low41]]=0, Table1[[#This Row],[High43]]=0),"N","Y")</f>
        <v>N</v>
      </c>
    </row>
    <row r="293" spans="1:97" ht="19.5" customHeight="1" x14ac:dyDescent="0.25">
      <c r="A293">
        <v>10290</v>
      </c>
      <c r="B293" t="s">
        <v>1032</v>
      </c>
      <c r="C293" t="s">
        <v>1050</v>
      </c>
      <c r="D293">
        <v>0.21361111099999999</v>
      </c>
      <c r="E293">
        <v>116.29972220000001</v>
      </c>
      <c r="F293" t="s">
        <v>1051</v>
      </c>
      <c r="G293" t="s">
        <v>1052</v>
      </c>
      <c r="H293" t="s">
        <v>252</v>
      </c>
      <c r="I293" t="s">
        <v>1053</v>
      </c>
      <c r="J293" t="s">
        <v>202</v>
      </c>
      <c r="K293" t="s">
        <v>1044</v>
      </c>
      <c r="L293" t="s">
        <v>204</v>
      </c>
      <c r="M293" t="s">
        <v>252</v>
      </c>
      <c r="N293" s="6" t="s">
        <v>1045</v>
      </c>
      <c r="O293" t="s">
        <v>1046</v>
      </c>
      <c r="P293" t="s">
        <v>1047</v>
      </c>
      <c r="Q293" t="s">
        <v>195</v>
      </c>
      <c r="R293" t="s">
        <v>1054</v>
      </c>
      <c r="S293">
        <v>2013</v>
      </c>
      <c r="T293" t="s">
        <v>128</v>
      </c>
      <c r="U293" t="s">
        <v>173</v>
      </c>
      <c r="V293">
        <v>0</v>
      </c>
      <c r="W293">
        <v>0</v>
      </c>
      <c r="X293">
        <v>0</v>
      </c>
      <c r="Y293">
        <v>0</v>
      </c>
      <c r="Z293">
        <v>0</v>
      </c>
      <c r="AA293">
        <v>0</v>
      </c>
      <c r="AB293">
        <v>0</v>
      </c>
      <c r="AC293">
        <v>0</v>
      </c>
      <c r="AD293">
        <v>0</v>
      </c>
      <c r="AF293">
        <v>200</v>
      </c>
      <c r="AG293">
        <v>0</v>
      </c>
      <c r="AH293" t="s">
        <v>1049</v>
      </c>
      <c r="AI293">
        <v>0</v>
      </c>
      <c r="AJ293">
        <v>0</v>
      </c>
      <c r="AK293">
        <v>0</v>
      </c>
      <c r="AL293">
        <v>0</v>
      </c>
      <c r="AM293" t="s">
        <v>1049</v>
      </c>
      <c r="AN293" t="s">
        <v>132</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129</v>
      </c>
      <c r="BO293">
        <v>0</v>
      </c>
      <c r="BP293">
        <v>0</v>
      </c>
      <c r="BQ293">
        <v>0</v>
      </c>
      <c r="BR293">
        <v>0</v>
      </c>
      <c r="BS293">
        <v>0</v>
      </c>
      <c r="BT293">
        <v>0</v>
      </c>
      <c r="BU293">
        <v>0</v>
      </c>
      <c r="BV293">
        <v>0</v>
      </c>
      <c r="BW293">
        <v>0</v>
      </c>
      <c r="BX293">
        <v>0</v>
      </c>
      <c r="BY293">
        <v>0</v>
      </c>
      <c r="BZ293">
        <v>0</v>
      </c>
      <c r="CA293">
        <v>0</v>
      </c>
      <c r="CB293">
        <v>0</v>
      </c>
      <c r="CC293">
        <v>0</v>
      </c>
      <c r="CD293">
        <v>0</v>
      </c>
      <c r="CE29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93" s="19">
        <f>SUM(Table1[[#This Row],[Mid39]],Table1[[#This Row],[Mid36]],Table1[[#This Row],[Mid33]],Table1[[#This Row],[Mid30]],Table1[[#This Row],[Mid27]],Table1[[#This Row],[Mid24]],Table1[[#This Row],[Mid21]],Table1[[#This Row],[Mid18]],Table1[[#This Row],[Mid15]],Table1[[#This Row],[Mid12]],Table1[[#This Row],[Mid9]],Table1[[#This Row],[Mid6]],Table1[[#This Row],[Mid3]],Table1[[#This Row],[Mid]])</f>
        <v>129</v>
      </c>
      <c r="CG29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93" t="s">
        <v>157</v>
      </c>
      <c r="CI293" t="s">
        <v>134</v>
      </c>
      <c r="CJ293" t="s">
        <v>158</v>
      </c>
      <c r="CL293" s="19">
        <f>IF(Table1[[#This Row],[Type]]="Petroleum",1,IF(ISERROR(Table1[[#This Row],[Well Density]]*Table1[[#This Row],[Single Well Discovery Area]]),"",IF(Table1[[#This Row],[Well Density]]*Table1[[#This Row],[Single Well Discovery Area]]&gt;1,1,Table1[[#This Row],[Well Density]]*Table1[[#This Row],[Single Well Discovery Area]])))</f>
        <v>1</v>
      </c>
      <c r="CM293" t="s">
        <v>158</v>
      </c>
      <c r="CN293" s="19">
        <f>Table1[[#This Row],[Mid]]</f>
        <v>0</v>
      </c>
      <c r="CO293" s="19">
        <f>Table1[[#This Row],[Mid3]]+Table1[[#This Row],[Mid6]]+Table1[[#This Row],[Mid9]]</f>
        <v>0</v>
      </c>
      <c r="CP293" s="19">
        <f>Table1[[#This Row],[Mid12]]+Table1[[#This Row],[Mid15]]+Table1[[#This Row],[Mid18]]+Table1[[#This Row],[Mid21]]+Table1[[#This Row],[Mid24]]</f>
        <v>129</v>
      </c>
      <c r="CQ293" s="19">
        <f>Table1[[#This Row],[Mid27]]+Table1[[#This Row],[Mid30]]+Table1[[#This Row],[Mid33]]+Table1[[#This Row],[Mid36]]+Table1[[#This Row],[Mid39]]</f>
        <v>0</v>
      </c>
      <c r="CR293" t="s">
        <v>439</v>
      </c>
      <c r="CS293" s="19" t="str">
        <f>IF(AND(Table1[[#This Row],[Low41]]=0, Table1[[#This Row],[High43]]=0),"N","Y")</f>
        <v>N</v>
      </c>
    </row>
    <row r="294" spans="1:97" ht="19.5" customHeight="1" x14ac:dyDescent="0.25">
      <c r="A294">
        <v>10291</v>
      </c>
      <c r="B294" t="s">
        <v>1032</v>
      </c>
      <c r="C294" t="s">
        <v>1052</v>
      </c>
      <c r="D294">
        <v>0.30472222199999999</v>
      </c>
      <c r="E294">
        <v>117.43722219999999</v>
      </c>
      <c r="F294" t="s">
        <v>1055</v>
      </c>
      <c r="G294" t="s">
        <v>1052</v>
      </c>
      <c r="H294" t="s">
        <v>1056</v>
      </c>
      <c r="I294" t="s">
        <v>118</v>
      </c>
      <c r="J294" t="s">
        <v>119</v>
      </c>
      <c r="K294" t="s">
        <v>190</v>
      </c>
      <c r="L294" t="s">
        <v>18</v>
      </c>
      <c r="N294" s="6" t="s">
        <v>1037</v>
      </c>
      <c r="P294" t="s">
        <v>1057</v>
      </c>
      <c r="Q294" t="s">
        <v>1058</v>
      </c>
      <c r="R294" t="s">
        <v>1040</v>
      </c>
      <c r="S294">
        <v>2010</v>
      </c>
      <c r="T294" t="s">
        <v>128</v>
      </c>
      <c r="U294" t="s">
        <v>173</v>
      </c>
      <c r="V294">
        <v>0</v>
      </c>
      <c r="W294">
        <v>936</v>
      </c>
      <c r="X294">
        <v>21</v>
      </c>
      <c r="Y294">
        <v>0</v>
      </c>
      <c r="Z294">
        <v>28</v>
      </c>
      <c r="AA294">
        <v>1000</v>
      </c>
      <c r="AB294">
        <v>0</v>
      </c>
      <c r="AC294">
        <v>0</v>
      </c>
      <c r="AD294">
        <v>0</v>
      </c>
      <c r="AF294">
        <v>200</v>
      </c>
      <c r="AG294">
        <v>8.9976617999999995</v>
      </c>
      <c r="AI294">
        <v>0</v>
      </c>
      <c r="AJ294">
        <v>0</v>
      </c>
      <c r="AK294">
        <v>14.996103</v>
      </c>
      <c r="AL294">
        <v>0</v>
      </c>
      <c r="AN294" t="s">
        <v>132</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33</v>
      </c>
      <c r="CD294">
        <v>0</v>
      </c>
      <c r="CE29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94" s="19">
        <f>SUM(Table1[[#This Row],[Mid39]],Table1[[#This Row],[Mid36]],Table1[[#This Row],[Mid33]],Table1[[#This Row],[Mid30]],Table1[[#This Row],[Mid27]],Table1[[#This Row],[Mid24]],Table1[[#This Row],[Mid21]],Table1[[#This Row],[Mid18]],Table1[[#This Row],[Mid15]],Table1[[#This Row],[Mid12]],Table1[[#This Row],[Mid9]],Table1[[#This Row],[Mid6]],Table1[[#This Row],[Mid3]],Table1[[#This Row],[Mid]])</f>
        <v>33</v>
      </c>
      <c r="CG29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94" t="s">
        <v>157</v>
      </c>
      <c r="CI294" t="s">
        <v>134</v>
      </c>
      <c r="CJ294" t="s">
        <v>135</v>
      </c>
      <c r="CL294" s="19">
        <f>IF(Table1[[#This Row],[Type]]="Petroleum",1,IF(ISERROR(Table1[[#This Row],[Well Density]]*Table1[[#This Row],[Single Well Discovery Area]]),"",IF(Table1[[#This Row],[Well Density]]*Table1[[#This Row],[Single Well Discovery Area]]&gt;1,1,Table1[[#This Row],[Well Density]]*Table1[[#This Row],[Single Well Discovery Area]])))</f>
        <v>0</v>
      </c>
      <c r="CM294" t="s">
        <v>135</v>
      </c>
      <c r="CN294" s="19">
        <f>Table1[[#This Row],[Mid]]</f>
        <v>0</v>
      </c>
      <c r="CO294" s="19">
        <f>Table1[[#This Row],[Mid3]]+Table1[[#This Row],[Mid6]]+Table1[[#This Row],[Mid9]]</f>
        <v>0</v>
      </c>
      <c r="CP294" s="19">
        <f>Table1[[#This Row],[Mid12]]+Table1[[#This Row],[Mid15]]+Table1[[#This Row],[Mid18]]+Table1[[#This Row],[Mid21]]+Table1[[#This Row],[Mid24]]</f>
        <v>0</v>
      </c>
      <c r="CQ294" s="19">
        <f>Table1[[#This Row],[Mid27]]+Table1[[#This Row],[Mid30]]+Table1[[#This Row],[Mid33]]+Table1[[#This Row],[Mid36]]+Table1[[#This Row],[Mid39]]</f>
        <v>33</v>
      </c>
      <c r="CR294" t="s">
        <v>439</v>
      </c>
      <c r="CS294" s="19" t="str">
        <f>IF(AND(Table1[[#This Row],[Low41]]=0, Table1[[#This Row],[High43]]=0),"N","Y")</f>
        <v>N</v>
      </c>
    </row>
    <row r="295" spans="1:97" ht="19.5" customHeight="1" x14ac:dyDescent="0.25">
      <c r="A295">
        <v>10292</v>
      </c>
      <c r="B295" t="s">
        <v>1032</v>
      </c>
      <c r="C295" t="s">
        <v>1059</v>
      </c>
      <c r="D295">
        <v>-6.7705555559999997</v>
      </c>
      <c r="E295">
        <v>112.94750000000001</v>
      </c>
      <c r="F295" t="s">
        <v>1060</v>
      </c>
      <c r="G295" t="s">
        <v>1061</v>
      </c>
      <c r="H295" t="s">
        <v>252</v>
      </c>
      <c r="I295" t="s">
        <v>1053</v>
      </c>
      <c r="J295" t="s">
        <v>202</v>
      </c>
      <c r="K295" t="s">
        <v>1044</v>
      </c>
      <c r="L295" t="s">
        <v>204</v>
      </c>
      <c r="M295" t="s">
        <v>252</v>
      </c>
      <c r="N295" s="6" t="s">
        <v>1045</v>
      </c>
      <c r="O295" t="s">
        <v>1046</v>
      </c>
      <c r="P295" t="s">
        <v>1047</v>
      </c>
      <c r="Q295" t="s">
        <v>195</v>
      </c>
      <c r="R295" t="s">
        <v>1048</v>
      </c>
      <c r="S295">
        <v>2013</v>
      </c>
      <c r="T295" t="s">
        <v>128</v>
      </c>
      <c r="U295" t="s">
        <v>173</v>
      </c>
      <c r="V295">
        <v>0</v>
      </c>
      <c r="W295">
        <v>0</v>
      </c>
      <c r="X295">
        <v>0</v>
      </c>
      <c r="Y295">
        <v>0</v>
      </c>
      <c r="Z295">
        <v>0</v>
      </c>
      <c r="AA295">
        <v>0</v>
      </c>
      <c r="AB295">
        <v>0</v>
      </c>
      <c r="AC295">
        <v>0</v>
      </c>
      <c r="AD295">
        <v>0</v>
      </c>
      <c r="AF295">
        <v>200</v>
      </c>
      <c r="AG295">
        <v>0</v>
      </c>
      <c r="AH295" t="s">
        <v>1049</v>
      </c>
      <c r="AI295">
        <v>0</v>
      </c>
      <c r="AJ295">
        <v>0</v>
      </c>
      <c r="AK295">
        <v>0</v>
      </c>
      <c r="AL295">
        <v>0</v>
      </c>
      <c r="AM295" t="s">
        <v>1049</v>
      </c>
      <c r="AN295" t="s">
        <v>132</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94</v>
      </c>
      <c r="BO295">
        <v>0</v>
      </c>
      <c r="BP295">
        <v>0</v>
      </c>
      <c r="BQ295">
        <v>0</v>
      </c>
      <c r="BR295">
        <v>0</v>
      </c>
      <c r="BS295">
        <v>0</v>
      </c>
      <c r="BT295">
        <v>0</v>
      </c>
      <c r="BU295">
        <v>0</v>
      </c>
      <c r="BV295">
        <v>0</v>
      </c>
      <c r="BW295">
        <v>0</v>
      </c>
      <c r="BX295">
        <v>0</v>
      </c>
      <c r="BY295">
        <v>0</v>
      </c>
      <c r="BZ295">
        <v>0</v>
      </c>
      <c r="CA295">
        <v>0</v>
      </c>
      <c r="CB295">
        <v>0</v>
      </c>
      <c r="CC295">
        <v>0</v>
      </c>
      <c r="CD295">
        <v>0</v>
      </c>
      <c r="CE29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95" s="19">
        <f>SUM(Table1[[#This Row],[Mid39]],Table1[[#This Row],[Mid36]],Table1[[#This Row],[Mid33]],Table1[[#This Row],[Mid30]],Table1[[#This Row],[Mid27]],Table1[[#This Row],[Mid24]],Table1[[#This Row],[Mid21]],Table1[[#This Row],[Mid18]],Table1[[#This Row],[Mid15]],Table1[[#This Row],[Mid12]],Table1[[#This Row],[Mid9]],Table1[[#This Row],[Mid6]],Table1[[#This Row],[Mid3]],Table1[[#This Row],[Mid]])</f>
        <v>94</v>
      </c>
      <c r="CG29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95" t="s">
        <v>157</v>
      </c>
      <c r="CI295" t="s">
        <v>134</v>
      </c>
      <c r="CJ295" t="s">
        <v>158</v>
      </c>
      <c r="CL295" s="19">
        <f>IF(Table1[[#This Row],[Type]]="Petroleum",1,IF(ISERROR(Table1[[#This Row],[Well Density]]*Table1[[#This Row],[Single Well Discovery Area]]),"",IF(Table1[[#This Row],[Well Density]]*Table1[[#This Row],[Single Well Discovery Area]]&gt;1,1,Table1[[#This Row],[Well Density]]*Table1[[#This Row],[Single Well Discovery Area]])))</f>
        <v>1</v>
      </c>
      <c r="CM295" t="s">
        <v>158</v>
      </c>
      <c r="CN295" s="19">
        <f>Table1[[#This Row],[Mid]]</f>
        <v>0</v>
      </c>
      <c r="CO295" s="19">
        <f>Table1[[#This Row],[Mid3]]+Table1[[#This Row],[Mid6]]+Table1[[#This Row],[Mid9]]</f>
        <v>0</v>
      </c>
      <c r="CP295" s="19">
        <f>Table1[[#This Row],[Mid12]]+Table1[[#This Row],[Mid15]]+Table1[[#This Row],[Mid18]]+Table1[[#This Row],[Mid21]]+Table1[[#This Row],[Mid24]]</f>
        <v>94</v>
      </c>
      <c r="CQ295" s="19">
        <f>Table1[[#This Row],[Mid27]]+Table1[[#This Row],[Mid30]]+Table1[[#This Row],[Mid33]]+Table1[[#This Row],[Mid36]]+Table1[[#This Row],[Mid39]]</f>
        <v>0</v>
      </c>
      <c r="CR295" t="s">
        <v>439</v>
      </c>
      <c r="CS295" s="19" t="str">
        <f>IF(AND(Table1[[#This Row],[Low41]]=0, Table1[[#This Row],[High43]]=0),"N","Y")</f>
        <v>N</v>
      </c>
    </row>
    <row r="296" spans="1:97" ht="19.5" customHeight="1" x14ac:dyDescent="0.25">
      <c r="A296">
        <v>10293</v>
      </c>
      <c r="B296" t="s">
        <v>1032</v>
      </c>
      <c r="C296" t="s">
        <v>1062</v>
      </c>
      <c r="D296">
        <v>5.8227777779999998</v>
      </c>
      <c r="E296">
        <v>96.402500000000003</v>
      </c>
      <c r="F296" t="s">
        <v>1063</v>
      </c>
      <c r="G296" t="s">
        <v>1064</v>
      </c>
      <c r="H296" t="s">
        <v>1065</v>
      </c>
      <c r="I296" t="s">
        <v>118</v>
      </c>
      <c r="J296" t="s">
        <v>119</v>
      </c>
      <c r="K296" t="s">
        <v>190</v>
      </c>
      <c r="L296" t="s">
        <v>18</v>
      </c>
      <c r="N296" s="6" t="s">
        <v>1037</v>
      </c>
      <c r="P296" t="s">
        <v>1066</v>
      </c>
      <c r="Q296" t="s">
        <v>1067</v>
      </c>
      <c r="R296" t="s">
        <v>1040</v>
      </c>
      <c r="S296">
        <v>2010</v>
      </c>
      <c r="T296" t="s">
        <v>128</v>
      </c>
      <c r="U296" t="s">
        <v>173</v>
      </c>
      <c r="V296">
        <v>0</v>
      </c>
      <c r="W296">
        <v>3048</v>
      </c>
      <c r="X296">
        <v>152</v>
      </c>
      <c r="Y296">
        <v>0</v>
      </c>
      <c r="Z296">
        <v>18</v>
      </c>
      <c r="AA296">
        <v>400</v>
      </c>
      <c r="AB296">
        <v>0</v>
      </c>
      <c r="AC296">
        <v>0</v>
      </c>
      <c r="AD296">
        <v>0</v>
      </c>
      <c r="AF296">
        <v>200</v>
      </c>
      <c r="AG296">
        <v>29.999100760000001</v>
      </c>
      <c r="AI296">
        <v>0</v>
      </c>
      <c r="AJ296">
        <v>0</v>
      </c>
      <c r="AK296">
        <v>49.001059320000003</v>
      </c>
      <c r="AL296">
        <v>0</v>
      </c>
      <c r="AN296" t="s">
        <v>132</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141.4</v>
      </c>
      <c r="CD296">
        <v>0</v>
      </c>
      <c r="CE29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96" s="19">
        <f>SUM(Table1[[#This Row],[Mid39]],Table1[[#This Row],[Mid36]],Table1[[#This Row],[Mid33]],Table1[[#This Row],[Mid30]],Table1[[#This Row],[Mid27]],Table1[[#This Row],[Mid24]],Table1[[#This Row],[Mid21]],Table1[[#This Row],[Mid18]],Table1[[#This Row],[Mid15]],Table1[[#This Row],[Mid12]],Table1[[#This Row],[Mid9]],Table1[[#This Row],[Mid6]],Table1[[#This Row],[Mid3]],Table1[[#This Row],[Mid]])</f>
        <v>141.4</v>
      </c>
      <c r="CG29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96" t="s">
        <v>157</v>
      </c>
      <c r="CI296" t="s">
        <v>134</v>
      </c>
      <c r="CJ296" t="s">
        <v>135</v>
      </c>
      <c r="CL296" s="19">
        <f>IF(Table1[[#This Row],[Type]]="Petroleum",1,IF(ISERROR(Table1[[#This Row],[Well Density]]*Table1[[#This Row],[Single Well Discovery Area]]),"",IF(Table1[[#This Row],[Well Density]]*Table1[[#This Row],[Single Well Discovery Area]]&gt;1,1,Table1[[#This Row],[Well Density]]*Table1[[#This Row],[Single Well Discovery Area]])))</f>
        <v>0</v>
      </c>
      <c r="CM296" t="s">
        <v>135</v>
      </c>
      <c r="CN296" s="19">
        <f>Table1[[#This Row],[Mid]]</f>
        <v>0</v>
      </c>
      <c r="CO296" s="19">
        <f>Table1[[#This Row],[Mid3]]+Table1[[#This Row],[Mid6]]+Table1[[#This Row],[Mid9]]</f>
        <v>0</v>
      </c>
      <c r="CP296" s="19">
        <f>Table1[[#This Row],[Mid12]]+Table1[[#This Row],[Mid15]]+Table1[[#This Row],[Mid18]]+Table1[[#This Row],[Mid21]]+Table1[[#This Row],[Mid24]]</f>
        <v>0</v>
      </c>
      <c r="CQ296" s="19">
        <f>Table1[[#This Row],[Mid27]]+Table1[[#This Row],[Mid30]]+Table1[[#This Row],[Mid33]]+Table1[[#This Row],[Mid36]]+Table1[[#This Row],[Mid39]]</f>
        <v>141.4</v>
      </c>
      <c r="CR296" t="s">
        <v>439</v>
      </c>
      <c r="CS296" s="19" t="str">
        <f>IF(AND(Table1[[#This Row],[Low41]]=0, Table1[[#This Row],[High43]]=0),"N","Y")</f>
        <v>N</v>
      </c>
    </row>
    <row r="297" spans="1:97" ht="19.5" customHeight="1" x14ac:dyDescent="0.25">
      <c r="A297">
        <v>10294</v>
      </c>
      <c r="B297" t="s">
        <v>1032</v>
      </c>
      <c r="C297" t="s">
        <v>1062</v>
      </c>
      <c r="D297">
        <v>5.6719444440000002</v>
      </c>
      <c r="E297">
        <v>96.798611109999996</v>
      </c>
      <c r="F297" t="s">
        <v>1068</v>
      </c>
      <c r="G297" t="s">
        <v>1064</v>
      </c>
      <c r="H297" t="s">
        <v>1069</v>
      </c>
      <c r="I297" t="s">
        <v>118</v>
      </c>
      <c r="J297" t="s">
        <v>119</v>
      </c>
      <c r="K297" t="s">
        <v>190</v>
      </c>
      <c r="L297" t="s">
        <v>18</v>
      </c>
      <c r="N297" s="6" t="s">
        <v>1037</v>
      </c>
      <c r="P297" t="s">
        <v>1070</v>
      </c>
      <c r="Q297" t="s">
        <v>1071</v>
      </c>
      <c r="R297" t="s">
        <v>1040</v>
      </c>
      <c r="S297">
        <v>2010</v>
      </c>
      <c r="T297" t="s">
        <v>128</v>
      </c>
      <c r="U297" t="s">
        <v>173</v>
      </c>
      <c r="V297">
        <v>0</v>
      </c>
      <c r="W297">
        <v>3048</v>
      </c>
      <c r="X297">
        <v>152</v>
      </c>
      <c r="Y297">
        <v>0</v>
      </c>
      <c r="Z297">
        <v>22</v>
      </c>
      <c r="AA297">
        <v>500</v>
      </c>
      <c r="AB297">
        <v>0</v>
      </c>
      <c r="AC297">
        <v>0</v>
      </c>
      <c r="AD297">
        <v>0</v>
      </c>
      <c r="AF297">
        <v>200</v>
      </c>
      <c r="AG297">
        <v>29.999100760000001</v>
      </c>
      <c r="AI297">
        <v>0</v>
      </c>
      <c r="AJ297">
        <v>0</v>
      </c>
      <c r="AK297">
        <v>49.001059320000003</v>
      </c>
      <c r="AL297">
        <v>0</v>
      </c>
      <c r="AN297" t="s">
        <v>132</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37.5</v>
      </c>
      <c r="CD297">
        <v>0</v>
      </c>
      <c r="CE29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97" s="19">
        <f>SUM(Table1[[#This Row],[Mid39]],Table1[[#This Row],[Mid36]],Table1[[#This Row],[Mid33]],Table1[[#This Row],[Mid30]],Table1[[#This Row],[Mid27]],Table1[[#This Row],[Mid24]],Table1[[#This Row],[Mid21]],Table1[[#This Row],[Mid18]],Table1[[#This Row],[Mid15]],Table1[[#This Row],[Mid12]],Table1[[#This Row],[Mid9]],Table1[[#This Row],[Mid6]],Table1[[#This Row],[Mid3]],Table1[[#This Row],[Mid]])</f>
        <v>37.5</v>
      </c>
      <c r="CG29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97" t="s">
        <v>157</v>
      </c>
      <c r="CI297" t="s">
        <v>134</v>
      </c>
      <c r="CJ297" t="s">
        <v>135</v>
      </c>
      <c r="CL297" s="19">
        <f>IF(Table1[[#This Row],[Type]]="Petroleum",1,IF(ISERROR(Table1[[#This Row],[Well Density]]*Table1[[#This Row],[Single Well Discovery Area]]),"",IF(Table1[[#This Row],[Well Density]]*Table1[[#This Row],[Single Well Discovery Area]]&gt;1,1,Table1[[#This Row],[Well Density]]*Table1[[#This Row],[Single Well Discovery Area]])))</f>
        <v>0</v>
      </c>
      <c r="CM297" t="s">
        <v>135</v>
      </c>
      <c r="CN297" s="19">
        <f>Table1[[#This Row],[Mid]]</f>
        <v>0</v>
      </c>
      <c r="CO297" s="19">
        <f>Table1[[#This Row],[Mid3]]+Table1[[#This Row],[Mid6]]+Table1[[#This Row],[Mid9]]</f>
        <v>0</v>
      </c>
      <c r="CP297" s="19">
        <f>Table1[[#This Row],[Mid12]]+Table1[[#This Row],[Mid15]]+Table1[[#This Row],[Mid18]]+Table1[[#This Row],[Mid21]]+Table1[[#This Row],[Mid24]]</f>
        <v>0</v>
      </c>
      <c r="CQ297" s="19">
        <f>Table1[[#This Row],[Mid27]]+Table1[[#This Row],[Mid30]]+Table1[[#This Row],[Mid33]]+Table1[[#This Row],[Mid36]]+Table1[[#This Row],[Mid39]]</f>
        <v>37.5</v>
      </c>
      <c r="CR297" t="s">
        <v>439</v>
      </c>
      <c r="CS297" s="19" t="str">
        <f>IF(AND(Table1[[#This Row],[Low41]]=0, Table1[[#This Row],[High43]]=0),"N","Y")</f>
        <v>N</v>
      </c>
    </row>
    <row r="298" spans="1:97" ht="19.5" customHeight="1" x14ac:dyDescent="0.25">
      <c r="A298">
        <v>10295</v>
      </c>
      <c r="B298" t="s">
        <v>1032</v>
      </c>
      <c r="C298" t="s">
        <v>1072</v>
      </c>
      <c r="D298">
        <v>3.5741666670000001</v>
      </c>
      <c r="E298">
        <v>109.3677778</v>
      </c>
      <c r="F298" t="s">
        <v>1073</v>
      </c>
      <c r="G298" t="s">
        <v>1074</v>
      </c>
      <c r="H298" t="s">
        <v>1075</v>
      </c>
      <c r="I298" t="s">
        <v>118</v>
      </c>
      <c r="J298" t="s">
        <v>119</v>
      </c>
      <c r="K298" t="s">
        <v>190</v>
      </c>
      <c r="L298" t="s">
        <v>18</v>
      </c>
      <c r="M298" t="s">
        <v>1076</v>
      </c>
      <c r="N298" s="6" t="s">
        <v>1037</v>
      </c>
      <c r="O298" t="s">
        <v>1077</v>
      </c>
      <c r="P298" t="s">
        <v>1078</v>
      </c>
      <c r="Q298" t="s">
        <v>1079</v>
      </c>
      <c r="R298" t="s">
        <v>1080</v>
      </c>
      <c r="S298">
        <v>2010</v>
      </c>
      <c r="T298" t="s">
        <v>128</v>
      </c>
      <c r="U298" t="s">
        <v>173</v>
      </c>
      <c r="V298">
        <v>39500</v>
      </c>
      <c r="W298">
        <v>3429</v>
      </c>
      <c r="X298">
        <v>912.5</v>
      </c>
      <c r="Y298">
        <v>0</v>
      </c>
      <c r="Z298">
        <v>24</v>
      </c>
      <c r="AA298">
        <v>250</v>
      </c>
      <c r="AB298">
        <v>0</v>
      </c>
      <c r="AC298">
        <v>0</v>
      </c>
      <c r="AD298">
        <v>0</v>
      </c>
      <c r="AE298">
        <v>0</v>
      </c>
      <c r="AF298">
        <v>200</v>
      </c>
      <c r="AG298">
        <v>39.400016389999998</v>
      </c>
      <c r="AI298">
        <v>0</v>
      </c>
      <c r="AJ298">
        <v>0</v>
      </c>
      <c r="AK298">
        <v>54.900022919999998</v>
      </c>
      <c r="AL298">
        <v>0</v>
      </c>
      <c r="AN298" t="s">
        <v>132</v>
      </c>
      <c r="AO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4113.2</v>
      </c>
      <c r="CD298">
        <v>0</v>
      </c>
      <c r="CE29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98" s="19">
        <f>SUM(Table1[[#This Row],[Mid39]],Table1[[#This Row],[Mid36]],Table1[[#This Row],[Mid33]],Table1[[#This Row],[Mid30]],Table1[[#This Row],[Mid27]],Table1[[#This Row],[Mid24]],Table1[[#This Row],[Mid21]],Table1[[#This Row],[Mid18]],Table1[[#This Row],[Mid15]],Table1[[#This Row],[Mid12]],Table1[[#This Row],[Mid9]],Table1[[#This Row],[Mid6]],Table1[[#This Row],[Mid3]],Table1[[#This Row],[Mid]])</f>
        <v>4113.2</v>
      </c>
      <c r="CG29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98" t="s">
        <v>157</v>
      </c>
      <c r="CI298" t="s">
        <v>176</v>
      </c>
      <c r="CJ298" t="s">
        <v>135</v>
      </c>
      <c r="CL298" s="19">
        <f>IF(Table1[[#This Row],[Type]]="Petroleum",1,IF(ISERROR(Table1[[#This Row],[Well Density]]*Table1[[#This Row],[Single Well Discovery Area]]),"",IF(Table1[[#This Row],[Well Density]]*Table1[[#This Row],[Single Well Discovery Area]]&gt;1,1,Table1[[#This Row],[Well Density]]*Table1[[#This Row],[Single Well Discovery Area]])))</f>
        <v>0</v>
      </c>
      <c r="CM298" s="24" t="s">
        <v>135</v>
      </c>
      <c r="CN298" s="19">
        <f>Table1[[#This Row],[Mid]]</f>
        <v>0</v>
      </c>
      <c r="CO298" s="19">
        <f>Table1[[#This Row],[Mid3]]+Table1[[#This Row],[Mid6]]+Table1[[#This Row],[Mid9]]</f>
        <v>0</v>
      </c>
      <c r="CP298" s="19">
        <f>Table1[[#This Row],[Mid12]]+Table1[[#This Row],[Mid15]]+Table1[[#This Row],[Mid18]]+Table1[[#This Row],[Mid21]]+Table1[[#This Row],[Mid24]]</f>
        <v>0</v>
      </c>
      <c r="CQ298" s="19">
        <f>Table1[[#This Row],[Mid27]]+Table1[[#This Row],[Mid30]]+Table1[[#This Row],[Mid33]]+Table1[[#This Row],[Mid36]]+Table1[[#This Row],[Mid39]]</f>
        <v>4113.2</v>
      </c>
      <c r="CR298" t="s">
        <v>439</v>
      </c>
      <c r="CS298" s="19" t="str">
        <f>IF(AND(Table1[[#This Row],[Low41]]=0, Table1[[#This Row],[High43]]=0),"N","Y")</f>
        <v>N</v>
      </c>
    </row>
    <row r="299" spans="1:97" ht="19.5" customHeight="1" x14ac:dyDescent="0.25">
      <c r="A299">
        <v>10296</v>
      </c>
      <c r="B299" t="s">
        <v>1032</v>
      </c>
      <c r="C299" t="s">
        <v>1081</v>
      </c>
      <c r="D299">
        <v>-1.031111111</v>
      </c>
      <c r="E299">
        <v>130.9180556</v>
      </c>
      <c r="F299" t="s">
        <v>1082</v>
      </c>
      <c r="G299" t="s">
        <v>1083</v>
      </c>
      <c r="H299" t="s">
        <v>252</v>
      </c>
      <c r="I299" t="s">
        <v>1053</v>
      </c>
      <c r="J299" t="s">
        <v>202</v>
      </c>
      <c r="K299" t="s">
        <v>1044</v>
      </c>
      <c r="L299" t="s">
        <v>204</v>
      </c>
      <c r="M299" t="s">
        <v>252</v>
      </c>
      <c r="N299" s="6" t="s">
        <v>1045</v>
      </c>
      <c r="O299" t="s">
        <v>1046</v>
      </c>
      <c r="P299" t="s">
        <v>1047</v>
      </c>
      <c r="Q299" t="s">
        <v>195</v>
      </c>
      <c r="R299" t="s">
        <v>1048</v>
      </c>
      <c r="S299">
        <v>2013</v>
      </c>
      <c r="T299" t="s">
        <v>128</v>
      </c>
      <c r="U299" t="s">
        <v>173</v>
      </c>
      <c r="V299">
        <v>0</v>
      </c>
      <c r="W299">
        <v>0</v>
      </c>
      <c r="X299">
        <v>0</v>
      </c>
      <c r="Y299">
        <v>0</v>
      </c>
      <c r="Z299">
        <v>0</v>
      </c>
      <c r="AA299">
        <v>0</v>
      </c>
      <c r="AB299">
        <v>0</v>
      </c>
      <c r="AC299">
        <v>0</v>
      </c>
      <c r="AD299">
        <v>0</v>
      </c>
      <c r="AF299">
        <v>200</v>
      </c>
      <c r="AG299">
        <v>0</v>
      </c>
      <c r="AH299" t="s">
        <v>1049</v>
      </c>
      <c r="AI299">
        <v>0</v>
      </c>
      <c r="AJ299">
        <v>0</v>
      </c>
      <c r="AK299">
        <v>0</v>
      </c>
      <c r="AL299">
        <v>0</v>
      </c>
      <c r="AM299" t="s">
        <v>1049</v>
      </c>
      <c r="AN299" t="s">
        <v>132</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12</v>
      </c>
      <c r="BO299">
        <v>0</v>
      </c>
      <c r="BP299">
        <v>0</v>
      </c>
      <c r="BQ299">
        <v>0</v>
      </c>
      <c r="BR299">
        <v>0</v>
      </c>
      <c r="BS299">
        <v>0</v>
      </c>
      <c r="BT299">
        <v>0</v>
      </c>
      <c r="BU299">
        <v>0</v>
      </c>
      <c r="BV299">
        <v>0</v>
      </c>
      <c r="BW299">
        <v>0</v>
      </c>
      <c r="BX299">
        <v>0</v>
      </c>
      <c r="BY299">
        <v>0</v>
      </c>
      <c r="BZ299">
        <v>0</v>
      </c>
      <c r="CA299">
        <v>0</v>
      </c>
      <c r="CB299">
        <v>0</v>
      </c>
      <c r="CC299">
        <v>0</v>
      </c>
      <c r="CD299">
        <v>0</v>
      </c>
      <c r="CE29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299" s="19">
        <f>SUM(Table1[[#This Row],[Mid39]],Table1[[#This Row],[Mid36]],Table1[[#This Row],[Mid33]],Table1[[#This Row],[Mid30]],Table1[[#This Row],[Mid27]],Table1[[#This Row],[Mid24]],Table1[[#This Row],[Mid21]],Table1[[#This Row],[Mid18]],Table1[[#This Row],[Mid15]],Table1[[#This Row],[Mid12]],Table1[[#This Row],[Mid9]],Table1[[#This Row],[Mid6]],Table1[[#This Row],[Mid3]],Table1[[#This Row],[Mid]])</f>
        <v>12</v>
      </c>
      <c r="CG29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299" t="s">
        <v>157</v>
      </c>
      <c r="CI299" t="s">
        <v>134</v>
      </c>
      <c r="CJ299" t="s">
        <v>158</v>
      </c>
      <c r="CL299" s="19">
        <f>IF(Table1[[#This Row],[Type]]="Petroleum",1,IF(ISERROR(Table1[[#This Row],[Well Density]]*Table1[[#This Row],[Single Well Discovery Area]]),"",IF(Table1[[#This Row],[Well Density]]*Table1[[#This Row],[Single Well Discovery Area]]&gt;1,1,Table1[[#This Row],[Well Density]]*Table1[[#This Row],[Single Well Discovery Area]])))</f>
        <v>1</v>
      </c>
      <c r="CM299" t="s">
        <v>158</v>
      </c>
      <c r="CN299" s="19">
        <f>Table1[[#This Row],[Mid]]</f>
        <v>0</v>
      </c>
      <c r="CO299" s="19">
        <f>Table1[[#This Row],[Mid3]]+Table1[[#This Row],[Mid6]]+Table1[[#This Row],[Mid9]]</f>
        <v>0</v>
      </c>
      <c r="CP299" s="19">
        <f>Table1[[#This Row],[Mid12]]+Table1[[#This Row],[Mid15]]+Table1[[#This Row],[Mid18]]+Table1[[#This Row],[Mid21]]+Table1[[#This Row],[Mid24]]</f>
        <v>12</v>
      </c>
      <c r="CQ299" s="19">
        <f>Table1[[#This Row],[Mid27]]+Table1[[#This Row],[Mid30]]+Table1[[#This Row],[Mid33]]+Table1[[#This Row],[Mid36]]+Table1[[#This Row],[Mid39]]</f>
        <v>0</v>
      </c>
      <c r="CR299" t="s">
        <v>439</v>
      </c>
      <c r="CS299" s="19" t="str">
        <f>IF(AND(Table1[[#This Row],[Low41]]=0, Table1[[#This Row],[High43]]=0),"N","Y")</f>
        <v>N</v>
      </c>
    </row>
    <row r="300" spans="1:97" ht="19.5" customHeight="1" x14ac:dyDescent="0.25">
      <c r="A300">
        <v>10297</v>
      </c>
      <c r="B300" t="s">
        <v>1032</v>
      </c>
      <c r="C300" t="s">
        <v>1084</v>
      </c>
      <c r="D300">
        <v>-2.517222222</v>
      </c>
      <c r="E300">
        <v>115.1355556</v>
      </c>
      <c r="F300" t="s">
        <v>1085</v>
      </c>
      <c r="G300" t="s">
        <v>1086</v>
      </c>
      <c r="H300" t="s">
        <v>252</v>
      </c>
      <c r="I300" t="s">
        <v>201</v>
      </c>
      <c r="J300" t="s">
        <v>202</v>
      </c>
      <c r="K300" t="s">
        <v>1044</v>
      </c>
      <c r="L300" t="s">
        <v>204</v>
      </c>
      <c r="M300" t="s">
        <v>252</v>
      </c>
      <c r="N300" s="6" t="s">
        <v>1045</v>
      </c>
      <c r="O300" t="s">
        <v>1046</v>
      </c>
      <c r="P300" t="s">
        <v>1047</v>
      </c>
      <c r="Q300" t="s">
        <v>195</v>
      </c>
      <c r="R300" t="s">
        <v>1048</v>
      </c>
      <c r="S300">
        <v>2013</v>
      </c>
      <c r="T300" t="s">
        <v>128</v>
      </c>
      <c r="U300" t="s">
        <v>173</v>
      </c>
      <c r="V300">
        <v>0</v>
      </c>
      <c r="W300">
        <v>0</v>
      </c>
      <c r="X300">
        <v>0</v>
      </c>
      <c r="Y300">
        <v>0</v>
      </c>
      <c r="Z300">
        <v>0</v>
      </c>
      <c r="AA300">
        <v>0</v>
      </c>
      <c r="AB300">
        <v>0</v>
      </c>
      <c r="AC300">
        <v>0</v>
      </c>
      <c r="AD300">
        <v>0</v>
      </c>
      <c r="AF300">
        <v>200</v>
      </c>
      <c r="AG300">
        <v>0</v>
      </c>
      <c r="AH300" t="s">
        <v>1049</v>
      </c>
      <c r="AI300">
        <v>0</v>
      </c>
      <c r="AJ300">
        <v>0</v>
      </c>
      <c r="AK300">
        <v>0</v>
      </c>
      <c r="AL300">
        <v>0</v>
      </c>
      <c r="AM300" t="s">
        <v>1049</v>
      </c>
      <c r="AN300" t="s">
        <v>132</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10</v>
      </c>
      <c r="BO300">
        <v>0</v>
      </c>
      <c r="BP300">
        <v>0</v>
      </c>
      <c r="BQ300">
        <v>0</v>
      </c>
      <c r="BR300">
        <v>0</v>
      </c>
      <c r="BS300">
        <v>0</v>
      </c>
      <c r="BT300">
        <v>0</v>
      </c>
      <c r="BU300">
        <v>0</v>
      </c>
      <c r="BV300">
        <v>0</v>
      </c>
      <c r="BW300">
        <v>0</v>
      </c>
      <c r="BX300">
        <v>0</v>
      </c>
      <c r="BY300">
        <v>0</v>
      </c>
      <c r="BZ300">
        <v>0</v>
      </c>
      <c r="CA300">
        <v>0</v>
      </c>
      <c r="CB300">
        <v>0</v>
      </c>
      <c r="CC300">
        <v>0</v>
      </c>
      <c r="CD300">
        <v>0</v>
      </c>
      <c r="CE30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00"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30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00" t="s">
        <v>157</v>
      </c>
      <c r="CI300" t="s">
        <v>134</v>
      </c>
      <c r="CJ300" t="s">
        <v>158</v>
      </c>
      <c r="CL300" s="19">
        <f>IF(Table1[[#This Row],[Type]]="Petroleum",1,IF(ISERROR(Table1[[#This Row],[Well Density]]*Table1[[#This Row],[Single Well Discovery Area]]),"",IF(Table1[[#This Row],[Well Density]]*Table1[[#This Row],[Single Well Discovery Area]]&gt;1,1,Table1[[#This Row],[Well Density]]*Table1[[#This Row],[Single Well Discovery Area]])))</f>
        <v>1</v>
      </c>
      <c r="CM300" t="s">
        <v>158</v>
      </c>
      <c r="CN300" s="19">
        <f>Table1[[#This Row],[Mid]]</f>
        <v>0</v>
      </c>
      <c r="CO300" s="19">
        <f>Table1[[#This Row],[Mid3]]+Table1[[#This Row],[Mid6]]+Table1[[#This Row],[Mid9]]</f>
        <v>0</v>
      </c>
      <c r="CP300" s="19">
        <f>Table1[[#This Row],[Mid12]]+Table1[[#This Row],[Mid15]]+Table1[[#This Row],[Mid18]]+Table1[[#This Row],[Mid21]]+Table1[[#This Row],[Mid24]]</f>
        <v>10</v>
      </c>
      <c r="CQ300" s="19">
        <f>Table1[[#This Row],[Mid27]]+Table1[[#This Row],[Mid30]]+Table1[[#This Row],[Mid33]]+Table1[[#This Row],[Mid36]]+Table1[[#This Row],[Mid39]]</f>
        <v>0</v>
      </c>
      <c r="CR300" t="s">
        <v>439</v>
      </c>
      <c r="CS300" s="19" t="str">
        <f>IF(AND(Table1[[#This Row],[Low41]]=0, Table1[[#This Row],[High43]]=0),"N","Y")</f>
        <v>N</v>
      </c>
    </row>
    <row r="301" spans="1:97" ht="19.5" customHeight="1" x14ac:dyDescent="0.25">
      <c r="A301">
        <v>10298</v>
      </c>
      <c r="B301" t="s">
        <v>1032</v>
      </c>
      <c r="C301" t="s">
        <v>1087</v>
      </c>
      <c r="D301">
        <v>-2.3858333329999999</v>
      </c>
      <c r="E301">
        <v>103.0913889</v>
      </c>
      <c r="F301" t="s">
        <v>1088</v>
      </c>
      <c r="G301" t="s">
        <v>1089</v>
      </c>
      <c r="H301" t="s">
        <v>1090</v>
      </c>
      <c r="I301" t="s">
        <v>118</v>
      </c>
      <c r="J301" t="s">
        <v>119</v>
      </c>
      <c r="K301" t="s">
        <v>190</v>
      </c>
      <c r="L301" t="s">
        <v>18</v>
      </c>
      <c r="M301" t="s">
        <v>1091</v>
      </c>
      <c r="N301" s="6" t="s">
        <v>1092</v>
      </c>
      <c r="O301" t="s">
        <v>1093</v>
      </c>
      <c r="P301" t="s">
        <v>1094</v>
      </c>
      <c r="Q301" t="s">
        <v>1095</v>
      </c>
      <c r="R301" t="s">
        <v>1096</v>
      </c>
      <c r="S301">
        <v>2017</v>
      </c>
      <c r="T301" t="s">
        <v>128</v>
      </c>
      <c r="U301" t="s">
        <v>173</v>
      </c>
      <c r="V301">
        <v>1734.39</v>
      </c>
      <c r="W301">
        <v>0</v>
      </c>
      <c r="X301">
        <v>20</v>
      </c>
      <c r="Y301">
        <v>0</v>
      </c>
      <c r="Z301">
        <v>0</v>
      </c>
      <c r="AA301">
        <v>0</v>
      </c>
      <c r="AB301">
        <v>0</v>
      </c>
      <c r="AC301">
        <v>140</v>
      </c>
      <c r="AD301">
        <v>0</v>
      </c>
      <c r="AE301">
        <v>0</v>
      </c>
      <c r="AF301">
        <v>200</v>
      </c>
      <c r="AG301">
        <v>8.2737119999999997</v>
      </c>
      <c r="AH301" t="s">
        <v>291</v>
      </c>
      <c r="AI301">
        <v>0.01</v>
      </c>
      <c r="AJ301">
        <v>0</v>
      </c>
      <c r="AK301">
        <v>0</v>
      </c>
      <c r="AL301">
        <v>0</v>
      </c>
      <c r="AM301" t="s">
        <v>1097</v>
      </c>
      <c r="AN301" t="s">
        <v>132</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2422</v>
      </c>
      <c r="CD301">
        <v>0</v>
      </c>
      <c r="CE30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01" s="19">
        <f>SUM(Table1[[#This Row],[Mid39]],Table1[[#This Row],[Mid36]],Table1[[#This Row],[Mid33]],Table1[[#This Row],[Mid30]],Table1[[#This Row],[Mid27]],Table1[[#This Row],[Mid24]],Table1[[#This Row],[Mid21]],Table1[[#This Row],[Mid18]],Table1[[#This Row],[Mid15]],Table1[[#This Row],[Mid12]],Table1[[#This Row],[Mid9]],Table1[[#This Row],[Mid6]],Table1[[#This Row],[Mid3]],Table1[[#This Row],[Mid]])</f>
        <v>2422</v>
      </c>
      <c r="CG30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01" t="s">
        <v>157</v>
      </c>
      <c r="CI301" t="s">
        <v>134</v>
      </c>
      <c r="CJ301" t="s">
        <v>158</v>
      </c>
      <c r="CL301" s="19">
        <f>IF(Table1[[#This Row],[Type]]="Petroleum",1,IF(ISERROR(Table1[[#This Row],[Well Density]]*Table1[[#This Row],[Single Well Discovery Area]]),"",IF(Table1[[#This Row],[Well Density]]*Table1[[#This Row],[Single Well Discovery Area]]&gt;1,1,Table1[[#This Row],[Well Density]]*Table1[[#This Row],[Single Well Discovery Area]])))</f>
        <v>0</v>
      </c>
      <c r="CM301" t="s">
        <v>158</v>
      </c>
      <c r="CN301" s="19">
        <f>Table1[[#This Row],[Mid]]</f>
        <v>0</v>
      </c>
      <c r="CO301" s="19">
        <f>Table1[[#This Row],[Mid3]]+Table1[[#This Row],[Mid6]]+Table1[[#This Row],[Mid9]]</f>
        <v>0</v>
      </c>
      <c r="CP301" s="19">
        <f>Table1[[#This Row],[Mid12]]+Table1[[#This Row],[Mid15]]+Table1[[#This Row],[Mid18]]+Table1[[#This Row],[Mid21]]+Table1[[#This Row],[Mid24]]</f>
        <v>0</v>
      </c>
      <c r="CQ301" s="19">
        <f>Table1[[#This Row],[Mid27]]+Table1[[#This Row],[Mid30]]+Table1[[#This Row],[Mid33]]+Table1[[#This Row],[Mid36]]+Table1[[#This Row],[Mid39]]</f>
        <v>2422</v>
      </c>
      <c r="CR301" t="s">
        <v>439</v>
      </c>
      <c r="CS301" s="19" t="str">
        <f>IF(AND(Table1[[#This Row],[Low41]]=0, Table1[[#This Row],[High43]]=0),"N","Y")</f>
        <v>N</v>
      </c>
    </row>
    <row r="302" spans="1:97" ht="19.5" customHeight="1" x14ac:dyDescent="0.25">
      <c r="A302">
        <v>10299</v>
      </c>
      <c r="B302" t="s">
        <v>1032</v>
      </c>
      <c r="C302" t="s">
        <v>1087</v>
      </c>
      <c r="D302">
        <v>-1.046944444</v>
      </c>
      <c r="E302">
        <v>103.1708333</v>
      </c>
      <c r="F302" t="s">
        <v>1098</v>
      </c>
      <c r="G302" t="s">
        <v>1089</v>
      </c>
      <c r="H302" t="s">
        <v>1090</v>
      </c>
      <c r="I302" t="s">
        <v>118</v>
      </c>
      <c r="J302" t="s">
        <v>119</v>
      </c>
      <c r="K302" t="s">
        <v>190</v>
      </c>
      <c r="L302" t="s">
        <v>18</v>
      </c>
      <c r="M302" t="s">
        <v>1091</v>
      </c>
      <c r="N302" s="6" t="s">
        <v>1092</v>
      </c>
      <c r="O302" t="s">
        <v>1093</v>
      </c>
      <c r="P302" t="s">
        <v>1094</v>
      </c>
      <c r="Q302" t="s">
        <v>1095</v>
      </c>
      <c r="R302" t="s">
        <v>1096</v>
      </c>
      <c r="S302">
        <v>2017</v>
      </c>
      <c r="T302" t="s">
        <v>128</v>
      </c>
      <c r="U302" t="s">
        <v>173</v>
      </c>
      <c r="V302">
        <v>1632.68</v>
      </c>
      <c r="W302">
        <v>0</v>
      </c>
      <c r="X302">
        <v>20</v>
      </c>
      <c r="Y302">
        <v>0</v>
      </c>
      <c r="Z302">
        <v>0</v>
      </c>
      <c r="AA302">
        <v>0</v>
      </c>
      <c r="AB302">
        <v>0</v>
      </c>
      <c r="AC302">
        <v>196</v>
      </c>
      <c r="AD302">
        <v>0</v>
      </c>
      <c r="AE302">
        <v>0</v>
      </c>
      <c r="AF302">
        <v>200</v>
      </c>
      <c r="AG302">
        <v>12.410568</v>
      </c>
      <c r="AH302" t="s">
        <v>291</v>
      </c>
      <c r="AI302">
        <v>0.01</v>
      </c>
      <c r="AJ302">
        <v>0</v>
      </c>
      <c r="AK302">
        <v>0</v>
      </c>
      <c r="AL302">
        <v>0</v>
      </c>
      <c r="AM302" t="s">
        <v>1097</v>
      </c>
      <c r="AN302" t="s">
        <v>132</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3204</v>
      </c>
      <c r="CD302">
        <v>0</v>
      </c>
      <c r="CE30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02" s="19">
        <f>SUM(Table1[[#This Row],[Mid39]],Table1[[#This Row],[Mid36]],Table1[[#This Row],[Mid33]],Table1[[#This Row],[Mid30]],Table1[[#This Row],[Mid27]],Table1[[#This Row],[Mid24]],Table1[[#This Row],[Mid21]],Table1[[#This Row],[Mid18]],Table1[[#This Row],[Mid15]],Table1[[#This Row],[Mid12]],Table1[[#This Row],[Mid9]],Table1[[#This Row],[Mid6]],Table1[[#This Row],[Mid3]],Table1[[#This Row],[Mid]])</f>
        <v>3204</v>
      </c>
      <c r="CG30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02" t="s">
        <v>157</v>
      </c>
      <c r="CI302" t="s">
        <v>134</v>
      </c>
      <c r="CJ302" t="s">
        <v>158</v>
      </c>
      <c r="CL302" s="19">
        <f>IF(Table1[[#This Row],[Type]]="Petroleum",1,IF(ISERROR(Table1[[#This Row],[Well Density]]*Table1[[#This Row],[Single Well Discovery Area]]),"",IF(Table1[[#This Row],[Well Density]]*Table1[[#This Row],[Single Well Discovery Area]]&gt;1,1,Table1[[#This Row],[Well Density]]*Table1[[#This Row],[Single Well Discovery Area]])))</f>
        <v>0</v>
      </c>
      <c r="CM302" t="s">
        <v>158</v>
      </c>
      <c r="CN302" s="19">
        <f>Table1[[#This Row],[Mid]]</f>
        <v>0</v>
      </c>
      <c r="CO302" s="19">
        <f>Table1[[#This Row],[Mid3]]+Table1[[#This Row],[Mid6]]+Table1[[#This Row],[Mid9]]</f>
        <v>0</v>
      </c>
      <c r="CP302" s="19">
        <f>Table1[[#This Row],[Mid12]]+Table1[[#This Row],[Mid15]]+Table1[[#This Row],[Mid18]]+Table1[[#This Row],[Mid21]]+Table1[[#This Row],[Mid24]]</f>
        <v>0</v>
      </c>
      <c r="CQ302" s="19">
        <f>Table1[[#This Row],[Mid27]]+Table1[[#This Row],[Mid30]]+Table1[[#This Row],[Mid33]]+Table1[[#This Row],[Mid36]]+Table1[[#This Row],[Mid39]]</f>
        <v>3204</v>
      </c>
      <c r="CR302" t="s">
        <v>439</v>
      </c>
      <c r="CS302" s="19" t="str">
        <f>IF(AND(Table1[[#This Row],[Low41]]=0, Table1[[#This Row],[High43]]=0),"N","Y")</f>
        <v>N</v>
      </c>
    </row>
    <row r="303" spans="1:97" ht="19.5" customHeight="1" x14ac:dyDescent="0.25">
      <c r="A303">
        <v>10300</v>
      </c>
      <c r="B303" t="s">
        <v>1032</v>
      </c>
      <c r="C303" t="s">
        <v>1087</v>
      </c>
      <c r="D303">
        <v>-2.0044444440000002</v>
      </c>
      <c r="E303">
        <v>103.7877778</v>
      </c>
      <c r="F303" t="s">
        <v>1099</v>
      </c>
      <c r="G303" t="s">
        <v>1089</v>
      </c>
      <c r="H303" t="s">
        <v>1090</v>
      </c>
      <c r="I303" t="s">
        <v>118</v>
      </c>
      <c r="J303" t="s">
        <v>119</v>
      </c>
      <c r="K303" t="s">
        <v>190</v>
      </c>
      <c r="L303" t="s">
        <v>18</v>
      </c>
      <c r="M303" t="s">
        <v>1091</v>
      </c>
      <c r="N303" s="6" t="s">
        <v>1092</v>
      </c>
      <c r="O303" t="s">
        <v>1093</v>
      </c>
      <c r="P303" t="s">
        <v>1094</v>
      </c>
      <c r="Q303" t="s">
        <v>1095</v>
      </c>
      <c r="R303" t="s">
        <v>1096</v>
      </c>
      <c r="S303">
        <v>2017</v>
      </c>
      <c r="T303" t="s">
        <v>128</v>
      </c>
      <c r="U303" t="s">
        <v>173</v>
      </c>
      <c r="V303">
        <v>168.66</v>
      </c>
      <c r="W303">
        <v>0</v>
      </c>
      <c r="X303">
        <v>20</v>
      </c>
      <c r="Y303">
        <v>0</v>
      </c>
      <c r="Z303">
        <v>0</v>
      </c>
      <c r="AA303">
        <v>0</v>
      </c>
      <c r="AB303">
        <v>0</v>
      </c>
      <c r="AC303">
        <v>185</v>
      </c>
      <c r="AD303">
        <v>0</v>
      </c>
      <c r="AE303">
        <v>0</v>
      </c>
      <c r="AF303">
        <v>200</v>
      </c>
      <c r="AG303">
        <v>10.342140000000001</v>
      </c>
      <c r="AH303" t="s">
        <v>291</v>
      </c>
      <c r="AI303">
        <v>0.01</v>
      </c>
      <c r="AJ303">
        <v>0</v>
      </c>
      <c r="AK303">
        <v>0</v>
      </c>
      <c r="AL303">
        <v>0</v>
      </c>
      <c r="AM303" t="s">
        <v>1097</v>
      </c>
      <c r="AN303" t="s">
        <v>132</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312</v>
      </c>
      <c r="CD303">
        <v>0</v>
      </c>
      <c r="CE30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03" s="19">
        <f>SUM(Table1[[#This Row],[Mid39]],Table1[[#This Row],[Mid36]],Table1[[#This Row],[Mid33]],Table1[[#This Row],[Mid30]],Table1[[#This Row],[Mid27]],Table1[[#This Row],[Mid24]],Table1[[#This Row],[Mid21]],Table1[[#This Row],[Mid18]],Table1[[#This Row],[Mid15]],Table1[[#This Row],[Mid12]],Table1[[#This Row],[Mid9]],Table1[[#This Row],[Mid6]],Table1[[#This Row],[Mid3]],Table1[[#This Row],[Mid]])</f>
        <v>312</v>
      </c>
      <c r="CG30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03" t="s">
        <v>157</v>
      </c>
      <c r="CI303" t="s">
        <v>134</v>
      </c>
      <c r="CJ303" t="s">
        <v>158</v>
      </c>
      <c r="CL303" s="19">
        <f>IF(Table1[[#This Row],[Type]]="Petroleum",1,IF(ISERROR(Table1[[#This Row],[Well Density]]*Table1[[#This Row],[Single Well Discovery Area]]),"",IF(Table1[[#This Row],[Well Density]]*Table1[[#This Row],[Single Well Discovery Area]]&gt;1,1,Table1[[#This Row],[Well Density]]*Table1[[#This Row],[Single Well Discovery Area]])))</f>
        <v>0</v>
      </c>
      <c r="CM303" t="s">
        <v>158</v>
      </c>
      <c r="CN303" s="19">
        <f>Table1[[#This Row],[Mid]]</f>
        <v>0</v>
      </c>
      <c r="CO303" s="19">
        <f>Table1[[#This Row],[Mid3]]+Table1[[#This Row],[Mid6]]+Table1[[#This Row],[Mid9]]</f>
        <v>0</v>
      </c>
      <c r="CP303" s="19">
        <f>Table1[[#This Row],[Mid12]]+Table1[[#This Row],[Mid15]]+Table1[[#This Row],[Mid18]]+Table1[[#This Row],[Mid21]]+Table1[[#This Row],[Mid24]]</f>
        <v>0</v>
      </c>
      <c r="CQ303" s="19">
        <f>Table1[[#This Row],[Mid27]]+Table1[[#This Row],[Mid30]]+Table1[[#This Row],[Mid33]]+Table1[[#This Row],[Mid36]]+Table1[[#This Row],[Mid39]]</f>
        <v>312</v>
      </c>
      <c r="CR303" t="s">
        <v>439</v>
      </c>
      <c r="CS303" s="19" t="str">
        <f>IF(AND(Table1[[#This Row],[Low41]]=0, Table1[[#This Row],[High43]]=0),"N","Y")</f>
        <v>N</v>
      </c>
    </row>
    <row r="304" spans="1:97" ht="19.5" customHeight="1" x14ac:dyDescent="0.25">
      <c r="A304">
        <v>10301</v>
      </c>
      <c r="B304" t="s">
        <v>1032</v>
      </c>
      <c r="C304" t="s">
        <v>1087</v>
      </c>
      <c r="D304">
        <v>-3.545277778</v>
      </c>
      <c r="E304">
        <v>104.0688889</v>
      </c>
      <c r="F304" t="s">
        <v>1100</v>
      </c>
      <c r="G304" t="s">
        <v>1089</v>
      </c>
      <c r="H304" t="s">
        <v>1090</v>
      </c>
      <c r="I304" t="s">
        <v>118</v>
      </c>
      <c r="J304" t="s">
        <v>119</v>
      </c>
      <c r="K304" t="s">
        <v>190</v>
      </c>
      <c r="L304" t="s">
        <v>18</v>
      </c>
      <c r="M304" t="s">
        <v>1091</v>
      </c>
      <c r="N304" s="6" t="s">
        <v>1092</v>
      </c>
      <c r="O304" t="s">
        <v>1101</v>
      </c>
      <c r="P304" t="s">
        <v>1094</v>
      </c>
      <c r="Q304" t="s">
        <v>1095</v>
      </c>
      <c r="R304" t="s">
        <v>1096</v>
      </c>
      <c r="S304">
        <v>2017</v>
      </c>
      <c r="T304" t="s">
        <v>128</v>
      </c>
      <c r="U304" t="s">
        <v>173</v>
      </c>
      <c r="V304">
        <v>759.73</v>
      </c>
      <c r="W304">
        <v>3</v>
      </c>
      <c r="X304">
        <v>20</v>
      </c>
      <c r="Y304">
        <v>0</v>
      </c>
      <c r="Z304">
        <v>0</v>
      </c>
      <c r="AA304">
        <v>0</v>
      </c>
      <c r="AB304">
        <v>0</v>
      </c>
      <c r="AC304">
        <v>225.41</v>
      </c>
      <c r="AD304">
        <v>0</v>
      </c>
      <c r="AE304">
        <v>0</v>
      </c>
      <c r="AF304">
        <v>200</v>
      </c>
      <c r="AG304">
        <v>11.721092000000001</v>
      </c>
      <c r="AH304" t="s">
        <v>291</v>
      </c>
      <c r="AI304">
        <v>0.01</v>
      </c>
      <c r="AJ304">
        <v>0</v>
      </c>
      <c r="AK304">
        <v>0</v>
      </c>
      <c r="AL304">
        <v>0</v>
      </c>
      <c r="AM304" t="s">
        <v>1097</v>
      </c>
      <c r="AN304" t="s">
        <v>132</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1712</v>
      </c>
      <c r="CD304">
        <v>0</v>
      </c>
      <c r="CE30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04" s="19">
        <f>SUM(Table1[[#This Row],[Mid39]],Table1[[#This Row],[Mid36]],Table1[[#This Row],[Mid33]],Table1[[#This Row],[Mid30]],Table1[[#This Row],[Mid27]],Table1[[#This Row],[Mid24]],Table1[[#This Row],[Mid21]],Table1[[#This Row],[Mid18]],Table1[[#This Row],[Mid15]],Table1[[#This Row],[Mid12]],Table1[[#This Row],[Mid9]],Table1[[#This Row],[Mid6]],Table1[[#This Row],[Mid3]],Table1[[#This Row],[Mid]])</f>
        <v>1712</v>
      </c>
      <c r="CG30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04" t="s">
        <v>157</v>
      </c>
      <c r="CI304" t="s">
        <v>176</v>
      </c>
      <c r="CJ304" t="s">
        <v>158</v>
      </c>
      <c r="CL304" s="19">
        <f>IF(Table1[[#This Row],[Type]]="Petroleum",1,IF(ISERROR(Table1[[#This Row],[Well Density]]*Table1[[#This Row],[Single Well Discovery Area]]),"",IF(Table1[[#This Row],[Well Density]]*Table1[[#This Row],[Single Well Discovery Area]]&gt;1,1,Table1[[#This Row],[Well Density]]*Table1[[#This Row],[Single Well Discovery Area]])))</f>
        <v>0</v>
      </c>
      <c r="CM304" t="s">
        <v>158</v>
      </c>
      <c r="CN304" s="19">
        <f>Table1[[#This Row],[Mid]]</f>
        <v>0</v>
      </c>
      <c r="CO304" s="19">
        <f>Table1[[#This Row],[Mid3]]+Table1[[#This Row],[Mid6]]+Table1[[#This Row],[Mid9]]</f>
        <v>0</v>
      </c>
      <c r="CP304" s="19">
        <f>Table1[[#This Row],[Mid12]]+Table1[[#This Row],[Mid15]]+Table1[[#This Row],[Mid18]]+Table1[[#This Row],[Mid21]]+Table1[[#This Row],[Mid24]]</f>
        <v>0</v>
      </c>
      <c r="CQ304" s="19">
        <f>Table1[[#This Row],[Mid27]]+Table1[[#This Row],[Mid30]]+Table1[[#This Row],[Mid33]]+Table1[[#This Row],[Mid36]]+Table1[[#This Row],[Mid39]]</f>
        <v>1712</v>
      </c>
      <c r="CR304" t="s">
        <v>439</v>
      </c>
      <c r="CS304" s="19" t="str">
        <f>IF(AND(Table1[[#This Row],[Low41]]=0, Table1[[#This Row],[High43]]=0),"N","Y")</f>
        <v>N</v>
      </c>
    </row>
    <row r="305" spans="1:97" ht="19.5" customHeight="1" x14ac:dyDescent="0.25">
      <c r="A305">
        <v>10302</v>
      </c>
      <c r="B305" t="s">
        <v>1032</v>
      </c>
      <c r="C305" t="s">
        <v>1089</v>
      </c>
      <c r="D305">
        <v>-2.7763888890000001</v>
      </c>
      <c r="E305">
        <v>104.5780556</v>
      </c>
      <c r="F305" t="s">
        <v>1102</v>
      </c>
      <c r="G305" t="s">
        <v>1089</v>
      </c>
      <c r="H305" t="s">
        <v>1103</v>
      </c>
      <c r="I305" t="s">
        <v>118</v>
      </c>
      <c r="J305" t="s">
        <v>119</v>
      </c>
      <c r="K305" t="s">
        <v>190</v>
      </c>
      <c r="L305" t="s">
        <v>18</v>
      </c>
      <c r="N305" s="6" t="s">
        <v>1037</v>
      </c>
      <c r="P305" t="s">
        <v>1104</v>
      </c>
      <c r="Q305" t="s">
        <v>1105</v>
      </c>
      <c r="R305" t="s">
        <v>1040</v>
      </c>
      <c r="S305">
        <v>2010</v>
      </c>
      <c r="T305" t="s">
        <v>128</v>
      </c>
      <c r="U305" t="s">
        <v>173</v>
      </c>
      <c r="V305">
        <v>0</v>
      </c>
      <c r="W305">
        <v>37</v>
      </c>
      <c r="X305">
        <v>37</v>
      </c>
      <c r="Y305">
        <v>0</v>
      </c>
      <c r="Z305">
        <v>21.5</v>
      </c>
      <c r="AA305">
        <v>1000</v>
      </c>
      <c r="AB305">
        <v>0</v>
      </c>
      <c r="AC305">
        <v>0</v>
      </c>
      <c r="AD305">
        <v>0</v>
      </c>
      <c r="AF305">
        <v>200</v>
      </c>
      <c r="AG305">
        <v>20.00169876</v>
      </c>
      <c r="AI305">
        <v>0</v>
      </c>
      <c r="AJ305">
        <v>0</v>
      </c>
      <c r="AK305">
        <v>32.598425280000001</v>
      </c>
      <c r="AL305">
        <v>0</v>
      </c>
      <c r="AN305" t="s">
        <v>132</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9.6999999999999993</v>
      </c>
      <c r="CD305">
        <v>0</v>
      </c>
      <c r="CE30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05" s="19">
        <f>SUM(Table1[[#This Row],[Mid39]],Table1[[#This Row],[Mid36]],Table1[[#This Row],[Mid33]],Table1[[#This Row],[Mid30]],Table1[[#This Row],[Mid27]],Table1[[#This Row],[Mid24]],Table1[[#This Row],[Mid21]],Table1[[#This Row],[Mid18]],Table1[[#This Row],[Mid15]],Table1[[#This Row],[Mid12]],Table1[[#This Row],[Mid9]],Table1[[#This Row],[Mid6]],Table1[[#This Row],[Mid3]],Table1[[#This Row],[Mid]])</f>
        <v>9.6999999999999993</v>
      </c>
      <c r="CG30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05" t="s">
        <v>157</v>
      </c>
      <c r="CI305" t="s">
        <v>134</v>
      </c>
      <c r="CJ305" t="s">
        <v>135</v>
      </c>
      <c r="CL305" s="19">
        <f>IF(Table1[[#This Row],[Type]]="Petroleum",1,IF(ISERROR(Table1[[#This Row],[Well Density]]*Table1[[#This Row],[Single Well Discovery Area]]),"",IF(Table1[[#This Row],[Well Density]]*Table1[[#This Row],[Single Well Discovery Area]]&gt;1,1,Table1[[#This Row],[Well Density]]*Table1[[#This Row],[Single Well Discovery Area]])))</f>
        <v>0</v>
      </c>
      <c r="CM305" t="s">
        <v>135</v>
      </c>
      <c r="CN305" s="19">
        <f>Table1[[#This Row],[Mid]]</f>
        <v>0</v>
      </c>
      <c r="CO305" s="19">
        <f>Table1[[#This Row],[Mid3]]+Table1[[#This Row],[Mid6]]+Table1[[#This Row],[Mid9]]</f>
        <v>0</v>
      </c>
      <c r="CP305" s="19">
        <f>Table1[[#This Row],[Mid12]]+Table1[[#This Row],[Mid15]]+Table1[[#This Row],[Mid18]]+Table1[[#This Row],[Mid21]]+Table1[[#This Row],[Mid24]]</f>
        <v>0</v>
      </c>
      <c r="CQ305" s="19">
        <f>Table1[[#This Row],[Mid27]]+Table1[[#This Row],[Mid30]]+Table1[[#This Row],[Mid33]]+Table1[[#This Row],[Mid36]]+Table1[[#This Row],[Mid39]]</f>
        <v>9.6999999999999993</v>
      </c>
      <c r="CR305" t="s">
        <v>439</v>
      </c>
      <c r="CS305" s="19" t="str">
        <f>IF(AND(Table1[[#This Row],[Low41]]=0, Table1[[#This Row],[High43]]=0),"N","Y")</f>
        <v>N</v>
      </c>
    </row>
    <row r="306" spans="1:97" ht="19.5" customHeight="1" x14ac:dyDescent="0.25">
      <c r="A306">
        <v>10303</v>
      </c>
      <c r="B306" t="s">
        <v>1032</v>
      </c>
      <c r="C306" t="s">
        <v>1106</v>
      </c>
      <c r="D306">
        <v>-6.556666667</v>
      </c>
      <c r="E306">
        <v>108.5588889</v>
      </c>
      <c r="F306" t="s">
        <v>1107</v>
      </c>
      <c r="G306" t="s">
        <v>1108</v>
      </c>
      <c r="H306" t="s">
        <v>1109</v>
      </c>
      <c r="I306" t="s">
        <v>118</v>
      </c>
      <c r="J306" t="s">
        <v>119</v>
      </c>
      <c r="K306" t="s">
        <v>190</v>
      </c>
      <c r="L306" t="s">
        <v>18</v>
      </c>
      <c r="M306" t="s">
        <v>1110</v>
      </c>
      <c r="N306" s="6" t="s">
        <v>1092</v>
      </c>
      <c r="O306" t="s">
        <v>1111</v>
      </c>
      <c r="P306" t="s">
        <v>170</v>
      </c>
      <c r="Q306" t="s">
        <v>1112</v>
      </c>
      <c r="R306" t="s">
        <v>1113</v>
      </c>
      <c r="S306">
        <v>2017</v>
      </c>
      <c r="T306" t="s">
        <v>128</v>
      </c>
      <c r="U306" t="s">
        <v>129</v>
      </c>
      <c r="V306">
        <v>9913</v>
      </c>
      <c r="W306">
        <v>2750</v>
      </c>
      <c r="X306">
        <v>3000</v>
      </c>
      <c r="Y306">
        <v>0</v>
      </c>
      <c r="Z306">
        <v>0</v>
      </c>
      <c r="AA306">
        <v>0</v>
      </c>
      <c r="AB306">
        <v>0</v>
      </c>
      <c r="AC306">
        <v>0</v>
      </c>
      <c r="AD306">
        <v>0</v>
      </c>
      <c r="AE306">
        <v>0</v>
      </c>
      <c r="AF306">
        <v>200</v>
      </c>
      <c r="AG306">
        <v>0</v>
      </c>
      <c r="AH306" t="s">
        <v>1114</v>
      </c>
      <c r="AI306">
        <v>5.2</v>
      </c>
      <c r="AJ306">
        <v>0</v>
      </c>
      <c r="AK306">
        <v>0</v>
      </c>
      <c r="AL306">
        <v>0</v>
      </c>
      <c r="AM306" t="s">
        <v>1115</v>
      </c>
      <c r="AN306" t="s">
        <v>132</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761.1</v>
      </c>
      <c r="CC306">
        <v>1352.68</v>
      </c>
      <c r="CD306">
        <v>1712.76</v>
      </c>
      <c r="CE306" s="19">
        <f>SUM(Table1[[#This Row],[Low38]],Table1[[#This Row],[Low35]],Table1[[#This Row],[Low32]],Table1[[#This Row],[Low29]],Table1[[#This Row],[Low26]],Table1[[#This Row],[Low23]],Table1[[#This Row],[Low20]],Table1[[#This Row],[Low17]],Table1[[#This Row],[Low14]],Table1[[#This Row],[Low11]],Table1[[#This Row],[Low8]],Table1[[#This Row],[Low5]],Table1[[#This Row],[Low2]],Table1[[#This Row],[Low]])</f>
        <v>761.1</v>
      </c>
      <c r="CF306" s="19">
        <f>SUM(Table1[[#This Row],[Mid39]],Table1[[#This Row],[Mid36]],Table1[[#This Row],[Mid33]],Table1[[#This Row],[Mid30]],Table1[[#This Row],[Mid27]],Table1[[#This Row],[Mid24]],Table1[[#This Row],[Mid21]],Table1[[#This Row],[Mid18]],Table1[[#This Row],[Mid15]],Table1[[#This Row],[Mid12]],Table1[[#This Row],[Mid9]],Table1[[#This Row],[Mid6]],Table1[[#This Row],[Mid3]],Table1[[#This Row],[Mid]])</f>
        <v>1352.68</v>
      </c>
      <c r="CG30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1712.76</v>
      </c>
      <c r="CH306" t="s">
        <v>133</v>
      </c>
      <c r="CI306" t="s">
        <v>176</v>
      </c>
      <c r="CJ306" t="s">
        <v>158</v>
      </c>
      <c r="CL306" s="19">
        <f>IF(Table1[[#This Row],[Type]]="Petroleum",1,IF(ISERROR(Table1[[#This Row],[Well Density]]*Table1[[#This Row],[Single Well Discovery Area]]),"",IF(Table1[[#This Row],[Well Density]]*Table1[[#This Row],[Single Well Discovery Area]]&gt;1,1,Table1[[#This Row],[Well Density]]*Table1[[#This Row],[Single Well Discovery Area]])))</f>
        <v>0</v>
      </c>
      <c r="CM306" s="24" t="s">
        <v>158</v>
      </c>
      <c r="CN306" s="19">
        <f>Table1[[#This Row],[Mid]]</f>
        <v>0</v>
      </c>
      <c r="CO306" s="19">
        <f>Table1[[#This Row],[Mid3]]+Table1[[#This Row],[Mid6]]+Table1[[#This Row],[Mid9]]</f>
        <v>0</v>
      </c>
      <c r="CP306" s="19">
        <f>Table1[[#This Row],[Mid12]]+Table1[[#This Row],[Mid15]]+Table1[[#This Row],[Mid18]]+Table1[[#This Row],[Mid21]]+Table1[[#This Row],[Mid24]]</f>
        <v>0</v>
      </c>
      <c r="CQ306" s="19">
        <f>Table1[[#This Row],[Mid27]]+Table1[[#This Row],[Mid30]]+Table1[[#This Row],[Mid33]]+Table1[[#This Row],[Mid36]]+Table1[[#This Row],[Mid39]]</f>
        <v>1352.68</v>
      </c>
      <c r="CR306" t="s">
        <v>439</v>
      </c>
      <c r="CS306" s="19" t="str">
        <f>IF(AND(Table1[[#This Row],[Low41]]=0, Table1[[#This Row],[High43]]=0),"N","Y")</f>
        <v>Y</v>
      </c>
    </row>
    <row r="307" spans="1:97" ht="19.5" customHeight="1" x14ac:dyDescent="0.25">
      <c r="A307">
        <v>10304</v>
      </c>
      <c r="B307" t="s">
        <v>1032</v>
      </c>
      <c r="C307" t="s">
        <v>1106</v>
      </c>
      <c r="D307">
        <v>-6.4408333329999996</v>
      </c>
      <c r="E307">
        <v>108.2325</v>
      </c>
      <c r="F307" t="s">
        <v>1116</v>
      </c>
      <c r="G307" t="s">
        <v>1117</v>
      </c>
      <c r="H307" t="s">
        <v>1109</v>
      </c>
      <c r="I307" t="s">
        <v>118</v>
      </c>
      <c r="J307" t="s">
        <v>119</v>
      </c>
      <c r="K307" t="s">
        <v>190</v>
      </c>
      <c r="L307" t="s">
        <v>147</v>
      </c>
      <c r="M307" t="s">
        <v>1110</v>
      </c>
      <c r="N307" s="6" t="s">
        <v>1092</v>
      </c>
      <c r="O307" t="s">
        <v>1118</v>
      </c>
      <c r="P307" t="s">
        <v>170</v>
      </c>
      <c r="Q307" t="s">
        <v>1119</v>
      </c>
      <c r="R307" t="s">
        <v>1120</v>
      </c>
      <c r="S307">
        <v>2017</v>
      </c>
      <c r="T307" t="s">
        <v>128</v>
      </c>
      <c r="U307" t="s">
        <v>129</v>
      </c>
      <c r="V307">
        <v>4956</v>
      </c>
      <c r="W307">
        <v>0</v>
      </c>
      <c r="X307">
        <v>0</v>
      </c>
      <c r="Y307">
        <v>0</v>
      </c>
      <c r="Z307">
        <v>0</v>
      </c>
      <c r="AA307">
        <v>0</v>
      </c>
      <c r="AB307">
        <v>0</v>
      </c>
      <c r="AC307">
        <v>0</v>
      </c>
      <c r="AD307">
        <v>0</v>
      </c>
      <c r="AE307">
        <v>0</v>
      </c>
      <c r="AF307">
        <v>200</v>
      </c>
      <c r="AG307">
        <v>0</v>
      </c>
      <c r="AH307" t="s">
        <v>1121</v>
      </c>
      <c r="AI307">
        <v>5.1999999999999998E-2</v>
      </c>
      <c r="AJ307">
        <v>0</v>
      </c>
      <c r="AK307">
        <v>0</v>
      </c>
      <c r="AL307">
        <v>0</v>
      </c>
      <c r="AM307" t="s">
        <v>1122</v>
      </c>
      <c r="AN307" t="s">
        <v>132</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380.55</v>
      </c>
      <c r="BN307">
        <v>676.34</v>
      </c>
      <c r="BO307">
        <v>856.38</v>
      </c>
      <c r="BP307">
        <v>0</v>
      </c>
      <c r="BQ307">
        <v>0</v>
      </c>
      <c r="BR307">
        <v>0</v>
      </c>
      <c r="BS307">
        <v>0</v>
      </c>
      <c r="BT307">
        <v>0</v>
      </c>
      <c r="BU307">
        <v>0</v>
      </c>
      <c r="BV307">
        <v>0</v>
      </c>
      <c r="BW307">
        <v>0</v>
      </c>
      <c r="BX307">
        <v>0</v>
      </c>
      <c r="BY307">
        <v>0</v>
      </c>
      <c r="BZ307">
        <v>0</v>
      </c>
      <c r="CA307">
        <v>0</v>
      </c>
      <c r="CB307">
        <v>0</v>
      </c>
      <c r="CC307">
        <v>0</v>
      </c>
      <c r="CD307">
        <v>0</v>
      </c>
      <c r="CE307" s="19">
        <f>SUM(Table1[[#This Row],[Low38]],Table1[[#This Row],[Low35]],Table1[[#This Row],[Low32]],Table1[[#This Row],[Low29]],Table1[[#This Row],[Low26]],Table1[[#This Row],[Low23]],Table1[[#This Row],[Low20]],Table1[[#This Row],[Low17]],Table1[[#This Row],[Low14]],Table1[[#This Row],[Low11]],Table1[[#This Row],[Low8]],Table1[[#This Row],[Low5]],Table1[[#This Row],[Low2]],Table1[[#This Row],[Low]])</f>
        <v>380.55</v>
      </c>
      <c r="CF307" s="19">
        <f>SUM(Table1[[#This Row],[Mid39]],Table1[[#This Row],[Mid36]],Table1[[#This Row],[Mid33]],Table1[[#This Row],[Mid30]],Table1[[#This Row],[Mid27]],Table1[[#This Row],[Mid24]],Table1[[#This Row],[Mid21]],Table1[[#This Row],[Mid18]],Table1[[#This Row],[Mid15]],Table1[[#This Row],[Mid12]],Table1[[#This Row],[Mid9]],Table1[[#This Row],[Mid6]],Table1[[#This Row],[Mid3]],Table1[[#This Row],[Mid]])</f>
        <v>676.34</v>
      </c>
      <c r="CG30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856.38</v>
      </c>
      <c r="CH307" t="s">
        <v>157</v>
      </c>
      <c r="CI307" t="s">
        <v>176</v>
      </c>
      <c r="CJ307" t="s">
        <v>158</v>
      </c>
      <c r="CL307" s="19">
        <f>IF(Table1[[#This Row],[Type]]="Petroleum",1,IF(ISERROR(Table1[[#This Row],[Well Density]]*Table1[[#This Row],[Single Well Discovery Area]]),"",IF(Table1[[#This Row],[Well Density]]*Table1[[#This Row],[Single Well Discovery Area]]&gt;1,1,Table1[[#This Row],[Well Density]]*Table1[[#This Row],[Single Well Discovery Area]])))</f>
        <v>0</v>
      </c>
      <c r="CM307" t="s">
        <v>158</v>
      </c>
      <c r="CN307" s="19">
        <f>Table1[[#This Row],[Mid]]</f>
        <v>0</v>
      </c>
      <c r="CO307" s="19">
        <f>Table1[[#This Row],[Mid3]]+Table1[[#This Row],[Mid6]]+Table1[[#This Row],[Mid9]]</f>
        <v>0</v>
      </c>
      <c r="CP307" s="19">
        <f>Table1[[#This Row],[Mid12]]+Table1[[#This Row],[Mid15]]+Table1[[#This Row],[Mid18]]+Table1[[#This Row],[Mid21]]+Table1[[#This Row],[Mid24]]</f>
        <v>676.34</v>
      </c>
      <c r="CQ307" s="19">
        <f>Table1[[#This Row],[Mid27]]+Table1[[#This Row],[Mid30]]+Table1[[#This Row],[Mid33]]+Table1[[#This Row],[Mid36]]+Table1[[#This Row],[Mid39]]</f>
        <v>0</v>
      </c>
      <c r="CR307" t="s">
        <v>439</v>
      </c>
      <c r="CS307" s="19" t="str">
        <f>IF(AND(Table1[[#This Row],[Low41]]=0, Table1[[#This Row],[High43]]=0),"N","Y")</f>
        <v>Y</v>
      </c>
    </row>
    <row r="308" spans="1:97" ht="19.5" customHeight="1" x14ac:dyDescent="0.25">
      <c r="A308">
        <v>10305</v>
      </c>
      <c r="B308" t="s">
        <v>1032</v>
      </c>
      <c r="C308" t="s">
        <v>1089</v>
      </c>
      <c r="D308">
        <v>-3.431944444</v>
      </c>
      <c r="E308">
        <v>103.7013889</v>
      </c>
      <c r="F308" t="s">
        <v>1123</v>
      </c>
      <c r="G308" t="s">
        <v>1089</v>
      </c>
      <c r="H308" t="s">
        <v>252</v>
      </c>
      <c r="I308" t="s">
        <v>201</v>
      </c>
      <c r="J308" t="s">
        <v>202</v>
      </c>
      <c r="K308" t="s">
        <v>203</v>
      </c>
      <c r="L308" t="s">
        <v>204</v>
      </c>
      <c r="M308" t="s">
        <v>252</v>
      </c>
      <c r="N308" s="6" t="s">
        <v>1124</v>
      </c>
      <c r="O308" t="s">
        <v>1125</v>
      </c>
      <c r="P308" t="s">
        <v>1126</v>
      </c>
      <c r="Q308" t="s">
        <v>255</v>
      </c>
      <c r="R308" t="s">
        <v>1127</v>
      </c>
      <c r="S308">
        <v>2015</v>
      </c>
      <c r="T308" t="s">
        <v>128</v>
      </c>
      <c r="U308" t="s">
        <v>129</v>
      </c>
      <c r="V308">
        <v>0</v>
      </c>
      <c r="W308">
        <v>970</v>
      </c>
      <c r="X308">
        <v>0</v>
      </c>
      <c r="Y308">
        <v>0</v>
      </c>
      <c r="Z308">
        <v>0</v>
      </c>
      <c r="AA308">
        <v>0</v>
      </c>
      <c r="AB308">
        <v>0</v>
      </c>
      <c r="AC308">
        <v>0</v>
      </c>
      <c r="AD308">
        <v>0</v>
      </c>
      <c r="AF308">
        <v>200</v>
      </c>
      <c r="AG308">
        <v>0</v>
      </c>
      <c r="AH308" t="s">
        <v>1049</v>
      </c>
      <c r="AI308">
        <v>0</v>
      </c>
      <c r="AJ308">
        <v>0</v>
      </c>
      <c r="AK308">
        <v>0</v>
      </c>
      <c r="AL308">
        <v>0</v>
      </c>
      <c r="AM308" t="s">
        <v>278</v>
      </c>
      <c r="AN308" t="s">
        <v>132</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13.3</v>
      </c>
      <c r="BO308">
        <v>0</v>
      </c>
      <c r="BP308">
        <v>0</v>
      </c>
      <c r="BQ308">
        <v>0</v>
      </c>
      <c r="BR308">
        <v>0</v>
      </c>
      <c r="BS308">
        <v>0</v>
      </c>
      <c r="BT308">
        <v>0</v>
      </c>
      <c r="BU308">
        <v>0</v>
      </c>
      <c r="BV308">
        <v>0</v>
      </c>
      <c r="BW308">
        <v>0</v>
      </c>
      <c r="BX308">
        <v>0</v>
      </c>
      <c r="BY308">
        <v>0</v>
      </c>
      <c r="BZ308">
        <v>0</v>
      </c>
      <c r="CA308">
        <v>0</v>
      </c>
      <c r="CB308">
        <v>0</v>
      </c>
      <c r="CC308">
        <v>0</v>
      </c>
      <c r="CD308">
        <v>0</v>
      </c>
      <c r="CE30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08" s="19">
        <f>SUM(Table1[[#This Row],[Mid39]],Table1[[#This Row],[Mid36]],Table1[[#This Row],[Mid33]],Table1[[#This Row],[Mid30]],Table1[[#This Row],[Mid27]],Table1[[#This Row],[Mid24]],Table1[[#This Row],[Mid21]],Table1[[#This Row],[Mid18]],Table1[[#This Row],[Mid15]],Table1[[#This Row],[Mid12]],Table1[[#This Row],[Mid9]],Table1[[#This Row],[Mid6]],Table1[[#This Row],[Mid3]],Table1[[#This Row],[Mid]])</f>
        <v>13.3</v>
      </c>
      <c r="CG30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08" t="s">
        <v>157</v>
      </c>
      <c r="CI308" t="s">
        <v>134</v>
      </c>
      <c r="CJ308" t="s">
        <v>158</v>
      </c>
      <c r="CL308" s="19">
        <f>IF(Table1[[#This Row],[Type]]="Petroleum",1,IF(ISERROR(Table1[[#This Row],[Well Density]]*Table1[[#This Row],[Single Well Discovery Area]]),"",IF(Table1[[#This Row],[Well Density]]*Table1[[#This Row],[Single Well Discovery Area]]&gt;1,1,Table1[[#This Row],[Well Density]]*Table1[[#This Row],[Single Well Discovery Area]])))</f>
        <v>1</v>
      </c>
      <c r="CM308" t="s">
        <v>158</v>
      </c>
      <c r="CN308" s="19">
        <f>Table1[[#This Row],[Mid]]</f>
        <v>0</v>
      </c>
      <c r="CO308" s="19">
        <f>Table1[[#This Row],[Mid3]]+Table1[[#This Row],[Mid6]]+Table1[[#This Row],[Mid9]]</f>
        <v>0</v>
      </c>
      <c r="CP308" s="19">
        <f>Table1[[#This Row],[Mid12]]+Table1[[#This Row],[Mid15]]+Table1[[#This Row],[Mid18]]+Table1[[#This Row],[Mid21]]+Table1[[#This Row],[Mid24]]</f>
        <v>13.3</v>
      </c>
      <c r="CQ308" s="19">
        <f>Table1[[#This Row],[Mid27]]+Table1[[#This Row],[Mid30]]+Table1[[#This Row],[Mid33]]+Table1[[#This Row],[Mid36]]+Table1[[#This Row],[Mid39]]</f>
        <v>0</v>
      </c>
      <c r="CR308" t="s">
        <v>439</v>
      </c>
      <c r="CS308" s="19" t="str">
        <f>IF(AND(Table1[[#This Row],[Low41]]=0, Table1[[#This Row],[High43]]=0),"N","Y")</f>
        <v>N</v>
      </c>
    </row>
    <row r="309" spans="1:97" ht="19.5" customHeight="1" x14ac:dyDescent="0.25">
      <c r="A309">
        <v>10306</v>
      </c>
      <c r="B309" t="s">
        <v>1032</v>
      </c>
      <c r="C309" t="s">
        <v>1089</v>
      </c>
      <c r="D309">
        <v>-3.3930555560000002</v>
      </c>
      <c r="E309">
        <v>104.0938889</v>
      </c>
      <c r="F309" t="s">
        <v>1128</v>
      </c>
      <c r="G309" t="s">
        <v>1089</v>
      </c>
      <c r="H309" t="s">
        <v>252</v>
      </c>
      <c r="I309" t="s">
        <v>201</v>
      </c>
      <c r="J309" t="s">
        <v>202</v>
      </c>
      <c r="K309" t="s">
        <v>203</v>
      </c>
      <c r="L309" t="s">
        <v>204</v>
      </c>
      <c r="M309" t="s">
        <v>252</v>
      </c>
      <c r="N309" s="6" t="s">
        <v>1124</v>
      </c>
      <c r="O309" t="s">
        <v>1125</v>
      </c>
      <c r="P309" t="s">
        <v>1126</v>
      </c>
      <c r="Q309" t="s">
        <v>255</v>
      </c>
      <c r="R309" s="21" t="s">
        <v>1129</v>
      </c>
      <c r="S309">
        <v>2015</v>
      </c>
      <c r="T309" t="s">
        <v>128</v>
      </c>
      <c r="U309" t="s">
        <v>129</v>
      </c>
      <c r="V309">
        <v>0</v>
      </c>
      <c r="W309">
        <v>1720</v>
      </c>
      <c r="X309">
        <v>0</v>
      </c>
      <c r="Y309">
        <v>0</v>
      </c>
      <c r="Z309">
        <v>0</v>
      </c>
      <c r="AA309">
        <v>0</v>
      </c>
      <c r="AB309">
        <v>0</v>
      </c>
      <c r="AC309">
        <v>0</v>
      </c>
      <c r="AD309">
        <v>0</v>
      </c>
      <c r="AF309">
        <v>200</v>
      </c>
      <c r="AG309">
        <v>0</v>
      </c>
      <c r="AH309" t="s">
        <v>1049</v>
      </c>
      <c r="AI309">
        <v>0</v>
      </c>
      <c r="AJ309">
        <v>0</v>
      </c>
      <c r="AK309">
        <v>0</v>
      </c>
      <c r="AL309">
        <v>0</v>
      </c>
      <c r="AM309" t="s">
        <v>278</v>
      </c>
      <c r="AN309" t="s">
        <v>132</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13.7</v>
      </c>
      <c r="BO309">
        <v>0</v>
      </c>
      <c r="BP309">
        <v>0</v>
      </c>
      <c r="BQ309">
        <v>0</v>
      </c>
      <c r="BR309">
        <v>0</v>
      </c>
      <c r="BS309">
        <v>0</v>
      </c>
      <c r="BT309">
        <v>0</v>
      </c>
      <c r="BU309">
        <v>0</v>
      </c>
      <c r="BV309">
        <v>0</v>
      </c>
      <c r="BW309">
        <v>0</v>
      </c>
      <c r="BX309">
        <v>0</v>
      </c>
      <c r="BY309">
        <v>0</v>
      </c>
      <c r="BZ309">
        <v>0</v>
      </c>
      <c r="CA309">
        <v>0</v>
      </c>
      <c r="CB309">
        <v>0</v>
      </c>
      <c r="CC309">
        <v>0</v>
      </c>
      <c r="CD309">
        <v>0</v>
      </c>
      <c r="CE30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09" s="19">
        <f>SUM(Table1[[#This Row],[Mid39]],Table1[[#This Row],[Mid36]],Table1[[#This Row],[Mid33]],Table1[[#This Row],[Mid30]],Table1[[#This Row],[Mid27]],Table1[[#This Row],[Mid24]],Table1[[#This Row],[Mid21]],Table1[[#This Row],[Mid18]],Table1[[#This Row],[Mid15]],Table1[[#This Row],[Mid12]],Table1[[#This Row],[Mid9]],Table1[[#This Row],[Mid6]],Table1[[#This Row],[Mid3]],Table1[[#This Row],[Mid]])</f>
        <v>13.7</v>
      </c>
      <c r="CG30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09" t="s">
        <v>157</v>
      </c>
      <c r="CI309" t="s">
        <v>134</v>
      </c>
      <c r="CJ309" t="s">
        <v>158</v>
      </c>
      <c r="CL309" s="19">
        <f>IF(Table1[[#This Row],[Type]]="Petroleum",1,IF(ISERROR(Table1[[#This Row],[Well Density]]*Table1[[#This Row],[Single Well Discovery Area]]),"",IF(Table1[[#This Row],[Well Density]]*Table1[[#This Row],[Single Well Discovery Area]]&gt;1,1,Table1[[#This Row],[Well Density]]*Table1[[#This Row],[Single Well Discovery Area]])))</f>
        <v>1</v>
      </c>
      <c r="CM309" t="s">
        <v>158</v>
      </c>
      <c r="CN309" s="19">
        <f>Table1[[#This Row],[Mid]]</f>
        <v>0</v>
      </c>
      <c r="CO309" s="19">
        <f>Table1[[#This Row],[Mid3]]+Table1[[#This Row],[Mid6]]+Table1[[#This Row],[Mid9]]</f>
        <v>0</v>
      </c>
      <c r="CP309" s="19">
        <f>Table1[[#This Row],[Mid12]]+Table1[[#This Row],[Mid15]]+Table1[[#This Row],[Mid18]]+Table1[[#This Row],[Mid21]]+Table1[[#This Row],[Mid24]]</f>
        <v>13.7</v>
      </c>
      <c r="CQ309" s="19">
        <f>Table1[[#This Row],[Mid27]]+Table1[[#This Row],[Mid30]]+Table1[[#This Row],[Mid33]]+Table1[[#This Row],[Mid36]]+Table1[[#This Row],[Mid39]]</f>
        <v>0</v>
      </c>
      <c r="CR309" t="s">
        <v>439</v>
      </c>
      <c r="CS309" s="19" t="str">
        <f>IF(AND(Table1[[#This Row],[Low41]]=0, Table1[[#This Row],[High43]]=0),"N","Y")</f>
        <v>N</v>
      </c>
    </row>
    <row r="310" spans="1:97" ht="19.5" customHeight="1" x14ac:dyDescent="0.25">
      <c r="A310">
        <v>10307</v>
      </c>
      <c r="B310" t="s">
        <v>1032</v>
      </c>
      <c r="C310" t="s">
        <v>1089</v>
      </c>
      <c r="D310">
        <v>-3.3744444439999999</v>
      </c>
      <c r="E310">
        <v>104.0238889</v>
      </c>
      <c r="F310" t="s">
        <v>1130</v>
      </c>
      <c r="G310" t="s">
        <v>1089</v>
      </c>
      <c r="H310" t="s">
        <v>252</v>
      </c>
      <c r="I310" t="s">
        <v>201</v>
      </c>
      <c r="J310" t="s">
        <v>202</v>
      </c>
      <c r="K310" t="s">
        <v>203</v>
      </c>
      <c r="L310" t="s">
        <v>204</v>
      </c>
      <c r="M310" t="s">
        <v>252</v>
      </c>
      <c r="N310" s="6" t="s">
        <v>1124</v>
      </c>
      <c r="O310" t="s">
        <v>1125</v>
      </c>
      <c r="P310" t="s">
        <v>1126</v>
      </c>
      <c r="Q310" t="s">
        <v>255</v>
      </c>
      <c r="R310" s="21" t="s">
        <v>1129</v>
      </c>
      <c r="S310">
        <v>2015</v>
      </c>
      <c r="T310" t="s">
        <v>128</v>
      </c>
      <c r="U310" t="s">
        <v>129</v>
      </c>
      <c r="V310">
        <v>0</v>
      </c>
      <c r="W310">
        <v>1720</v>
      </c>
      <c r="X310">
        <v>0</v>
      </c>
      <c r="Y310">
        <v>0</v>
      </c>
      <c r="Z310">
        <v>0</v>
      </c>
      <c r="AA310">
        <v>0</v>
      </c>
      <c r="AB310">
        <v>0</v>
      </c>
      <c r="AC310">
        <v>0</v>
      </c>
      <c r="AD310">
        <v>0</v>
      </c>
      <c r="AF310">
        <v>200</v>
      </c>
      <c r="AG310">
        <v>0</v>
      </c>
      <c r="AH310" t="s">
        <v>1049</v>
      </c>
      <c r="AI310">
        <v>0</v>
      </c>
      <c r="AJ310">
        <v>0</v>
      </c>
      <c r="AK310">
        <v>0</v>
      </c>
      <c r="AL310">
        <v>0</v>
      </c>
      <c r="AM310" t="s">
        <v>278</v>
      </c>
      <c r="AN310" t="s">
        <v>132</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41.7</v>
      </c>
      <c r="BO310">
        <v>0</v>
      </c>
      <c r="BP310">
        <v>0</v>
      </c>
      <c r="BQ310">
        <v>0</v>
      </c>
      <c r="BR310">
        <v>0</v>
      </c>
      <c r="BS310">
        <v>0</v>
      </c>
      <c r="BT310">
        <v>0</v>
      </c>
      <c r="BU310">
        <v>0</v>
      </c>
      <c r="BV310">
        <v>0</v>
      </c>
      <c r="BW310">
        <v>0</v>
      </c>
      <c r="BX310">
        <v>0</v>
      </c>
      <c r="BY310">
        <v>0</v>
      </c>
      <c r="BZ310">
        <v>0</v>
      </c>
      <c r="CA310">
        <v>0</v>
      </c>
      <c r="CB310">
        <v>0</v>
      </c>
      <c r="CC310">
        <v>0</v>
      </c>
      <c r="CD310">
        <v>0</v>
      </c>
      <c r="CE31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10" s="19">
        <f>SUM(Table1[[#This Row],[Mid39]],Table1[[#This Row],[Mid36]],Table1[[#This Row],[Mid33]],Table1[[#This Row],[Mid30]],Table1[[#This Row],[Mid27]],Table1[[#This Row],[Mid24]],Table1[[#This Row],[Mid21]],Table1[[#This Row],[Mid18]],Table1[[#This Row],[Mid15]],Table1[[#This Row],[Mid12]],Table1[[#This Row],[Mid9]],Table1[[#This Row],[Mid6]],Table1[[#This Row],[Mid3]],Table1[[#This Row],[Mid]])</f>
        <v>41.7</v>
      </c>
      <c r="CG3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10" t="s">
        <v>157</v>
      </c>
      <c r="CI310" t="s">
        <v>134</v>
      </c>
      <c r="CJ310" t="s">
        <v>158</v>
      </c>
      <c r="CL310" s="19">
        <f>IF(Table1[[#This Row],[Type]]="Petroleum",1,IF(ISERROR(Table1[[#This Row],[Well Density]]*Table1[[#This Row],[Single Well Discovery Area]]),"",IF(Table1[[#This Row],[Well Density]]*Table1[[#This Row],[Single Well Discovery Area]]&gt;1,1,Table1[[#This Row],[Well Density]]*Table1[[#This Row],[Single Well Discovery Area]])))</f>
        <v>1</v>
      </c>
      <c r="CM310" t="s">
        <v>158</v>
      </c>
      <c r="CN310" s="19">
        <f>Table1[[#This Row],[Mid]]</f>
        <v>0</v>
      </c>
      <c r="CO310" s="19">
        <f>Table1[[#This Row],[Mid3]]+Table1[[#This Row],[Mid6]]+Table1[[#This Row],[Mid9]]</f>
        <v>0</v>
      </c>
      <c r="CP310" s="19">
        <f>Table1[[#This Row],[Mid12]]+Table1[[#This Row],[Mid15]]+Table1[[#This Row],[Mid18]]+Table1[[#This Row],[Mid21]]+Table1[[#This Row],[Mid24]]</f>
        <v>41.7</v>
      </c>
      <c r="CQ310" s="19">
        <f>Table1[[#This Row],[Mid27]]+Table1[[#This Row],[Mid30]]+Table1[[#This Row],[Mid33]]+Table1[[#This Row],[Mid36]]+Table1[[#This Row],[Mid39]]</f>
        <v>0</v>
      </c>
      <c r="CR310" t="s">
        <v>439</v>
      </c>
      <c r="CS310" s="19" t="str">
        <f>IF(AND(Table1[[#This Row],[Low41]]=0, Table1[[#This Row],[High43]]=0),"N","Y")</f>
        <v>N</v>
      </c>
    </row>
    <row r="311" spans="1:97" ht="19.5" customHeight="1" x14ac:dyDescent="0.25">
      <c r="A311">
        <v>10308</v>
      </c>
      <c r="B311" t="s">
        <v>1032</v>
      </c>
      <c r="C311" t="s">
        <v>1089</v>
      </c>
      <c r="D311">
        <v>-3.0950000000000002</v>
      </c>
      <c r="E311">
        <v>103.5161111</v>
      </c>
      <c r="F311" t="s">
        <v>1131</v>
      </c>
      <c r="G311" t="s">
        <v>1089</v>
      </c>
      <c r="H311" t="s">
        <v>252</v>
      </c>
      <c r="I311" t="s">
        <v>201</v>
      </c>
      <c r="J311" t="s">
        <v>202</v>
      </c>
      <c r="K311" t="s">
        <v>203</v>
      </c>
      <c r="L311" t="s">
        <v>204</v>
      </c>
      <c r="M311" t="s">
        <v>252</v>
      </c>
      <c r="N311" s="6" t="s">
        <v>1124</v>
      </c>
      <c r="O311" t="s">
        <v>1125</v>
      </c>
      <c r="P311" t="s">
        <v>1126</v>
      </c>
      <c r="Q311" t="s">
        <v>255</v>
      </c>
      <c r="R311" s="21" t="s">
        <v>1129</v>
      </c>
      <c r="S311">
        <v>2015</v>
      </c>
      <c r="T311" t="s">
        <v>128</v>
      </c>
      <c r="U311" t="s">
        <v>129</v>
      </c>
      <c r="V311">
        <v>0</v>
      </c>
      <c r="W311">
        <v>1160</v>
      </c>
      <c r="X311">
        <v>0</v>
      </c>
      <c r="Y311">
        <v>0</v>
      </c>
      <c r="Z311">
        <v>0</v>
      </c>
      <c r="AA311">
        <v>0</v>
      </c>
      <c r="AB311">
        <v>0</v>
      </c>
      <c r="AC311">
        <v>0</v>
      </c>
      <c r="AD311">
        <v>0</v>
      </c>
      <c r="AF311">
        <v>200</v>
      </c>
      <c r="AG311">
        <v>0</v>
      </c>
      <c r="AH311" t="s">
        <v>1049</v>
      </c>
      <c r="AI311">
        <v>0</v>
      </c>
      <c r="AJ311">
        <v>0</v>
      </c>
      <c r="AK311">
        <v>0</v>
      </c>
      <c r="AL311">
        <v>0</v>
      </c>
      <c r="AM311" t="s">
        <v>278</v>
      </c>
      <c r="AN311" t="s">
        <v>132</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24.4</v>
      </c>
      <c r="BO311">
        <v>0</v>
      </c>
      <c r="BP311">
        <v>0</v>
      </c>
      <c r="BQ311">
        <v>0</v>
      </c>
      <c r="BR311">
        <v>0</v>
      </c>
      <c r="BS311">
        <v>0</v>
      </c>
      <c r="BT311">
        <v>0</v>
      </c>
      <c r="BU311">
        <v>0</v>
      </c>
      <c r="BV311">
        <v>0</v>
      </c>
      <c r="BW311">
        <v>0</v>
      </c>
      <c r="BX311">
        <v>0</v>
      </c>
      <c r="BY311">
        <v>0</v>
      </c>
      <c r="BZ311">
        <v>0</v>
      </c>
      <c r="CA311">
        <v>0</v>
      </c>
      <c r="CB311">
        <v>0</v>
      </c>
      <c r="CC311">
        <v>0</v>
      </c>
      <c r="CD311">
        <v>0</v>
      </c>
      <c r="CE31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11" s="19">
        <f>SUM(Table1[[#This Row],[Mid39]],Table1[[#This Row],[Mid36]],Table1[[#This Row],[Mid33]],Table1[[#This Row],[Mid30]],Table1[[#This Row],[Mid27]],Table1[[#This Row],[Mid24]],Table1[[#This Row],[Mid21]],Table1[[#This Row],[Mid18]],Table1[[#This Row],[Mid15]],Table1[[#This Row],[Mid12]],Table1[[#This Row],[Mid9]],Table1[[#This Row],[Mid6]],Table1[[#This Row],[Mid3]],Table1[[#This Row],[Mid]])</f>
        <v>24.4</v>
      </c>
      <c r="CG3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11" t="s">
        <v>157</v>
      </c>
      <c r="CI311" t="s">
        <v>134</v>
      </c>
      <c r="CJ311" t="s">
        <v>158</v>
      </c>
      <c r="CL311" s="19">
        <f>IF(Table1[[#This Row],[Type]]="Petroleum",1,IF(ISERROR(Table1[[#This Row],[Well Density]]*Table1[[#This Row],[Single Well Discovery Area]]),"",IF(Table1[[#This Row],[Well Density]]*Table1[[#This Row],[Single Well Discovery Area]]&gt;1,1,Table1[[#This Row],[Well Density]]*Table1[[#This Row],[Single Well Discovery Area]])))</f>
        <v>1</v>
      </c>
      <c r="CM311" t="s">
        <v>158</v>
      </c>
      <c r="CN311" s="19">
        <f>Table1[[#This Row],[Mid]]</f>
        <v>0</v>
      </c>
      <c r="CO311" s="19">
        <f>Table1[[#This Row],[Mid3]]+Table1[[#This Row],[Mid6]]+Table1[[#This Row],[Mid9]]</f>
        <v>0</v>
      </c>
      <c r="CP311" s="19">
        <f>Table1[[#This Row],[Mid12]]+Table1[[#This Row],[Mid15]]+Table1[[#This Row],[Mid18]]+Table1[[#This Row],[Mid21]]+Table1[[#This Row],[Mid24]]</f>
        <v>24.4</v>
      </c>
      <c r="CQ311" s="19">
        <f>Table1[[#This Row],[Mid27]]+Table1[[#This Row],[Mid30]]+Table1[[#This Row],[Mid33]]+Table1[[#This Row],[Mid36]]+Table1[[#This Row],[Mid39]]</f>
        <v>0</v>
      </c>
      <c r="CR311" t="s">
        <v>439</v>
      </c>
      <c r="CS311" s="19" t="str">
        <f>IF(AND(Table1[[#This Row],[Low41]]=0, Table1[[#This Row],[High43]]=0),"N","Y")</f>
        <v>N</v>
      </c>
    </row>
    <row r="312" spans="1:97" ht="19.5" customHeight="1" x14ac:dyDescent="0.25">
      <c r="A312">
        <v>10309</v>
      </c>
      <c r="B312" t="s">
        <v>1032</v>
      </c>
      <c r="C312" t="s">
        <v>1089</v>
      </c>
      <c r="D312">
        <v>-3.4680555559999999</v>
      </c>
      <c r="E312">
        <v>103.88249999999999</v>
      </c>
      <c r="F312" t="s">
        <v>1132</v>
      </c>
      <c r="G312" t="s">
        <v>1089</v>
      </c>
      <c r="H312" t="s">
        <v>252</v>
      </c>
      <c r="I312" t="s">
        <v>201</v>
      </c>
      <c r="J312" t="s">
        <v>202</v>
      </c>
      <c r="K312" t="s">
        <v>203</v>
      </c>
      <c r="L312" t="s">
        <v>204</v>
      </c>
      <c r="M312" t="s">
        <v>252</v>
      </c>
      <c r="N312" s="6" t="s">
        <v>1124</v>
      </c>
      <c r="O312" t="s">
        <v>1125</v>
      </c>
      <c r="P312" t="s">
        <v>1126</v>
      </c>
      <c r="Q312" t="s">
        <v>255</v>
      </c>
      <c r="R312" s="21" t="s">
        <v>1133</v>
      </c>
      <c r="S312">
        <v>2015</v>
      </c>
      <c r="T312" t="s">
        <v>128</v>
      </c>
      <c r="U312" t="s">
        <v>129</v>
      </c>
      <c r="V312">
        <v>0</v>
      </c>
      <c r="W312">
        <v>1720</v>
      </c>
      <c r="X312">
        <v>0</v>
      </c>
      <c r="Y312">
        <v>0</v>
      </c>
      <c r="Z312">
        <v>0</v>
      </c>
      <c r="AA312">
        <v>0</v>
      </c>
      <c r="AB312">
        <v>0</v>
      </c>
      <c r="AC312">
        <v>0</v>
      </c>
      <c r="AD312">
        <v>0</v>
      </c>
      <c r="AF312">
        <v>200</v>
      </c>
      <c r="AG312">
        <v>0</v>
      </c>
      <c r="AH312" t="s">
        <v>1049</v>
      </c>
      <c r="AI312">
        <v>0</v>
      </c>
      <c r="AJ312">
        <v>0</v>
      </c>
      <c r="AK312">
        <v>0</v>
      </c>
      <c r="AL312">
        <v>0</v>
      </c>
      <c r="AM312" t="s">
        <v>278</v>
      </c>
      <c r="AN312" t="s">
        <v>132</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9.4</v>
      </c>
      <c r="BO312">
        <v>0</v>
      </c>
      <c r="BP312">
        <v>0</v>
      </c>
      <c r="BQ312">
        <v>0</v>
      </c>
      <c r="BR312">
        <v>0</v>
      </c>
      <c r="BS312">
        <v>0</v>
      </c>
      <c r="BT312">
        <v>0</v>
      </c>
      <c r="BU312">
        <v>0</v>
      </c>
      <c r="BV312">
        <v>0</v>
      </c>
      <c r="BW312">
        <v>0</v>
      </c>
      <c r="BX312">
        <v>0</v>
      </c>
      <c r="BY312">
        <v>0</v>
      </c>
      <c r="BZ312">
        <v>0</v>
      </c>
      <c r="CA312">
        <v>0</v>
      </c>
      <c r="CB312">
        <v>0</v>
      </c>
      <c r="CC312">
        <v>0</v>
      </c>
      <c r="CD312">
        <v>0</v>
      </c>
      <c r="CE31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12" s="19">
        <f>SUM(Table1[[#This Row],[Mid39]],Table1[[#This Row],[Mid36]],Table1[[#This Row],[Mid33]],Table1[[#This Row],[Mid30]],Table1[[#This Row],[Mid27]],Table1[[#This Row],[Mid24]],Table1[[#This Row],[Mid21]],Table1[[#This Row],[Mid18]],Table1[[#This Row],[Mid15]],Table1[[#This Row],[Mid12]],Table1[[#This Row],[Mid9]],Table1[[#This Row],[Mid6]],Table1[[#This Row],[Mid3]],Table1[[#This Row],[Mid]])</f>
        <v>9.4</v>
      </c>
      <c r="CG3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12" t="s">
        <v>157</v>
      </c>
      <c r="CI312" t="s">
        <v>134</v>
      </c>
      <c r="CJ312" t="s">
        <v>158</v>
      </c>
      <c r="CL312" s="19">
        <f>IF(Table1[[#This Row],[Type]]="Petroleum",1,IF(ISERROR(Table1[[#This Row],[Well Density]]*Table1[[#This Row],[Single Well Discovery Area]]),"",IF(Table1[[#This Row],[Well Density]]*Table1[[#This Row],[Single Well Discovery Area]]&gt;1,1,Table1[[#This Row],[Well Density]]*Table1[[#This Row],[Single Well Discovery Area]])))</f>
        <v>1</v>
      </c>
      <c r="CM312" t="s">
        <v>158</v>
      </c>
      <c r="CN312" s="19">
        <f>Table1[[#This Row],[Mid]]</f>
        <v>0</v>
      </c>
      <c r="CO312" s="19">
        <f>Table1[[#This Row],[Mid3]]+Table1[[#This Row],[Mid6]]+Table1[[#This Row],[Mid9]]</f>
        <v>0</v>
      </c>
      <c r="CP312" s="19">
        <f>Table1[[#This Row],[Mid12]]+Table1[[#This Row],[Mid15]]+Table1[[#This Row],[Mid18]]+Table1[[#This Row],[Mid21]]+Table1[[#This Row],[Mid24]]</f>
        <v>9.4</v>
      </c>
      <c r="CQ312" s="19">
        <f>Table1[[#This Row],[Mid27]]+Table1[[#This Row],[Mid30]]+Table1[[#This Row],[Mid33]]+Table1[[#This Row],[Mid36]]+Table1[[#This Row],[Mid39]]</f>
        <v>0</v>
      </c>
      <c r="CR312" t="s">
        <v>439</v>
      </c>
      <c r="CS312" s="19" t="str">
        <f>IF(AND(Table1[[#This Row],[Low41]]=0, Table1[[#This Row],[High43]]=0),"N","Y")</f>
        <v>N</v>
      </c>
    </row>
    <row r="313" spans="1:97" ht="19.5" customHeight="1" x14ac:dyDescent="0.25">
      <c r="A313">
        <v>10310</v>
      </c>
      <c r="B313" t="s">
        <v>1032</v>
      </c>
      <c r="C313" t="s">
        <v>1089</v>
      </c>
      <c r="D313">
        <v>-3.3797222219999998</v>
      </c>
      <c r="E313">
        <v>103.7297222</v>
      </c>
      <c r="F313" t="s">
        <v>1134</v>
      </c>
      <c r="G313" t="s">
        <v>1089</v>
      </c>
      <c r="H313" t="s">
        <v>252</v>
      </c>
      <c r="I313" t="s">
        <v>201</v>
      </c>
      <c r="J313" t="s">
        <v>202</v>
      </c>
      <c r="K313" t="s">
        <v>203</v>
      </c>
      <c r="L313" t="s">
        <v>204</v>
      </c>
      <c r="M313" t="s">
        <v>252</v>
      </c>
      <c r="N313" s="6" t="s">
        <v>1124</v>
      </c>
      <c r="O313" t="s">
        <v>1125</v>
      </c>
      <c r="P313" t="s">
        <v>1126</v>
      </c>
      <c r="Q313" t="s">
        <v>255</v>
      </c>
      <c r="R313" s="21" t="s">
        <v>1135</v>
      </c>
      <c r="S313">
        <v>2015</v>
      </c>
      <c r="T313" t="s">
        <v>128</v>
      </c>
      <c r="U313" t="s">
        <v>129</v>
      </c>
      <c r="V313">
        <v>0</v>
      </c>
      <c r="W313">
        <v>1720</v>
      </c>
      <c r="X313">
        <v>0</v>
      </c>
      <c r="Y313">
        <v>0</v>
      </c>
      <c r="Z313">
        <v>0</v>
      </c>
      <c r="AA313">
        <v>0</v>
      </c>
      <c r="AB313">
        <v>0</v>
      </c>
      <c r="AC313">
        <v>0</v>
      </c>
      <c r="AD313">
        <v>0</v>
      </c>
      <c r="AF313">
        <v>200</v>
      </c>
      <c r="AG313">
        <v>0</v>
      </c>
      <c r="AH313" t="s">
        <v>1049</v>
      </c>
      <c r="AI313">
        <v>0</v>
      </c>
      <c r="AJ313">
        <v>0</v>
      </c>
      <c r="AK313">
        <v>0</v>
      </c>
      <c r="AL313">
        <v>0</v>
      </c>
      <c r="AM313" t="s">
        <v>278</v>
      </c>
      <c r="AN313" t="s">
        <v>132</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17.8</v>
      </c>
      <c r="BO313">
        <v>0</v>
      </c>
      <c r="BP313">
        <v>0</v>
      </c>
      <c r="BQ313">
        <v>0</v>
      </c>
      <c r="BR313">
        <v>0</v>
      </c>
      <c r="BS313">
        <v>0</v>
      </c>
      <c r="BT313">
        <v>0</v>
      </c>
      <c r="BU313">
        <v>0</v>
      </c>
      <c r="BV313">
        <v>0</v>
      </c>
      <c r="BW313">
        <v>0</v>
      </c>
      <c r="BX313">
        <v>0</v>
      </c>
      <c r="BY313">
        <v>0</v>
      </c>
      <c r="BZ313">
        <v>0</v>
      </c>
      <c r="CA313">
        <v>0</v>
      </c>
      <c r="CB313">
        <v>0</v>
      </c>
      <c r="CC313">
        <v>0</v>
      </c>
      <c r="CD313">
        <v>0</v>
      </c>
      <c r="CE31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13" s="19">
        <f>SUM(Table1[[#This Row],[Mid39]],Table1[[#This Row],[Mid36]],Table1[[#This Row],[Mid33]],Table1[[#This Row],[Mid30]],Table1[[#This Row],[Mid27]],Table1[[#This Row],[Mid24]],Table1[[#This Row],[Mid21]],Table1[[#This Row],[Mid18]],Table1[[#This Row],[Mid15]],Table1[[#This Row],[Mid12]],Table1[[#This Row],[Mid9]],Table1[[#This Row],[Mid6]],Table1[[#This Row],[Mid3]],Table1[[#This Row],[Mid]])</f>
        <v>17.8</v>
      </c>
      <c r="CG3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13" t="s">
        <v>157</v>
      </c>
      <c r="CI313" t="s">
        <v>134</v>
      </c>
      <c r="CJ313" t="s">
        <v>158</v>
      </c>
      <c r="CL313" s="19">
        <f>IF(Table1[[#This Row],[Type]]="Petroleum",1,IF(ISERROR(Table1[[#This Row],[Well Density]]*Table1[[#This Row],[Single Well Discovery Area]]),"",IF(Table1[[#This Row],[Well Density]]*Table1[[#This Row],[Single Well Discovery Area]]&gt;1,1,Table1[[#This Row],[Well Density]]*Table1[[#This Row],[Single Well Discovery Area]])))</f>
        <v>1</v>
      </c>
      <c r="CM313" t="s">
        <v>158</v>
      </c>
      <c r="CN313" s="19">
        <f>Table1[[#This Row],[Mid]]</f>
        <v>0</v>
      </c>
      <c r="CO313" s="19">
        <f>Table1[[#This Row],[Mid3]]+Table1[[#This Row],[Mid6]]+Table1[[#This Row],[Mid9]]</f>
        <v>0</v>
      </c>
      <c r="CP313" s="19">
        <f>Table1[[#This Row],[Mid12]]+Table1[[#This Row],[Mid15]]+Table1[[#This Row],[Mid18]]+Table1[[#This Row],[Mid21]]+Table1[[#This Row],[Mid24]]</f>
        <v>17.8</v>
      </c>
      <c r="CQ313" s="19">
        <f>Table1[[#This Row],[Mid27]]+Table1[[#This Row],[Mid30]]+Table1[[#This Row],[Mid33]]+Table1[[#This Row],[Mid36]]+Table1[[#This Row],[Mid39]]</f>
        <v>0</v>
      </c>
      <c r="CR313" t="s">
        <v>439</v>
      </c>
      <c r="CS313" s="19" t="str">
        <f>IF(AND(Table1[[#This Row],[Low41]]=0, Table1[[#This Row],[High43]]=0),"N","Y")</f>
        <v>N</v>
      </c>
    </row>
    <row r="314" spans="1:97" ht="19.5" customHeight="1" x14ac:dyDescent="0.25">
      <c r="A314">
        <v>10311</v>
      </c>
      <c r="B314" t="s">
        <v>1032</v>
      </c>
      <c r="C314" t="s">
        <v>1089</v>
      </c>
      <c r="D314">
        <v>-3.4558333330000002</v>
      </c>
      <c r="E314">
        <v>103.4911111</v>
      </c>
      <c r="F314" t="s">
        <v>1136</v>
      </c>
      <c r="G314" t="s">
        <v>1089</v>
      </c>
      <c r="H314" t="s">
        <v>252</v>
      </c>
      <c r="I314" t="s">
        <v>201</v>
      </c>
      <c r="J314" t="s">
        <v>202</v>
      </c>
      <c r="K314" t="s">
        <v>203</v>
      </c>
      <c r="L314" t="s">
        <v>204</v>
      </c>
      <c r="M314" t="s">
        <v>252</v>
      </c>
      <c r="N314" s="6" t="s">
        <v>1124</v>
      </c>
      <c r="O314" t="s">
        <v>1125</v>
      </c>
      <c r="P314" t="s">
        <v>1126</v>
      </c>
      <c r="Q314" t="s">
        <v>255</v>
      </c>
      <c r="R314" t="s">
        <v>1137</v>
      </c>
      <c r="S314" t="s">
        <v>1138</v>
      </c>
      <c r="T314" t="s">
        <v>128</v>
      </c>
      <c r="U314" t="s">
        <v>129</v>
      </c>
      <c r="V314">
        <v>0</v>
      </c>
      <c r="W314">
        <v>0</v>
      </c>
      <c r="X314">
        <v>0</v>
      </c>
      <c r="Y314">
        <v>0</v>
      </c>
      <c r="Z314">
        <v>0</v>
      </c>
      <c r="AA314">
        <v>0</v>
      </c>
      <c r="AB314">
        <v>0</v>
      </c>
      <c r="AC314">
        <v>0</v>
      </c>
      <c r="AD314">
        <v>0</v>
      </c>
      <c r="AF314">
        <v>200</v>
      </c>
      <c r="AG314">
        <v>0</v>
      </c>
      <c r="AH314" t="s">
        <v>1049</v>
      </c>
      <c r="AI314">
        <v>0</v>
      </c>
      <c r="AJ314">
        <v>0</v>
      </c>
      <c r="AK314">
        <v>0</v>
      </c>
      <c r="AL314">
        <v>0</v>
      </c>
      <c r="AM314" t="s">
        <v>278</v>
      </c>
      <c r="AN314" t="s">
        <v>132</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1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3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14" t="s">
        <v>157</v>
      </c>
      <c r="CI314" t="s">
        <v>134</v>
      </c>
      <c r="CJ314" t="s">
        <v>158</v>
      </c>
      <c r="CL314" s="19">
        <f>IF(Table1[[#This Row],[Type]]="Petroleum",1,IF(ISERROR(Table1[[#This Row],[Well Density]]*Table1[[#This Row],[Single Well Discovery Area]]),"",IF(Table1[[#This Row],[Well Density]]*Table1[[#This Row],[Single Well Discovery Area]]&gt;1,1,Table1[[#This Row],[Well Density]]*Table1[[#This Row],[Single Well Discovery Area]])))</f>
        <v>1</v>
      </c>
      <c r="CM314" t="s">
        <v>158</v>
      </c>
      <c r="CN314" s="19">
        <f>Table1[[#This Row],[Mid]]</f>
        <v>0</v>
      </c>
      <c r="CO314" s="19">
        <f>Table1[[#This Row],[Mid3]]+Table1[[#This Row],[Mid6]]+Table1[[#This Row],[Mid9]]</f>
        <v>0</v>
      </c>
      <c r="CP314" s="19">
        <f>Table1[[#This Row],[Mid12]]+Table1[[#This Row],[Mid15]]+Table1[[#This Row],[Mid18]]+Table1[[#This Row],[Mid21]]+Table1[[#This Row],[Mid24]]</f>
        <v>0</v>
      </c>
      <c r="CQ314" s="19">
        <f>Table1[[#This Row],[Mid27]]+Table1[[#This Row],[Mid30]]+Table1[[#This Row],[Mid33]]+Table1[[#This Row],[Mid36]]+Table1[[#This Row],[Mid39]]</f>
        <v>0</v>
      </c>
      <c r="CR314" t="s">
        <v>439</v>
      </c>
      <c r="CS314" s="19" t="str">
        <f>IF(AND(Table1[[#This Row],[Low41]]=0, Table1[[#This Row],[High43]]=0),"N","Y")</f>
        <v>N</v>
      </c>
    </row>
    <row r="315" spans="1:97" ht="19.5" customHeight="1" x14ac:dyDescent="0.25">
      <c r="A315">
        <v>10312</v>
      </c>
      <c r="B315" t="s">
        <v>1032</v>
      </c>
      <c r="C315" t="s">
        <v>1089</v>
      </c>
      <c r="D315">
        <v>-2.778333333</v>
      </c>
      <c r="E315">
        <v>104.40111109999999</v>
      </c>
      <c r="F315" t="s">
        <v>1139</v>
      </c>
      <c r="G315" t="s">
        <v>1089</v>
      </c>
      <c r="H315" t="s">
        <v>252</v>
      </c>
      <c r="I315" t="s">
        <v>201</v>
      </c>
      <c r="J315" t="s">
        <v>202</v>
      </c>
      <c r="K315" t="s">
        <v>203</v>
      </c>
      <c r="L315" t="s">
        <v>204</v>
      </c>
      <c r="M315" t="s">
        <v>252</v>
      </c>
      <c r="N315" s="6" t="s">
        <v>1045</v>
      </c>
      <c r="O315" t="s">
        <v>1046</v>
      </c>
      <c r="P315" t="s">
        <v>1047</v>
      </c>
      <c r="Q315" t="s">
        <v>195</v>
      </c>
      <c r="R315" t="s">
        <v>1140</v>
      </c>
      <c r="S315">
        <v>2013</v>
      </c>
      <c r="T315" t="s">
        <v>128</v>
      </c>
      <c r="U315" t="s">
        <v>129</v>
      </c>
      <c r="V315">
        <v>0</v>
      </c>
      <c r="W315">
        <v>0</v>
      </c>
      <c r="X315">
        <v>0</v>
      </c>
      <c r="Y315">
        <v>0</v>
      </c>
      <c r="Z315">
        <v>0</v>
      </c>
      <c r="AA315">
        <v>0</v>
      </c>
      <c r="AB315">
        <v>0</v>
      </c>
      <c r="AC315">
        <v>0</v>
      </c>
      <c r="AD315">
        <v>0</v>
      </c>
      <c r="AF315">
        <v>200</v>
      </c>
      <c r="AG315">
        <v>0</v>
      </c>
      <c r="AH315" t="s">
        <v>1049</v>
      </c>
      <c r="AI315">
        <v>0</v>
      </c>
      <c r="AJ315">
        <v>0</v>
      </c>
      <c r="AK315">
        <v>0</v>
      </c>
      <c r="AL315">
        <v>0</v>
      </c>
      <c r="AM315" t="s">
        <v>278</v>
      </c>
      <c r="AN315" t="s">
        <v>132</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54</v>
      </c>
      <c r="BO315">
        <v>0</v>
      </c>
      <c r="BP315">
        <v>0</v>
      </c>
      <c r="BQ315">
        <v>0</v>
      </c>
      <c r="BR315">
        <v>0</v>
      </c>
      <c r="BS315">
        <v>0</v>
      </c>
      <c r="BT315">
        <v>0</v>
      </c>
      <c r="BU315">
        <v>0</v>
      </c>
      <c r="BV315">
        <v>0</v>
      </c>
      <c r="BW315">
        <v>0</v>
      </c>
      <c r="BX315">
        <v>0</v>
      </c>
      <c r="BY315">
        <v>0</v>
      </c>
      <c r="BZ315">
        <v>0</v>
      </c>
      <c r="CA315">
        <v>0</v>
      </c>
      <c r="CB315">
        <v>0</v>
      </c>
      <c r="CC315">
        <v>0</v>
      </c>
      <c r="CD315">
        <v>0</v>
      </c>
      <c r="CE31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15" s="19">
        <f>SUM(Table1[[#This Row],[Mid39]],Table1[[#This Row],[Mid36]],Table1[[#This Row],[Mid33]],Table1[[#This Row],[Mid30]],Table1[[#This Row],[Mid27]],Table1[[#This Row],[Mid24]],Table1[[#This Row],[Mid21]],Table1[[#This Row],[Mid18]],Table1[[#This Row],[Mid15]],Table1[[#This Row],[Mid12]],Table1[[#This Row],[Mid9]],Table1[[#This Row],[Mid6]],Table1[[#This Row],[Mid3]],Table1[[#This Row],[Mid]])</f>
        <v>54</v>
      </c>
      <c r="CG3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15" t="s">
        <v>157</v>
      </c>
      <c r="CI315" t="s">
        <v>134</v>
      </c>
      <c r="CJ315" t="s">
        <v>158</v>
      </c>
      <c r="CL315" s="19">
        <f>IF(Table1[[#This Row],[Type]]="Petroleum",1,IF(ISERROR(Table1[[#This Row],[Well Density]]*Table1[[#This Row],[Single Well Discovery Area]]),"",IF(Table1[[#This Row],[Well Density]]*Table1[[#This Row],[Single Well Discovery Area]]&gt;1,1,Table1[[#This Row],[Well Density]]*Table1[[#This Row],[Single Well Discovery Area]])))</f>
        <v>1</v>
      </c>
      <c r="CM315" t="s">
        <v>158</v>
      </c>
      <c r="CN315" s="19">
        <f>Table1[[#This Row],[Mid]]</f>
        <v>0</v>
      </c>
      <c r="CO315" s="19">
        <f>Table1[[#This Row],[Mid3]]+Table1[[#This Row],[Mid6]]+Table1[[#This Row],[Mid9]]</f>
        <v>0</v>
      </c>
      <c r="CP315" s="19">
        <f>Table1[[#This Row],[Mid12]]+Table1[[#This Row],[Mid15]]+Table1[[#This Row],[Mid18]]+Table1[[#This Row],[Mid21]]+Table1[[#This Row],[Mid24]]</f>
        <v>54</v>
      </c>
      <c r="CQ315" s="19">
        <f>Table1[[#This Row],[Mid27]]+Table1[[#This Row],[Mid30]]+Table1[[#This Row],[Mid33]]+Table1[[#This Row],[Mid36]]+Table1[[#This Row],[Mid39]]</f>
        <v>0</v>
      </c>
      <c r="CR315" t="s">
        <v>439</v>
      </c>
      <c r="CS315" s="19" t="str">
        <f>IF(AND(Table1[[#This Row],[Low41]]=0, Table1[[#This Row],[High43]]=0),"N","Y")</f>
        <v>N</v>
      </c>
    </row>
    <row r="316" spans="1:97" ht="19.5" customHeight="1" x14ac:dyDescent="0.25">
      <c r="A316">
        <v>10313</v>
      </c>
      <c r="B316" t="s">
        <v>1032</v>
      </c>
      <c r="C316" t="s">
        <v>1106</v>
      </c>
      <c r="D316">
        <v>-5.840555556</v>
      </c>
      <c r="E316">
        <v>107.5025</v>
      </c>
      <c r="F316" t="s">
        <v>1141</v>
      </c>
      <c r="G316" t="s">
        <v>1117</v>
      </c>
      <c r="H316" t="s">
        <v>252</v>
      </c>
      <c r="I316" t="s">
        <v>201</v>
      </c>
      <c r="J316" t="s">
        <v>202</v>
      </c>
      <c r="K316" t="s">
        <v>203</v>
      </c>
      <c r="L316" t="s">
        <v>204</v>
      </c>
      <c r="M316" t="s">
        <v>252</v>
      </c>
      <c r="N316" s="6" t="s">
        <v>1092</v>
      </c>
      <c r="O316" t="s">
        <v>1093</v>
      </c>
      <c r="P316" t="s">
        <v>1094</v>
      </c>
      <c r="Q316" t="s">
        <v>195</v>
      </c>
      <c r="R316" t="s">
        <v>1142</v>
      </c>
      <c r="S316">
        <v>2017</v>
      </c>
      <c r="T316" t="s">
        <v>128</v>
      </c>
      <c r="U316" t="s">
        <v>129</v>
      </c>
      <c r="V316">
        <v>0</v>
      </c>
      <c r="W316">
        <v>0</v>
      </c>
      <c r="X316">
        <v>0</v>
      </c>
      <c r="Y316">
        <v>0</v>
      </c>
      <c r="Z316">
        <v>0</v>
      </c>
      <c r="AA316">
        <v>0</v>
      </c>
      <c r="AB316">
        <v>0</v>
      </c>
      <c r="AC316">
        <v>0</v>
      </c>
      <c r="AD316">
        <v>0</v>
      </c>
      <c r="AF316">
        <v>200</v>
      </c>
      <c r="AG316">
        <v>0</v>
      </c>
      <c r="AH316" t="s">
        <v>1049</v>
      </c>
      <c r="AI316">
        <v>0</v>
      </c>
      <c r="AJ316">
        <v>0</v>
      </c>
      <c r="AK316">
        <v>0</v>
      </c>
      <c r="AL316">
        <v>0</v>
      </c>
      <c r="AM316" t="s">
        <v>278</v>
      </c>
      <c r="AN316" t="s">
        <v>132</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224</v>
      </c>
      <c r="BO316">
        <v>0</v>
      </c>
      <c r="BP316">
        <v>0</v>
      </c>
      <c r="BQ316">
        <v>0</v>
      </c>
      <c r="BR316">
        <v>0</v>
      </c>
      <c r="BS316">
        <v>0</v>
      </c>
      <c r="BT316">
        <v>0</v>
      </c>
      <c r="BU316">
        <v>0</v>
      </c>
      <c r="BV316">
        <v>0</v>
      </c>
      <c r="BW316">
        <v>0</v>
      </c>
      <c r="BX316">
        <v>0</v>
      </c>
      <c r="BY316">
        <v>0</v>
      </c>
      <c r="BZ316">
        <v>0</v>
      </c>
      <c r="CA316">
        <v>0</v>
      </c>
      <c r="CB316">
        <v>0</v>
      </c>
      <c r="CC316">
        <v>0</v>
      </c>
      <c r="CD316">
        <v>0</v>
      </c>
      <c r="CE31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16" s="19">
        <f>SUM(Table1[[#This Row],[Mid39]],Table1[[#This Row],[Mid36]],Table1[[#This Row],[Mid33]],Table1[[#This Row],[Mid30]],Table1[[#This Row],[Mid27]],Table1[[#This Row],[Mid24]],Table1[[#This Row],[Mid21]],Table1[[#This Row],[Mid18]],Table1[[#This Row],[Mid15]],Table1[[#This Row],[Mid12]],Table1[[#This Row],[Mid9]],Table1[[#This Row],[Mid6]],Table1[[#This Row],[Mid3]],Table1[[#This Row],[Mid]])</f>
        <v>224</v>
      </c>
      <c r="CG3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16" t="s">
        <v>157</v>
      </c>
      <c r="CI316" t="s">
        <v>134</v>
      </c>
      <c r="CJ316" t="s">
        <v>158</v>
      </c>
      <c r="CL316" s="19">
        <f>IF(Table1[[#This Row],[Type]]="Petroleum",1,IF(ISERROR(Table1[[#This Row],[Well Density]]*Table1[[#This Row],[Single Well Discovery Area]]),"",IF(Table1[[#This Row],[Well Density]]*Table1[[#This Row],[Single Well Discovery Area]]&gt;1,1,Table1[[#This Row],[Well Density]]*Table1[[#This Row],[Single Well Discovery Area]])))</f>
        <v>1</v>
      </c>
      <c r="CM316" t="s">
        <v>158</v>
      </c>
      <c r="CN316" s="19">
        <f>Table1[[#This Row],[Mid]]</f>
        <v>0</v>
      </c>
      <c r="CO316" s="19">
        <f>Table1[[#This Row],[Mid3]]+Table1[[#This Row],[Mid6]]+Table1[[#This Row],[Mid9]]</f>
        <v>0</v>
      </c>
      <c r="CP316" s="19">
        <f>Table1[[#This Row],[Mid12]]+Table1[[#This Row],[Mid15]]+Table1[[#This Row],[Mid18]]+Table1[[#This Row],[Mid21]]+Table1[[#This Row],[Mid24]]</f>
        <v>224</v>
      </c>
      <c r="CQ316" s="19">
        <f>Table1[[#This Row],[Mid27]]+Table1[[#This Row],[Mid30]]+Table1[[#This Row],[Mid33]]+Table1[[#This Row],[Mid36]]+Table1[[#This Row],[Mid39]]</f>
        <v>0</v>
      </c>
      <c r="CR316" t="s">
        <v>439</v>
      </c>
      <c r="CS316" s="19" t="str">
        <f>IF(AND(Table1[[#This Row],[Low41]]=0, Table1[[#This Row],[High43]]=0),"N","Y")</f>
        <v>N</v>
      </c>
    </row>
    <row r="317" spans="1:97" ht="19.5" customHeight="1" x14ac:dyDescent="0.25">
      <c r="A317">
        <v>10314</v>
      </c>
      <c r="B317" t="s">
        <v>1032</v>
      </c>
      <c r="C317" t="s">
        <v>1106</v>
      </c>
      <c r="D317">
        <v>-6.2616666670000001</v>
      </c>
      <c r="E317">
        <v>107.6616667</v>
      </c>
      <c r="F317" t="s">
        <v>1143</v>
      </c>
      <c r="G317" t="s">
        <v>1117</v>
      </c>
      <c r="H317" t="s">
        <v>252</v>
      </c>
      <c r="I317" t="s">
        <v>201</v>
      </c>
      <c r="J317" t="s">
        <v>202</v>
      </c>
      <c r="K317" t="s">
        <v>203</v>
      </c>
      <c r="L317" t="s">
        <v>204</v>
      </c>
      <c r="M317" t="s">
        <v>252</v>
      </c>
      <c r="N317" s="6" t="s">
        <v>1092</v>
      </c>
      <c r="O317" t="s">
        <v>1093</v>
      </c>
      <c r="P317" t="s">
        <v>1094</v>
      </c>
      <c r="Q317" t="s">
        <v>195</v>
      </c>
      <c r="R317" t="s">
        <v>1144</v>
      </c>
      <c r="S317">
        <v>2017</v>
      </c>
      <c r="T317" t="s">
        <v>128</v>
      </c>
      <c r="U317" t="s">
        <v>173</v>
      </c>
      <c r="V317">
        <v>0</v>
      </c>
      <c r="W317">
        <v>0</v>
      </c>
      <c r="X317">
        <v>0</v>
      </c>
      <c r="Y317">
        <v>0</v>
      </c>
      <c r="Z317">
        <v>0</v>
      </c>
      <c r="AA317">
        <v>0</v>
      </c>
      <c r="AB317">
        <v>0</v>
      </c>
      <c r="AC317">
        <v>0</v>
      </c>
      <c r="AD317">
        <v>0</v>
      </c>
      <c r="AF317">
        <v>200</v>
      </c>
      <c r="AG317">
        <v>0</v>
      </c>
      <c r="AH317" t="s">
        <v>1049</v>
      </c>
      <c r="AI317">
        <v>0</v>
      </c>
      <c r="AJ317">
        <v>0</v>
      </c>
      <c r="AK317">
        <v>0</v>
      </c>
      <c r="AL317">
        <v>0</v>
      </c>
      <c r="AM317" t="s">
        <v>278</v>
      </c>
      <c r="AN317" t="s">
        <v>132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171</v>
      </c>
      <c r="BO317">
        <v>0</v>
      </c>
      <c r="BP317">
        <v>0</v>
      </c>
      <c r="BQ317">
        <v>0</v>
      </c>
      <c r="BR317">
        <v>0</v>
      </c>
      <c r="BS317">
        <v>0</v>
      </c>
      <c r="BT317">
        <v>0</v>
      </c>
      <c r="BU317">
        <v>0</v>
      </c>
      <c r="BV317">
        <v>0</v>
      </c>
      <c r="BW317">
        <v>0</v>
      </c>
      <c r="BX317">
        <v>0</v>
      </c>
      <c r="BY317">
        <v>0</v>
      </c>
      <c r="BZ317">
        <v>0</v>
      </c>
      <c r="CA317">
        <v>0</v>
      </c>
      <c r="CB317">
        <v>0</v>
      </c>
      <c r="CC317">
        <v>0</v>
      </c>
      <c r="CD317">
        <v>0</v>
      </c>
      <c r="CE31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17" s="19">
        <f>SUM(Table1[[#This Row],[Mid39]],Table1[[#This Row],[Mid36]],Table1[[#This Row],[Mid33]],Table1[[#This Row],[Mid30]],Table1[[#This Row],[Mid27]],Table1[[#This Row],[Mid24]],Table1[[#This Row],[Mid21]],Table1[[#This Row],[Mid18]],Table1[[#This Row],[Mid15]],Table1[[#This Row],[Mid12]],Table1[[#This Row],[Mid9]],Table1[[#This Row],[Mid6]],Table1[[#This Row],[Mid3]],Table1[[#This Row],[Mid]])</f>
        <v>171</v>
      </c>
      <c r="CG3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17" t="s">
        <v>157</v>
      </c>
      <c r="CI317" t="s">
        <v>134</v>
      </c>
      <c r="CJ317" t="s">
        <v>158</v>
      </c>
      <c r="CL317" s="19">
        <f>IF(Table1[[#This Row],[Type]]="Petroleum",1,IF(ISERROR(Table1[[#This Row],[Well Density]]*Table1[[#This Row],[Single Well Discovery Area]]),"",IF(Table1[[#This Row],[Well Density]]*Table1[[#This Row],[Single Well Discovery Area]]&gt;1,1,Table1[[#This Row],[Well Density]]*Table1[[#This Row],[Single Well Discovery Area]])))</f>
        <v>1</v>
      </c>
      <c r="CM317" t="s">
        <v>158</v>
      </c>
      <c r="CN317" s="19">
        <f>Table1[[#This Row],[Mid]]</f>
        <v>0</v>
      </c>
      <c r="CO317" s="19">
        <f>Table1[[#This Row],[Mid3]]+Table1[[#This Row],[Mid6]]+Table1[[#This Row],[Mid9]]</f>
        <v>0</v>
      </c>
      <c r="CP317" s="19">
        <f>Table1[[#This Row],[Mid12]]+Table1[[#This Row],[Mid15]]+Table1[[#This Row],[Mid18]]+Table1[[#This Row],[Mid21]]+Table1[[#This Row],[Mid24]]</f>
        <v>171</v>
      </c>
      <c r="CQ317" s="19">
        <f>Table1[[#This Row],[Mid27]]+Table1[[#This Row],[Mid30]]+Table1[[#This Row],[Mid33]]+Table1[[#This Row],[Mid36]]+Table1[[#This Row],[Mid39]]</f>
        <v>0</v>
      </c>
      <c r="CR317" t="s">
        <v>439</v>
      </c>
      <c r="CS317" s="19" t="str">
        <f>IF(AND(Table1[[#This Row],[Low41]]=0, Table1[[#This Row],[High43]]=0),"N","Y")</f>
        <v>N</v>
      </c>
    </row>
    <row r="318" spans="1:97" ht="19.5" customHeight="1" x14ac:dyDescent="0.25">
      <c r="A318">
        <v>10315</v>
      </c>
      <c r="B318" t="s">
        <v>1145</v>
      </c>
      <c r="C318" t="s">
        <v>1146</v>
      </c>
      <c r="D318">
        <v>39.727222220000002</v>
      </c>
      <c r="E318">
        <v>140.0288889</v>
      </c>
      <c r="F318" t="s">
        <v>1147</v>
      </c>
      <c r="G318" t="s">
        <v>1146</v>
      </c>
      <c r="H318" t="s">
        <v>252</v>
      </c>
      <c r="I318" t="s">
        <v>118</v>
      </c>
      <c r="J318" t="s">
        <v>119</v>
      </c>
      <c r="K318" t="s">
        <v>190</v>
      </c>
      <c r="L318" t="s">
        <v>18</v>
      </c>
      <c r="M318" t="s">
        <v>252</v>
      </c>
      <c r="N318" s="6" t="s">
        <v>1148</v>
      </c>
      <c r="O318" t="s">
        <v>1149</v>
      </c>
      <c r="P318" t="s">
        <v>170</v>
      </c>
      <c r="Q318" t="s">
        <v>1150</v>
      </c>
      <c r="R318" t="s">
        <v>1151</v>
      </c>
      <c r="T318" t="s">
        <v>128</v>
      </c>
      <c r="U318" t="s">
        <v>129</v>
      </c>
      <c r="V318">
        <v>0</v>
      </c>
      <c r="W318">
        <v>0</v>
      </c>
      <c r="X318">
        <v>0</v>
      </c>
      <c r="Y318">
        <v>0</v>
      </c>
      <c r="Z318">
        <v>0</v>
      </c>
      <c r="AA318">
        <v>0</v>
      </c>
      <c r="AB318">
        <v>0</v>
      </c>
      <c r="AC318">
        <v>0</v>
      </c>
      <c r="AD318">
        <v>0</v>
      </c>
      <c r="AF318">
        <v>200</v>
      </c>
      <c r="AG318">
        <v>0</v>
      </c>
      <c r="AH318" t="s">
        <v>1121</v>
      </c>
      <c r="AI318">
        <v>12.5</v>
      </c>
      <c r="AJ318">
        <v>0</v>
      </c>
      <c r="AK318">
        <v>0</v>
      </c>
      <c r="AL318">
        <v>0</v>
      </c>
      <c r="AN318" t="s">
        <v>248</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18"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31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18" t="s">
        <v>157</v>
      </c>
      <c r="CI318" t="s">
        <v>134</v>
      </c>
      <c r="CJ318" t="s">
        <v>158</v>
      </c>
      <c r="CL318" s="19">
        <f>IF(Table1[[#This Row],[Type]]="Petroleum",1,IF(ISERROR(Table1[[#This Row],[Well Density]]*Table1[[#This Row],[Single Well Discovery Area]]),"",IF(Table1[[#This Row],[Well Density]]*Table1[[#This Row],[Single Well Discovery Area]]&gt;1,1,Table1[[#This Row],[Well Density]]*Table1[[#This Row],[Single Well Discovery Area]])))</f>
        <v>0</v>
      </c>
      <c r="CM318" s="24" t="s">
        <v>158</v>
      </c>
      <c r="CN318" s="19">
        <f>Table1[[#This Row],[Mid]]</f>
        <v>0</v>
      </c>
      <c r="CO318" s="19">
        <f>Table1[[#This Row],[Mid3]]+Table1[[#This Row],[Mid6]]+Table1[[#This Row],[Mid9]]</f>
        <v>0</v>
      </c>
      <c r="CP318" s="19">
        <f>Table1[[#This Row],[Mid12]]+Table1[[#This Row],[Mid15]]+Table1[[#This Row],[Mid18]]+Table1[[#This Row],[Mid21]]+Table1[[#This Row],[Mid24]]</f>
        <v>0</v>
      </c>
      <c r="CQ318" s="19">
        <f>Table1[[#This Row],[Mid27]]+Table1[[#This Row],[Mid30]]+Table1[[#This Row],[Mid33]]+Table1[[#This Row],[Mid36]]+Table1[[#This Row],[Mid39]]</f>
        <v>0</v>
      </c>
      <c r="CR318" t="s">
        <v>439</v>
      </c>
      <c r="CS318" s="19" t="str">
        <f>IF(AND(Table1[[#This Row],[Low41]]=0, Table1[[#This Row],[High43]]=0),"N","Y")</f>
        <v>N</v>
      </c>
    </row>
    <row r="319" spans="1:97" ht="19.5" customHeight="1" x14ac:dyDescent="0.25">
      <c r="A319">
        <v>10316</v>
      </c>
      <c r="B319" t="s">
        <v>1145</v>
      </c>
      <c r="C319" t="s">
        <v>1152</v>
      </c>
      <c r="D319">
        <v>35.50305556</v>
      </c>
      <c r="E319">
        <v>140.12277779999999</v>
      </c>
      <c r="F319" t="s">
        <v>1153</v>
      </c>
      <c r="G319" t="s">
        <v>1154</v>
      </c>
      <c r="H319" t="s">
        <v>1155</v>
      </c>
      <c r="I319" t="s">
        <v>118</v>
      </c>
      <c r="J319" t="s">
        <v>119</v>
      </c>
      <c r="K319" t="s">
        <v>120</v>
      </c>
      <c r="L319" t="s">
        <v>261</v>
      </c>
      <c r="M319" t="s">
        <v>1156</v>
      </c>
      <c r="N319" s="6" t="s">
        <v>1157</v>
      </c>
      <c r="O319" t="s">
        <v>1158</v>
      </c>
      <c r="P319" t="s">
        <v>1159</v>
      </c>
      <c r="Q319" t="s">
        <v>1160</v>
      </c>
      <c r="R319" t="s">
        <v>1161</v>
      </c>
      <c r="S319">
        <v>2011</v>
      </c>
      <c r="T319" t="s">
        <v>128</v>
      </c>
      <c r="U319" t="s">
        <v>129</v>
      </c>
      <c r="V319">
        <v>375</v>
      </c>
      <c r="W319">
        <v>1400</v>
      </c>
      <c r="X319">
        <v>0</v>
      </c>
      <c r="Y319">
        <v>0</v>
      </c>
      <c r="Z319">
        <v>20</v>
      </c>
      <c r="AA319">
        <v>50</v>
      </c>
      <c r="AB319">
        <v>0</v>
      </c>
      <c r="AC319">
        <v>0</v>
      </c>
      <c r="AD319">
        <v>0</v>
      </c>
      <c r="AE319">
        <v>0</v>
      </c>
      <c r="AF319">
        <v>200</v>
      </c>
      <c r="AG319">
        <v>0.99284543999999997</v>
      </c>
      <c r="AH319" t="s">
        <v>130</v>
      </c>
      <c r="AI319">
        <v>0</v>
      </c>
      <c r="AJ319">
        <v>0</v>
      </c>
      <c r="AK319">
        <v>0</v>
      </c>
      <c r="AL319">
        <v>0</v>
      </c>
      <c r="AM319" t="s">
        <v>635</v>
      </c>
      <c r="AN319" t="s">
        <v>132</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9.8000000000000007</v>
      </c>
      <c r="BX319">
        <v>0</v>
      </c>
      <c r="BY319">
        <v>0</v>
      </c>
      <c r="BZ319">
        <v>0</v>
      </c>
      <c r="CA319">
        <v>0</v>
      </c>
      <c r="CB319">
        <v>0</v>
      </c>
      <c r="CC319">
        <v>0</v>
      </c>
      <c r="CD319">
        <v>0</v>
      </c>
      <c r="CE31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19" s="19">
        <f>SUM(Table1[[#This Row],[Mid39]],Table1[[#This Row],[Mid36]],Table1[[#This Row],[Mid33]],Table1[[#This Row],[Mid30]],Table1[[#This Row],[Mid27]],Table1[[#This Row],[Mid24]],Table1[[#This Row],[Mid21]],Table1[[#This Row],[Mid18]],Table1[[#This Row],[Mid15]],Table1[[#This Row],[Mid12]],Table1[[#This Row],[Mid9]],Table1[[#This Row],[Mid6]],Table1[[#This Row],[Mid3]],Table1[[#This Row],[Mid]])</f>
        <v>9.8000000000000007</v>
      </c>
      <c r="CG3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19" t="s">
        <v>157</v>
      </c>
      <c r="CI319" t="s">
        <v>134</v>
      </c>
      <c r="CJ319" t="s">
        <v>135</v>
      </c>
      <c r="CK319" s="24"/>
      <c r="CL319" s="19">
        <f>IF(Table1[[#This Row],[Type]]="Petroleum",1,IF(ISERROR(Table1[[#This Row],[Well Density]]*Table1[[#This Row],[Single Well Discovery Area]]),"",IF(Table1[[#This Row],[Well Density]]*Table1[[#This Row],[Single Well Discovery Area]]&gt;1,1,Table1[[#This Row],[Well Density]]*Table1[[#This Row],[Single Well Discovery Area]])))</f>
        <v>0</v>
      </c>
      <c r="CM319" s="24" t="s">
        <v>135</v>
      </c>
      <c r="CN319" s="19">
        <f>Table1[[#This Row],[Mid]]</f>
        <v>0</v>
      </c>
      <c r="CO319" s="19">
        <f>Table1[[#This Row],[Mid3]]+Table1[[#This Row],[Mid6]]+Table1[[#This Row],[Mid9]]</f>
        <v>0</v>
      </c>
      <c r="CP319" s="19">
        <f>Table1[[#This Row],[Mid12]]+Table1[[#This Row],[Mid15]]+Table1[[#This Row],[Mid18]]+Table1[[#This Row],[Mid21]]+Table1[[#This Row],[Mid24]]</f>
        <v>0</v>
      </c>
      <c r="CQ319" s="19">
        <f>Table1[[#This Row],[Mid27]]+Table1[[#This Row],[Mid30]]+Table1[[#This Row],[Mid33]]+Table1[[#This Row],[Mid36]]+Table1[[#This Row],[Mid39]]</f>
        <v>9.8000000000000007</v>
      </c>
      <c r="CR319" t="s">
        <v>439</v>
      </c>
      <c r="CS319" s="19" t="str">
        <f>IF(AND(Table1[[#This Row],[Low41]]=0, Table1[[#This Row],[High43]]=0),"N","Y")</f>
        <v>N</v>
      </c>
    </row>
    <row r="320" spans="1:97" ht="19.5" customHeight="1" x14ac:dyDescent="0.25">
      <c r="A320">
        <v>10317</v>
      </c>
      <c r="B320" t="s">
        <v>1145</v>
      </c>
      <c r="C320" t="s">
        <v>1162</v>
      </c>
      <c r="D320">
        <v>37.298861109999997</v>
      </c>
      <c r="E320">
        <v>130.8905556</v>
      </c>
      <c r="F320" t="s">
        <v>1163</v>
      </c>
      <c r="G320" t="s">
        <v>1164</v>
      </c>
      <c r="H320" t="s">
        <v>252</v>
      </c>
      <c r="I320" t="s">
        <v>118</v>
      </c>
      <c r="J320" t="s">
        <v>119</v>
      </c>
      <c r="K320" t="s">
        <v>190</v>
      </c>
      <c r="L320" t="s">
        <v>18</v>
      </c>
      <c r="M320" t="s">
        <v>252</v>
      </c>
      <c r="N320" s="6" t="s">
        <v>1148</v>
      </c>
      <c r="O320" t="s">
        <v>1149</v>
      </c>
      <c r="P320" t="s">
        <v>170</v>
      </c>
      <c r="Q320" t="s">
        <v>1150</v>
      </c>
      <c r="R320" t="s">
        <v>1151</v>
      </c>
      <c r="T320" t="s">
        <v>128</v>
      </c>
      <c r="U320" t="s">
        <v>129</v>
      </c>
      <c r="V320">
        <v>0</v>
      </c>
      <c r="W320">
        <v>0</v>
      </c>
      <c r="X320">
        <v>0</v>
      </c>
      <c r="Y320">
        <v>0</v>
      </c>
      <c r="Z320">
        <v>0</v>
      </c>
      <c r="AA320">
        <v>0</v>
      </c>
      <c r="AB320">
        <v>0</v>
      </c>
      <c r="AC320">
        <v>0</v>
      </c>
      <c r="AD320">
        <v>0</v>
      </c>
      <c r="AF320">
        <v>200</v>
      </c>
      <c r="AG320">
        <v>0</v>
      </c>
      <c r="AH320" t="s">
        <v>1121</v>
      </c>
      <c r="AI320">
        <v>12.5</v>
      </c>
      <c r="AJ320">
        <v>0</v>
      </c>
      <c r="AK320">
        <v>0</v>
      </c>
      <c r="AL320">
        <v>0</v>
      </c>
      <c r="AN320" t="s">
        <v>248</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2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3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20" t="s">
        <v>157</v>
      </c>
      <c r="CI320" t="s">
        <v>134</v>
      </c>
      <c r="CJ320" t="s">
        <v>158</v>
      </c>
      <c r="CL320" s="19">
        <f>IF(Table1[[#This Row],[Type]]="Petroleum",1,IF(ISERROR(Table1[[#This Row],[Well Density]]*Table1[[#This Row],[Single Well Discovery Area]]),"",IF(Table1[[#This Row],[Well Density]]*Table1[[#This Row],[Single Well Discovery Area]]&gt;1,1,Table1[[#This Row],[Well Density]]*Table1[[#This Row],[Single Well Discovery Area]])))</f>
        <v>0</v>
      </c>
      <c r="CM320" s="24" t="s">
        <v>158</v>
      </c>
      <c r="CN320" s="19">
        <f>Table1[[#This Row],[Mid]]</f>
        <v>0</v>
      </c>
      <c r="CO320" s="19">
        <f>Table1[[#This Row],[Mid3]]+Table1[[#This Row],[Mid6]]+Table1[[#This Row],[Mid9]]</f>
        <v>0</v>
      </c>
      <c r="CP320" s="19">
        <f>Table1[[#This Row],[Mid12]]+Table1[[#This Row],[Mid15]]+Table1[[#This Row],[Mid18]]+Table1[[#This Row],[Mid21]]+Table1[[#This Row],[Mid24]]</f>
        <v>0</v>
      </c>
      <c r="CQ320" s="19">
        <f>Table1[[#This Row],[Mid27]]+Table1[[#This Row],[Mid30]]+Table1[[#This Row],[Mid33]]+Table1[[#This Row],[Mid36]]+Table1[[#This Row],[Mid39]]</f>
        <v>0</v>
      </c>
      <c r="CR320" t="s">
        <v>439</v>
      </c>
      <c r="CS320" s="19" t="str">
        <f>IF(AND(Table1[[#This Row],[Low41]]=0, Table1[[#This Row],[High43]]=0),"N","Y")</f>
        <v>N</v>
      </c>
    </row>
    <row r="321" spans="1:97" ht="19.5" customHeight="1" x14ac:dyDescent="0.25">
      <c r="A321">
        <v>10318</v>
      </c>
      <c r="B321" t="s">
        <v>1145</v>
      </c>
      <c r="C321" t="s">
        <v>1165</v>
      </c>
      <c r="D321">
        <v>33.873611109999999</v>
      </c>
      <c r="E321">
        <v>130.81472220000001</v>
      </c>
      <c r="F321" t="s">
        <v>1166</v>
      </c>
      <c r="G321" t="s">
        <v>1145</v>
      </c>
      <c r="H321" t="s">
        <v>252</v>
      </c>
      <c r="I321" t="s">
        <v>118</v>
      </c>
      <c r="J321" t="s">
        <v>119</v>
      </c>
      <c r="K321" t="s">
        <v>203</v>
      </c>
      <c r="L321" t="s">
        <v>147</v>
      </c>
      <c r="M321" t="s">
        <v>1167</v>
      </c>
      <c r="N321" s="6" t="s">
        <v>1168</v>
      </c>
      <c r="O321" t="s">
        <v>1169</v>
      </c>
      <c r="P321" t="s">
        <v>170</v>
      </c>
      <c r="Q321" t="s">
        <v>1170</v>
      </c>
      <c r="R321" t="s">
        <v>1171</v>
      </c>
      <c r="S321">
        <v>2013</v>
      </c>
      <c r="T321" t="s">
        <v>128</v>
      </c>
      <c r="U321" t="s">
        <v>129</v>
      </c>
      <c r="V321">
        <v>264</v>
      </c>
      <c r="W321">
        <v>1100</v>
      </c>
      <c r="X321">
        <v>46</v>
      </c>
      <c r="Y321">
        <v>0</v>
      </c>
      <c r="Z321">
        <v>18</v>
      </c>
      <c r="AA321">
        <v>100</v>
      </c>
      <c r="AB321">
        <v>0</v>
      </c>
      <c r="AC321">
        <v>0</v>
      </c>
      <c r="AD321">
        <v>1</v>
      </c>
      <c r="AE321">
        <v>3.7878790000000001E-3</v>
      </c>
      <c r="AF321">
        <v>200</v>
      </c>
      <c r="AG321">
        <v>0</v>
      </c>
      <c r="AH321" t="s">
        <v>1172</v>
      </c>
      <c r="AI321">
        <v>0</v>
      </c>
      <c r="AJ321">
        <v>0</v>
      </c>
      <c r="AK321">
        <v>0</v>
      </c>
      <c r="AL321">
        <v>0</v>
      </c>
      <c r="AM321" t="s">
        <v>1173</v>
      </c>
      <c r="AN321" t="s">
        <v>248</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2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3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21" t="s">
        <v>157</v>
      </c>
      <c r="CI321" t="s">
        <v>134</v>
      </c>
      <c r="CJ321" t="s">
        <v>158</v>
      </c>
      <c r="CK321" s="24"/>
      <c r="CL321" s="19">
        <f>IF(Table1[[#This Row],[Type]]="Petroleum",1,IF(ISERROR(Table1[[#This Row],[Well Density]]*Table1[[#This Row],[Single Well Discovery Area]]),"",IF(Table1[[#This Row],[Well Density]]*Table1[[#This Row],[Single Well Discovery Area]]&gt;1,1,Table1[[#This Row],[Well Density]]*Table1[[#This Row],[Single Well Discovery Area]])))</f>
        <v>0.75757580000000002</v>
      </c>
      <c r="CM321" s="24" t="s">
        <v>158</v>
      </c>
      <c r="CN321" s="19">
        <f>Table1[[#This Row],[Mid]]</f>
        <v>0</v>
      </c>
      <c r="CO321" s="19">
        <f>Table1[[#This Row],[Mid3]]+Table1[[#This Row],[Mid6]]+Table1[[#This Row],[Mid9]]</f>
        <v>0</v>
      </c>
      <c r="CP321" s="19">
        <f>Table1[[#This Row],[Mid12]]+Table1[[#This Row],[Mid15]]+Table1[[#This Row],[Mid18]]+Table1[[#This Row],[Mid21]]+Table1[[#This Row],[Mid24]]</f>
        <v>0</v>
      </c>
      <c r="CQ321" s="19">
        <f>Table1[[#This Row],[Mid27]]+Table1[[#This Row],[Mid30]]+Table1[[#This Row],[Mid33]]+Table1[[#This Row],[Mid36]]+Table1[[#This Row],[Mid39]]</f>
        <v>0</v>
      </c>
      <c r="CR321" t="s">
        <v>439</v>
      </c>
      <c r="CS321" s="19" t="str">
        <f>IF(AND(Table1[[#This Row],[Low41]]=0, Table1[[#This Row],[High43]]=0),"N","Y")</f>
        <v>N</v>
      </c>
    </row>
    <row r="322" spans="1:97" ht="19.5" customHeight="1" x14ac:dyDescent="0.25">
      <c r="A322">
        <v>10319</v>
      </c>
      <c r="B322" t="s">
        <v>1145</v>
      </c>
      <c r="C322" t="s">
        <v>1165</v>
      </c>
      <c r="D322">
        <v>33.880833330000002</v>
      </c>
      <c r="E322">
        <v>130.8836111</v>
      </c>
      <c r="F322" t="s">
        <v>1174</v>
      </c>
      <c r="G322" t="s">
        <v>1145</v>
      </c>
      <c r="H322" t="s">
        <v>252</v>
      </c>
      <c r="I322" t="s">
        <v>118</v>
      </c>
      <c r="J322" t="s">
        <v>119</v>
      </c>
      <c r="K322" t="s">
        <v>190</v>
      </c>
      <c r="L322" t="s">
        <v>18</v>
      </c>
      <c r="M322" t="s">
        <v>252</v>
      </c>
      <c r="N322" s="6" t="s">
        <v>1148</v>
      </c>
      <c r="O322" t="s">
        <v>1149</v>
      </c>
      <c r="P322" t="s">
        <v>170</v>
      </c>
      <c r="Q322" t="s">
        <v>1150</v>
      </c>
      <c r="R322" t="s">
        <v>1151</v>
      </c>
      <c r="T322" t="s">
        <v>128</v>
      </c>
      <c r="U322" t="s">
        <v>129</v>
      </c>
      <c r="V322">
        <v>0</v>
      </c>
      <c r="W322">
        <v>0</v>
      </c>
      <c r="X322">
        <v>0</v>
      </c>
      <c r="Y322">
        <v>0</v>
      </c>
      <c r="Z322">
        <v>0</v>
      </c>
      <c r="AA322">
        <v>0</v>
      </c>
      <c r="AB322">
        <v>0</v>
      </c>
      <c r="AC322">
        <v>0</v>
      </c>
      <c r="AD322">
        <v>0</v>
      </c>
      <c r="AF322">
        <v>200</v>
      </c>
      <c r="AG322">
        <v>0</v>
      </c>
      <c r="AH322" t="s">
        <v>1121</v>
      </c>
      <c r="AI322">
        <v>12.5</v>
      </c>
      <c r="AJ322">
        <v>0</v>
      </c>
      <c r="AK322">
        <v>0</v>
      </c>
      <c r="AL322">
        <v>0</v>
      </c>
      <c r="AN322" t="s">
        <v>248</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2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3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22" t="s">
        <v>157</v>
      </c>
      <c r="CI322" t="s">
        <v>134</v>
      </c>
      <c r="CJ322" t="s">
        <v>158</v>
      </c>
      <c r="CL322" s="19">
        <f>IF(Table1[[#This Row],[Type]]="Petroleum",1,IF(ISERROR(Table1[[#This Row],[Well Density]]*Table1[[#This Row],[Single Well Discovery Area]]),"",IF(Table1[[#This Row],[Well Density]]*Table1[[#This Row],[Single Well Discovery Area]]&gt;1,1,Table1[[#This Row],[Well Density]]*Table1[[#This Row],[Single Well Discovery Area]])))</f>
        <v>0</v>
      </c>
      <c r="CM322" s="24" t="s">
        <v>158</v>
      </c>
      <c r="CN322" s="19">
        <f>Table1[[#This Row],[Mid]]</f>
        <v>0</v>
      </c>
      <c r="CO322" s="19">
        <f>Table1[[#This Row],[Mid3]]+Table1[[#This Row],[Mid6]]+Table1[[#This Row],[Mid9]]</f>
        <v>0</v>
      </c>
      <c r="CP322" s="19">
        <f>Table1[[#This Row],[Mid12]]+Table1[[#This Row],[Mid15]]+Table1[[#This Row],[Mid18]]+Table1[[#This Row],[Mid21]]+Table1[[#This Row],[Mid24]]</f>
        <v>0</v>
      </c>
      <c r="CQ322" s="19">
        <f>Table1[[#This Row],[Mid27]]+Table1[[#This Row],[Mid30]]+Table1[[#This Row],[Mid33]]+Table1[[#This Row],[Mid36]]+Table1[[#This Row],[Mid39]]</f>
        <v>0</v>
      </c>
      <c r="CR322" t="s">
        <v>439</v>
      </c>
      <c r="CS322" s="19" t="str">
        <f>IF(AND(Table1[[#This Row],[Low41]]=0, Table1[[#This Row],[High43]]=0),"N","Y")</f>
        <v>N</v>
      </c>
    </row>
    <row r="323" spans="1:97" ht="19.5" customHeight="1" x14ac:dyDescent="0.25">
      <c r="A323">
        <v>10320</v>
      </c>
      <c r="B323" t="s">
        <v>1145</v>
      </c>
      <c r="C323" t="s">
        <v>1175</v>
      </c>
      <c r="D323">
        <v>37.097499999999997</v>
      </c>
      <c r="E323">
        <v>141.4447222</v>
      </c>
      <c r="F323" t="s">
        <v>1176</v>
      </c>
      <c r="G323" t="s">
        <v>1145</v>
      </c>
      <c r="H323" t="s">
        <v>252</v>
      </c>
      <c r="I323" t="s">
        <v>118</v>
      </c>
      <c r="J323" t="s">
        <v>119</v>
      </c>
      <c r="K323" t="s">
        <v>203</v>
      </c>
      <c r="L323" t="s">
        <v>18</v>
      </c>
      <c r="M323" t="s">
        <v>1177</v>
      </c>
      <c r="N323" s="6" t="s">
        <v>1168</v>
      </c>
      <c r="O323" t="s">
        <v>1178</v>
      </c>
      <c r="P323" t="s">
        <v>1179</v>
      </c>
      <c r="Q323" t="s">
        <v>1180</v>
      </c>
      <c r="R323" t="s">
        <v>1181</v>
      </c>
      <c r="S323">
        <v>2013</v>
      </c>
      <c r="T323" t="s">
        <v>128</v>
      </c>
      <c r="U323" t="s">
        <v>129</v>
      </c>
      <c r="V323">
        <v>0</v>
      </c>
      <c r="W323">
        <v>2300</v>
      </c>
      <c r="X323">
        <v>0</v>
      </c>
      <c r="Y323">
        <v>0</v>
      </c>
      <c r="Z323">
        <v>27</v>
      </c>
      <c r="AA323">
        <v>50</v>
      </c>
      <c r="AB323">
        <v>0</v>
      </c>
      <c r="AC323">
        <v>0</v>
      </c>
      <c r="AD323">
        <v>0</v>
      </c>
      <c r="AF323">
        <v>200</v>
      </c>
      <c r="AG323">
        <v>0</v>
      </c>
      <c r="AH323" t="s">
        <v>130</v>
      </c>
      <c r="AI323">
        <v>0</v>
      </c>
      <c r="AJ323">
        <v>0</v>
      </c>
      <c r="AK323">
        <v>0</v>
      </c>
      <c r="AL323">
        <v>0</v>
      </c>
      <c r="AM323" t="s">
        <v>1182</v>
      </c>
      <c r="AN323" t="s">
        <v>132</v>
      </c>
      <c r="AO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20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23" s="19">
        <f>SUM(Table1[[#This Row],[Mid39]],Table1[[#This Row],[Mid36]],Table1[[#This Row],[Mid33]],Table1[[#This Row],[Mid30]],Table1[[#This Row],[Mid27]],Table1[[#This Row],[Mid24]],Table1[[#This Row],[Mid21]],Table1[[#This Row],[Mid18]],Table1[[#This Row],[Mid15]],Table1[[#This Row],[Mid12]],Table1[[#This Row],[Mid9]],Table1[[#This Row],[Mid6]],Table1[[#This Row],[Mid3]],Table1[[#This Row],[Mid]])</f>
        <v>20</v>
      </c>
      <c r="CG3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23" t="s">
        <v>133</v>
      </c>
      <c r="CI323" t="s">
        <v>134</v>
      </c>
      <c r="CJ323" t="s">
        <v>135</v>
      </c>
      <c r="CK323" s="24"/>
      <c r="CL323" s="19">
        <f>IF(Table1[[#This Row],[Type]]="Petroleum",1,IF(ISERROR(Table1[[#This Row],[Well Density]]*Table1[[#This Row],[Single Well Discovery Area]]),"",IF(Table1[[#This Row],[Well Density]]*Table1[[#This Row],[Single Well Discovery Area]]&gt;1,1,Table1[[#This Row],[Well Density]]*Table1[[#This Row],[Single Well Discovery Area]])))</f>
        <v>0</v>
      </c>
      <c r="CM323" s="24" t="s">
        <v>135</v>
      </c>
      <c r="CN323" s="19">
        <f>Table1[[#This Row],[Mid]]</f>
        <v>0</v>
      </c>
      <c r="CO323" s="19">
        <f>Table1[[#This Row],[Mid3]]+Table1[[#This Row],[Mid6]]+Table1[[#This Row],[Mid9]]</f>
        <v>0</v>
      </c>
      <c r="CP323" s="19">
        <f>Table1[[#This Row],[Mid12]]+Table1[[#This Row],[Mid15]]+Table1[[#This Row],[Mid18]]+Table1[[#This Row],[Mid21]]+Table1[[#This Row],[Mid24]]</f>
        <v>20</v>
      </c>
      <c r="CQ323" s="19">
        <f>Table1[[#This Row],[Mid27]]+Table1[[#This Row],[Mid30]]+Table1[[#This Row],[Mid33]]+Table1[[#This Row],[Mid36]]+Table1[[#This Row],[Mid39]]</f>
        <v>0</v>
      </c>
      <c r="CR323" t="s">
        <v>439</v>
      </c>
      <c r="CS323" s="19" t="str">
        <f>IF(AND(Table1[[#This Row],[Low41]]=0, Table1[[#This Row],[High43]]=0),"N","Y")</f>
        <v>N</v>
      </c>
    </row>
    <row r="324" spans="1:97" ht="19.5" customHeight="1" x14ac:dyDescent="0.25">
      <c r="A324">
        <v>10321</v>
      </c>
      <c r="B324" t="s">
        <v>1145</v>
      </c>
      <c r="C324" t="s">
        <v>1183</v>
      </c>
      <c r="D324">
        <v>42.608333330000001</v>
      </c>
      <c r="E324">
        <v>141.62166669999999</v>
      </c>
      <c r="F324" t="s">
        <v>1184</v>
      </c>
      <c r="G324" t="s">
        <v>1145</v>
      </c>
      <c r="H324" t="s">
        <v>1185</v>
      </c>
      <c r="I324" t="s">
        <v>118</v>
      </c>
      <c r="J324" t="s">
        <v>119</v>
      </c>
      <c r="K324" t="s">
        <v>120</v>
      </c>
      <c r="L324" t="s">
        <v>18</v>
      </c>
      <c r="M324" t="s">
        <v>1186</v>
      </c>
      <c r="N324" s="6" t="s">
        <v>1187</v>
      </c>
      <c r="O324" t="s">
        <v>1188</v>
      </c>
      <c r="P324" t="s">
        <v>170</v>
      </c>
      <c r="Q324" t="s">
        <v>1189</v>
      </c>
      <c r="R324" t="s">
        <v>1190</v>
      </c>
      <c r="S324">
        <v>2020</v>
      </c>
      <c r="T324" t="s">
        <v>128</v>
      </c>
      <c r="U324" t="s">
        <v>129</v>
      </c>
      <c r="V324">
        <v>0</v>
      </c>
      <c r="W324">
        <v>1100</v>
      </c>
      <c r="X324">
        <v>100</v>
      </c>
      <c r="Y324">
        <v>0</v>
      </c>
      <c r="Z324">
        <v>28</v>
      </c>
      <c r="AA324">
        <v>17</v>
      </c>
      <c r="AB324">
        <v>0</v>
      </c>
      <c r="AC324">
        <v>0</v>
      </c>
      <c r="AD324">
        <v>7</v>
      </c>
      <c r="AF324">
        <v>200</v>
      </c>
      <c r="AG324">
        <v>0</v>
      </c>
      <c r="AH324" t="s">
        <v>1121</v>
      </c>
      <c r="AI324">
        <v>0</v>
      </c>
      <c r="AJ324">
        <v>0</v>
      </c>
      <c r="AK324">
        <v>0</v>
      </c>
      <c r="AL324">
        <v>0</v>
      </c>
      <c r="AM324" t="s">
        <v>1191</v>
      </c>
      <c r="AN324" t="s">
        <v>132</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480</v>
      </c>
      <c r="BX324">
        <v>0</v>
      </c>
      <c r="BY324">
        <v>0</v>
      </c>
      <c r="BZ324">
        <v>0</v>
      </c>
      <c r="CA324">
        <v>0</v>
      </c>
      <c r="CB324">
        <v>0</v>
      </c>
      <c r="CC324">
        <v>0</v>
      </c>
      <c r="CD324">
        <v>0</v>
      </c>
      <c r="CE32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24" s="19">
        <f>SUM(Table1[[#This Row],[Mid39]],Table1[[#This Row],[Mid36]],Table1[[#This Row],[Mid33]],Table1[[#This Row],[Mid30]],Table1[[#This Row],[Mid27]],Table1[[#This Row],[Mid24]],Table1[[#This Row],[Mid21]],Table1[[#This Row],[Mid18]],Table1[[#This Row],[Mid15]],Table1[[#This Row],[Mid12]],Table1[[#This Row],[Mid9]],Table1[[#This Row],[Mid6]],Table1[[#This Row],[Mid3]],Table1[[#This Row],[Mid]])</f>
        <v>480</v>
      </c>
      <c r="CG3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24" t="s">
        <v>157</v>
      </c>
      <c r="CI324" t="s">
        <v>134</v>
      </c>
      <c r="CJ324" t="s">
        <v>158</v>
      </c>
      <c r="CK324" s="24"/>
      <c r="CL324" s="19">
        <f>IF(Table1[[#This Row],[Type]]="Petroleum",1,IF(ISERROR(Table1[[#This Row],[Well Density]]*Table1[[#This Row],[Single Well Discovery Area]]),"",IF(Table1[[#This Row],[Well Density]]*Table1[[#This Row],[Single Well Discovery Area]]&gt;1,1,Table1[[#This Row],[Well Density]]*Table1[[#This Row],[Single Well Discovery Area]])))</f>
        <v>0</v>
      </c>
      <c r="CM324" s="24" t="s">
        <v>158</v>
      </c>
      <c r="CN324" s="19">
        <f>Table1[[#This Row],[Mid]]</f>
        <v>0</v>
      </c>
      <c r="CO324" s="19">
        <f>Table1[[#This Row],[Mid3]]+Table1[[#This Row],[Mid6]]+Table1[[#This Row],[Mid9]]</f>
        <v>0</v>
      </c>
      <c r="CP324" s="19">
        <f>Table1[[#This Row],[Mid12]]+Table1[[#This Row],[Mid15]]+Table1[[#This Row],[Mid18]]+Table1[[#This Row],[Mid21]]+Table1[[#This Row],[Mid24]]</f>
        <v>0</v>
      </c>
      <c r="CQ324" s="19">
        <f>Table1[[#This Row],[Mid27]]+Table1[[#This Row],[Mid30]]+Table1[[#This Row],[Mid33]]+Table1[[#This Row],[Mid36]]+Table1[[#This Row],[Mid39]]</f>
        <v>480</v>
      </c>
      <c r="CR324" t="s">
        <v>439</v>
      </c>
      <c r="CS324" s="19" t="str">
        <f>IF(AND(Table1[[#This Row],[Low41]]=0, Table1[[#This Row],[High43]]=0),"N","Y")</f>
        <v>N</v>
      </c>
    </row>
    <row r="325" spans="1:97" ht="19.5" customHeight="1" x14ac:dyDescent="0.25">
      <c r="A325">
        <v>10322</v>
      </c>
      <c r="B325" t="s">
        <v>1145</v>
      </c>
      <c r="C325" t="s">
        <v>1183</v>
      </c>
      <c r="D325">
        <v>41.758611109999997</v>
      </c>
      <c r="E325">
        <v>140.62083329999999</v>
      </c>
      <c r="F325" t="s">
        <v>1192</v>
      </c>
      <c r="G325" t="s">
        <v>1145</v>
      </c>
      <c r="H325" t="s">
        <v>252</v>
      </c>
      <c r="I325" t="s">
        <v>118</v>
      </c>
      <c r="J325" t="s">
        <v>119</v>
      </c>
      <c r="K325" t="s">
        <v>190</v>
      </c>
      <c r="L325" t="s">
        <v>18</v>
      </c>
      <c r="M325" t="s">
        <v>252</v>
      </c>
      <c r="N325" s="6" t="s">
        <v>1148</v>
      </c>
      <c r="O325" t="s">
        <v>1193</v>
      </c>
      <c r="P325" t="s">
        <v>170</v>
      </c>
      <c r="Q325" t="s">
        <v>1150</v>
      </c>
      <c r="R325" t="s">
        <v>1194</v>
      </c>
      <c r="S325">
        <v>2011</v>
      </c>
      <c r="T325" t="s">
        <v>128</v>
      </c>
      <c r="U325" t="s">
        <v>129</v>
      </c>
      <c r="V325">
        <v>37</v>
      </c>
      <c r="W325">
        <v>1500</v>
      </c>
      <c r="X325">
        <v>30</v>
      </c>
      <c r="Y325">
        <v>0</v>
      </c>
      <c r="Z325">
        <v>12</v>
      </c>
      <c r="AA325">
        <v>0</v>
      </c>
      <c r="AB325">
        <v>0</v>
      </c>
      <c r="AC325">
        <v>0</v>
      </c>
      <c r="AD325">
        <v>0</v>
      </c>
      <c r="AE325">
        <v>0</v>
      </c>
      <c r="AF325">
        <v>200</v>
      </c>
      <c r="AG325">
        <v>0</v>
      </c>
      <c r="AH325" t="s">
        <v>1121</v>
      </c>
      <c r="AI325">
        <v>12.5</v>
      </c>
      <c r="AJ325">
        <v>0</v>
      </c>
      <c r="AK325">
        <v>0</v>
      </c>
      <c r="AL325">
        <v>0</v>
      </c>
      <c r="AM325" t="s">
        <v>1195</v>
      </c>
      <c r="AN325" t="s">
        <v>132</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10</v>
      </c>
      <c r="CA325">
        <v>0</v>
      </c>
      <c r="CB325">
        <v>0</v>
      </c>
      <c r="CC325">
        <v>0</v>
      </c>
      <c r="CD325">
        <v>0</v>
      </c>
      <c r="CE32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25"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3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25" t="s">
        <v>133</v>
      </c>
      <c r="CI325" t="s">
        <v>134</v>
      </c>
      <c r="CJ325" t="s">
        <v>158</v>
      </c>
      <c r="CK325" s="24"/>
      <c r="CL325" s="19">
        <f>IF(Table1[[#This Row],[Type]]="Petroleum",1,IF(ISERROR(Table1[[#This Row],[Well Density]]*Table1[[#This Row],[Single Well Discovery Area]]),"",IF(Table1[[#This Row],[Well Density]]*Table1[[#This Row],[Single Well Discovery Area]]&gt;1,1,Table1[[#This Row],[Well Density]]*Table1[[#This Row],[Single Well Discovery Area]])))</f>
        <v>0</v>
      </c>
      <c r="CM325" s="24" t="s">
        <v>158</v>
      </c>
      <c r="CN325" s="19">
        <f>Table1[[#This Row],[Mid]]</f>
        <v>0</v>
      </c>
      <c r="CO325" s="19">
        <f>Table1[[#This Row],[Mid3]]+Table1[[#This Row],[Mid6]]+Table1[[#This Row],[Mid9]]</f>
        <v>0</v>
      </c>
      <c r="CP325" s="19">
        <f>Table1[[#This Row],[Mid12]]+Table1[[#This Row],[Mid15]]+Table1[[#This Row],[Mid18]]+Table1[[#This Row],[Mid21]]+Table1[[#This Row],[Mid24]]</f>
        <v>0</v>
      </c>
      <c r="CQ325" s="19">
        <f>Table1[[#This Row],[Mid27]]+Table1[[#This Row],[Mid30]]+Table1[[#This Row],[Mid33]]+Table1[[#This Row],[Mid36]]+Table1[[#This Row],[Mid39]]</f>
        <v>10</v>
      </c>
      <c r="CR325" t="s">
        <v>439</v>
      </c>
      <c r="CS325" s="19" t="str">
        <f>IF(AND(Table1[[#This Row],[Low41]]=0, Table1[[#This Row],[High43]]=0),"N","Y")</f>
        <v>N</v>
      </c>
    </row>
    <row r="326" spans="1:97" ht="19.5" customHeight="1" x14ac:dyDescent="0.25">
      <c r="A326">
        <v>10323</v>
      </c>
      <c r="B326" t="s">
        <v>1145</v>
      </c>
      <c r="C326" t="s">
        <v>1183</v>
      </c>
      <c r="D326">
        <v>42.606111110000001</v>
      </c>
      <c r="E326">
        <v>141.6202778</v>
      </c>
      <c r="F326" t="s">
        <v>1196</v>
      </c>
      <c r="G326" t="s">
        <v>1145</v>
      </c>
      <c r="H326" t="s">
        <v>1185</v>
      </c>
      <c r="I326" t="s">
        <v>118</v>
      </c>
      <c r="J326" t="s">
        <v>119</v>
      </c>
      <c r="K326" t="s">
        <v>120</v>
      </c>
      <c r="L326" t="s">
        <v>121</v>
      </c>
      <c r="M326" t="s">
        <v>1186</v>
      </c>
      <c r="N326" s="6" t="s">
        <v>1187</v>
      </c>
      <c r="O326" t="s">
        <v>1197</v>
      </c>
      <c r="P326" t="s">
        <v>1198</v>
      </c>
      <c r="Q326" t="s">
        <v>1199</v>
      </c>
      <c r="R326" t="s">
        <v>1200</v>
      </c>
      <c r="S326">
        <v>2020</v>
      </c>
      <c r="T326" t="s">
        <v>128</v>
      </c>
      <c r="U326" t="s">
        <v>129</v>
      </c>
      <c r="V326">
        <v>16.399999999999999</v>
      </c>
      <c r="W326">
        <v>1100</v>
      </c>
      <c r="X326">
        <v>100</v>
      </c>
      <c r="Y326">
        <v>0</v>
      </c>
      <c r="Z326">
        <v>28.1</v>
      </c>
      <c r="AA326">
        <v>17</v>
      </c>
      <c r="AB326">
        <v>0</v>
      </c>
      <c r="AC326">
        <v>0</v>
      </c>
      <c r="AD326">
        <v>7</v>
      </c>
      <c r="AE326">
        <v>0.42682926799999998</v>
      </c>
      <c r="AF326">
        <v>200</v>
      </c>
      <c r="AG326">
        <v>0.63431791999999998</v>
      </c>
      <c r="AI326">
        <v>0</v>
      </c>
      <c r="AJ326">
        <v>0</v>
      </c>
      <c r="AK326">
        <v>0.86873975999999997</v>
      </c>
      <c r="AL326">
        <v>0.63431791999999998</v>
      </c>
      <c r="AM326" t="s">
        <v>1201</v>
      </c>
      <c r="AN326" t="s">
        <v>132</v>
      </c>
      <c r="AO326">
        <v>0</v>
      </c>
      <c r="AP326">
        <v>0.3</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5.7</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26" s="19">
        <f>SUM(Table1[[#This Row],[Mid39]],Table1[[#This Row],[Mid36]],Table1[[#This Row],[Mid33]],Table1[[#This Row],[Mid30]],Table1[[#This Row],[Mid27]],Table1[[#This Row],[Mid24]],Table1[[#This Row],[Mid21]],Table1[[#This Row],[Mid18]],Table1[[#This Row],[Mid15]],Table1[[#This Row],[Mid12]],Table1[[#This Row],[Mid9]],Table1[[#This Row],[Mid6]],Table1[[#This Row],[Mid3]],Table1[[#This Row],[Mid]])</f>
        <v>6</v>
      </c>
      <c r="CG3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26" t="s">
        <v>133</v>
      </c>
      <c r="CI326" t="s">
        <v>134</v>
      </c>
      <c r="CJ326" t="s">
        <v>135</v>
      </c>
      <c r="CK326" s="24"/>
      <c r="CL326" s="19">
        <f>IF(Table1[[#This Row],[Type]]="Petroleum",1,IF(ISERROR(Table1[[#This Row],[Well Density]]*Table1[[#This Row],[Single Well Discovery Area]]),"",IF(Table1[[#This Row],[Well Density]]*Table1[[#This Row],[Single Well Discovery Area]]&gt;1,1,Table1[[#This Row],[Well Density]]*Table1[[#This Row],[Single Well Discovery Area]])))</f>
        <v>1</v>
      </c>
      <c r="CM326" s="24" t="s">
        <v>135</v>
      </c>
      <c r="CN326" s="19">
        <f>Table1[[#This Row],[Mid]]</f>
        <v>0.3</v>
      </c>
      <c r="CO326" s="19">
        <f>Table1[[#This Row],[Mid3]]+Table1[[#This Row],[Mid6]]+Table1[[#This Row],[Mid9]]</f>
        <v>0</v>
      </c>
      <c r="CP326" s="19">
        <f>Table1[[#This Row],[Mid12]]+Table1[[#This Row],[Mid15]]+Table1[[#This Row],[Mid18]]+Table1[[#This Row],[Mid21]]+Table1[[#This Row],[Mid24]]</f>
        <v>5.7</v>
      </c>
      <c r="CQ326" s="19">
        <f>Table1[[#This Row],[Mid27]]+Table1[[#This Row],[Mid30]]+Table1[[#This Row],[Mid33]]+Table1[[#This Row],[Mid36]]+Table1[[#This Row],[Mid39]]</f>
        <v>0</v>
      </c>
      <c r="CR326" t="s">
        <v>439</v>
      </c>
      <c r="CS326" s="19" t="str">
        <f>IF(AND(Table1[[#This Row],[Low41]]=0, Table1[[#This Row],[High43]]=0),"N","Y")</f>
        <v>N</v>
      </c>
    </row>
    <row r="327" spans="1:97" ht="19.5" customHeight="1" x14ac:dyDescent="0.25">
      <c r="A327">
        <v>10324</v>
      </c>
      <c r="B327" t="s">
        <v>1145</v>
      </c>
      <c r="C327" t="s">
        <v>1202</v>
      </c>
      <c r="D327">
        <v>36.006944439999998</v>
      </c>
      <c r="E327">
        <v>140.72916670000001</v>
      </c>
      <c r="F327" t="s">
        <v>1203</v>
      </c>
      <c r="G327" t="s">
        <v>1146</v>
      </c>
      <c r="H327" t="s">
        <v>252</v>
      </c>
      <c r="I327" t="s">
        <v>118</v>
      </c>
      <c r="J327" t="s">
        <v>119</v>
      </c>
      <c r="K327" t="s">
        <v>190</v>
      </c>
      <c r="L327" t="s">
        <v>18</v>
      </c>
      <c r="M327" t="s">
        <v>252</v>
      </c>
      <c r="N327" s="6" t="s">
        <v>1148</v>
      </c>
      <c r="O327" t="s">
        <v>1149</v>
      </c>
      <c r="P327" t="s">
        <v>170</v>
      </c>
      <c r="Q327" t="s">
        <v>1150</v>
      </c>
      <c r="R327" t="s">
        <v>1151</v>
      </c>
      <c r="T327" t="s">
        <v>128</v>
      </c>
      <c r="U327" t="s">
        <v>129</v>
      </c>
      <c r="V327">
        <v>0</v>
      </c>
      <c r="W327">
        <v>0</v>
      </c>
      <c r="X327">
        <v>0</v>
      </c>
      <c r="Y327">
        <v>0</v>
      </c>
      <c r="Z327">
        <v>0</v>
      </c>
      <c r="AA327">
        <v>0</v>
      </c>
      <c r="AB327">
        <v>0</v>
      </c>
      <c r="AC327">
        <v>0</v>
      </c>
      <c r="AD327">
        <v>0</v>
      </c>
      <c r="AF327">
        <v>200</v>
      </c>
      <c r="AG327">
        <v>0</v>
      </c>
      <c r="AH327" t="s">
        <v>1121</v>
      </c>
      <c r="AI327">
        <v>12.5</v>
      </c>
      <c r="AJ327">
        <v>0</v>
      </c>
      <c r="AK327">
        <v>0</v>
      </c>
      <c r="AL327">
        <v>0</v>
      </c>
      <c r="AN327" t="s">
        <v>248</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2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3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27" t="s">
        <v>157</v>
      </c>
      <c r="CI327" t="s">
        <v>134</v>
      </c>
      <c r="CJ327" t="s">
        <v>158</v>
      </c>
      <c r="CL327" s="19">
        <f>IF(Table1[[#This Row],[Type]]="Petroleum",1,IF(ISERROR(Table1[[#This Row],[Well Density]]*Table1[[#This Row],[Single Well Discovery Area]]),"",IF(Table1[[#This Row],[Well Density]]*Table1[[#This Row],[Single Well Discovery Area]]&gt;1,1,Table1[[#This Row],[Well Density]]*Table1[[#This Row],[Single Well Discovery Area]])))</f>
        <v>0</v>
      </c>
      <c r="CM327" s="24" t="s">
        <v>158</v>
      </c>
      <c r="CN327" s="19">
        <f>Table1[[#This Row],[Mid]]</f>
        <v>0</v>
      </c>
      <c r="CO327" s="19">
        <f>Table1[[#This Row],[Mid3]]+Table1[[#This Row],[Mid6]]+Table1[[#This Row],[Mid9]]</f>
        <v>0</v>
      </c>
      <c r="CP327" s="19">
        <f>Table1[[#This Row],[Mid12]]+Table1[[#This Row],[Mid15]]+Table1[[#This Row],[Mid18]]+Table1[[#This Row],[Mid21]]+Table1[[#This Row],[Mid24]]</f>
        <v>0</v>
      </c>
      <c r="CQ327" s="19">
        <f>Table1[[#This Row],[Mid27]]+Table1[[#This Row],[Mid30]]+Table1[[#This Row],[Mid33]]+Table1[[#This Row],[Mid36]]+Table1[[#This Row],[Mid39]]</f>
        <v>0</v>
      </c>
      <c r="CR327" t="s">
        <v>439</v>
      </c>
      <c r="CS327" s="19" t="str">
        <f>IF(AND(Table1[[#This Row],[Low41]]=0, Table1[[#This Row],[High43]]=0),"N","Y")</f>
        <v>N</v>
      </c>
    </row>
    <row r="328" spans="1:97" ht="19.5" customHeight="1" x14ac:dyDescent="0.25">
      <c r="A328">
        <v>10325</v>
      </c>
      <c r="B328" t="s">
        <v>1145</v>
      </c>
      <c r="C328" t="s">
        <v>1204</v>
      </c>
      <c r="D328">
        <v>34.802222219999997</v>
      </c>
      <c r="E328">
        <v>136.54499999999999</v>
      </c>
      <c r="F328" t="s">
        <v>1205</v>
      </c>
      <c r="G328" t="s">
        <v>1145</v>
      </c>
      <c r="H328" t="s">
        <v>252</v>
      </c>
      <c r="I328" t="s">
        <v>118</v>
      </c>
      <c r="J328" t="s">
        <v>119</v>
      </c>
      <c r="K328" t="s">
        <v>190</v>
      </c>
      <c r="L328" t="s">
        <v>18</v>
      </c>
      <c r="M328" t="s">
        <v>252</v>
      </c>
      <c r="N328" s="6" t="s">
        <v>1148</v>
      </c>
      <c r="O328" t="s">
        <v>1206</v>
      </c>
      <c r="P328" t="s">
        <v>436</v>
      </c>
      <c r="Q328" t="s">
        <v>1150</v>
      </c>
      <c r="R328" t="s">
        <v>1151</v>
      </c>
      <c r="S328">
        <v>2011</v>
      </c>
      <c r="T328" t="s">
        <v>128</v>
      </c>
      <c r="U328" t="s">
        <v>129</v>
      </c>
      <c r="V328">
        <v>0</v>
      </c>
      <c r="W328">
        <v>0</v>
      </c>
      <c r="X328">
        <v>0</v>
      </c>
      <c r="Y328">
        <v>0</v>
      </c>
      <c r="Z328">
        <v>0</v>
      </c>
      <c r="AA328">
        <v>0</v>
      </c>
      <c r="AB328">
        <v>0</v>
      </c>
      <c r="AC328">
        <v>0</v>
      </c>
      <c r="AD328">
        <v>0</v>
      </c>
      <c r="AF328">
        <v>200</v>
      </c>
      <c r="AG328">
        <v>0</v>
      </c>
      <c r="AH328" t="s">
        <v>1121</v>
      </c>
      <c r="AI328">
        <v>0.125</v>
      </c>
      <c r="AJ328">
        <v>0</v>
      </c>
      <c r="AK328">
        <v>0</v>
      </c>
      <c r="AL328">
        <v>0</v>
      </c>
      <c r="AM328" t="s">
        <v>1207</v>
      </c>
      <c r="AN328" t="s">
        <v>248</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28"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3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28" t="s">
        <v>157</v>
      </c>
      <c r="CI328" t="s">
        <v>134</v>
      </c>
      <c r="CJ328" t="s">
        <v>158</v>
      </c>
      <c r="CK328" s="24"/>
      <c r="CL328" s="19">
        <f>IF(Table1[[#This Row],[Type]]="Petroleum",1,IF(ISERROR(Table1[[#This Row],[Well Density]]*Table1[[#This Row],[Single Well Discovery Area]]),"",IF(Table1[[#This Row],[Well Density]]*Table1[[#This Row],[Single Well Discovery Area]]&gt;1,1,Table1[[#This Row],[Well Density]]*Table1[[#This Row],[Single Well Discovery Area]])))</f>
        <v>0</v>
      </c>
      <c r="CM328" s="24" t="s">
        <v>158</v>
      </c>
      <c r="CN328" s="19">
        <f>Table1[[#This Row],[Mid]]</f>
        <v>0</v>
      </c>
      <c r="CO328" s="19">
        <f>Table1[[#This Row],[Mid3]]+Table1[[#This Row],[Mid6]]+Table1[[#This Row],[Mid9]]</f>
        <v>0</v>
      </c>
      <c r="CP328" s="19">
        <f>Table1[[#This Row],[Mid12]]+Table1[[#This Row],[Mid15]]+Table1[[#This Row],[Mid18]]+Table1[[#This Row],[Mid21]]+Table1[[#This Row],[Mid24]]</f>
        <v>0</v>
      </c>
      <c r="CQ328" s="19">
        <f>Table1[[#This Row],[Mid27]]+Table1[[#This Row],[Mid30]]+Table1[[#This Row],[Mid33]]+Table1[[#This Row],[Mid36]]+Table1[[#This Row],[Mid39]]</f>
        <v>0</v>
      </c>
      <c r="CR328" t="s">
        <v>439</v>
      </c>
      <c r="CS328" s="19" t="str">
        <f>IF(AND(Table1[[#This Row],[Low41]]=0, Table1[[#This Row],[High43]]=0),"N","Y")</f>
        <v>N</v>
      </c>
    </row>
    <row r="329" spans="1:97" ht="19.5" customHeight="1" x14ac:dyDescent="0.25">
      <c r="A329">
        <v>10326</v>
      </c>
      <c r="B329" t="s">
        <v>1145</v>
      </c>
      <c r="C329" t="s">
        <v>1208</v>
      </c>
      <c r="D329">
        <v>38.051388889999998</v>
      </c>
      <c r="E329">
        <v>141.03416669999999</v>
      </c>
      <c r="F329" t="s">
        <v>1209</v>
      </c>
      <c r="G329" t="s">
        <v>1145</v>
      </c>
      <c r="H329" t="s">
        <v>252</v>
      </c>
      <c r="I329" t="s">
        <v>118</v>
      </c>
      <c r="J329" t="s">
        <v>119</v>
      </c>
      <c r="K329" t="s">
        <v>190</v>
      </c>
      <c r="L329" t="s">
        <v>18</v>
      </c>
      <c r="M329" t="s">
        <v>252</v>
      </c>
      <c r="N329" s="6" t="s">
        <v>1148</v>
      </c>
      <c r="O329" t="s">
        <v>1149</v>
      </c>
      <c r="P329" t="s">
        <v>170</v>
      </c>
      <c r="Q329" t="s">
        <v>1150</v>
      </c>
      <c r="R329" t="s">
        <v>1151</v>
      </c>
      <c r="T329" t="s">
        <v>128</v>
      </c>
      <c r="U329" t="s">
        <v>129</v>
      </c>
      <c r="V329">
        <v>0</v>
      </c>
      <c r="W329">
        <v>0</v>
      </c>
      <c r="X329">
        <v>0</v>
      </c>
      <c r="Y329">
        <v>0</v>
      </c>
      <c r="Z329">
        <v>0</v>
      </c>
      <c r="AA329">
        <v>0</v>
      </c>
      <c r="AB329">
        <v>0</v>
      </c>
      <c r="AC329">
        <v>0</v>
      </c>
      <c r="AD329">
        <v>0</v>
      </c>
      <c r="AF329">
        <v>200</v>
      </c>
      <c r="AG329">
        <v>0</v>
      </c>
      <c r="AH329" t="s">
        <v>1121</v>
      </c>
      <c r="AI329">
        <v>12.5</v>
      </c>
      <c r="AJ329">
        <v>0</v>
      </c>
      <c r="AK329">
        <v>0</v>
      </c>
      <c r="AL329">
        <v>0</v>
      </c>
      <c r="AN329" t="s">
        <v>248</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2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3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29" t="s">
        <v>157</v>
      </c>
      <c r="CI329" t="s">
        <v>134</v>
      </c>
      <c r="CJ329" t="s">
        <v>158</v>
      </c>
      <c r="CL329" s="19">
        <f>IF(Table1[[#This Row],[Type]]="Petroleum",1,IF(ISERROR(Table1[[#This Row],[Well Density]]*Table1[[#This Row],[Single Well Discovery Area]]),"",IF(Table1[[#This Row],[Well Density]]*Table1[[#This Row],[Single Well Discovery Area]]&gt;1,1,Table1[[#This Row],[Well Density]]*Table1[[#This Row],[Single Well Discovery Area]])))</f>
        <v>0</v>
      </c>
      <c r="CM329" s="24" t="s">
        <v>158</v>
      </c>
      <c r="CN329" s="19">
        <f>Table1[[#This Row],[Mid]]</f>
        <v>0</v>
      </c>
      <c r="CO329" s="19">
        <f>Table1[[#This Row],[Mid3]]+Table1[[#This Row],[Mid6]]+Table1[[#This Row],[Mid9]]</f>
        <v>0</v>
      </c>
      <c r="CP329" s="19">
        <f>Table1[[#This Row],[Mid12]]+Table1[[#This Row],[Mid15]]+Table1[[#This Row],[Mid18]]+Table1[[#This Row],[Mid21]]+Table1[[#This Row],[Mid24]]</f>
        <v>0</v>
      </c>
      <c r="CQ329" s="19">
        <f>Table1[[#This Row],[Mid27]]+Table1[[#This Row],[Mid30]]+Table1[[#This Row],[Mid33]]+Table1[[#This Row],[Mid36]]+Table1[[#This Row],[Mid39]]</f>
        <v>0</v>
      </c>
      <c r="CR329" t="s">
        <v>439</v>
      </c>
      <c r="CS329" s="19" t="str">
        <f>IF(AND(Table1[[#This Row],[Low41]]=0, Table1[[#This Row],[High43]]=0),"N","Y")</f>
        <v>N</v>
      </c>
    </row>
    <row r="330" spans="1:97" ht="19.5" customHeight="1" x14ac:dyDescent="0.25">
      <c r="A330">
        <v>10327</v>
      </c>
      <c r="B330" t="s">
        <v>1145</v>
      </c>
      <c r="C330" t="s">
        <v>1210</v>
      </c>
      <c r="D330">
        <v>33.366666670000001</v>
      </c>
      <c r="E330">
        <v>129.7077778</v>
      </c>
      <c r="F330" t="s">
        <v>1211</v>
      </c>
      <c r="G330" t="s">
        <v>1145</v>
      </c>
      <c r="H330" t="s">
        <v>252</v>
      </c>
      <c r="I330" t="s">
        <v>118</v>
      </c>
      <c r="J330" t="s">
        <v>119</v>
      </c>
      <c r="K330" t="s">
        <v>190</v>
      </c>
      <c r="L330" t="s">
        <v>18</v>
      </c>
      <c r="M330" t="s">
        <v>252</v>
      </c>
      <c r="N330" s="6" t="s">
        <v>1148</v>
      </c>
      <c r="O330" t="s">
        <v>1149</v>
      </c>
      <c r="P330" t="s">
        <v>170</v>
      </c>
      <c r="Q330" t="s">
        <v>1150</v>
      </c>
      <c r="R330" t="s">
        <v>1151</v>
      </c>
      <c r="T330" t="s">
        <v>128</v>
      </c>
      <c r="U330" t="s">
        <v>129</v>
      </c>
      <c r="V330">
        <v>0</v>
      </c>
      <c r="W330">
        <v>0</v>
      </c>
      <c r="X330">
        <v>0</v>
      </c>
      <c r="Y330">
        <v>0</v>
      </c>
      <c r="Z330">
        <v>0</v>
      </c>
      <c r="AA330">
        <v>0</v>
      </c>
      <c r="AB330">
        <v>0</v>
      </c>
      <c r="AC330">
        <v>0</v>
      </c>
      <c r="AD330">
        <v>0</v>
      </c>
      <c r="AF330">
        <v>200</v>
      </c>
      <c r="AG330">
        <v>0</v>
      </c>
      <c r="AH330" t="s">
        <v>1121</v>
      </c>
      <c r="AI330">
        <v>12.5</v>
      </c>
      <c r="AJ330">
        <v>0</v>
      </c>
      <c r="AK330">
        <v>0</v>
      </c>
      <c r="AL330">
        <v>0</v>
      </c>
      <c r="AN330" t="s">
        <v>248</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3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3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30" t="s">
        <v>157</v>
      </c>
      <c r="CI330" t="s">
        <v>134</v>
      </c>
      <c r="CJ330" t="s">
        <v>158</v>
      </c>
      <c r="CL330" s="19">
        <f>IF(Table1[[#This Row],[Type]]="Petroleum",1,IF(ISERROR(Table1[[#This Row],[Well Density]]*Table1[[#This Row],[Single Well Discovery Area]]),"",IF(Table1[[#This Row],[Well Density]]*Table1[[#This Row],[Single Well Discovery Area]]&gt;1,1,Table1[[#This Row],[Well Density]]*Table1[[#This Row],[Single Well Discovery Area]])))</f>
        <v>0</v>
      </c>
      <c r="CM330" s="24" t="s">
        <v>158</v>
      </c>
      <c r="CN330" s="19">
        <f>Table1[[#This Row],[Mid]]</f>
        <v>0</v>
      </c>
      <c r="CO330" s="19">
        <f>Table1[[#This Row],[Mid3]]+Table1[[#This Row],[Mid6]]+Table1[[#This Row],[Mid9]]</f>
        <v>0</v>
      </c>
      <c r="CP330" s="19">
        <f>Table1[[#This Row],[Mid12]]+Table1[[#This Row],[Mid15]]+Table1[[#This Row],[Mid18]]+Table1[[#This Row],[Mid21]]+Table1[[#This Row],[Mid24]]</f>
        <v>0</v>
      </c>
      <c r="CQ330" s="19">
        <f>Table1[[#This Row],[Mid27]]+Table1[[#This Row],[Mid30]]+Table1[[#This Row],[Mid33]]+Table1[[#This Row],[Mid36]]+Table1[[#This Row],[Mid39]]</f>
        <v>0</v>
      </c>
      <c r="CR330" t="s">
        <v>439</v>
      </c>
      <c r="CS330" s="19" t="str">
        <f>IF(AND(Table1[[#This Row],[Low41]]=0, Table1[[#This Row],[High43]]=0),"N","Y")</f>
        <v>N</v>
      </c>
    </row>
    <row r="331" spans="1:97" ht="19.5" customHeight="1" x14ac:dyDescent="0.25">
      <c r="A331">
        <v>10328</v>
      </c>
      <c r="B331" t="s">
        <v>1145</v>
      </c>
      <c r="C331" t="s">
        <v>1210</v>
      </c>
      <c r="D331">
        <v>33.343055560000003</v>
      </c>
      <c r="E331">
        <v>129.7102778</v>
      </c>
      <c r="F331" t="s">
        <v>1212</v>
      </c>
      <c r="G331" t="s">
        <v>1145</v>
      </c>
      <c r="H331" t="s">
        <v>252</v>
      </c>
      <c r="I331" t="s">
        <v>118</v>
      </c>
      <c r="J331" t="s">
        <v>119</v>
      </c>
      <c r="K331" t="s">
        <v>190</v>
      </c>
      <c r="L331" t="s">
        <v>18</v>
      </c>
      <c r="M331" t="s">
        <v>252</v>
      </c>
      <c r="N331" s="6" t="s">
        <v>1148</v>
      </c>
      <c r="O331" t="s">
        <v>1149</v>
      </c>
      <c r="P331" t="s">
        <v>170</v>
      </c>
      <c r="Q331" t="s">
        <v>1150</v>
      </c>
      <c r="R331" t="s">
        <v>1151</v>
      </c>
      <c r="T331" t="s">
        <v>128</v>
      </c>
      <c r="U331" t="s">
        <v>129</v>
      </c>
      <c r="V331">
        <v>0</v>
      </c>
      <c r="W331">
        <v>0</v>
      </c>
      <c r="X331">
        <v>0</v>
      </c>
      <c r="Y331">
        <v>0</v>
      </c>
      <c r="Z331">
        <v>0</v>
      </c>
      <c r="AA331">
        <v>0</v>
      </c>
      <c r="AB331">
        <v>0</v>
      </c>
      <c r="AC331">
        <v>0</v>
      </c>
      <c r="AD331">
        <v>0</v>
      </c>
      <c r="AF331">
        <v>200</v>
      </c>
      <c r="AG331">
        <v>0</v>
      </c>
      <c r="AH331" t="s">
        <v>1121</v>
      </c>
      <c r="AI331">
        <v>12.5</v>
      </c>
      <c r="AJ331">
        <v>0</v>
      </c>
      <c r="AK331">
        <v>0</v>
      </c>
      <c r="AL331">
        <v>0</v>
      </c>
      <c r="AN331" t="s">
        <v>248</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3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3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31" t="s">
        <v>157</v>
      </c>
      <c r="CI331" t="s">
        <v>134</v>
      </c>
      <c r="CJ331" t="s">
        <v>158</v>
      </c>
      <c r="CL331" s="19">
        <f>IF(Table1[[#This Row],[Type]]="Petroleum",1,IF(ISERROR(Table1[[#This Row],[Well Density]]*Table1[[#This Row],[Single Well Discovery Area]]),"",IF(Table1[[#This Row],[Well Density]]*Table1[[#This Row],[Single Well Discovery Area]]&gt;1,1,Table1[[#This Row],[Well Density]]*Table1[[#This Row],[Single Well Discovery Area]])))</f>
        <v>0</v>
      </c>
      <c r="CM331" s="24" t="s">
        <v>158</v>
      </c>
      <c r="CN331" s="19">
        <f>Table1[[#This Row],[Mid]]</f>
        <v>0</v>
      </c>
      <c r="CO331" s="19">
        <f>Table1[[#This Row],[Mid3]]+Table1[[#This Row],[Mid6]]+Table1[[#This Row],[Mid9]]</f>
        <v>0</v>
      </c>
      <c r="CP331" s="19">
        <f>Table1[[#This Row],[Mid12]]+Table1[[#This Row],[Mid15]]+Table1[[#This Row],[Mid18]]+Table1[[#This Row],[Mid21]]+Table1[[#This Row],[Mid24]]</f>
        <v>0</v>
      </c>
      <c r="CQ331" s="19">
        <f>Table1[[#This Row],[Mid27]]+Table1[[#This Row],[Mid30]]+Table1[[#This Row],[Mid33]]+Table1[[#This Row],[Mid36]]+Table1[[#This Row],[Mid39]]</f>
        <v>0</v>
      </c>
      <c r="CR331" t="s">
        <v>439</v>
      </c>
      <c r="CS331" s="19" t="str">
        <f>IF(AND(Table1[[#This Row],[Low41]]=0, Table1[[#This Row],[High43]]=0),"N","Y")</f>
        <v>N</v>
      </c>
    </row>
    <row r="332" spans="1:97" ht="19.5" customHeight="1" x14ac:dyDescent="0.25">
      <c r="A332">
        <v>10329</v>
      </c>
      <c r="B332" t="s">
        <v>1145</v>
      </c>
      <c r="C332" t="s">
        <v>1213</v>
      </c>
      <c r="D332">
        <v>38.46083333</v>
      </c>
      <c r="E332">
        <v>139.24583329999999</v>
      </c>
      <c r="F332" t="s">
        <v>1214</v>
      </c>
      <c r="G332" t="s">
        <v>1145</v>
      </c>
      <c r="H332" t="s">
        <v>252</v>
      </c>
      <c r="I332" t="s">
        <v>118</v>
      </c>
      <c r="J332" t="s">
        <v>119</v>
      </c>
      <c r="K332" t="s">
        <v>190</v>
      </c>
      <c r="L332" t="s">
        <v>18</v>
      </c>
      <c r="M332" t="s">
        <v>252</v>
      </c>
      <c r="N332" s="6" t="s">
        <v>1148</v>
      </c>
      <c r="O332" t="s">
        <v>1149</v>
      </c>
      <c r="P332" t="s">
        <v>170</v>
      </c>
      <c r="Q332" t="s">
        <v>1150</v>
      </c>
      <c r="R332" t="s">
        <v>1151</v>
      </c>
      <c r="T332" t="s">
        <v>128</v>
      </c>
      <c r="U332" t="s">
        <v>129</v>
      </c>
      <c r="V332">
        <v>0</v>
      </c>
      <c r="W332">
        <v>0</v>
      </c>
      <c r="X332">
        <v>0</v>
      </c>
      <c r="Y332">
        <v>0</v>
      </c>
      <c r="Z332">
        <v>0</v>
      </c>
      <c r="AA332">
        <v>0</v>
      </c>
      <c r="AB332">
        <v>0</v>
      </c>
      <c r="AC332">
        <v>0</v>
      </c>
      <c r="AD332">
        <v>0</v>
      </c>
      <c r="AF332">
        <v>200</v>
      </c>
      <c r="AG332">
        <v>0</v>
      </c>
      <c r="AH332" t="s">
        <v>1121</v>
      </c>
      <c r="AI332">
        <v>12.5</v>
      </c>
      <c r="AJ332">
        <v>0</v>
      </c>
      <c r="AK332">
        <v>0</v>
      </c>
      <c r="AL332">
        <v>0</v>
      </c>
      <c r="AN332" t="s">
        <v>248</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3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3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32" t="s">
        <v>157</v>
      </c>
      <c r="CI332" t="s">
        <v>134</v>
      </c>
      <c r="CJ332" t="s">
        <v>158</v>
      </c>
      <c r="CL332" s="19">
        <f>IF(Table1[[#This Row],[Type]]="Petroleum",1,IF(ISERROR(Table1[[#This Row],[Well Density]]*Table1[[#This Row],[Single Well Discovery Area]]),"",IF(Table1[[#This Row],[Well Density]]*Table1[[#This Row],[Single Well Discovery Area]]&gt;1,1,Table1[[#This Row],[Well Density]]*Table1[[#This Row],[Single Well Discovery Area]])))</f>
        <v>0</v>
      </c>
      <c r="CM332" s="24" t="s">
        <v>158</v>
      </c>
      <c r="CN332" s="19">
        <f>Table1[[#This Row],[Mid]]</f>
        <v>0</v>
      </c>
      <c r="CO332" s="19">
        <f>Table1[[#This Row],[Mid3]]+Table1[[#This Row],[Mid6]]+Table1[[#This Row],[Mid9]]</f>
        <v>0</v>
      </c>
      <c r="CP332" s="19">
        <f>Table1[[#This Row],[Mid12]]+Table1[[#This Row],[Mid15]]+Table1[[#This Row],[Mid18]]+Table1[[#This Row],[Mid21]]+Table1[[#This Row],[Mid24]]</f>
        <v>0</v>
      </c>
      <c r="CQ332" s="19">
        <f>Table1[[#This Row],[Mid27]]+Table1[[#This Row],[Mid30]]+Table1[[#This Row],[Mid33]]+Table1[[#This Row],[Mid36]]+Table1[[#This Row],[Mid39]]</f>
        <v>0</v>
      </c>
      <c r="CR332" t="s">
        <v>439</v>
      </c>
      <c r="CS332" s="19" t="str">
        <f>IF(AND(Table1[[#This Row],[Low41]]=0, Table1[[#This Row],[High43]]=0),"N","Y")</f>
        <v>N</v>
      </c>
    </row>
    <row r="333" spans="1:97" ht="19.5" customHeight="1" x14ac:dyDescent="0.25">
      <c r="A333">
        <v>10330</v>
      </c>
      <c r="B333" t="s">
        <v>1145</v>
      </c>
      <c r="C333" t="s">
        <v>1215</v>
      </c>
      <c r="D333">
        <v>35.658611110000002</v>
      </c>
      <c r="E333">
        <v>140.09638889999999</v>
      </c>
      <c r="F333" t="s">
        <v>1216</v>
      </c>
      <c r="G333" t="s">
        <v>1145</v>
      </c>
      <c r="H333" t="s">
        <v>252</v>
      </c>
      <c r="I333" t="s">
        <v>118</v>
      </c>
      <c r="J333" t="s">
        <v>119</v>
      </c>
      <c r="K333" t="s">
        <v>120</v>
      </c>
      <c r="L333" t="s">
        <v>121</v>
      </c>
      <c r="M333" t="s">
        <v>252</v>
      </c>
      <c r="N333" s="6" t="s">
        <v>1217</v>
      </c>
      <c r="O333" t="s">
        <v>1218</v>
      </c>
      <c r="P333" t="s">
        <v>170</v>
      </c>
      <c r="Q333" t="s">
        <v>1219</v>
      </c>
      <c r="R333" t="s">
        <v>1220</v>
      </c>
      <c r="S333">
        <v>2009</v>
      </c>
      <c r="T333" t="s">
        <v>128</v>
      </c>
      <c r="U333" t="s">
        <v>129</v>
      </c>
      <c r="V333">
        <v>0</v>
      </c>
      <c r="W333">
        <v>0</v>
      </c>
      <c r="X333">
        <v>0</v>
      </c>
      <c r="Y333">
        <v>0</v>
      </c>
      <c r="Z333">
        <v>0</v>
      </c>
      <c r="AA333">
        <v>0</v>
      </c>
      <c r="AB333">
        <v>0</v>
      </c>
      <c r="AC333">
        <v>0</v>
      </c>
      <c r="AD333">
        <v>0</v>
      </c>
      <c r="AF333">
        <v>200</v>
      </c>
      <c r="AG333">
        <v>0</v>
      </c>
      <c r="AH333" t="s">
        <v>1121</v>
      </c>
      <c r="AI333">
        <v>12.5</v>
      </c>
      <c r="AJ333">
        <v>0</v>
      </c>
      <c r="AK333">
        <v>0</v>
      </c>
      <c r="AL333">
        <v>0</v>
      </c>
      <c r="AM333" t="s">
        <v>1221</v>
      </c>
      <c r="AN333" t="s">
        <v>132</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27500</v>
      </c>
      <c r="BO333">
        <v>0</v>
      </c>
      <c r="BP333">
        <v>0</v>
      </c>
      <c r="BQ333">
        <v>0</v>
      </c>
      <c r="BR333">
        <v>0</v>
      </c>
      <c r="BS333">
        <v>0</v>
      </c>
      <c r="BT333">
        <v>0</v>
      </c>
      <c r="BU333">
        <v>0</v>
      </c>
      <c r="BV333">
        <v>0</v>
      </c>
      <c r="BW333">
        <v>0</v>
      </c>
      <c r="BX333">
        <v>0</v>
      </c>
      <c r="BY333">
        <v>0</v>
      </c>
      <c r="BZ333">
        <v>0</v>
      </c>
      <c r="CA333">
        <v>0</v>
      </c>
      <c r="CB333">
        <v>0</v>
      </c>
      <c r="CC333">
        <v>0</v>
      </c>
      <c r="CD333">
        <v>0</v>
      </c>
      <c r="CE33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33" s="19">
        <f>SUM(Table1[[#This Row],[Mid39]],Table1[[#This Row],[Mid36]],Table1[[#This Row],[Mid33]],Table1[[#This Row],[Mid30]],Table1[[#This Row],[Mid27]],Table1[[#This Row],[Mid24]],Table1[[#This Row],[Mid21]],Table1[[#This Row],[Mid18]],Table1[[#This Row],[Mid15]],Table1[[#This Row],[Mid12]],Table1[[#This Row],[Mid9]],Table1[[#This Row],[Mid6]],Table1[[#This Row],[Mid3]],Table1[[#This Row],[Mid]])</f>
        <v>27500</v>
      </c>
      <c r="CG3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33" t="s">
        <v>133</v>
      </c>
      <c r="CI333" t="s">
        <v>134</v>
      </c>
      <c r="CJ333" t="s">
        <v>158</v>
      </c>
      <c r="CL333" s="19">
        <f>IF(Table1[[#This Row],[Type]]="Petroleum",1,IF(ISERROR(Table1[[#This Row],[Well Density]]*Table1[[#This Row],[Single Well Discovery Area]]),"",IF(Table1[[#This Row],[Well Density]]*Table1[[#This Row],[Single Well Discovery Area]]&gt;1,1,Table1[[#This Row],[Well Density]]*Table1[[#This Row],[Single Well Discovery Area]])))</f>
        <v>0</v>
      </c>
      <c r="CM333" s="24" t="s">
        <v>158</v>
      </c>
      <c r="CN333" s="19">
        <f>Table1[[#This Row],[Mid]]</f>
        <v>0</v>
      </c>
      <c r="CO333" s="19">
        <f>Table1[[#This Row],[Mid3]]+Table1[[#This Row],[Mid6]]+Table1[[#This Row],[Mid9]]</f>
        <v>0</v>
      </c>
      <c r="CP333" s="19">
        <f>Table1[[#This Row],[Mid12]]+Table1[[#This Row],[Mid15]]+Table1[[#This Row],[Mid18]]+Table1[[#This Row],[Mid21]]+Table1[[#This Row],[Mid24]]</f>
        <v>27500</v>
      </c>
      <c r="CQ333" s="19">
        <f>Table1[[#This Row],[Mid27]]+Table1[[#This Row],[Mid30]]+Table1[[#This Row],[Mid33]]+Table1[[#This Row],[Mid36]]+Table1[[#This Row],[Mid39]]</f>
        <v>0</v>
      </c>
      <c r="CR333" t="s">
        <v>439</v>
      </c>
      <c r="CS333" s="19" t="str">
        <f>IF(AND(Table1[[#This Row],[Low41]]=0, Table1[[#This Row],[High43]]=0),"N","Y")</f>
        <v>N</v>
      </c>
    </row>
    <row r="334" spans="1:97" ht="19.5" customHeight="1" x14ac:dyDescent="0.25">
      <c r="A334">
        <v>10331</v>
      </c>
      <c r="B334" t="s">
        <v>1145</v>
      </c>
      <c r="C334" t="s">
        <v>1215</v>
      </c>
      <c r="D334">
        <v>37.831111110000002</v>
      </c>
      <c r="E334">
        <v>138.8522222</v>
      </c>
      <c r="F334" t="s">
        <v>1222</v>
      </c>
      <c r="G334" t="s">
        <v>1145</v>
      </c>
      <c r="H334" t="s">
        <v>252</v>
      </c>
      <c r="I334" t="s">
        <v>1223</v>
      </c>
      <c r="J334" t="s">
        <v>202</v>
      </c>
      <c r="K334" t="s">
        <v>203</v>
      </c>
      <c r="L334" t="s">
        <v>121</v>
      </c>
      <c r="M334" t="s">
        <v>252</v>
      </c>
      <c r="N334" s="6" t="s">
        <v>1217</v>
      </c>
      <c r="O334" t="s">
        <v>1224</v>
      </c>
      <c r="P334" t="s">
        <v>170</v>
      </c>
      <c r="Q334" t="s">
        <v>1225</v>
      </c>
      <c r="R334" t="s">
        <v>1226</v>
      </c>
      <c r="S334">
        <v>2009</v>
      </c>
      <c r="T334" t="s">
        <v>128</v>
      </c>
      <c r="U334" t="s">
        <v>129</v>
      </c>
      <c r="V334">
        <v>0</v>
      </c>
      <c r="W334">
        <v>0</v>
      </c>
      <c r="X334">
        <v>0</v>
      </c>
      <c r="Y334">
        <v>0</v>
      </c>
      <c r="Z334">
        <v>0</v>
      </c>
      <c r="AA334">
        <v>0</v>
      </c>
      <c r="AB334">
        <v>0</v>
      </c>
      <c r="AC334">
        <v>0</v>
      </c>
      <c r="AD334">
        <v>0</v>
      </c>
      <c r="AF334">
        <v>200</v>
      </c>
      <c r="AG334">
        <v>0</v>
      </c>
      <c r="AH334" t="s">
        <v>1121</v>
      </c>
      <c r="AI334">
        <v>25</v>
      </c>
      <c r="AJ334">
        <v>0</v>
      </c>
      <c r="AK334">
        <v>0</v>
      </c>
      <c r="AL334">
        <v>0</v>
      </c>
      <c r="AM334" t="s">
        <v>1227</v>
      </c>
      <c r="AN334" t="s">
        <v>132</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3500</v>
      </c>
      <c r="BO334">
        <v>0</v>
      </c>
      <c r="BP334">
        <v>0</v>
      </c>
      <c r="BQ334">
        <v>0</v>
      </c>
      <c r="BR334">
        <v>0</v>
      </c>
      <c r="BS334">
        <v>0</v>
      </c>
      <c r="BT334">
        <v>0</v>
      </c>
      <c r="BU334">
        <v>0</v>
      </c>
      <c r="BV334">
        <v>0</v>
      </c>
      <c r="BW334">
        <v>0</v>
      </c>
      <c r="BX334">
        <v>0</v>
      </c>
      <c r="BY334">
        <v>0</v>
      </c>
      <c r="BZ334">
        <v>0</v>
      </c>
      <c r="CA334">
        <v>0</v>
      </c>
      <c r="CB334">
        <v>0</v>
      </c>
      <c r="CC334">
        <v>0</v>
      </c>
      <c r="CD334">
        <v>0</v>
      </c>
      <c r="CE33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34" s="19">
        <f>SUM(Table1[[#This Row],[Mid39]],Table1[[#This Row],[Mid36]],Table1[[#This Row],[Mid33]],Table1[[#This Row],[Mid30]],Table1[[#This Row],[Mid27]],Table1[[#This Row],[Mid24]],Table1[[#This Row],[Mid21]],Table1[[#This Row],[Mid18]],Table1[[#This Row],[Mid15]],Table1[[#This Row],[Mid12]],Table1[[#This Row],[Mid9]],Table1[[#This Row],[Mid6]],Table1[[#This Row],[Mid3]],Table1[[#This Row],[Mid]])</f>
        <v>3500</v>
      </c>
      <c r="CG3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34" t="s">
        <v>133</v>
      </c>
      <c r="CI334" t="s">
        <v>134</v>
      </c>
      <c r="CJ334" t="s">
        <v>158</v>
      </c>
      <c r="CL334" s="19">
        <f>IF(Table1[[#This Row],[Type]]="Petroleum",1,IF(ISERROR(Table1[[#This Row],[Well Density]]*Table1[[#This Row],[Single Well Discovery Area]]),"",IF(Table1[[#This Row],[Well Density]]*Table1[[#This Row],[Single Well Discovery Area]]&gt;1,1,Table1[[#This Row],[Well Density]]*Table1[[#This Row],[Single Well Discovery Area]])))</f>
        <v>1</v>
      </c>
      <c r="CM334" s="24" t="s">
        <v>158</v>
      </c>
      <c r="CN334" s="19">
        <f>Table1[[#This Row],[Mid]]</f>
        <v>0</v>
      </c>
      <c r="CO334" s="19">
        <f>Table1[[#This Row],[Mid3]]+Table1[[#This Row],[Mid6]]+Table1[[#This Row],[Mid9]]</f>
        <v>0</v>
      </c>
      <c r="CP334" s="19">
        <f>Table1[[#This Row],[Mid12]]+Table1[[#This Row],[Mid15]]+Table1[[#This Row],[Mid18]]+Table1[[#This Row],[Mid21]]+Table1[[#This Row],[Mid24]]</f>
        <v>3500</v>
      </c>
      <c r="CQ334" s="19">
        <f>Table1[[#This Row],[Mid27]]+Table1[[#This Row],[Mid30]]+Table1[[#This Row],[Mid33]]+Table1[[#This Row],[Mid36]]+Table1[[#This Row],[Mid39]]</f>
        <v>0</v>
      </c>
      <c r="CR334" t="s">
        <v>439</v>
      </c>
      <c r="CS334" s="19" t="str">
        <f>IF(AND(Table1[[#This Row],[Low41]]=0, Table1[[#This Row],[High43]]=0),"N","Y")</f>
        <v>N</v>
      </c>
    </row>
    <row r="335" spans="1:97" ht="19.5" customHeight="1" x14ac:dyDescent="0.25">
      <c r="A335">
        <v>10332</v>
      </c>
      <c r="B335" t="s">
        <v>1145</v>
      </c>
      <c r="C335" t="s">
        <v>1215</v>
      </c>
      <c r="D335">
        <v>34.568611109999999</v>
      </c>
      <c r="E335">
        <v>131.22027779999999</v>
      </c>
      <c r="F335" t="s">
        <v>1228</v>
      </c>
      <c r="G335" t="s">
        <v>1145</v>
      </c>
      <c r="H335" t="s">
        <v>252</v>
      </c>
      <c r="I335" t="s">
        <v>118</v>
      </c>
      <c r="J335" t="s">
        <v>119</v>
      </c>
      <c r="K335" t="s">
        <v>120</v>
      </c>
      <c r="L335" t="s">
        <v>18</v>
      </c>
      <c r="M335" t="s">
        <v>252</v>
      </c>
      <c r="N335" s="6" t="s">
        <v>1217</v>
      </c>
      <c r="O335" t="s">
        <v>1229</v>
      </c>
      <c r="P335" t="s">
        <v>170</v>
      </c>
      <c r="Q335" t="s">
        <v>1230</v>
      </c>
      <c r="R335" t="s">
        <v>1231</v>
      </c>
      <c r="S335">
        <v>2009</v>
      </c>
      <c r="T335" t="s">
        <v>128</v>
      </c>
      <c r="U335" t="s">
        <v>129</v>
      </c>
      <c r="V335">
        <v>0</v>
      </c>
      <c r="W335">
        <v>0</v>
      </c>
      <c r="X335">
        <v>0</v>
      </c>
      <c r="Y335">
        <v>0</v>
      </c>
      <c r="Z335">
        <v>0</v>
      </c>
      <c r="AA335">
        <v>0</v>
      </c>
      <c r="AB335">
        <v>0</v>
      </c>
      <c r="AC335">
        <v>0</v>
      </c>
      <c r="AD335">
        <v>0</v>
      </c>
      <c r="AF335">
        <v>200</v>
      </c>
      <c r="AG335">
        <v>0</v>
      </c>
      <c r="AH335" t="s">
        <v>1121</v>
      </c>
      <c r="AI335">
        <v>12.5</v>
      </c>
      <c r="AJ335">
        <v>0</v>
      </c>
      <c r="AK335">
        <v>0</v>
      </c>
      <c r="AL335">
        <v>0</v>
      </c>
      <c r="AM335" t="s">
        <v>1221</v>
      </c>
      <c r="AN335" t="s">
        <v>132</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88500</v>
      </c>
      <c r="CA335">
        <v>0</v>
      </c>
      <c r="CB335">
        <v>0</v>
      </c>
      <c r="CC335">
        <v>0</v>
      </c>
      <c r="CD335">
        <v>0</v>
      </c>
      <c r="CE33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35" s="19">
        <f>SUM(Table1[[#This Row],[Mid39]],Table1[[#This Row],[Mid36]],Table1[[#This Row],[Mid33]],Table1[[#This Row],[Mid30]],Table1[[#This Row],[Mid27]],Table1[[#This Row],[Mid24]],Table1[[#This Row],[Mid21]],Table1[[#This Row],[Mid18]],Table1[[#This Row],[Mid15]],Table1[[#This Row],[Mid12]],Table1[[#This Row],[Mid9]],Table1[[#This Row],[Mid6]],Table1[[#This Row],[Mid3]],Table1[[#This Row],[Mid]])</f>
        <v>88500</v>
      </c>
      <c r="CG3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35" t="s">
        <v>157</v>
      </c>
      <c r="CI335" t="s">
        <v>134</v>
      </c>
      <c r="CJ335" t="s">
        <v>158</v>
      </c>
      <c r="CL335" s="19">
        <f>IF(Table1[[#This Row],[Type]]="Petroleum",1,IF(ISERROR(Table1[[#This Row],[Well Density]]*Table1[[#This Row],[Single Well Discovery Area]]),"",IF(Table1[[#This Row],[Well Density]]*Table1[[#This Row],[Single Well Discovery Area]]&gt;1,1,Table1[[#This Row],[Well Density]]*Table1[[#This Row],[Single Well Discovery Area]])))</f>
        <v>0</v>
      </c>
      <c r="CM335" s="24" t="s">
        <v>158</v>
      </c>
      <c r="CN335" s="19">
        <f>Table1[[#This Row],[Mid]]</f>
        <v>0</v>
      </c>
      <c r="CO335" s="19">
        <f>Table1[[#This Row],[Mid3]]+Table1[[#This Row],[Mid6]]+Table1[[#This Row],[Mid9]]</f>
        <v>0</v>
      </c>
      <c r="CP335" s="19">
        <f>Table1[[#This Row],[Mid12]]+Table1[[#This Row],[Mid15]]+Table1[[#This Row],[Mid18]]+Table1[[#This Row],[Mid21]]+Table1[[#This Row],[Mid24]]</f>
        <v>0</v>
      </c>
      <c r="CQ335" s="19">
        <f>Table1[[#This Row],[Mid27]]+Table1[[#This Row],[Mid30]]+Table1[[#This Row],[Mid33]]+Table1[[#This Row],[Mid36]]+Table1[[#This Row],[Mid39]]</f>
        <v>88500</v>
      </c>
      <c r="CR335" t="s">
        <v>439</v>
      </c>
      <c r="CS335" s="19" t="str">
        <f>IF(AND(Table1[[#This Row],[Low41]]=0, Table1[[#This Row],[High43]]=0),"N","Y")</f>
        <v>N</v>
      </c>
    </row>
    <row r="336" spans="1:97" ht="19.5" customHeight="1" x14ac:dyDescent="0.25">
      <c r="A336">
        <v>10333</v>
      </c>
      <c r="B336" t="s">
        <v>1145</v>
      </c>
      <c r="C336" t="s">
        <v>1215</v>
      </c>
      <c r="D336">
        <v>44.566388889999999</v>
      </c>
      <c r="E336">
        <v>141.83500000000001</v>
      </c>
      <c r="F336" t="s">
        <v>1232</v>
      </c>
      <c r="G336" t="s">
        <v>1145</v>
      </c>
      <c r="H336" t="s">
        <v>252</v>
      </c>
      <c r="I336" t="s">
        <v>118</v>
      </c>
      <c r="J336" t="s">
        <v>119</v>
      </c>
      <c r="K336" t="s">
        <v>203</v>
      </c>
      <c r="L336" t="s">
        <v>147</v>
      </c>
      <c r="M336" t="s">
        <v>252</v>
      </c>
      <c r="N336" s="6" t="s">
        <v>1217</v>
      </c>
      <c r="O336" t="s">
        <v>1233</v>
      </c>
      <c r="P336" t="s">
        <v>170</v>
      </c>
      <c r="Q336" t="s">
        <v>1234</v>
      </c>
      <c r="R336" t="s">
        <v>1235</v>
      </c>
      <c r="S336">
        <v>2009</v>
      </c>
      <c r="T336" t="s">
        <v>128</v>
      </c>
      <c r="U336" t="s">
        <v>129</v>
      </c>
      <c r="V336">
        <v>0</v>
      </c>
      <c r="W336">
        <v>0</v>
      </c>
      <c r="X336">
        <v>0</v>
      </c>
      <c r="Y336">
        <v>0</v>
      </c>
      <c r="Z336">
        <v>0</v>
      </c>
      <c r="AA336">
        <v>0</v>
      </c>
      <c r="AB336">
        <v>0</v>
      </c>
      <c r="AC336">
        <v>0</v>
      </c>
      <c r="AD336">
        <v>0</v>
      </c>
      <c r="AF336">
        <v>200</v>
      </c>
      <c r="AG336">
        <v>0</v>
      </c>
      <c r="AH336" t="s">
        <v>1121</v>
      </c>
      <c r="AI336">
        <v>25</v>
      </c>
      <c r="AJ336">
        <v>0</v>
      </c>
      <c r="AK336">
        <v>0</v>
      </c>
      <c r="AL336">
        <v>0</v>
      </c>
      <c r="AM336" t="s">
        <v>1236</v>
      </c>
      <c r="AN336" t="s">
        <v>132</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5200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36" s="19">
        <f>SUM(Table1[[#This Row],[Mid39]],Table1[[#This Row],[Mid36]],Table1[[#This Row],[Mid33]],Table1[[#This Row],[Mid30]],Table1[[#This Row],[Mid27]],Table1[[#This Row],[Mid24]],Table1[[#This Row],[Mid21]],Table1[[#This Row],[Mid18]],Table1[[#This Row],[Mid15]],Table1[[#This Row],[Mid12]],Table1[[#This Row],[Mid9]],Table1[[#This Row],[Mid6]],Table1[[#This Row],[Mid3]],Table1[[#This Row],[Mid]])</f>
        <v>5200</v>
      </c>
      <c r="CG3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36" t="s">
        <v>157</v>
      </c>
      <c r="CI336" t="s">
        <v>134</v>
      </c>
      <c r="CJ336" t="s">
        <v>158</v>
      </c>
      <c r="CL336" s="19">
        <f>IF(Table1[[#This Row],[Type]]="Petroleum",1,IF(ISERROR(Table1[[#This Row],[Well Density]]*Table1[[#This Row],[Single Well Discovery Area]]),"",IF(Table1[[#This Row],[Well Density]]*Table1[[#This Row],[Single Well Discovery Area]]&gt;1,1,Table1[[#This Row],[Well Density]]*Table1[[#This Row],[Single Well Discovery Area]])))</f>
        <v>0</v>
      </c>
      <c r="CM336" s="24" t="s">
        <v>158</v>
      </c>
      <c r="CN336" s="19">
        <f>Table1[[#This Row],[Mid]]</f>
        <v>0</v>
      </c>
      <c r="CO336" s="19">
        <f>Table1[[#This Row],[Mid3]]+Table1[[#This Row],[Mid6]]+Table1[[#This Row],[Mid9]]</f>
        <v>0</v>
      </c>
      <c r="CP336" s="19">
        <f>Table1[[#This Row],[Mid12]]+Table1[[#This Row],[Mid15]]+Table1[[#This Row],[Mid18]]+Table1[[#This Row],[Mid21]]+Table1[[#This Row],[Mid24]]</f>
        <v>5200</v>
      </c>
      <c r="CQ336" s="19">
        <f>Table1[[#This Row],[Mid27]]+Table1[[#This Row],[Mid30]]+Table1[[#This Row],[Mid33]]+Table1[[#This Row],[Mid36]]+Table1[[#This Row],[Mid39]]</f>
        <v>0</v>
      </c>
      <c r="CR336" t="s">
        <v>439</v>
      </c>
      <c r="CS336" s="19" t="str">
        <f>IF(AND(Table1[[#This Row],[Low41]]=0, Table1[[#This Row],[High43]]=0),"N","Y")</f>
        <v>N</v>
      </c>
    </row>
    <row r="337" spans="1:97" ht="19.5" customHeight="1" x14ac:dyDescent="0.25">
      <c r="A337">
        <v>10334</v>
      </c>
      <c r="B337" t="s">
        <v>1145</v>
      </c>
      <c r="C337" t="s">
        <v>1215</v>
      </c>
      <c r="D337">
        <v>42.46</v>
      </c>
      <c r="E337">
        <v>141.62527779999999</v>
      </c>
      <c r="F337" t="s">
        <v>1237</v>
      </c>
      <c r="G337" t="s">
        <v>1145</v>
      </c>
      <c r="H337" t="s">
        <v>252</v>
      </c>
      <c r="I337" t="s">
        <v>118</v>
      </c>
      <c r="J337" t="s">
        <v>119</v>
      </c>
      <c r="K337" t="s">
        <v>203</v>
      </c>
      <c r="L337" t="s">
        <v>18</v>
      </c>
      <c r="M337" t="s">
        <v>252</v>
      </c>
      <c r="N337" s="6" t="s">
        <v>1217</v>
      </c>
      <c r="O337" t="s">
        <v>1238</v>
      </c>
      <c r="P337" t="s">
        <v>170</v>
      </c>
      <c r="Q337" t="s">
        <v>1239</v>
      </c>
      <c r="R337" t="s">
        <v>1240</v>
      </c>
      <c r="S337">
        <v>2009</v>
      </c>
      <c r="T337" t="s">
        <v>128</v>
      </c>
      <c r="U337" t="s">
        <v>129</v>
      </c>
      <c r="V337">
        <v>0</v>
      </c>
      <c r="W337">
        <v>0</v>
      </c>
      <c r="X337">
        <v>0</v>
      </c>
      <c r="Y337">
        <v>0</v>
      </c>
      <c r="Z337">
        <v>0</v>
      </c>
      <c r="AA337">
        <v>0</v>
      </c>
      <c r="AB337">
        <v>0</v>
      </c>
      <c r="AC337">
        <v>0</v>
      </c>
      <c r="AD337">
        <v>0</v>
      </c>
      <c r="AF337">
        <v>200</v>
      </c>
      <c r="AG337">
        <v>0</v>
      </c>
      <c r="AH337" t="s">
        <v>1121</v>
      </c>
      <c r="AI337">
        <v>25</v>
      </c>
      <c r="AJ337">
        <v>0</v>
      </c>
      <c r="AK337">
        <v>0</v>
      </c>
      <c r="AL337">
        <v>0</v>
      </c>
      <c r="AM337" t="s">
        <v>1236</v>
      </c>
      <c r="AN337" t="s">
        <v>132</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21400</v>
      </c>
      <c r="CA337">
        <v>0</v>
      </c>
      <c r="CB337">
        <v>0</v>
      </c>
      <c r="CC337">
        <v>0</v>
      </c>
      <c r="CD337">
        <v>0</v>
      </c>
      <c r="CE33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37" s="19">
        <f>SUM(Table1[[#This Row],[Mid39]],Table1[[#This Row],[Mid36]],Table1[[#This Row],[Mid33]],Table1[[#This Row],[Mid30]],Table1[[#This Row],[Mid27]],Table1[[#This Row],[Mid24]],Table1[[#This Row],[Mid21]],Table1[[#This Row],[Mid18]],Table1[[#This Row],[Mid15]],Table1[[#This Row],[Mid12]],Table1[[#This Row],[Mid9]],Table1[[#This Row],[Mid6]],Table1[[#This Row],[Mid3]],Table1[[#This Row],[Mid]])</f>
        <v>21400</v>
      </c>
      <c r="CG3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37" t="s">
        <v>157</v>
      </c>
      <c r="CI337" t="s">
        <v>134</v>
      </c>
      <c r="CJ337" t="s">
        <v>158</v>
      </c>
      <c r="CL337" s="19">
        <f>IF(Table1[[#This Row],[Type]]="Petroleum",1,IF(ISERROR(Table1[[#This Row],[Well Density]]*Table1[[#This Row],[Single Well Discovery Area]]),"",IF(Table1[[#This Row],[Well Density]]*Table1[[#This Row],[Single Well Discovery Area]]&gt;1,1,Table1[[#This Row],[Well Density]]*Table1[[#This Row],[Single Well Discovery Area]])))</f>
        <v>0</v>
      </c>
      <c r="CM337" s="24" t="s">
        <v>158</v>
      </c>
      <c r="CN337" s="19">
        <f>Table1[[#This Row],[Mid]]</f>
        <v>0</v>
      </c>
      <c r="CO337" s="19">
        <f>Table1[[#This Row],[Mid3]]+Table1[[#This Row],[Mid6]]+Table1[[#This Row],[Mid9]]</f>
        <v>0</v>
      </c>
      <c r="CP337" s="19">
        <f>Table1[[#This Row],[Mid12]]+Table1[[#This Row],[Mid15]]+Table1[[#This Row],[Mid18]]+Table1[[#This Row],[Mid21]]+Table1[[#This Row],[Mid24]]</f>
        <v>0</v>
      </c>
      <c r="CQ337" s="19">
        <f>Table1[[#This Row],[Mid27]]+Table1[[#This Row],[Mid30]]+Table1[[#This Row],[Mid33]]+Table1[[#This Row],[Mid36]]+Table1[[#This Row],[Mid39]]</f>
        <v>21400</v>
      </c>
      <c r="CR337" t="s">
        <v>439</v>
      </c>
      <c r="CS337" s="19" t="str">
        <f>IF(AND(Table1[[#This Row],[Low41]]=0, Table1[[#This Row],[High43]]=0),"N","Y")</f>
        <v>N</v>
      </c>
    </row>
    <row r="338" spans="1:97" ht="19.5" customHeight="1" x14ac:dyDescent="0.25">
      <c r="A338">
        <v>10335</v>
      </c>
      <c r="B338" t="s">
        <v>1145</v>
      </c>
      <c r="C338" t="s">
        <v>1241</v>
      </c>
      <c r="D338">
        <v>26.168055559999999</v>
      </c>
      <c r="E338">
        <v>127.6927778</v>
      </c>
      <c r="F338" t="s">
        <v>1242</v>
      </c>
      <c r="G338" t="s">
        <v>1145</v>
      </c>
      <c r="H338" t="s">
        <v>1243</v>
      </c>
      <c r="I338" t="s">
        <v>118</v>
      </c>
      <c r="J338" t="s">
        <v>119</v>
      </c>
      <c r="K338" t="s">
        <v>190</v>
      </c>
      <c r="L338" t="s">
        <v>18</v>
      </c>
      <c r="M338" t="s">
        <v>1244</v>
      </c>
      <c r="N338" s="6" t="s">
        <v>1148</v>
      </c>
      <c r="O338" t="s">
        <v>1193</v>
      </c>
      <c r="P338" t="s">
        <v>170</v>
      </c>
      <c r="Q338" t="s">
        <v>1150</v>
      </c>
      <c r="R338" t="s">
        <v>1245</v>
      </c>
      <c r="S338">
        <v>2011</v>
      </c>
      <c r="T338" t="s">
        <v>128</v>
      </c>
      <c r="U338" t="s">
        <v>129</v>
      </c>
      <c r="V338">
        <v>143</v>
      </c>
      <c r="W338">
        <v>1200</v>
      </c>
      <c r="X338">
        <v>98</v>
      </c>
      <c r="Y338">
        <v>0</v>
      </c>
      <c r="Z338">
        <v>39</v>
      </c>
      <c r="AA338">
        <v>0</v>
      </c>
      <c r="AB338">
        <v>0</v>
      </c>
      <c r="AC338">
        <v>0</v>
      </c>
      <c r="AD338">
        <v>0</v>
      </c>
      <c r="AE338">
        <v>0</v>
      </c>
      <c r="AF338">
        <v>200</v>
      </c>
      <c r="AG338">
        <v>0</v>
      </c>
      <c r="AH338" t="s">
        <v>1121</v>
      </c>
      <c r="AI338">
        <v>12.5</v>
      </c>
      <c r="AJ338">
        <v>0</v>
      </c>
      <c r="AK338">
        <v>0</v>
      </c>
      <c r="AL338">
        <v>0</v>
      </c>
      <c r="AM338" t="s">
        <v>1195</v>
      </c>
      <c r="AN338" t="s">
        <v>132</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440</v>
      </c>
      <c r="BX338">
        <v>0</v>
      </c>
      <c r="BY338">
        <v>0</v>
      </c>
      <c r="BZ338">
        <v>0</v>
      </c>
      <c r="CA338">
        <v>0</v>
      </c>
      <c r="CB338">
        <v>0</v>
      </c>
      <c r="CC338">
        <v>0</v>
      </c>
      <c r="CD338">
        <v>0</v>
      </c>
      <c r="CE33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38" s="19">
        <f>SUM(Table1[[#This Row],[Mid39]],Table1[[#This Row],[Mid36]],Table1[[#This Row],[Mid33]],Table1[[#This Row],[Mid30]],Table1[[#This Row],[Mid27]],Table1[[#This Row],[Mid24]],Table1[[#This Row],[Mid21]],Table1[[#This Row],[Mid18]],Table1[[#This Row],[Mid15]],Table1[[#This Row],[Mid12]],Table1[[#This Row],[Mid9]],Table1[[#This Row],[Mid6]],Table1[[#This Row],[Mid3]],Table1[[#This Row],[Mid]])</f>
        <v>440</v>
      </c>
      <c r="CG3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38" t="s">
        <v>157</v>
      </c>
      <c r="CI338" t="s">
        <v>134</v>
      </c>
      <c r="CJ338" t="s">
        <v>158</v>
      </c>
      <c r="CK338" s="24"/>
      <c r="CL338" s="19">
        <f>IF(Table1[[#This Row],[Type]]="Petroleum",1,IF(ISERROR(Table1[[#This Row],[Well Density]]*Table1[[#This Row],[Single Well Discovery Area]]),"",IF(Table1[[#This Row],[Well Density]]*Table1[[#This Row],[Single Well Discovery Area]]&gt;1,1,Table1[[#This Row],[Well Density]]*Table1[[#This Row],[Single Well Discovery Area]])))</f>
        <v>0</v>
      </c>
      <c r="CM338" s="24" t="s">
        <v>158</v>
      </c>
      <c r="CN338" s="19">
        <f>Table1[[#This Row],[Mid]]</f>
        <v>0</v>
      </c>
      <c r="CO338" s="19">
        <f>Table1[[#This Row],[Mid3]]+Table1[[#This Row],[Mid6]]+Table1[[#This Row],[Mid9]]</f>
        <v>0</v>
      </c>
      <c r="CP338" s="19">
        <f>Table1[[#This Row],[Mid12]]+Table1[[#This Row],[Mid15]]+Table1[[#This Row],[Mid18]]+Table1[[#This Row],[Mid21]]+Table1[[#This Row],[Mid24]]</f>
        <v>0</v>
      </c>
      <c r="CQ338" s="19">
        <f>Table1[[#This Row],[Mid27]]+Table1[[#This Row],[Mid30]]+Table1[[#This Row],[Mid33]]+Table1[[#This Row],[Mid36]]+Table1[[#This Row],[Mid39]]</f>
        <v>440</v>
      </c>
      <c r="CR338" t="s">
        <v>439</v>
      </c>
      <c r="CS338" s="19" t="str">
        <f>IF(AND(Table1[[#This Row],[Low41]]=0, Table1[[#This Row],[High43]]=0),"N","Y")</f>
        <v>N</v>
      </c>
    </row>
    <row r="339" spans="1:97" ht="19.5" customHeight="1" x14ac:dyDescent="0.25">
      <c r="A339">
        <v>10336</v>
      </c>
      <c r="B339" t="s">
        <v>1145</v>
      </c>
      <c r="C339" t="s">
        <v>1246</v>
      </c>
      <c r="D339">
        <v>33.325000000000003</v>
      </c>
      <c r="E339">
        <v>131.66416670000001</v>
      </c>
      <c r="F339" t="s">
        <v>1247</v>
      </c>
      <c r="G339" t="s">
        <v>1145</v>
      </c>
      <c r="H339" t="s">
        <v>252</v>
      </c>
      <c r="I339" t="s">
        <v>118</v>
      </c>
      <c r="J339" t="s">
        <v>119</v>
      </c>
      <c r="K339" t="s">
        <v>190</v>
      </c>
      <c r="L339" t="s">
        <v>18</v>
      </c>
      <c r="M339" t="s">
        <v>252</v>
      </c>
      <c r="N339" s="6" t="s">
        <v>1148</v>
      </c>
      <c r="O339" t="s">
        <v>1149</v>
      </c>
      <c r="P339" t="s">
        <v>170</v>
      </c>
      <c r="Q339" t="s">
        <v>1150</v>
      </c>
      <c r="R339" t="s">
        <v>1151</v>
      </c>
      <c r="T339" t="s">
        <v>128</v>
      </c>
      <c r="U339" t="s">
        <v>129</v>
      </c>
      <c r="V339">
        <v>0</v>
      </c>
      <c r="W339">
        <v>0</v>
      </c>
      <c r="X339">
        <v>0</v>
      </c>
      <c r="Y339">
        <v>0</v>
      </c>
      <c r="Z339">
        <v>0</v>
      </c>
      <c r="AA339">
        <v>0</v>
      </c>
      <c r="AB339">
        <v>0</v>
      </c>
      <c r="AC339">
        <v>0</v>
      </c>
      <c r="AD339">
        <v>0</v>
      </c>
      <c r="AF339">
        <v>200</v>
      </c>
      <c r="AG339">
        <v>0</v>
      </c>
      <c r="AH339" t="s">
        <v>1121</v>
      </c>
      <c r="AI339">
        <v>12.5</v>
      </c>
      <c r="AJ339">
        <v>0</v>
      </c>
      <c r="AK339">
        <v>0</v>
      </c>
      <c r="AL339">
        <v>0</v>
      </c>
      <c r="AN339" t="s">
        <v>248</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3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3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39" t="s">
        <v>157</v>
      </c>
      <c r="CI339" t="s">
        <v>134</v>
      </c>
      <c r="CJ339" t="s">
        <v>158</v>
      </c>
      <c r="CL339" s="19">
        <f>IF(Table1[[#This Row],[Type]]="Petroleum",1,IF(ISERROR(Table1[[#This Row],[Well Density]]*Table1[[#This Row],[Single Well Discovery Area]]),"",IF(Table1[[#This Row],[Well Density]]*Table1[[#This Row],[Single Well Discovery Area]]&gt;1,1,Table1[[#This Row],[Well Density]]*Table1[[#This Row],[Single Well Discovery Area]])))</f>
        <v>0</v>
      </c>
      <c r="CM339" s="24" t="s">
        <v>158</v>
      </c>
      <c r="CN339" s="19">
        <f>Table1[[#This Row],[Mid]]</f>
        <v>0</v>
      </c>
      <c r="CO339" s="19">
        <f>Table1[[#This Row],[Mid3]]+Table1[[#This Row],[Mid6]]+Table1[[#This Row],[Mid9]]</f>
        <v>0</v>
      </c>
      <c r="CP339" s="19">
        <f>Table1[[#This Row],[Mid12]]+Table1[[#This Row],[Mid15]]+Table1[[#This Row],[Mid18]]+Table1[[#This Row],[Mid21]]+Table1[[#This Row],[Mid24]]</f>
        <v>0</v>
      </c>
      <c r="CQ339" s="19">
        <f>Table1[[#This Row],[Mid27]]+Table1[[#This Row],[Mid30]]+Table1[[#This Row],[Mid33]]+Table1[[#This Row],[Mid36]]+Table1[[#This Row],[Mid39]]</f>
        <v>0</v>
      </c>
      <c r="CR339" t="s">
        <v>439</v>
      </c>
      <c r="CS339" s="19" t="str">
        <f>IF(AND(Table1[[#This Row],[Low41]]=0, Table1[[#This Row],[High43]]=0),"N","Y")</f>
        <v>N</v>
      </c>
    </row>
    <row r="340" spans="1:97" ht="19.5" customHeight="1" x14ac:dyDescent="0.25">
      <c r="A340">
        <v>10337</v>
      </c>
      <c r="B340" t="s">
        <v>1145</v>
      </c>
      <c r="C340" t="s">
        <v>1248</v>
      </c>
      <c r="D340">
        <v>34.51583333</v>
      </c>
      <c r="E340">
        <v>135.18555559999999</v>
      </c>
      <c r="F340" t="s">
        <v>1249</v>
      </c>
      <c r="G340" t="s">
        <v>1145</v>
      </c>
      <c r="H340" t="s">
        <v>1250</v>
      </c>
      <c r="I340" t="s">
        <v>118</v>
      </c>
      <c r="J340" t="s">
        <v>119</v>
      </c>
      <c r="K340" t="s">
        <v>120</v>
      </c>
      <c r="L340" t="s">
        <v>18</v>
      </c>
      <c r="M340" t="s">
        <v>1251</v>
      </c>
      <c r="N340" s="6" t="s">
        <v>1148</v>
      </c>
      <c r="O340" t="s">
        <v>1252</v>
      </c>
      <c r="P340" t="s">
        <v>1253</v>
      </c>
      <c r="Q340" t="s">
        <v>1254</v>
      </c>
      <c r="R340" t="s">
        <v>1255</v>
      </c>
      <c r="S340">
        <v>2011</v>
      </c>
      <c r="T340" t="s">
        <v>128</v>
      </c>
      <c r="U340" t="s">
        <v>129</v>
      </c>
      <c r="V340">
        <v>400</v>
      </c>
      <c r="W340">
        <v>1400</v>
      </c>
      <c r="X340">
        <v>1200</v>
      </c>
      <c r="Y340">
        <v>50</v>
      </c>
      <c r="Z340">
        <v>25</v>
      </c>
      <c r="AA340">
        <v>0</v>
      </c>
      <c r="AB340">
        <v>0</v>
      </c>
      <c r="AC340">
        <v>0</v>
      </c>
      <c r="AD340">
        <v>1</v>
      </c>
      <c r="AE340">
        <v>2.5000000000000001E-3</v>
      </c>
      <c r="AF340">
        <v>200</v>
      </c>
      <c r="AG340">
        <v>0</v>
      </c>
      <c r="AH340" t="s">
        <v>1121</v>
      </c>
      <c r="AI340">
        <v>12.5</v>
      </c>
      <c r="AJ340">
        <v>0</v>
      </c>
      <c r="AK340">
        <v>0</v>
      </c>
      <c r="AL340">
        <v>0</v>
      </c>
      <c r="AM340" t="s">
        <v>1256</v>
      </c>
      <c r="AN340" t="s">
        <v>132</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4200</v>
      </c>
      <c r="BX340">
        <v>0</v>
      </c>
      <c r="BY340">
        <v>0</v>
      </c>
      <c r="BZ340">
        <v>0</v>
      </c>
      <c r="CA340">
        <v>0</v>
      </c>
      <c r="CB340">
        <v>0</v>
      </c>
      <c r="CC340">
        <v>0</v>
      </c>
      <c r="CD340">
        <v>0</v>
      </c>
      <c r="CE34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40" s="19">
        <f>SUM(Table1[[#This Row],[Mid39]],Table1[[#This Row],[Mid36]],Table1[[#This Row],[Mid33]],Table1[[#This Row],[Mid30]],Table1[[#This Row],[Mid27]],Table1[[#This Row],[Mid24]],Table1[[#This Row],[Mid21]],Table1[[#This Row],[Mid18]],Table1[[#This Row],[Mid15]],Table1[[#This Row],[Mid12]],Table1[[#This Row],[Mid9]],Table1[[#This Row],[Mid6]],Table1[[#This Row],[Mid3]],Table1[[#This Row],[Mid]])</f>
        <v>4200</v>
      </c>
      <c r="CG3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40" t="s">
        <v>157</v>
      </c>
      <c r="CI340" t="s">
        <v>134</v>
      </c>
      <c r="CJ340" t="s">
        <v>158</v>
      </c>
      <c r="CK340" s="24"/>
      <c r="CL340" s="19">
        <f>IF(Table1[[#This Row],[Type]]="Petroleum",1,IF(ISERROR(Table1[[#This Row],[Well Density]]*Table1[[#This Row],[Single Well Discovery Area]]),"",IF(Table1[[#This Row],[Well Density]]*Table1[[#This Row],[Single Well Discovery Area]]&gt;1,1,Table1[[#This Row],[Well Density]]*Table1[[#This Row],[Single Well Discovery Area]])))</f>
        <v>0.5</v>
      </c>
      <c r="CM340" s="24" t="s">
        <v>158</v>
      </c>
      <c r="CN340" s="19">
        <f>Table1[[#This Row],[Mid]]</f>
        <v>0</v>
      </c>
      <c r="CO340" s="19">
        <f>Table1[[#This Row],[Mid3]]+Table1[[#This Row],[Mid6]]+Table1[[#This Row],[Mid9]]</f>
        <v>0</v>
      </c>
      <c r="CP340" s="19">
        <f>Table1[[#This Row],[Mid12]]+Table1[[#This Row],[Mid15]]+Table1[[#This Row],[Mid18]]+Table1[[#This Row],[Mid21]]+Table1[[#This Row],[Mid24]]</f>
        <v>0</v>
      </c>
      <c r="CQ340" s="19">
        <f>Table1[[#This Row],[Mid27]]+Table1[[#This Row],[Mid30]]+Table1[[#This Row],[Mid33]]+Table1[[#This Row],[Mid36]]+Table1[[#This Row],[Mid39]]</f>
        <v>4200</v>
      </c>
      <c r="CR340" t="s">
        <v>439</v>
      </c>
      <c r="CS340" s="19" t="str">
        <f>IF(AND(Table1[[#This Row],[Low41]]=0, Table1[[#This Row],[High43]]=0),"N","Y")</f>
        <v>N</v>
      </c>
    </row>
    <row r="341" spans="1:97" ht="19.5" customHeight="1" x14ac:dyDescent="0.25">
      <c r="A341">
        <v>10338</v>
      </c>
      <c r="B341" t="s">
        <v>1145</v>
      </c>
      <c r="C341" t="s">
        <v>1257</v>
      </c>
      <c r="D341">
        <v>35.523611109999997</v>
      </c>
      <c r="E341">
        <v>139.9480556</v>
      </c>
      <c r="F341" t="s">
        <v>1258</v>
      </c>
      <c r="G341" t="s">
        <v>1154</v>
      </c>
      <c r="H341" t="s">
        <v>1259</v>
      </c>
      <c r="I341" t="s">
        <v>118</v>
      </c>
      <c r="J341" t="s">
        <v>119</v>
      </c>
      <c r="K341" t="s">
        <v>120</v>
      </c>
      <c r="L341" t="s">
        <v>18</v>
      </c>
      <c r="M341" t="s">
        <v>1251</v>
      </c>
      <c r="N341" s="6" t="s">
        <v>1260</v>
      </c>
      <c r="O341" t="s">
        <v>1261</v>
      </c>
      <c r="P341" t="s">
        <v>1262</v>
      </c>
      <c r="Q341" t="s">
        <v>1263</v>
      </c>
      <c r="R341" t="s">
        <v>1264</v>
      </c>
      <c r="S341">
        <v>2009</v>
      </c>
      <c r="T341" t="s">
        <v>128</v>
      </c>
      <c r="U341" t="s">
        <v>129</v>
      </c>
      <c r="V341">
        <v>4200</v>
      </c>
      <c r="W341">
        <v>900</v>
      </c>
      <c r="X341">
        <v>200</v>
      </c>
      <c r="Y341">
        <v>0</v>
      </c>
      <c r="Z341">
        <v>40</v>
      </c>
      <c r="AA341">
        <v>100</v>
      </c>
      <c r="AB341">
        <v>0</v>
      </c>
      <c r="AC341">
        <v>0</v>
      </c>
      <c r="AD341">
        <v>17</v>
      </c>
      <c r="AE341">
        <v>4.0476189999999997E-3</v>
      </c>
      <c r="AF341">
        <v>200</v>
      </c>
      <c r="AG341">
        <v>0</v>
      </c>
      <c r="AH341" t="s">
        <v>130</v>
      </c>
      <c r="AI341">
        <v>0</v>
      </c>
      <c r="AJ341">
        <v>1</v>
      </c>
      <c r="AK341">
        <v>0</v>
      </c>
      <c r="AL341">
        <v>0</v>
      </c>
      <c r="AM341" t="s">
        <v>1265</v>
      </c>
      <c r="AN341" t="s">
        <v>132</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1000</v>
      </c>
      <c r="BX341">
        <v>0</v>
      </c>
      <c r="BY341">
        <v>0</v>
      </c>
      <c r="BZ341">
        <v>0</v>
      </c>
      <c r="CA341">
        <v>0</v>
      </c>
      <c r="CB341">
        <v>0</v>
      </c>
      <c r="CC341">
        <v>0</v>
      </c>
      <c r="CD341">
        <v>0</v>
      </c>
      <c r="CE34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41" s="19">
        <f>SUM(Table1[[#This Row],[Mid39]],Table1[[#This Row],[Mid36]],Table1[[#This Row],[Mid33]],Table1[[#This Row],[Mid30]],Table1[[#This Row],[Mid27]],Table1[[#This Row],[Mid24]],Table1[[#This Row],[Mid21]],Table1[[#This Row],[Mid18]],Table1[[#This Row],[Mid15]],Table1[[#This Row],[Mid12]],Table1[[#This Row],[Mid9]],Table1[[#This Row],[Mid6]],Table1[[#This Row],[Mid3]],Table1[[#This Row],[Mid]])</f>
        <v>1000</v>
      </c>
      <c r="CG3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41" t="s">
        <v>157</v>
      </c>
      <c r="CI341" t="s">
        <v>134</v>
      </c>
      <c r="CJ341" t="s">
        <v>158</v>
      </c>
      <c r="CL341" s="19">
        <f>IF(Table1[[#This Row],[Type]]="Petroleum",1,IF(ISERROR(Table1[[#This Row],[Well Density]]*Table1[[#This Row],[Single Well Discovery Area]]),"",IF(Table1[[#This Row],[Well Density]]*Table1[[#This Row],[Single Well Discovery Area]]&gt;1,1,Table1[[#This Row],[Well Density]]*Table1[[#This Row],[Single Well Discovery Area]])))</f>
        <v>0.8095237999999999</v>
      </c>
      <c r="CM341" s="24" t="s">
        <v>158</v>
      </c>
      <c r="CN341" s="19">
        <f>Table1[[#This Row],[Mid]]</f>
        <v>0</v>
      </c>
      <c r="CO341" s="19">
        <f>Table1[[#This Row],[Mid3]]+Table1[[#This Row],[Mid6]]+Table1[[#This Row],[Mid9]]</f>
        <v>0</v>
      </c>
      <c r="CP341" s="19">
        <f>Table1[[#This Row],[Mid12]]+Table1[[#This Row],[Mid15]]+Table1[[#This Row],[Mid18]]+Table1[[#This Row],[Mid21]]+Table1[[#This Row],[Mid24]]</f>
        <v>0</v>
      </c>
      <c r="CQ341" s="19">
        <f>Table1[[#This Row],[Mid27]]+Table1[[#This Row],[Mid30]]+Table1[[#This Row],[Mid33]]+Table1[[#This Row],[Mid36]]+Table1[[#This Row],[Mid39]]</f>
        <v>1000</v>
      </c>
      <c r="CR341" t="s">
        <v>439</v>
      </c>
      <c r="CS341" s="19" t="str">
        <f>IF(AND(Table1[[#This Row],[Low41]]=0, Table1[[#This Row],[High43]]=0),"N","Y")</f>
        <v>N</v>
      </c>
    </row>
    <row r="342" spans="1:97" ht="19.5" customHeight="1" x14ac:dyDescent="0.25">
      <c r="A342">
        <v>10339</v>
      </c>
      <c r="B342" t="s">
        <v>1145</v>
      </c>
      <c r="C342" t="s">
        <v>1164</v>
      </c>
      <c r="D342">
        <v>36.798611110000003</v>
      </c>
      <c r="E342">
        <v>137.2272222</v>
      </c>
      <c r="F342" t="s">
        <v>1266</v>
      </c>
      <c r="G342" t="s">
        <v>1164</v>
      </c>
      <c r="H342" t="s">
        <v>252</v>
      </c>
      <c r="I342" t="s">
        <v>118</v>
      </c>
      <c r="J342" t="s">
        <v>119</v>
      </c>
      <c r="K342" t="s">
        <v>190</v>
      </c>
      <c r="L342" t="s">
        <v>18</v>
      </c>
      <c r="M342" t="s">
        <v>252</v>
      </c>
      <c r="N342" s="6" t="s">
        <v>1148</v>
      </c>
      <c r="O342" t="s">
        <v>1149</v>
      </c>
      <c r="P342" t="s">
        <v>170</v>
      </c>
      <c r="Q342" t="s">
        <v>1150</v>
      </c>
      <c r="R342" t="s">
        <v>1151</v>
      </c>
      <c r="T342" t="s">
        <v>128</v>
      </c>
      <c r="U342" t="s">
        <v>129</v>
      </c>
      <c r="V342">
        <v>0</v>
      </c>
      <c r="W342">
        <v>0</v>
      </c>
      <c r="X342">
        <v>0</v>
      </c>
      <c r="Y342">
        <v>0</v>
      </c>
      <c r="Z342">
        <v>0</v>
      </c>
      <c r="AA342">
        <v>0</v>
      </c>
      <c r="AB342">
        <v>0</v>
      </c>
      <c r="AC342">
        <v>0</v>
      </c>
      <c r="AD342">
        <v>0</v>
      </c>
      <c r="AF342">
        <v>200</v>
      </c>
      <c r="AG342">
        <v>0</v>
      </c>
      <c r="AH342" t="s">
        <v>1121</v>
      </c>
      <c r="AI342">
        <v>12.5</v>
      </c>
      <c r="AJ342">
        <v>0</v>
      </c>
      <c r="AK342">
        <v>0</v>
      </c>
      <c r="AL342">
        <v>0</v>
      </c>
      <c r="AN342" t="s">
        <v>248</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4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3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42" t="s">
        <v>157</v>
      </c>
      <c r="CI342" t="s">
        <v>134</v>
      </c>
      <c r="CJ342" t="s">
        <v>158</v>
      </c>
      <c r="CL342" s="19">
        <f>IF(Table1[[#This Row],[Type]]="Petroleum",1,IF(ISERROR(Table1[[#This Row],[Well Density]]*Table1[[#This Row],[Single Well Discovery Area]]),"",IF(Table1[[#This Row],[Well Density]]*Table1[[#This Row],[Single Well Discovery Area]]&gt;1,1,Table1[[#This Row],[Well Density]]*Table1[[#This Row],[Single Well Discovery Area]])))</f>
        <v>0</v>
      </c>
      <c r="CM342" s="24" t="s">
        <v>158</v>
      </c>
      <c r="CN342" s="19">
        <f>Table1[[#This Row],[Mid]]</f>
        <v>0</v>
      </c>
      <c r="CO342" s="19">
        <f>Table1[[#This Row],[Mid3]]+Table1[[#This Row],[Mid6]]+Table1[[#This Row],[Mid9]]</f>
        <v>0</v>
      </c>
      <c r="CP342" s="19">
        <f>Table1[[#This Row],[Mid12]]+Table1[[#This Row],[Mid15]]+Table1[[#This Row],[Mid18]]+Table1[[#This Row],[Mid21]]+Table1[[#This Row],[Mid24]]</f>
        <v>0</v>
      </c>
      <c r="CQ342" s="19">
        <f>Table1[[#This Row],[Mid27]]+Table1[[#This Row],[Mid30]]+Table1[[#This Row],[Mid33]]+Table1[[#This Row],[Mid36]]+Table1[[#This Row],[Mid39]]</f>
        <v>0</v>
      </c>
      <c r="CR342" t="s">
        <v>439</v>
      </c>
      <c r="CS342" s="19" t="str">
        <f>IF(AND(Table1[[#This Row],[Low41]]=0, Table1[[#This Row],[High43]]=0),"N","Y")</f>
        <v>N</v>
      </c>
    </row>
    <row r="343" spans="1:97" ht="19.5" customHeight="1" x14ac:dyDescent="0.25">
      <c r="A343">
        <v>10340</v>
      </c>
      <c r="B343" t="s">
        <v>1267</v>
      </c>
      <c r="C343" t="s">
        <v>1268</v>
      </c>
      <c r="D343">
        <v>5.7130555559999996</v>
      </c>
      <c r="E343">
        <v>104.1427778</v>
      </c>
      <c r="F343" t="s">
        <v>1269</v>
      </c>
      <c r="G343" t="s">
        <v>1270</v>
      </c>
      <c r="H343" t="s">
        <v>1271</v>
      </c>
      <c r="I343" t="s">
        <v>118</v>
      </c>
      <c r="J343" t="s">
        <v>202</v>
      </c>
      <c r="K343" t="s">
        <v>190</v>
      </c>
      <c r="L343" t="s">
        <v>204</v>
      </c>
      <c r="M343" t="s">
        <v>1177</v>
      </c>
      <c r="N343" s="6" t="s">
        <v>1037</v>
      </c>
      <c r="O343" t="s">
        <v>1272</v>
      </c>
      <c r="P343" t="s">
        <v>170</v>
      </c>
      <c r="Q343" t="s">
        <v>255</v>
      </c>
      <c r="R343" t="s">
        <v>1273</v>
      </c>
      <c r="S343">
        <v>2010</v>
      </c>
      <c r="T343" t="s">
        <v>128</v>
      </c>
      <c r="U343" t="s">
        <v>129</v>
      </c>
      <c r="V343">
        <v>0</v>
      </c>
      <c r="W343">
        <v>1600</v>
      </c>
      <c r="X343">
        <v>300</v>
      </c>
      <c r="Y343">
        <v>0</v>
      </c>
      <c r="Z343">
        <v>0</v>
      </c>
      <c r="AA343">
        <v>100</v>
      </c>
      <c r="AB343">
        <v>0</v>
      </c>
      <c r="AC343">
        <v>0</v>
      </c>
      <c r="AD343">
        <v>0</v>
      </c>
      <c r="AF343">
        <v>200</v>
      </c>
      <c r="AG343">
        <v>15.99998006</v>
      </c>
      <c r="AH343" t="s">
        <v>291</v>
      </c>
      <c r="AI343">
        <v>0</v>
      </c>
      <c r="AJ343">
        <v>0</v>
      </c>
      <c r="AK343">
        <v>0</v>
      </c>
      <c r="AL343">
        <v>0</v>
      </c>
      <c r="AM343" t="s">
        <v>1097</v>
      </c>
      <c r="AN343" t="s">
        <v>132</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22.6</v>
      </c>
      <c r="CD343">
        <v>0</v>
      </c>
      <c r="CE34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43" s="19">
        <f>SUM(Table1[[#This Row],[Mid39]],Table1[[#This Row],[Mid36]],Table1[[#This Row],[Mid33]],Table1[[#This Row],[Mid30]],Table1[[#This Row],[Mid27]],Table1[[#This Row],[Mid24]],Table1[[#This Row],[Mid21]],Table1[[#This Row],[Mid18]],Table1[[#This Row],[Mid15]],Table1[[#This Row],[Mid12]],Table1[[#This Row],[Mid9]],Table1[[#This Row],[Mid6]],Table1[[#This Row],[Mid3]],Table1[[#This Row],[Mid]])</f>
        <v>22.6</v>
      </c>
      <c r="CG3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43" t="s">
        <v>157</v>
      </c>
      <c r="CI343" t="s">
        <v>134</v>
      </c>
      <c r="CJ343" t="s">
        <v>158</v>
      </c>
      <c r="CL343" s="19">
        <f>IF(Table1[[#This Row],[Type]]="Petroleum",1,IF(ISERROR(Table1[[#This Row],[Well Density]]*Table1[[#This Row],[Single Well Discovery Area]]),"",IF(Table1[[#This Row],[Well Density]]*Table1[[#This Row],[Single Well Discovery Area]]&gt;1,1,Table1[[#This Row],[Well Density]]*Table1[[#This Row],[Single Well Discovery Area]])))</f>
        <v>1</v>
      </c>
      <c r="CM343" s="11" t="s">
        <v>133</v>
      </c>
      <c r="CN343" s="19">
        <f>Table1[[#This Row],[Mid]]</f>
        <v>0</v>
      </c>
      <c r="CO343" s="19">
        <f>Table1[[#This Row],[Mid3]]+Table1[[#This Row],[Mid6]]+Table1[[#This Row],[Mid9]]</f>
        <v>0</v>
      </c>
      <c r="CP343" s="19">
        <f>Table1[[#This Row],[Mid12]]+Table1[[#This Row],[Mid15]]+Table1[[#This Row],[Mid18]]+Table1[[#This Row],[Mid21]]+Table1[[#This Row],[Mid24]]</f>
        <v>0</v>
      </c>
      <c r="CQ343" s="19">
        <f>Table1[[#This Row],[Mid27]]+Table1[[#This Row],[Mid30]]+Table1[[#This Row],[Mid33]]+Table1[[#This Row],[Mid36]]+Table1[[#This Row],[Mid39]]</f>
        <v>22.6</v>
      </c>
      <c r="CR343" t="s">
        <v>439</v>
      </c>
      <c r="CS343" s="19" t="str">
        <f>IF(AND(Table1[[#This Row],[Low41]]=0, Table1[[#This Row],[High43]]=0),"N","Y")</f>
        <v>N</v>
      </c>
    </row>
    <row r="344" spans="1:97" ht="19.5" customHeight="1" x14ac:dyDescent="0.25">
      <c r="A344">
        <v>10341</v>
      </c>
      <c r="B344" t="s">
        <v>1267</v>
      </c>
      <c r="C344" t="s">
        <v>1268</v>
      </c>
      <c r="D344">
        <v>5.7130555559999996</v>
      </c>
      <c r="E344">
        <v>104.1427778</v>
      </c>
      <c r="F344" t="s">
        <v>1274</v>
      </c>
      <c r="G344" t="s">
        <v>1270</v>
      </c>
      <c r="H344" t="s">
        <v>1275</v>
      </c>
      <c r="I344" t="s">
        <v>118</v>
      </c>
      <c r="J344" t="s">
        <v>119</v>
      </c>
      <c r="K344" t="s">
        <v>203</v>
      </c>
      <c r="L344" t="s">
        <v>18</v>
      </c>
      <c r="M344" t="s">
        <v>252</v>
      </c>
      <c r="N344" s="6" t="s">
        <v>1037</v>
      </c>
      <c r="O344" t="s">
        <v>1272</v>
      </c>
      <c r="P344" t="s">
        <v>170</v>
      </c>
      <c r="Q344" t="s">
        <v>255</v>
      </c>
      <c r="R344" t="s">
        <v>1276</v>
      </c>
      <c r="S344">
        <v>2010</v>
      </c>
      <c r="T344" t="s">
        <v>128</v>
      </c>
      <c r="U344" t="s">
        <v>129</v>
      </c>
      <c r="V344">
        <v>0</v>
      </c>
      <c r="W344">
        <v>1800</v>
      </c>
      <c r="X344">
        <v>200</v>
      </c>
      <c r="Y344">
        <v>0</v>
      </c>
      <c r="Z344">
        <v>0</v>
      </c>
      <c r="AA344">
        <v>800</v>
      </c>
      <c r="AB344">
        <v>0</v>
      </c>
      <c r="AC344">
        <v>0</v>
      </c>
      <c r="AD344">
        <v>0</v>
      </c>
      <c r="AF344">
        <v>200</v>
      </c>
      <c r="AG344">
        <v>18.000012040000001</v>
      </c>
      <c r="AH344" t="s">
        <v>291</v>
      </c>
      <c r="AI344">
        <v>0</v>
      </c>
      <c r="AJ344">
        <v>0</v>
      </c>
      <c r="AK344">
        <v>0</v>
      </c>
      <c r="AL344">
        <v>0</v>
      </c>
      <c r="AM344" t="s">
        <v>1097</v>
      </c>
      <c r="AN344" t="s">
        <v>132</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26.3</v>
      </c>
      <c r="CD344">
        <v>0</v>
      </c>
      <c r="CE34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44" s="19">
        <f>SUM(Table1[[#This Row],[Mid39]],Table1[[#This Row],[Mid36]],Table1[[#This Row],[Mid33]],Table1[[#This Row],[Mid30]],Table1[[#This Row],[Mid27]],Table1[[#This Row],[Mid24]],Table1[[#This Row],[Mid21]],Table1[[#This Row],[Mid18]],Table1[[#This Row],[Mid15]],Table1[[#This Row],[Mid12]],Table1[[#This Row],[Mid9]],Table1[[#This Row],[Mid6]],Table1[[#This Row],[Mid3]],Table1[[#This Row],[Mid]])</f>
        <v>26.3</v>
      </c>
      <c r="CG3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44" t="s">
        <v>157</v>
      </c>
      <c r="CI344" t="s">
        <v>134</v>
      </c>
      <c r="CJ344" t="s">
        <v>158</v>
      </c>
      <c r="CL344" s="19">
        <f>IF(Table1[[#This Row],[Type]]="Petroleum",1,IF(ISERROR(Table1[[#This Row],[Well Density]]*Table1[[#This Row],[Single Well Discovery Area]]),"",IF(Table1[[#This Row],[Well Density]]*Table1[[#This Row],[Single Well Discovery Area]]&gt;1,1,Table1[[#This Row],[Well Density]]*Table1[[#This Row],[Single Well Discovery Area]])))</f>
        <v>0</v>
      </c>
      <c r="CM344" s="11" t="s">
        <v>133</v>
      </c>
      <c r="CN344" s="19">
        <f>Table1[[#This Row],[Mid]]</f>
        <v>0</v>
      </c>
      <c r="CO344" s="19">
        <f>Table1[[#This Row],[Mid3]]+Table1[[#This Row],[Mid6]]+Table1[[#This Row],[Mid9]]</f>
        <v>0</v>
      </c>
      <c r="CP344" s="19">
        <f>Table1[[#This Row],[Mid12]]+Table1[[#This Row],[Mid15]]+Table1[[#This Row],[Mid18]]+Table1[[#This Row],[Mid21]]+Table1[[#This Row],[Mid24]]</f>
        <v>0</v>
      </c>
      <c r="CQ344" s="19">
        <f>Table1[[#This Row],[Mid27]]+Table1[[#This Row],[Mid30]]+Table1[[#This Row],[Mid33]]+Table1[[#This Row],[Mid36]]+Table1[[#This Row],[Mid39]]</f>
        <v>26.3</v>
      </c>
      <c r="CR344" t="s">
        <v>439</v>
      </c>
      <c r="CS344" s="19" t="str">
        <f>IF(AND(Table1[[#This Row],[Low41]]=0, Table1[[#This Row],[High43]]=0),"N","Y")</f>
        <v>N</v>
      </c>
    </row>
    <row r="345" spans="1:97" ht="19.5" customHeight="1" x14ac:dyDescent="0.25">
      <c r="A345">
        <v>10342</v>
      </c>
      <c r="B345" t="s">
        <v>1267</v>
      </c>
      <c r="C345" t="s">
        <v>1268</v>
      </c>
      <c r="D345">
        <v>5.7130555559999996</v>
      </c>
      <c r="E345">
        <v>104.1427778</v>
      </c>
      <c r="F345" t="s">
        <v>1277</v>
      </c>
      <c r="G345" t="s">
        <v>1270</v>
      </c>
      <c r="H345" t="s">
        <v>1278</v>
      </c>
      <c r="I345" t="s">
        <v>118</v>
      </c>
      <c r="J345" t="s">
        <v>119</v>
      </c>
      <c r="K345" t="s">
        <v>203</v>
      </c>
      <c r="L345" t="s">
        <v>18</v>
      </c>
      <c r="M345" t="s">
        <v>252</v>
      </c>
      <c r="N345" s="6" t="s">
        <v>1037</v>
      </c>
      <c r="O345" t="s">
        <v>1272</v>
      </c>
      <c r="P345" t="s">
        <v>170</v>
      </c>
      <c r="Q345" t="s">
        <v>255</v>
      </c>
      <c r="R345" t="s">
        <v>1279</v>
      </c>
      <c r="S345">
        <v>2010</v>
      </c>
      <c r="T345" t="s">
        <v>128</v>
      </c>
      <c r="U345" t="s">
        <v>129</v>
      </c>
      <c r="V345">
        <v>0</v>
      </c>
      <c r="W345">
        <v>2900</v>
      </c>
      <c r="X345">
        <v>50</v>
      </c>
      <c r="Y345">
        <v>0</v>
      </c>
      <c r="Z345">
        <v>0</v>
      </c>
      <c r="AA345">
        <v>400</v>
      </c>
      <c r="AB345">
        <v>0</v>
      </c>
      <c r="AC345">
        <v>0</v>
      </c>
      <c r="AD345">
        <v>0</v>
      </c>
      <c r="AF345">
        <v>200</v>
      </c>
      <c r="AG345">
        <v>28.999981089999999</v>
      </c>
      <c r="AH345" t="s">
        <v>291</v>
      </c>
      <c r="AI345">
        <v>0</v>
      </c>
      <c r="AJ345">
        <v>0</v>
      </c>
      <c r="AK345">
        <v>0</v>
      </c>
      <c r="AL345">
        <v>0</v>
      </c>
      <c r="AM345" t="s">
        <v>1097</v>
      </c>
      <c r="AN345" t="s">
        <v>132</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23.4</v>
      </c>
      <c r="CD345">
        <v>0</v>
      </c>
      <c r="CE34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45" s="19">
        <f>SUM(Table1[[#This Row],[Mid39]],Table1[[#This Row],[Mid36]],Table1[[#This Row],[Mid33]],Table1[[#This Row],[Mid30]],Table1[[#This Row],[Mid27]],Table1[[#This Row],[Mid24]],Table1[[#This Row],[Mid21]],Table1[[#This Row],[Mid18]],Table1[[#This Row],[Mid15]],Table1[[#This Row],[Mid12]],Table1[[#This Row],[Mid9]],Table1[[#This Row],[Mid6]],Table1[[#This Row],[Mid3]],Table1[[#This Row],[Mid]])</f>
        <v>23.4</v>
      </c>
      <c r="CG3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45" t="s">
        <v>157</v>
      </c>
      <c r="CI345" t="s">
        <v>134</v>
      </c>
      <c r="CJ345" t="s">
        <v>135</v>
      </c>
      <c r="CL345" s="19">
        <f>IF(Table1[[#This Row],[Type]]="Petroleum",1,IF(ISERROR(Table1[[#This Row],[Well Density]]*Table1[[#This Row],[Single Well Discovery Area]]),"",IF(Table1[[#This Row],[Well Density]]*Table1[[#This Row],[Single Well Discovery Area]]&gt;1,1,Table1[[#This Row],[Well Density]]*Table1[[#This Row],[Single Well Discovery Area]])))</f>
        <v>0</v>
      </c>
      <c r="CM345" s="11" t="s">
        <v>135</v>
      </c>
      <c r="CN345" s="19">
        <f>Table1[[#This Row],[Mid]]</f>
        <v>0</v>
      </c>
      <c r="CO345" s="19">
        <f>Table1[[#This Row],[Mid3]]+Table1[[#This Row],[Mid6]]+Table1[[#This Row],[Mid9]]</f>
        <v>0</v>
      </c>
      <c r="CP345" s="19">
        <f>Table1[[#This Row],[Mid12]]+Table1[[#This Row],[Mid15]]+Table1[[#This Row],[Mid18]]+Table1[[#This Row],[Mid21]]+Table1[[#This Row],[Mid24]]</f>
        <v>0</v>
      </c>
      <c r="CQ345" s="19">
        <f>Table1[[#This Row],[Mid27]]+Table1[[#This Row],[Mid30]]+Table1[[#This Row],[Mid33]]+Table1[[#This Row],[Mid36]]+Table1[[#This Row],[Mid39]]</f>
        <v>23.4</v>
      </c>
      <c r="CR345" t="s">
        <v>439</v>
      </c>
      <c r="CS345" s="19" t="str">
        <f>IF(AND(Table1[[#This Row],[Low41]]=0, Table1[[#This Row],[High43]]=0),"N","Y")</f>
        <v>N</v>
      </c>
    </row>
    <row r="346" spans="1:97" ht="19.5" customHeight="1" x14ac:dyDescent="0.25">
      <c r="A346">
        <v>10343</v>
      </c>
      <c r="B346" t="s">
        <v>1267</v>
      </c>
      <c r="C346" t="s">
        <v>1268</v>
      </c>
      <c r="D346">
        <v>5.7130555559999996</v>
      </c>
      <c r="E346">
        <v>104.1427778</v>
      </c>
      <c r="F346" t="s">
        <v>1280</v>
      </c>
      <c r="G346" t="s">
        <v>1270</v>
      </c>
      <c r="H346" t="s">
        <v>1281</v>
      </c>
      <c r="I346" t="s">
        <v>118</v>
      </c>
      <c r="J346" t="s">
        <v>119</v>
      </c>
      <c r="K346" t="s">
        <v>190</v>
      </c>
      <c r="L346" t="s">
        <v>18</v>
      </c>
      <c r="M346" t="s">
        <v>1177</v>
      </c>
      <c r="N346" s="6" t="s">
        <v>1037</v>
      </c>
      <c r="O346" t="s">
        <v>1282</v>
      </c>
      <c r="P346" t="s">
        <v>1283</v>
      </c>
      <c r="Q346" t="s">
        <v>1284</v>
      </c>
      <c r="R346" t="s">
        <v>1285</v>
      </c>
      <c r="S346">
        <v>2010</v>
      </c>
      <c r="T346" t="s">
        <v>128</v>
      </c>
      <c r="U346" t="s">
        <v>129</v>
      </c>
      <c r="V346">
        <v>0</v>
      </c>
      <c r="W346">
        <v>1600</v>
      </c>
      <c r="X346">
        <v>300</v>
      </c>
      <c r="Y346">
        <v>0</v>
      </c>
      <c r="Z346">
        <v>10</v>
      </c>
      <c r="AA346">
        <v>290</v>
      </c>
      <c r="AB346">
        <v>0</v>
      </c>
      <c r="AC346">
        <v>0</v>
      </c>
      <c r="AD346">
        <v>0</v>
      </c>
      <c r="AF346">
        <v>200</v>
      </c>
      <c r="AG346">
        <v>13.78952</v>
      </c>
      <c r="AH346" t="s">
        <v>291</v>
      </c>
      <c r="AI346">
        <v>0</v>
      </c>
      <c r="AJ346">
        <v>0</v>
      </c>
      <c r="AK346">
        <v>16.63016112</v>
      </c>
      <c r="AL346">
        <v>0</v>
      </c>
      <c r="AM346" t="s">
        <v>278</v>
      </c>
      <c r="AN346" t="s">
        <v>132</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80.599999999999994</v>
      </c>
      <c r="CD346">
        <v>0</v>
      </c>
      <c r="CE34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46" s="19">
        <f>SUM(Table1[[#This Row],[Mid39]],Table1[[#This Row],[Mid36]],Table1[[#This Row],[Mid33]],Table1[[#This Row],[Mid30]],Table1[[#This Row],[Mid27]],Table1[[#This Row],[Mid24]],Table1[[#This Row],[Mid21]],Table1[[#This Row],[Mid18]],Table1[[#This Row],[Mid15]],Table1[[#This Row],[Mid12]],Table1[[#This Row],[Mid9]],Table1[[#This Row],[Mid6]],Table1[[#This Row],[Mid3]],Table1[[#This Row],[Mid]])</f>
        <v>80.599999999999994</v>
      </c>
      <c r="CG3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46" t="s">
        <v>157</v>
      </c>
      <c r="CI346" t="s">
        <v>134</v>
      </c>
      <c r="CJ346" t="s">
        <v>135</v>
      </c>
      <c r="CL346" s="19">
        <f>IF(Table1[[#This Row],[Type]]="Petroleum",1,IF(ISERROR(Table1[[#This Row],[Well Density]]*Table1[[#This Row],[Single Well Discovery Area]]),"",IF(Table1[[#This Row],[Well Density]]*Table1[[#This Row],[Single Well Discovery Area]]&gt;1,1,Table1[[#This Row],[Well Density]]*Table1[[#This Row],[Single Well Discovery Area]])))</f>
        <v>0</v>
      </c>
      <c r="CM346" s="24" t="s">
        <v>135</v>
      </c>
      <c r="CN346" s="19">
        <f>Table1[[#This Row],[Mid]]</f>
        <v>0</v>
      </c>
      <c r="CO346" s="19">
        <f>Table1[[#This Row],[Mid3]]+Table1[[#This Row],[Mid6]]+Table1[[#This Row],[Mid9]]</f>
        <v>0</v>
      </c>
      <c r="CP346" s="19">
        <f>Table1[[#This Row],[Mid12]]+Table1[[#This Row],[Mid15]]+Table1[[#This Row],[Mid18]]+Table1[[#This Row],[Mid21]]+Table1[[#This Row],[Mid24]]</f>
        <v>0</v>
      </c>
      <c r="CQ346" s="19">
        <f>Table1[[#This Row],[Mid27]]+Table1[[#This Row],[Mid30]]+Table1[[#This Row],[Mid33]]+Table1[[#This Row],[Mid36]]+Table1[[#This Row],[Mid39]]</f>
        <v>80.599999999999994</v>
      </c>
      <c r="CR346" t="s">
        <v>439</v>
      </c>
      <c r="CS346" s="19" t="str">
        <f>IF(AND(Table1[[#This Row],[Low41]]=0, Table1[[#This Row],[High43]]=0),"N","Y")</f>
        <v>N</v>
      </c>
    </row>
    <row r="347" spans="1:97" ht="19.5" customHeight="1" x14ac:dyDescent="0.25">
      <c r="A347">
        <v>10344</v>
      </c>
      <c r="B347" t="s">
        <v>1267</v>
      </c>
      <c r="C347" t="s">
        <v>1286</v>
      </c>
      <c r="D347">
        <v>4.1130555559999999</v>
      </c>
      <c r="E347">
        <v>112.0972222</v>
      </c>
      <c r="F347" t="s">
        <v>1287</v>
      </c>
      <c r="G347" t="s">
        <v>1074</v>
      </c>
      <c r="H347" t="s">
        <v>1288</v>
      </c>
      <c r="I347" t="s">
        <v>118</v>
      </c>
      <c r="J347" t="s">
        <v>119</v>
      </c>
      <c r="K347" t="s">
        <v>190</v>
      </c>
      <c r="L347" t="s">
        <v>18</v>
      </c>
      <c r="M347" t="s">
        <v>1289</v>
      </c>
      <c r="N347" s="6" t="s">
        <v>1290</v>
      </c>
      <c r="O347" t="s">
        <v>1291</v>
      </c>
      <c r="P347" t="s">
        <v>1292</v>
      </c>
      <c r="Q347" t="s">
        <v>1293</v>
      </c>
      <c r="R347" t="s">
        <v>1294</v>
      </c>
      <c r="S347">
        <v>2017</v>
      </c>
      <c r="T347" t="s">
        <v>128</v>
      </c>
      <c r="U347" t="s">
        <v>129</v>
      </c>
      <c r="V347">
        <v>45000</v>
      </c>
      <c r="W347">
        <v>1250</v>
      </c>
      <c r="X347">
        <v>770</v>
      </c>
      <c r="Y347">
        <v>0</v>
      </c>
      <c r="Z347">
        <v>20</v>
      </c>
      <c r="AA347">
        <v>0</v>
      </c>
      <c r="AB347">
        <v>0</v>
      </c>
      <c r="AC347">
        <v>0</v>
      </c>
      <c r="AD347">
        <v>0</v>
      </c>
      <c r="AE347">
        <v>0</v>
      </c>
      <c r="AF347">
        <v>200</v>
      </c>
      <c r="AG347">
        <v>0</v>
      </c>
      <c r="AH347" t="s">
        <v>291</v>
      </c>
      <c r="AI347">
        <v>0</v>
      </c>
      <c r="AJ347">
        <v>0</v>
      </c>
      <c r="AK347">
        <v>0</v>
      </c>
      <c r="AL347">
        <v>0</v>
      </c>
      <c r="AM347" t="s">
        <v>278</v>
      </c>
      <c r="AN347" t="s">
        <v>132</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56000</v>
      </c>
      <c r="CC347">
        <v>65500</v>
      </c>
      <c r="CD347">
        <v>75000</v>
      </c>
      <c r="CE347" s="19">
        <f>SUM(Table1[[#This Row],[Low38]],Table1[[#This Row],[Low35]],Table1[[#This Row],[Low32]],Table1[[#This Row],[Low29]],Table1[[#This Row],[Low26]],Table1[[#This Row],[Low23]],Table1[[#This Row],[Low20]],Table1[[#This Row],[Low17]],Table1[[#This Row],[Low14]],Table1[[#This Row],[Low11]],Table1[[#This Row],[Low8]],Table1[[#This Row],[Low5]],Table1[[#This Row],[Low2]],Table1[[#This Row],[Low]])</f>
        <v>56000</v>
      </c>
      <c r="CF347" s="19">
        <f>SUM(Table1[[#This Row],[Mid39]],Table1[[#This Row],[Mid36]],Table1[[#This Row],[Mid33]],Table1[[#This Row],[Mid30]],Table1[[#This Row],[Mid27]],Table1[[#This Row],[Mid24]],Table1[[#This Row],[Mid21]],Table1[[#This Row],[Mid18]],Table1[[#This Row],[Mid15]],Table1[[#This Row],[Mid12]],Table1[[#This Row],[Mid9]],Table1[[#This Row],[Mid6]],Table1[[#This Row],[Mid3]],Table1[[#This Row],[Mid]])</f>
        <v>65500</v>
      </c>
      <c r="CG3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75000</v>
      </c>
      <c r="CH347" t="s">
        <v>157</v>
      </c>
      <c r="CI347" t="s">
        <v>176</v>
      </c>
      <c r="CJ347" t="s">
        <v>158</v>
      </c>
      <c r="CL347" s="19">
        <f>IF(Table1[[#This Row],[Type]]="Petroleum",1,IF(ISERROR(Table1[[#This Row],[Well Density]]*Table1[[#This Row],[Single Well Discovery Area]]),"",IF(Table1[[#This Row],[Well Density]]*Table1[[#This Row],[Single Well Discovery Area]]&gt;1,1,Table1[[#This Row],[Well Density]]*Table1[[#This Row],[Single Well Discovery Area]])))</f>
        <v>0</v>
      </c>
      <c r="CM347" s="24" t="s">
        <v>158</v>
      </c>
      <c r="CN347" s="19">
        <f>Table1[[#This Row],[Mid]]</f>
        <v>0</v>
      </c>
      <c r="CO347" s="19">
        <f>Table1[[#This Row],[Mid3]]+Table1[[#This Row],[Mid6]]+Table1[[#This Row],[Mid9]]</f>
        <v>0</v>
      </c>
      <c r="CP347" s="19">
        <f>Table1[[#This Row],[Mid12]]+Table1[[#This Row],[Mid15]]+Table1[[#This Row],[Mid18]]+Table1[[#This Row],[Mid21]]+Table1[[#This Row],[Mid24]]</f>
        <v>0</v>
      </c>
      <c r="CQ347" s="19">
        <f>Table1[[#This Row],[Mid27]]+Table1[[#This Row],[Mid30]]+Table1[[#This Row],[Mid33]]+Table1[[#This Row],[Mid36]]+Table1[[#This Row],[Mid39]]</f>
        <v>65500</v>
      </c>
      <c r="CR347" t="s">
        <v>439</v>
      </c>
      <c r="CS347" s="19" t="str">
        <f>IF(AND(Table1[[#This Row],[Low41]]=0, Table1[[#This Row],[High43]]=0),"N","Y")</f>
        <v>Y</v>
      </c>
    </row>
    <row r="348" spans="1:97" ht="19.5" customHeight="1" x14ac:dyDescent="0.25">
      <c r="A348">
        <v>10345</v>
      </c>
      <c r="B348" t="s">
        <v>1267</v>
      </c>
      <c r="C348" t="s">
        <v>1295</v>
      </c>
      <c r="D348">
        <v>5.903333333</v>
      </c>
      <c r="E348">
        <v>104.0077778</v>
      </c>
      <c r="F348" t="s">
        <v>1296</v>
      </c>
      <c r="G348" t="s">
        <v>1270</v>
      </c>
      <c r="H348" t="s">
        <v>1297</v>
      </c>
      <c r="I348" t="s">
        <v>118</v>
      </c>
      <c r="J348" t="s">
        <v>119</v>
      </c>
      <c r="K348" t="s">
        <v>190</v>
      </c>
      <c r="L348" t="s">
        <v>18</v>
      </c>
      <c r="M348" t="s">
        <v>1177</v>
      </c>
      <c r="N348" s="6" t="s">
        <v>1290</v>
      </c>
      <c r="O348" t="s">
        <v>1298</v>
      </c>
      <c r="P348" t="s">
        <v>1299</v>
      </c>
      <c r="Q348" t="s">
        <v>1300</v>
      </c>
      <c r="R348" t="s">
        <v>1301</v>
      </c>
      <c r="S348">
        <v>2016</v>
      </c>
      <c r="T348" t="s">
        <v>128</v>
      </c>
      <c r="U348" t="s">
        <v>129</v>
      </c>
      <c r="V348">
        <v>80000</v>
      </c>
      <c r="W348">
        <v>1250</v>
      </c>
      <c r="X348">
        <v>700</v>
      </c>
      <c r="Y348">
        <v>0</v>
      </c>
      <c r="Z348">
        <v>17</v>
      </c>
      <c r="AA348">
        <v>40</v>
      </c>
      <c r="AB348">
        <v>0</v>
      </c>
      <c r="AC348">
        <v>0</v>
      </c>
      <c r="AD348">
        <v>0</v>
      </c>
      <c r="AE348">
        <v>0</v>
      </c>
      <c r="AF348">
        <v>200</v>
      </c>
      <c r="AG348">
        <v>0</v>
      </c>
      <c r="AH348" t="s">
        <v>291</v>
      </c>
      <c r="AI348">
        <v>0</v>
      </c>
      <c r="AJ348">
        <v>0</v>
      </c>
      <c r="AK348">
        <v>0</v>
      </c>
      <c r="AL348">
        <v>0</v>
      </c>
      <c r="AM348" t="s">
        <v>278</v>
      </c>
      <c r="AN348" t="s">
        <v>132</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83920</v>
      </c>
      <c r="CD348">
        <v>0</v>
      </c>
      <c r="CE34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48" s="19">
        <f>SUM(Table1[[#This Row],[Mid39]],Table1[[#This Row],[Mid36]],Table1[[#This Row],[Mid33]],Table1[[#This Row],[Mid30]],Table1[[#This Row],[Mid27]],Table1[[#This Row],[Mid24]],Table1[[#This Row],[Mid21]],Table1[[#This Row],[Mid18]],Table1[[#This Row],[Mid15]],Table1[[#This Row],[Mid12]],Table1[[#This Row],[Mid9]],Table1[[#This Row],[Mid6]],Table1[[#This Row],[Mid3]],Table1[[#This Row],[Mid]])</f>
        <v>83920</v>
      </c>
      <c r="CG34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48" t="s">
        <v>157</v>
      </c>
      <c r="CI348" t="s">
        <v>176</v>
      </c>
      <c r="CJ348" t="s">
        <v>158</v>
      </c>
      <c r="CL348" s="19">
        <f>IF(Table1[[#This Row],[Type]]="Petroleum",1,IF(ISERROR(Table1[[#This Row],[Well Density]]*Table1[[#This Row],[Single Well Discovery Area]]),"",IF(Table1[[#This Row],[Well Density]]*Table1[[#This Row],[Single Well Discovery Area]]&gt;1,1,Table1[[#This Row],[Well Density]]*Table1[[#This Row],[Single Well Discovery Area]])))</f>
        <v>0</v>
      </c>
      <c r="CM348" s="24" t="s">
        <v>158</v>
      </c>
      <c r="CN348" s="19">
        <f>Table1[[#This Row],[Mid]]</f>
        <v>0</v>
      </c>
      <c r="CO348" s="19">
        <f>Table1[[#This Row],[Mid3]]+Table1[[#This Row],[Mid6]]+Table1[[#This Row],[Mid9]]</f>
        <v>0</v>
      </c>
      <c r="CP348" s="19">
        <f>Table1[[#This Row],[Mid12]]+Table1[[#This Row],[Mid15]]+Table1[[#This Row],[Mid18]]+Table1[[#This Row],[Mid21]]+Table1[[#This Row],[Mid24]]</f>
        <v>0</v>
      </c>
      <c r="CQ348" s="19">
        <f>Table1[[#This Row],[Mid27]]+Table1[[#This Row],[Mid30]]+Table1[[#This Row],[Mid33]]+Table1[[#This Row],[Mid36]]+Table1[[#This Row],[Mid39]]</f>
        <v>83920</v>
      </c>
      <c r="CR348" t="s">
        <v>439</v>
      </c>
      <c r="CS348" s="19" t="str">
        <f>IF(AND(Table1[[#This Row],[Low41]]=0, Table1[[#This Row],[High43]]=0),"N","Y")</f>
        <v>N</v>
      </c>
    </row>
    <row r="349" spans="1:97" ht="19.5" customHeight="1" x14ac:dyDescent="0.25">
      <c r="A349">
        <v>10346</v>
      </c>
      <c r="B349" t="s">
        <v>1302</v>
      </c>
      <c r="C349" t="s">
        <v>1303</v>
      </c>
      <c r="D349">
        <v>25.642777779999999</v>
      </c>
      <c r="E349">
        <v>-99.071388889999994</v>
      </c>
      <c r="F349" t="s">
        <v>1304</v>
      </c>
      <c r="G349" t="s">
        <v>1305</v>
      </c>
      <c r="I349" t="s">
        <v>118</v>
      </c>
      <c r="J349" t="s">
        <v>119</v>
      </c>
      <c r="K349" t="s">
        <v>120</v>
      </c>
      <c r="L349" t="s">
        <v>121</v>
      </c>
      <c r="N349" s="6" t="s">
        <v>1306</v>
      </c>
      <c r="O349" t="s">
        <v>1307</v>
      </c>
      <c r="P349" t="s">
        <v>170</v>
      </c>
      <c r="Q349" t="s">
        <v>1308</v>
      </c>
      <c r="R349" t="s">
        <v>1309</v>
      </c>
      <c r="S349">
        <v>2012</v>
      </c>
      <c r="T349" t="s">
        <v>128</v>
      </c>
      <c r="U349" t="s">
        <v>154</v>
      </c>
      <c r="V349">
        <v>60</v>
      </c>
      <c r="W349">
        <v>0</v>
      </c>
      <c r="X349">
        <v>0</v>
      </c>
      <c r="Y349">
        <v>0</v>
      </c>
      <c r="Z349">
        <v>0</v>
      </c>
      <c r="AA349">
        <v>0</v>
      </c>
      <c r="AB349">
        <v>0</v>
      </c>
      <c r="AC349">
        <v>0</v>
      </c>
      <c r="AD349">
        <v>1</v>
      </c>
      <c r="AE349">
        <v>1.6666667E-2</v>
      </c>
      <c r="AF349">
        <v>200</v>
      </c>
      <c r="AG349">
        <v>0</v>
      </c>
      <c r="AI349">
        <v>0</v>
      </c>
      <c r="AJ349">
        <v>0</v>
      </c>
      <c r="AK349">
        <v>0</v>
      </c>
      <c r="AL349">
        <v>0</v>
      </c>
      <c r="AN349" t="s">
        <v>132</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430</v>
      </c>
      <c r="BO349">
        <v>0</v>
      </c>
      <c r="BP349">
        <v>0</v>
      </c>
      <c r="BQ349">
        <v>0</v>
      </c>
      <c r="BR349">
        <v>0</v>
      </c>
      <c r="BS349">
        <v>0</v>
      </c>
      <c r="BT349">
        <v>0</v>
      </c>
      <c r="BU349">
        <v>0</v>
      </c>
      <c r="BV349">
        <v>0</v>
      </c>
      <c r="BW349">
        <v>0</v>
      </c>
      <c r="BX349">
        <v>0</v>
      </c>
      <c r="BY349">
        <v>0</v>
      </c>
      <c r="BZ349">
        <v>0</v>
      </c>
      <c r="CA349">
        <v>0</v>
      </c>
      <c r="CB349">
        <v>0</v>
      </c>
      <c r="CC349">
        <v>0</v>
      </c>
      <c r="CD349">
        <v>0</v>
      </c>
      <c r="CE34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49" s="19">
        <f>SUM(Table1[[#This Row],[Mid39]],Table1[[#This Row],[Mid36]],Table1[[#This Row],[Mid33]],Table1[[#This Row],[Mid30]],Table1[[#This Row],[Mid27]],Table1[[#This Row],[Mid24]],Table1[[#This Row],[Mid21]],Table1[[#This Row],[Mid18]],Table1[[#This Row],[Mid15]],Table1[[#This Row],[Mid12]],Table1[[#This Row],[Mid9]],Table1[[#This Row],[Mid6]],Table1[[#This Row],[Mid3]],Table1[[#This Row],[Mid]])</f>
        <v>430</v>
      </c>
      <c r="CG3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49" t="s">
        <v>157</v>
      </c>
      <c r="CI349" t="s">
        <v>176</v>
      </c>
      <c r="CJ349" t="s">
        <v>158</v>
      </c>
      <c r="CL349" s="19">
        <f>IF(Table1[[#This Row],[Type]]="Petroleum",1,IF(ISERROR(Table1[[#This Row],[Well Density]]*Table1[[#This Row],[Single Well Discovery Area]]),"",IF(Table1[[#This Row],[Well Density]]*Table1[[#This Row],[Single Well Discovery Area]]&gt;1,1,Table1[[#This Row],[Well Density]]*Table1[[#This Row],[Single Well Discovery Area]])))</f>
        <v>1</v>
      </c>
      <c r="CM349" t="s">
        <v>158</v>
      </c>
      <c r="CN349" s="19">
        <f>Table1[[#This Row],[Mid]]</f>
        <v>0</v>
      </c>
      <c r="CO349" s="19">
        <f>Table1[[#This Row],[Mid3]]+Table1[[#This Row],[Mid6]]+Table1[[#This Row],[Mid9]]</f>
        <v>0</v>
      </c>
      <c r="CP349" s="19">
        <f>Table1[[#This Row],[Mid12]]+Table1[[#This Row],[Mid15]]+Table1[[#This Row],[Mid18]]+Table1[[#This Row],[Mid21]]+Table1[[#This Row],[Mid24]]</f>
        <v>430</v>
      </c>
      <c r="CQ349" s="19">
        <f>Table1[[#This Row],[Mid27]]+Table1[[#This Row],[Mid30]]+Table1[[#This Row],[Mid33]]+Table1[[#This Row],[Mid36]]+Table1[[#This Row],[Mid39]]</f>
        <v>0</v>
      </c>
      <c r="CR349" t="s">
        <v>471</v>
      </c>
      <c r="CS349" s="19" t="str">
        <f>IF(AND(Table1[[#This Row],[Low41]]=0, Table1[[#This Row],[High43]]=0),"N","Y")</f>
        <v>N</v>
      </c>
    </row>
    <row r="350" spans="1:97" ht="19.5" customHeight="1" x14ac:dyDescent="0.25">
      <c r="A350">
        <v>10347</v>
      </c>
      <c r="B350" t="s">
        <v>1302</v>
      </c>
      <c r="C350" t="s">
        <v>1303</v>
      </c>
      <c r="D350">
        <v>25.664722220000002</v>
      </c>
      <c r="E350">
        <v>-98.954444440000003</v>
      </c>
      <c r="F350" t="s">
        <v>1310</v>
      </c>
      <c r="G350" t="s">
        <v>1305</v>
      </c>
      <c r="I350" t="s">
        <v>118</v>
      </c>
      <c r="J350" t="s">
        <v>119</v>
      </c>
      <c r="K350" t="s">
        <v>120</v>
      </c>
      <c r="L350" t="s">
        <v>121</v>
      </c>
      <c r="N350" s="6" t="s">
        <v>1306</v>
      </c>
      <c r="O350" t="s">
        <v>1307</v>
      </c>
      <c r="P350" t="s">
        <v>170</v>
      </c>
      <c r="Q350" t="s">
        <v>1308</v>
      </c>
      <c r="R350" t="s">
        <v>1309</v>
      </c>
      <c r="S350">
        <v>2012</v>
      </c>
      <c r="T350" t="s">
        <v>128</v>
      </c>
      <c r="U350" t="s">
        <v>154</v>
      </c>
      <c r="V350">
        <v>50</v>
      </c>
      <c r="AD350">
        <v>1</v>
      </c>
      <c r="AE350">
        <v>0.02</v>
      </c>
      <c r="AF350">
        <v>200</v>
      </c>
      <c r="AG350">
        <v>0</v>
      </c>
      <c r="AK350">
        <v>0</v>
      </c>
      <c r="AL350">
        <v>0</v>
      </c>
      <c r="AN350" t="s">
        <v>132</v>
      </c>
      <c r="BN350">
        <v>1040</v>
      </c>
      <c r="CE35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50" s="19">
        <f>SUM(Table1[[#This Row],[Mid39]],Table1[[#This Row],[Mid36]],Table1[[#This Row],[Mid33]],Table1[[#This Row],[Mid30]],Table1[[#This Row],[Mid27]],Table1[[#This Row],[Mid24]],Table1[[#This Row],[Mid21]],Table1[[#This Row],[Mid18]],Table1[[#This Row],[Mid15]],Table1[[#This Row],[Mid12]],Table1[[#This Row],[Mid9]],Table1[[#This Row],[Mid6]],Table1[[#This Row],[Mid3]],Table1[[#This Row],[Mid]])</f>
        <v>1040</v>
      </c>
      <c r="CG3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50" t="s">
        <v>157</v>
      </c>
      <c r="CI350" t="s">
        <v>189</v>
      </c>
      <c r="CJ350" t="s">
        <v>158</v>
      </c>
      <c r="CL350" s="19">
        <f>IF(Table1[[#This Row],[Type]]="Petroleum",1,IF(ISERROR(Table1[[#This Row],[Well Density]]*Table1[[#This Row],[Single Well Discovery Area]]),"",IF(Table1[[#This Row],[Well Density]]*Table1[[#This Row],[Single Well Discovery Area]]&gt;1,1,Table1[[#This Row],[Well Density]]*Table1[[#This Row],[Single Well Discovery Area]])))</f>
        <v>1</v>
      </c>
      <c r="CM350" t="s">
        <v>158</v>
      </c>
      <c r="CN350" s="19">
        <f>Table1[[#This Row],[Mid]]</f>
        <v>0</v>
      </c>
      <c r="CO350" s="19">
        <f>Table1[[#This Row],[Mid3]]+Table1[[#This Row],[Mid6]]+Table1[[#This Row],[Mid9]]</f>
        <v>0</v>
      </c>
      <c r="CP350" s="19">
        <f>Table1[[#This Row],[Mid12]]+Table1[[#This Row],[Mid15]]+Table1[[#This Row],[Mid18]]+Table1[[#This Row],[Mid21]]+Table1[[#This Row],[Mid24]]</f>
        <v>1040</v>
      </c>
      <c r="CQ350" s="19">
        <f>Table1[[#This Row],[Mid27]]+Table1[[#This Row],[Mid30]]+Table1[[#This Row],[Mid33]]+Table1[[#This Row],[Mid36]]+Table1[[#This Row],[Mid39]]</f>
        <v>0</v>
      </c>
      <c r="CR350" t="s">
        <v>471</v>
      </c>
      <c r="CS350" s="19" t="str">
        <f>IF(AND(Table1[[#This Row],[Low41]]=0, Table1[[#This Row],[High43]]=0),"N","Y")</f>
        <v>N</v>
      </c>
    </row>
    <row r="351" spans="1:97" ht="19.5" customHeight="1" x14ac:dyDescent="0.25">
      <c r="A351">
        <v>10348</v>
      </c>
      <c r="B351" t="s">
        <v>1302</v>
      </c>
      <c r="C351" t="s">
        <v>1303</v>
      </c>
      <c r="D351">
        <v>25.75861111</v>
      </c>
      <c r="E351">
        <v>-98.58</v>
      </c>
      <c r="F351" t="s">
        <v>1311</v>
      </c>
      <c r="G351" t="s">
        <v>1305</v>
      </c>
      <c r="I351" t="s">
        <v>118</v>
      </c>
      <c r="J351" t="s">
        <v>119</v>
      </c>
      <c r="K351" t="s">
        <v>120</v>
      </c>
      <c r="L351" t="s">
        <v>121</v>
      </c>
      <c r="N351" s="6" t="s">
        <v>1306</v>
      </c>
      <c r="O351" t="s">
        <v>1307</v>
      </c>
      <c r="P351" t="s">
        <v>170</v>
      </c>
      <c r="Q351" t="s">
        <v>1308</v>
      </c>
      <c r="R351" t="s">
        <v>1309</v>
      </c>
      <c r="S351">
        <v>2012</v>
      </c>
      <c r="T351" t="s">
        <v>128</v>
      </c>
      <c r="U351" t="s">
        <v>154</v>
      </c>
      <c r="V351">
        <v>100</v>
      </c>
      <c r="AD351">
        <v>1</v>
      </c>
      <c r="AE351">
        <v>0.01</v>
      </c>
      <c r="AF351">
        <v>200</v>
      </c>
      <c r="AG351">
        <v>0</v>
      </c>
      <c r="AK351">
        <v>0</v>
      </c>
      <c r="AL351">
        <v>0</v>
      </c>
      <c r="AN351" t="s">
        <v>132</v>
      </c>
      <c r="BN351">
        <v>1920</v>
      </c>
      <c r="CE3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51" s="19">
        <f>SUM(Table1[[#This Row],[Mid39]],Table1[[#This Row],[Mid36]],Table1[[#This Row],[Mid33]],Table1[[#This Row],[Mid30]],Table1[[#This Row],[Mid27]],Table1[[#This Row],[Mid24]],Table1[[#This Row],[Mid21]],Table1[[#This Row],[Mid18]],Table1[[#This Row],[Mid15]],Table1[[#This Row],[Mid12]],Table1[[#This Row],[Mid9]],Table1[[#This Row],[Mid6]],Table1[[#This Row],[Mid3]],Table1[[#This Row],[Mid]])</f>
        <v>1920</v>
      </c>
      <c r="CG3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51" t="s">
        <v>157</v>
      </c>
      <c r="CI351" t="s">
        <v>189</v>
      </c>
      <c r="CJ351" t="s">
        <v>158</v>
      </c>
      <c r="CL351" s="19">
        <f>IF(Table1[[#This Row],[Type]]="Petroleum",1,IF(ISERROR(Table1[[#This Row],[Well Density]]*Table1[[#This Row],[Single Well Discovery Area]]),"",IF(Table1[[#This Row],[Well Density]]*Table1[[#This Row],[Single Well Discovery Area]]&gt;1,1,Table1[[#This Row],[Well Density]]*Table1[[#This Row],[Single Well Discovery Area]])))</f>
        <v>1</v>
      </c>
      <c r="CM351" t="s">
        <v>158</v>
      </c>
      <c r="CN351" s="19">
        <f>Table1[[#This Row],[Mid]]</f>
        <v>0</v>
      </c>
      <c r="CO351" s="19">
        <f>Table1[[#This Row],[Mid3]]+Table1[[#This Row],[Mid6]]+Table1[[#This Row],[Mid9]]</f>
        <v>0</v>
      </c>
      <c r="CP351" s="19">
        <f>Table1[[#This Row],[Mid12]]+Table1[[#This Row],[Mid15]]+Table1[[#This Row],[Mid18]]+Table1[[#This Row],[Mid21]]+Table1[[#This Row],[Mid24]]</f>
        <v>1920</v>
      </c>
      <c r="CQ351" s="19">
        <f>Table1[[#This Row],[Mid27]]+Table1[[#This Row],[Mid30]]+Table1[[#This Row],[Mid33]]+Table1[[#This Row],[Mid36]]+Table1[[#This Row],[Mid39]]</f>
        <v>0</v>
      </c>
      <c r="CR351" t="s">
        <v>471</v>
      </c>
      <c r="CS351" s="19" t="str">
        <f>IF(AND(Table1[[#This Row],[Low41]]=0, Table1[[#This Row],[High43]]=0),"N","Y")</f>
        <v>N</v>
      </c>
    </row>
    <row r="352" spans="1:97" ht="19.5" customHeight="1" x14ac:dyDescent="0.25">
      <c r="A352">
        <v>10349</v>
      </c>
      <c r="B352" t="s">
        <v>1302</v>
      </c>
      <c r="C352" t="s">
        <v>1303</v>
      </c>
      <c r="D352">
        <v>25.779444439999999</v>
      </c>
      <c r="E352">
        <v>-98.438611109999997</v>
      </c>
      <c r="F352" t="s">
        <v>1312</v>
      </c>
      <c r="G352" t="s">
        <v>1305</v>
      </c>
      <c r="I352" t="s">
        <v>118</v>
      </c>
      <c r="J352" t="s">
        <v>119</v>
      </c>
      <c r="K352" t="s">
        <v>120</v>
      </c>
      <c r="L352" t="s">
        <v>121</v>
      </c>
      <c r="N352" s="6" t="s">
        <v>1306</v>
      </c>
      <c r="O352" t="s">
        <v>1307</v>
      </c>
      <c r="P352" t="s">
        <v>170</v>
      </c>
      <c r="Q352" t="s">
        <v>1308</v>
      </c>
      <c r="R352" t="s">
        <v>1309</v>
      </c>
      <c r="S352">
        <v>2012</v>
      </c>
      <c r="T352" t="s">
        <v>128</v>
      </c>
      <c r="U352" t="s">
        <v>154</v>
      </c>
      <c r="V352">
        <v>135</v>
      </c>
      <c r="AD352">
        <v>1</v>
      </c>
      <c r="AE352">
        <v>7.4074070000000004E-3</v>
      </c>
      <c r="AF352">
        <v>200</v>
      </c>
      <c r="AG352">
        <v>0</v>
      </c>
      <c r="AK352">
        <v>0</v>
      </c>
      <c r="AL352">
        <v>0</v>
      </c>
      <c r="AN352" t="s">
        <v>132</v>
      </c>
      <c r="BN352">
        <v>1970</v>
      </c>
      <c r="CE3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52" s="19">
        <f>SUM(Table1[[#This Row],[Mid39]],Table1[[#This Row],[Mid36]],Table1[[#This Row],[Mid33]],Table1[[#This Row],[Mid30]],Table1[[#This Row],[Mid27]],Table1[[#This Row],[Mid24]],Table1[[#This Row],[Mid21]],Table1[[#This Row],[Mid18]],Table1[[#This Row],[Mid15]],Table1[[#This Row],[Mid12]],Table1[[#This Row],[Mid9]],Table1[[#This Row],[Mid6]],Table1[[#This Row],[Mid3]],Table1[[#This Row],[Mid]])</f>
        <v>1970</v>
      </c>
      <c r="CG3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52" t="s">
        <v>157</v>
      </c>
      <c r="CI352" t="s">
        <v>189</v>
      </c>
      <c r="CJ352" t="s">
        <v>158</v>
      </c>
      <c r="CL352" s="19">
        <f>IF(Table1[[#This Row],[Type]]="Petroleum",1,IF(ISERROR(Table1[[#This Row],[Well Density]]*Table1[[#This Row],[Single Well Discovery Area]]),"",IF(Table1[[#This Row],[Well Density]]*Table1[[#This Row],[Single Well Discovery Area]]&gt;1,1,Table1[[#This Row],[Well Density]]*Table1[[#This Row],[Single Well Discovery Area]])))</f>
        <v>1</v>
      </c>
      <c r="CM352" t="s">
        <v>158</v>
      </c>
      <c r="CN352" s="19">
        <f>Table1[[#This Row],[Mid]]</f>
        <v>0</v>
      </c>
      <c r="CO352" s="19">
        <f>Table1[[#This Row],[Mid3]]+Table1[[#This Row],[Mid6]]+Table1[[#This Row],[Mid9]]</f>
        <v>0</v>
      </c>
      <c r="CP352" s="19">
        <f>Table1[[#This Row],[Mid12]]+Table1[[#This Row],[Mid15]]+Table1[[#This Row],[Mid18]]+Table1[[#This Row],[Mid21]]+Table1[[#This Row],[Mid24]]</f>
        <v>1970</v>
      </c>
      <c r="CQ352" s="19">
        <f>Table1[[#This Row],[Mid27]]+Table1[[#This Row],[Mid30]]+Table1[[#This Row],[Mid33]]+Table1[[#This Row],[Mid36]]+Table1[[#This Row],[Mid39]]</f>
        <v>0</v>
      </c>
      <c r="CR352" t="s">
        <v>471</v>
      </c>
      <c r="CS352" s="19" t="str">
        <f>IF(AND(Table1[[#This Row],[Low41]]=0, Table1[[#This Row],[High43]]=0),"N","Y")</f>
        <v>N</v>
      </c>
    </row>
    <row r="353" spans="1:97" ht="19.5" customHeight="1" x14ac:dyDescent="0.25">
      <c r="A353">
        <v>10350</v>
      </c>
      <c r="B353" t="s">
        <v>1302</v>
      </c>
      <c r="C353" t="s">
        <v>1303</v>
      </c>
      <c r="D353">
        <v>25.80944444</v>
      </c>
      <c r="E353">
        <v>-97.863611109999994</v>
      </c>
      <c r="F353" t="s">
        <v>1313</v>
      </c>
      <c r="G353" t="s">
        <v>1305</v>
      </c>
      <c r="I353" t="s">
        <v>118</v>
      </c>
      <c r="J353" t="s">
        <v>119</v>
      </c>
      <c r="K353" t="s">
        <v>120</v>
      </c>
      <c r="L353" t="s">
        <v>121</v>
      </c>
      <c r="N353" s="6" t="s">
        <v>1306</v>
      </c>
      <c r="O353" t="s">
        <v>1307</v>
      </c>
      <c r="P353" t="s">
        <v>170</v>
      </c>
      <c r="Q353" t="s">
        <v>1308</v>
      </c>
      <c r="R353" t="s">
        <v>1309</v>
      </c>
      <c r="S353">
        <v>2012</v>
      </c>
      <c r="T353" t="s">
        <v>128</v>
      </c>
      <c r="U353" t="s">
        <v>154</v>
      </c>
      <c r="V353">
        <v>140</v>
      </c>
      <c r="AD353">
        <v>1</v>
      </c>
      <c r="AE353">
        <v>7.1428569999999999E-3</v>
      </c>
      <c r="AF353">
        <v>200</v>
      </c>
      <c r="AG353">
        <v>0</v>
      </c>
      <c r="AK353">
        <v>0</v>
      </c>
      <c r="AL353">
        <v>0</v>
      </c>
      <c r="AN353" t="s">
        <v>132</v>
      </c>
      <c r="BN353">
        <v>540</v>
      </c>
      <c r="CE3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53" s="19">
        <f>SUM(Table1[[#This Row],[Mid39]],Table1[[#This Row],[Mid36]],Table1[[#This Row],[Mid33]],Table1[[#This Row],[Mid30]],Table1[[#This Row],[Mid27]],Table1[[#This Row],[Mid24]],Table1[[#This Row],[Mid21]],Table1[[#This Row],[Mid18]],Table1[[#This Row],[Mid15]],Table1[[#This Row],[Mid12]],Table1[[#This Row],[Mid9]],Table1[[#This Row],[Mid6]],Table1[[#This Row],[Mid3]],Table1[[#This Row],[Mid]])</f>
        <v>540</v>
      </c>
      <c r="CG3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53" t="s">
        <v>157</v>
      </c>
      <c r="CI353" t="s">
        <v>189</v>
      </c>
      <c r="CJ353" t="s">
        <v>158</v>
      </c>
      <c r="CL353" s="19">
        <f>IF(Table1[[#This Row],[Type]]="Petroleum",1,IF(ISERROR(Table1[[#This Row],[Well Density]]*Table1[[#This Row],[Single Well Discovery Area]]),"",IF(Table1[[#This Row],[Well Density]]*Table1[[#This Row],[Single Well Discovery Area]]&gt;1,1,Table1[[#This Row],[Well Density]]*Table1[[#This Row],[Single Well Discovery Area]])))</f>
        <v>1</v>
      </c>
      <c r="CM353" t="s">
        <v>158</v>
      </c>
      <c r="CN353" s="19">
        <f>Table1[[#This Row],[Mid]]</f>
        <v>0</v>
      </c>
      <c r="CO353" s="19">
        <f>Table1[[#This Row],[Mid3]]+Table1[[#This Row],[Mid6]]+Table1[[#This Row],[Mid9]]</f>
        <v>0</v>
      </c>
      <c r="CP353" s="19">
        <f>Table1[[#This Row],[Mid12]]+Table1[[#This Row],[Mid15]]+Table1[[#This Row],[Mid18]]+Table1[[#This Row],[Mid21]]+Table1[[#This Row],[Mid24]]</f>
        <v>540</v>
      </c>
      <c r="CQ353" s="19">
        <f>Table1[[#This Row],[Mid27]]+Table1[[#This Row],[Mid30]]+Table1[[#This Row],[Mid33]]+Table1[[#This Row],[Mid36]]+Table1[[#This Row],[Mid39]]</f>
        <v>0</v>
      </c>
      <c r="CR353" t="s">
        <v>471</v>
      </c>
      <c r="CS353" s="19" t="str">
        <f>IF(AND(Table1[[#This Row],[Low41]]=0, Table1[[#This Row],[High43]]=0),"N","Y")</f>
        <v>N</v>
      </c>
    </row>
    <row r="354" spans="1:97" ht="19.5" customHeight="1" x14ac:dyDescent="0.25">
      <c r="A354">
        <v>10351</v>
      </c>
      <c r="B354" t="s">
        <v>1302</v>
      </c>
      <c r="C354" t="s">
        <v>1303</v>
      </c>
      <c r="D354">
        <v>25.311944440000001</v>
      </c>
      <c r="E354">
        <v>-98.738333330000003</v>
      </c>
      <c r="F354" t="s">
        <v>1314</v>
      </c>
      <c r="G354" t="s">
        <v>1305</v>
      </c>
      <c r="I354" t="s">
        <v>118</v>
      </c>
      <c r="J354" t="s">
        <v>119</v>
      </c>
      <c r="K354" t="s">
        <v>120</v>
      </c>
      <c r="L354" t="s">
        <v>121</v>
      </c>
      <c r="N354" s="6" t="s">
        <v>1306</v>
      </c>
      <c r="O354" t="s">
        <v>1307</v>
      </c>
      <c r="P354" t="s">
        <v>170</v>
      </c>
      <c r="Q354" t="s">
        <v>1308</v>
      </c>
      <c r="R354" t="s">
        <v>1309</v>
      </c>
      <c r="S354">
        <v>2012</v>
      </c>
      <c r="T354" t="s">
        <v>128</v>
      </c>
      <c r="U354" t="s">
        <v>154</v>
      </c>
      <c r="V354">
        <v>250</v>
      </c>
      <c r="AD354">
        <v>4</v>
      </c>
      <c r="AE354">
        <v>1.6E-2</v>
      </c>
      <c r="AF354">
        <v>200</v>
      </c>
      <c r="AG354">
        <v>0</v>
      </c>
      <c r="AK354">
        <v>0</v>
      </c>
      <c r="AL354">
        <v>0</v>
      </c>
      <c r="AN354" t="s">
        <v>132</v>
      </c>
      <c r="BN354">
        <v>3870</v>
      </c>
      <c r="CE35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54" s="19">
        <f>SUM(Table1[[#This Row],[Mid39]],Table1[[#This Row],[Mid36]],Table1[[#This Row],[Mid33]],Table1[[#This Row],[Mid30]],Table1[[#This Row],[Mid27]],Table1[[#This Row],[Mid24]],Table1[[#This Row],[Mid21]],Table1[[#This Row],[Mid18]],Table1[[#This Row],[Mid15]],Table1[[#This Row],[Mid12]],Table1[[#This Row],[Mid9]],Table1[[#This Row],[Mid6]],Table1[[#This Row],[Mid3]],Table1[[#This Row],[Mid]])</f>
        <v>3870</v>
      </c>
      <c r="CG35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54" t="s">
        <v>157</v>
      </c>
      <c r="CI354" t="s">
        <v>189</v>
      </c>
      <c r="CJ354" t="s">
        <v>158</v>
      </c>
      <c r="CL354" s="19">
        <f>IF(Table1[[#This Row],[Type]]="Petroleum",1,IF(ISERROR(Table1[[#This Row],[Well Density]]*Table1[[#This Row],[Single Well Discovery Area]]),"",IF(Table1[[#This Row],[Well Density]]*Table1[[#This Row],[Single Well Discovery Area]]&gt;1,1,Table1[[#This Row],[Well Density]]*Table1[[#This Row],[Single Well Discovery Area]])))</f>
        <v>1</v>
      </c>
      <c r="CM354" t="s">
        <v>158</v>
      </c>
      <c r="CN354" s="19">
        <f>Table1[[#This Row],[Mid]]</f>
        <v>0</v>
      </c>
      <c r="CO354" s="19">
        <f>Table1[[#This Row],[Mid3]]+Table1[[#This Row],[Mid6]]+Table1[[#This Row],[Mid9]]</f>
        <v>0</v>
      </c>
      <c r="CP354" s="19">
        <f>Table1[[#This Row],[Mid12]]+Table1[[#This Row],[Mid15]]+Table1[[#This Row],[Mid18]]+Table1[[#This Row],[Mid21]]+Table1[[#This Row],[Mid24]]</f>
        <v>3870</v>
      </c>
      <c r="CQ354" s="19">
        <f>Table1[[#This Row],[Mid27]]+Table1[[#This Row],[Mid30]]+Table1[[#This Row],[Mid33]]+Table1[[#This Row],[Mid36]]+Table1[[#This Row],[Mid39]]</f>
        <v>0</v>
      </c>
      <c r="CR354" t="s">
        <v>471</v>
      </c>
      <c r="CS354" s="19" t="str">
        <f>IF(AND(Table1[[#This Row],[Low41]]=0, Table1[[#This Row],[High43]]=0),"N","Y")</f>
        <v>N</v>
      </c>
    </row>
    <row r="355" spans="1:97" ht="19.5" customHeight="1" x14ac:dyDescent="0.25">
      <c r="A355">
        <v>10352</v>
      </c>
      <c r="B355" t="s">
        <v>1302</v>
      </c>
      <c r="C355" t="s">
        <v>1303</v>
      </c>
      <c r="D355">
        <v>25.377500000000001</v>
      </c>
      <c r="E355">
        <v>-98.498888890000003</v>
      </c>
      <c r="F355" t="s">
        <v>1315</v>
      </c>
      <c r="G355" t="s">
        <v>1305</v>
      </c>
      <c r="I355" t="s">
        <v>118</v>
      </c>
      <c r="J355" t="s">
        <v>119</v>
      </c>
      <c r="K355" t="s">
        <v>120</v>
      </c>
      <c r="L355" t="s">
        <v>121</v>
      </c>
      <c r="N355" s="6" t="s">
        <v>1306</v>
      </c>
      <c r="O355" t="s">
        <v>1307</v>
      </c>
      <c r="P355" t="s">
        <v>170</v>
      </c>
      <c r="Q355" t="s">
        <v>1308</v>
      </c>
      <c r="R355" t="s">
        <v>1309</v>
      </c>
      <c r="S355">
        <v>2012</v>
      </c>
      <c r="T355" t="s">
        <v>128</v>
      </c>
      <c r="U355" t="s">
        <v>154</v>
      </c>
      <c r="V355">
        <v>85</v>
      </c>
      <c r="AD355">
        <v>2</v>
      </c>
      <c r="AE355">
        <v>2.3529412E-2</v>
      </c>
      <c r="AF355">
        <v>200</v>
      </c>
      <c r="AG355">
        <v>0</v>
      </c>
      <c r="AK355">
        <v>0</v>
      </c>
      <c r="AL355">
        <v>0</v>
      </c>
      <c r="AN355" t="s">
        <v>132</v>
      </c>
      <c r="BN355">
        <v>2380</v>
      </c>
      <c r="CE35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55" s="19">
        <f>SUM(Table1[[#This Row],[Mid39]],Table1[[#This Row],[Mid36]],Table1[[#This Row],[Mid33]],Table1[[#This Row],[Mid30]],Table1[[#This Row],[Mid27]],Table1[[#This Row],[Mid24]],Table1[[#This Row],[Mid21]],Table1[[#This Row],[Mid18]],Table1[[#This Row],[Mid15]],Table1[[#This Row],[Mid12]],Table1[[#This Row],[Mid9]],Table1[[#This Row],[Mid6]],Table1[[#This Row],[Mid3]],Table1[[#This Row],[Mid]])</f>
        <v>2380</v>
      </c>
      <c r="CG35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55" t="s">
        <v>157</v>
      </c>
      <c r="CI355" t="s">
        <v>189</v>
      </c>
      <c r="CJ355" t="s">
        <v>158</v>
      </c>
      <c r="CL355" s="19">
        <f>IF(Table1[[#This Row],[Type]]="Petroleum",1,IF(ISERROR(Table1[[#This Row],[Well Density]]*Table1[[#This Row],[Single Well Discovery Area]]),"",IF(Table1[[#This Row],[Well Density]]*Table1[[#This Row],[Single Well Discovery Area]]&gt;1,1,Table1[[#This Row],[Well Density]]*Table1[[#This Row],[Single Well Discovery Area]])))</f>
        <v>1</v>
      </c>
      <c r="CM355" t="s">
        <v>158</v>
      </c>
      <c r="CN355" s="19">
        <f>Table1[[#This Row],[Mid]]</f>
        <v>0</v>
      </c>
      <c r="CO355" s="19">
        <f>Table1[[#This Row],[Mid3]]+Table1[[#This Row],[Mid6]]+Table1[[#This Row],[Mid9]]</f>
        <v>0</v>
      </c>
      <c r="CP355" s="19">
        <f>Table1[[#This Row],[Mid12]]+Table1[[#This Row],[Mid15]]+Table1[[#This Row],[Mid18]]+Table1[[#This Row],[Mid21]]+Table1[[#This Row],[Mid24]]</f>
        <v>2380</v>
      </c>
      <c r="CQ355" s="19">
        <f>Table1[[#This Row],[Mid27]]+Table1[[#This Row],[Mid30]]+Table1[[#This Row],[Mid33]]+Table1[[#This Row],[Mid36]]+Table1[[#This Row],[Mid39]]</f>
        <v>0</v>
      </c>
      <c r="CR355" t="s">
        <v>471</v>
      </c>
      <c r="CS355" s="19" t="str">
        <f>IF(AND(Table1[[#This Row],[Low41]]=0, Table1[[#This Row],[High43]]=0),"N","Y")</f>
        <v>N</v>
      </c>
    </row>
    <row r="356" spans="1:97" ht="19.5" customHeight="1" x14ac:dyDescent="0.25">
      <c r="A356">
        <v>10353</v>
      </c>
      <c r="B356" t="s">
        <v>1302</v>
      </c>
      <c r="C356" t="s">
        <v>1303</v>
      </c>
      <c r="D356">
        <v>25.413611110000002</v>
      </c>
      <c r="E356">
        <v>-98.304444439999997</v>
      </c>
      <c r="F356" t="s">
        <v>1316</v>
      </c>
      <c r="G356" t="s">
        <v>1305</v>
      </c>
      <c r="I356" t="s">
        <v>118</v>
      </c>
      <c r="J356" t="s">
        <v>119</v>
      </c>
      <c r="K356" t="s">
        <v>120</v>
      </c>
      <c r="L356" t="s">
        <v>121</v>
      </c>
      <c r="N356" s="6" t="s">
        <v>1306</v>
      </c>
      <c r="O356" t="s">
        <v>1307</v>
      </c>
      <c r="P356" t="s">
        <v>170</v>
      </c>
      <c r="Q356" t="s">
        <v>1308</v>
      </c>
      <c r="R356" t="s">
        <v>1309</v>
      </c>
      <c r="S356">
        <v>2012</v>
      </c>
      <c r="T356" t="s">
        <v>128</v>
      </c>
      <c r="U356" t="s">
        <v>154</v>
      </c>
      <c r="V356">
        <v>170</v>
      </c>
      <c r="AD356">
        <v>1</v>
      </c>
      <c r="AE356">
        <v>5.8823529999999999E-3</v>
      </c>
      <c r="AF356">
        <v>200</v>
      </c>
      <c r="AG356">
        <v>0</v>
      </c>
      <c r="AK356">
        <v>0</v>
      </c>
      <c r="AL356">
        <v>0</v>
      </c>
      <c r="AN356" t="s">
        <v>132</v>
      </c>
      <c r="BN356">
        <v>450</v>
      </c>
      <c r="CE35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56" s="19">
        <f>SUM(Table1[[#This Row],[Mid39]],Table1[[#This Row],[Mid36]],Table1[[#This Row],[Mid33]],Table1[[#This Row],[Mid30]],Table1[[#This Row],[Mid27]],Table1[[#This Row],[Mid24]],Table1[[#This Row],[Mid21]],Table1[[#This Row],[Mid18]],Table1[[#This Row],[Mid15]],Table1[[#This Row],[Mid12]],Table1[[#This Row],[Mid9]],Table1[[#This Row],[Mid6]],Table1[[#This Row],[Mid3]],Table1[[#This Row],[Mid]])</f>
        <v>450</v>
      </c>
      <c r="CG35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56" t="s">
        <v>157</v>
      </c>
      <c r="CI356" t="s">
        <v>189</v>
      </c>
      <c r="CJ356" t="s">
        <v>158</v>
      </c>
      <c r="CL356" s="19">
        <f>IF(Table1[[#This Row],[Type]]="Petroleum",1,IF(ISERROR(Table1[[#This Row],[Well Density]]*Table1[[#This Row],[Single Well Discovery Area]]),"",IF(Table1[[#This Row],[Well Density]]*Table1[[#This Row],[Single Well Discovery Area]]&gt;1,1,Table1[[#This Row],[Well Density]]*Table1[[#This Row],[Single Well Discovery Area]])))</f>
        <v>1</v>
      </c>
      <c r="CM356" t="s">
        <v>158</v>
      </c>
      <c r="CN356" s="19">
        <f>Table1[[#This Row],[Mid]]</f>
        <v>0</v>
      </c>
      <c r="CO356" s="19">
        <f>Table1[[#This Row],[Mid3]]+Table1[[#This Row],[Mid6]]+Table1[[#This Row],[Mid9]]</f>
        <v>0</v>
      </c>
      <c r="CP356" s="19">
        <f>Table1[[#This Row],[Mid12]]+Table1[[#This Row],[Mid15]]+Table1[[#This Row],[Mid18]]+Table1[[#This Row],[Mid21]]+Table1[[#This Row],[Mid24]]</f>
        <v>450</v>
      </c>
      <c r="CQ356" s="19">
        <f>Table1[[#This Row],[Mid27]]+Table1[[#This Row],[Mid30]]+Table1[[#This Row],[Mid33]]+Table1[[#This Row],[Mid36]]+Table1[[#This Row],[Mid39]]</f>
        <v>0</v>
      </c>
      <c r="CR356" t="s">
        <v>471</v>
      </c>
      <c r="CS356" s="19" t="str">
        <f>IF(AND(Table1[[#This Row],[Low41]]=0, Table1[[#This Row],[High43]]=0),"N","Y")</f>
        <v>N</v>
      </c>
    </row>
    <row r="357" spans="1:97" ht="19.5" customHeight="1" x14ac:dyDescent="0.25">
      <c r="A357">
        <v>10354</v>
      </c>
      <c r="B357" t="s">
        <v>1302</v>
      </c>
      <c r="C357" t="s">
        <v>1303</v>
      </c>
      <c r="D357">
        <v>25.445277780000001</v>
      </c>
      <c r="E357">
        <v>-97.719722219999994</v>
      </c>
      <c r="F357" t="s">
        <v>1317</v>
      </c>
      <c r="G357" t="s">
        <v>1305</v>
      </c>
      <c r="I357" t="s">
        <v>118</v>
      </c>
      <c r="J357" t="s">
        <v>119</v>
      </c>
      <c r="K357" t="s">
        <v>120</v>
      </c>
      <c r="L357" t="s">
        <v>121</v>
      </c>
      <c r="N357" s="6" t="s">
        <v>1306</v>
      </c>
      <c r="O357" t="s">
        <v>1307</v>
      </c>
      <c r="P357" t="s">
        <v>170</v>
      </c>
      <c r="Q357" t="s">
        <v>1308</v>
      </c>
      <c r="R357" t="s">
        <v>1309</v>
      </c>
      <c r="S357">
        <v>2012</v>
      </c>
      <c r="T357" t="s">
        <v>128</v>
      </c>
      <c r="U357" t="s">
        <v>154</v>
      </c>
      <c r="V357">
        <v>95</v>
      </c>
      <c r="AD357">
        <v>1</v>
      </c>
      <c r="AE357">
        <v>1.0526316000000001E-2</v>
      </c>
      <c r="AF357">
        <v>200</v>
      </c>
      <c r="AG357">
        <v>0</v>
      </c>
      <c r="AK357">
        <v>0</v>
      </c>
      <c r="AL357">
        <v>0</v>
      </c>
      <c r="AN357" t="s">
        <v>132</v>
      </c>
      <c r="BN357">
        <v>530</v>
      </c>
      <c r="CE35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57" s="19">
        <f>SUM(Table1[[#This Row],[Mid39]],Table1[[#This Row],[Mid36]],Table1[[#This Row],[Mid33]],Table1[[#This Row],[Mid30]],Table1[[#This Row],[Mid27]],Table1[[#This Row],[Mid24]],Table1[[#This Row],[Mid21]],Table1[[#This Row],[Mid18]],Table1[[#This Row],[Mid15]],Table1[[#This Row],[Mid12]],Table1[[#This Row],[Mid9]],Table1[[#This Row],[Mid6]],Table1[[#This Row],[Mid3]],Table1[[#This Row],[Mid]])</f>
        <v>530</v>
      </c>
      <c r="CG35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57" t="s">
        <v>157</v>
      </c>
      <c r="CI357" t="s">
        <v>189</v>
      </c>
      <c r="CJ357" t="s">
        <v>158</v>
      </c>
      <c r="CL357" s="19">
        <f>IF(Table1[[#This Row],[Type]]="Petroleum",1,IF(ISERROR(Table1[[#This Row],[Well Density]]*Table1[[#This Row],[Single Well Discovery Area]]),"",IF(Table1[[#This Row],[Well Density]]*Table1[[#This Row],[Single Well Discovery Area]]&gt;1,1,Table1[[#This Row],[Well Density]]*Table1[[#This Row],[Single Well Discovery Area]])))</f>
        <v>1</v>
      </c>
      <c r="CM357" t="s">
        <v>158</v>
      </c>
      <c r="CN357" s="19">
        <f>Table1[[#This Row],[Mid]]</f>
        <v>0</v>
      </c>
      <c r="CO357" s="19">
        <f>Table1[[#This Row],[Mid3]]+Table1[[#This Row],[Mid6]]+Table1[[#This Row],[Mid9]]</f>
        <v>0</v>
      </c>
      <c r="CP357" s="19">
        <f>Table1[[#This Row],[Mid12]]+Table1[[#This Row],[Mid15]]+Table1[[#This Row],[Mid18]]+Table1[[#This Row],[Mid21]]+Table1[[#This Row],[Mid24]]</f>
        <v>530</v>
      </c>
      <c r="CQ357" s="19">
        <f>Table1[[#This Row],[Mid27]]+Table1[[#This Row],[Mid30]]+Table1[[#This Row],[Mid33]]+Table1[[#This Row],[Mid36]]+Table1[[#This Row],[Mid39]]</f>
        <v>0</v>
      </c>
      <c r="CR357" t="s">
        <v>471</v>
      </c>
      <c r="CS357" s="19" t="str">
        <f>IF(AND(Table1[[#This Row],[Low41]]=0, Table1[[#This Row],[High43]]=0),"N","Y")</f>
        <v>N</v>
      </c>
    </row>
    <row r="358" spans="1:97" ht="19.5" customHeight="1" x14ac:dyDescent="0.25">
      <c r="A358">
        <v>10355</v>
      </c>
      <c r="B358" t="s">
        <v>1302</v>
      </c>
      <c r="C358" t="s">
        <v>1303</v>
      </c>
      <c r="D358">
        <v>25.428333330000001</v>
      </c>
      <c r="E358">
        <v>-97.642222219999994</v>
      </c>
      <c r="F358" t="s">
        <v>1318</v>
      </c>
      <c r="G358" t="s">
        <v>1305</v>
      </c>
      <c r="I358" t="s">
        <v>118</v>
      </c>
      <c r="J358" t="s">
        <v>119</v>
      </c>
      <c r="K358" t="s">
        <v>120</v>
      </c>
      <c r="L358" t="s">
        <v>121</v>
      </c>
      <c r="N358" s="6" t="s">
        <v>1306</v>
      </c>
      <c r="O358" t="s">
        <v>1307</v>
      </c>
      <c r="P358" t="s">
        <v>170</v>
      </c>
      <c r="Q358" t="s">
        <v>1308</v>
      </c>
      <c r="R358" t="s">
        <v>1309</v>
      </c>
      <c r="S358">
        <v>2012</v>
      </c>
      <c r="T358" t="s">
        <v>128</v>
      </c>
      <c r="U358" t="s">
        <v>154</v>
      </c>
      <c r="V358">
        <v>20</v>
      </c>
      <c r="AD358">
        <v>1</v>
      </c>
      <c r="AE358">
        <v>0.05</v>
      </c>
      <c r="AF358">
        <v>200</v>
      </c>
      <c r="AG358">
        <v>0</v>
      </c>
      <c r="AK358">
        <v>0</v>
      </c>
      <c r="AL358">
        <v>0</v>
      </c>
      <c r="AN358" t="s">
        <v>132</v>
      </c>
      <c r="BN358">
        <v>550</v>
      </c>
      <c r="CE35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58" s="19">
        <f>SUM(Table1[[#This Row],[Mid39]],Table1[[#This Row],[Mid36]],Table1[[#This Row],[Mid33]],Table1[[#This Row],[Mid30]],Table1[[#This Row],[Mid27]],Table1[[#This Row],[Mid24]],Table1[[#This Row],[Mid21]],Table1[[#This Row],[Mid18]],Table1[[#This Row],[Mid15]],Table1[[#This Row],[Mid12]],Table1[[#This Row],[Mid9]],Table1[[#This Row],[Mid6]],Table1[[#This Row],[Mid3]],Table1[[#This Row],[Mid]])</f>
        <v>550</v>
      </c>
      <c r="CG35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58" t="s">
        <v>157</v>
      </c>
      <c r="CI358" t="s">
        <v>189</v>
      </c>
      <c r="CJ358" t="s">
        <v>158</v>
      </c>
      <c r="CL358" s="19">
        <f>IF(Table1[[#This Row],[Type]]="Petroleum",1,IF(ISERROR(Table1[[#This Row],[Well Density]]*Table1[[#This Row],[Single Well Discovery Area]]),"",IF(Table1[[#This Row],[Well Density]]*Table1[[#This Row],[Single Well Discovery Area]]&gt;1,1,Table1[[#This Row],[Well Density]]*Table1[[#This Row],[Single Well Discovery Area]])))</f>
        <v>1</v>
      </c>
      <c r="CM358" t="s">
        <v>158</v>
      </c>
      <c r="CN358" s="19">
        <f>Table1[[#This Row],[Mid]]</f>
        <v>0</v>
      </c>
      <c r="CO358" s="19">
        <f>Table1[[#This Row],[Mid3]]+Table1[[#This Row],[Mid6]]+Table1[[#This Row],[Mid9]]</f>
        <v>0</v>
      </c>
      <c r="CP358" s="19">
        <f>Table1[[#This Row],[Mid12]]+Table1[[#This Row],[Mid15]]+Table1[[#This Row],[Mid18]]+Table1[[#This Row],[Mid21]]+Table1[[#This Row],[Mid24]]</f>
        <v>550</v>
      </c>
      <c r="CQ358" s="19">
        <f>Table1[[#This Row],[Mid27]]+Table1[[#This Row],[Mid30]]+Table1[[#This Row],[Mid33]]+Table1[[#This Row],[Mid36]]+Table1[[#This Row],[Mid39]]</f>
        <v>0</v>
      </c>
      <c r="CR358" t="s">
        <v>471</v>
      </c>
      <c r="CS358" s="19" t="str">
        <f>IF(AND(Table1[[#This Row],[Low41]]=0, Table1[[#This Row],[High43]]=0),"N","Y")</f>
        <v>N</v>
      </c>
    </row>
    <row r="359" spans="1:97" ht="19.5" customHeight="1" x14ac:dyDescent="0.25">
      <c r="A359">
        <v>10356</v>
      </c>
      <c r="B359" t="s">
        <v>1302</v>
      </c>
      <c r="C359" t="s">
        <v>1303</v>
      </c>
      <c r="D359">
        <v>24.689166669999999</v>
      </c>
      <c r="E359">
        <v>-98.22583333</v>
      </c>
      <c r="F359" t="s">
        <v>1319</v>
      </c>
      <c r="G359" t="s">
        <v>1305</v>
      </c>
      <c r="I359" t="s">
        <v>118</v>
      </c>
      <c r="J359" t="s">
        <v>119</v>
      </c>
      <c r="K359" t="s">
        <v>120</v>
      </c>
      <c r="L359" t="s">
        <v>121</v>
      </c>
      <c r="N359" s="6" t="s">
        <v>1306</v>
      </c>
      <c r="O359" t="s">
        <v>1307</v>
      </c>
      <c r="P359" t="s">
        <v>170</v>
      </c>
      <c r="Q359" t="s">
        <v>1308</v>
      </c>
      <c r="R359" t="s">
        <v>1309</v>
      </c>
      <c r="S359">
        <v>2012</v>
      </c>
      <c r="T359" t="s">
        <v>128</v>
      </c>
      <c r="U359" t="s">
        <v>154</v>
      </c>
      <c r="V359">
        <v>90</v>
      </c>
      <c r="AD359">
        <v>1</v>
      </c>
      <c r="AE359">
        <v>1.1111111E-2</v>
      </c>
      <c r="AF359">
        <v>200</v>
      </c>
      <c r="AG359">
        <v>0</v>
      </c>
      <c r="AK359">
        <v>0</v>
      </c>
      <c r="AL359">
        <v>0</v>
      </c>
      <c r="AN359" t="s">
        <v>132</v>
      </c>
      <c r="BN359">
        <v>1640</v>
      </c>
      <c r="CE35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59" s="19">
        <f>SUM(Table1[[#This Row],[Mid39]],Table1[[#This Row],[Mid36]],Table1[[#This Row],[Mid33]],Table1[[#This Row],[Mid30]],Table1[[#This Row],[Mid27]],Table1[[#This Row],[Mid24]],Table1[[#This Row],[Mid21]],Table1[[#This Row],[Mid18]],Table1[[#This Row],[Mid15]],Table1[[#This Row],[Mid12]],Table1[[#This Row],[Mid9]],Table1[[#This Row],[Mid6]],Table1[[#This Row],[Mid3]],Table1[[#This Row],[Mid]])</f>
        <v>1640</v>
      </c>
      <c r="CG35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59" t="s">
        <v>157</v>
      </c>
      <c r="CI359" t="s">
        <v>189</v>
      </c>
      <c r="CJ359" t="s">
        <v>158</v>
      </c>
      <c r="CL359" s="19">
        <f>IF(Table1[[#This Row],[Type]]="Petroleum",1,IF(ISERROR(Table1[[#This Row],[Well Density]]*Table1[[#This Row],[Single Well Discovery Area]]),"",IF(Table1[[#This Row],[Well Density]]*Table1[[#This Row],[Single Well Discovery Area]]&gt;1,1,Table1[[#This Row],[Well Density]]*Table1[[#This Row],[Single Well Discovery Area]])))</f>
        <v>1</v>
      </c>
      <c r="CM359" t="s">
        <v>158</v>
      </c>
      <c r="CN359" s="19">
        <f>Table1[[#This Row],[Mid]]</f>
        <v>0</v>
      </c>
      <c r="CO359" s="19">
        <f>Table1[[#This Row],[Mid3]]+Table1[[#This Row],[Mid6]]+Table1[[#This Row],[Mid9]]</f>
        <v>0</v>
      </c>
      <c r="CP359" s="19">
        <f>Table1[[#This Row],[Mid12]]+Table1[[#This Row],[Mid15]]+Table1[[#This Row],[Mid18]]+Table1[[#This Row],[Mid21]]+Table1[[#This Row],[Mid24]]</f>
        <v>1640</v>
      </c>
      <c r="CQ359" s="19">
        <f>Table1[[#This Row],[Mid27]]+Table1[[#This Row],[Mid30]]+Table1[[#This Row],[Mid33]]+Table1[[#This Row],[Mid36]]+Table1[[#This Row],[Mid39]]</f>
        <v>0</v>
      </c>
      <c r="CR359" t="s">
        <v>471</v>
      </c>
      <c r="CS359" s="19" t="str">
        <f>IF(AND(Table1[[#This Row],[Low41]]=0, Table1[[#This Row],[High43]]=0),"N","Y")</f>
        <v>N</v>
      </c>
    </row>
    <row r="360" spans="1:97" ht="19.5" customHeight="1" x14ac:dyDescent="0.25">
      <c r="A360">
        <v>10357</v>
      </c>
      <c r="B360" t="s">
        <v>1302</v>
      </c>
      <c r="C360" t="s">
        <v>1303</v>
      </c>
      <c r="D360">
        <v>24.75</v>
      </c>
      <c r="E360">
        <v>-97.979444439999995</v>
      </c>
      <c r="F360" t="s">
        <v>1320</v>
      </c>
      <c r="G360" t="s">
        <v>1305</v>
      </c>
      <c r="I360" t="s">
        <v>118</v>
      </c>
      <c r="J360" t="s">
        <v>119</v>
      </c>
      <c r="K360" t="s">
        <v>120</v>
      </c>
      <c r="L360" t="s">
        <v>121</v>
      </c>
      <c r="N360" s="6" t="s">
        <v>1306</v>
      </c>
      <c r="O360" t="s">
        <v>1307</v>
      </c>
      <c r="P360" t="s">
        <v>170</v>
      </c>
      <c r="Q360" t="s">
        <v>1308</v>
      </c>
      <c r="R360" t="s">
        <v>1309</v>
      </c>
      <c r="S360">
        <v>2012</v>
      </c>
      <c r="T360" t="s">
        <v>128</v>
      </c>
      <c r="U360" t="s">
        <v>154</v>
      </c>
      <c r="V360">
        <v>90</v>
      </c>
      <c r="AD360">
        <v>2</v>
      </c>
      <c r="AE360">
        <v>2.2222222E-2</v>
      </c>
      <c r="AF360">
        <v>200</v>
      </c>
      <c r="AG360">
        <v>0</v>
      </c>
      <c r="AK360">
        <v>0</v>
      </c>
      <c r="AL360">
        <v>0</v>
      </c>
      <c r="AN360" t="s">
        <v>132</v>
      </c>
      <c r="BN360">
        <v>1870</v>
      </c>
      <c r="CE36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60" s="19">
        <f>SUM(Table1[[#This Row],[Mid39]],Table1[[#This Row],[Mid36]],Table1[[#This Row],[Mid33]],Table1[[#This Row],[Mid30]],Table1[[#This Row],[Mid27]],Table1[[#This Row],[Mid24]],Table1[[#This Row],[Mid21]],Table1[[#This Row],[Mid18]],Table1[[#This Row],[Mid15]],Table1[[#This Row],[Mid12]],Table1[[#This Row],[Mid9]],Table1[[#This Row],[Mid6]],Table1[[#This Row],[Mid3]],Table1[[#This Row],[Mid]])</f>
        <v>1870</v>
      </c>
      <c r="CG36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60" t="s">
        <v>157</v>
      </c>
      <c r="CI360" t="s">
        <v>189</v>
      </c>
      <c r="CJ360" t="s">
        <v>158</v>
      </c>
      <c r="CL360" s="19">
        <f>IF(Table1[[#This Row],[Type]]="Petroleum",1,IF(ISERROR(Table1[[#This Row],[Well Density]]*Table1[[#This Row],[Single Well Discovery Area]]),"",IF(Table1[[#This Row],[Well Density]]*Table1[[#This Row],[Single Well Discovery Area]]&gt;1,1,Table1[[#This Row],[Well Density]]*Table1[[#This Row],[Single Well Discovery Area]])))</f>
        <v>1</v>
      </c>
      <c r="CM360" t="s">
        <v>158</v>
      </c>
      <c r="CN360" s="19">
        <f>Table1[[#This Row],[Mid]]</f>
        <v>0</v>
      </c>
      <c r="CO360" s="19">
        <f>Table1[[#This Row],[Mid3]]+Table1[[#This Row],[Mid6]]+Table1[[#This Row],[Mid9]]</f>
        <v>0</v>
      </c>
      <c r="CP360" s="19">
        <f>Table1[[#This Row],[Mid12]]+Table1[[#This Row],[Mid15]]+Table1[[#This Row],[Mid18]]+Table1[[#This Row],[Mid21]]+Table1[[#This Row],[Mid24]]</f>
        <v>1870</v>
      </c>
      <c r="CQ360" s="19">
        <f>Table1[[#This Row],[Mid27]]+Table1[[#This Row],[Mid30]]+Table1[[#This Row],[Mid33]]+Table1[[#This Row],[Mid36]]+Table1[[#This Row],[Mid39]]</f>
        <v>0</v>
      </c>
      <c r="CR360" t="s">
        <v>471</v>
      </c>
      <c r="CS360" s="19" t="str">
        <f>IF(AND(Table1[[#This Row],[Low41]]=0, Table1[[#This Row],[High43]]=0),"N","Y")</f>
        <v>N</v>
      </c>
    </row>
    <row r="361" spans="1:97" ht="19.5" customHeight="1" x14ac:dyDescent="0.25">
      <c r="A361">
        <v>10358</v>
      </c>
      <c r="B361" t="s">
        <v>1302</v>
      </c>
      <c r="C361" t="s">
        <v>1303</v>
      </c>
      <c r="D361">
        <v>24.725000000000001</v>
      </c>
      <c r="E361">
        <v>-97.758333329999999</v>
      </c>
      <c r="F361" t="s">
        <v>1321</v>
      </c>
      <c r="G361" t="s">
        <v>1305</v>
      </c>
      <c r="I361" t="s">
        <v>118</v>
      </c>
      <c r="J361" t="s">
        <v>119</v>
      </c>
      <c r="K361" t="s">
        <v>120</v>
      </c>
      <c r="L361" t="s">
        <v>121</v>
      </c>
      <c r="N361" s="6" t="s">
        <v>1306</v>
      </c>
      <c r="O361" t="s">
        <v>1307</v>
      </c>
      <c r="P361" t="s">
        <v>170</v>
      </c>
      <c r="Q361" t="s">
        <v>1308</v>
      </c>
      <c r="R361" t="s">
        <v>1309</v>
      </c>
      <c r="S361">
        <v>2012</v>
      </c>
      <c r="T361" t="s">
        <v>128</v>
      </c>
      <c r="U361" t="s">
        <v>154</v>
      </c>
      <c r="V361">
        <v>60</v>
      </c>
      <c r="AD361">
        <v>1</v>
      </c>
      <c r="AE361">
        <v>1.6666667E-2</v>
      </c>
      <c r="AF361">
        <v>200</v>
      </c>
      <c r="AG361">
        <v>0</v>
      </c>
      <c r="AK361">
        <v>0</v>
      </c>
      <c r="AL361">
        <v>0</v>
      </c>
      <c r="AN361" t="s">
        <v>132</v>
      </c>
      <c r="BN361">
        <v>640</v>
      </c>
      <c r="CE36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61" s="19">
        <f>SUM(Table1[[#This Row],[Mid39]],Table1[[#This Row],[Mid36]],Table1[[#This Row],[Mid33]],Table1[[#This Row],[Mid30]],Table1[[#This Row],[Mid27]],Table1[[#This Row],[Mid24]],Table1[[#This Row],[Mid21]],Table1[[#This Row],[Mid18]],Table1[[#This Row],[Mid15]],Table1[[#This Row],[Mid12]],Table1[[#This Row],[Mid9]],Table1[[#This Row],[Mid6]],Table1[[#This Row],[Mid3]],Table1[[#This Row],[Mid]])</f>
        <v>640</v>
      </c>
      <c r="CG36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61" t="s">
        <v>157</v>
      </c>
      <c r="CI361" t="s">
        <v>189</v>
      </c>
      <c r="CJ361" t="s">
        <v>158</v>
      </c>
      <c r="CL361" s="19">
        <f>IF(Table1[[#This Row],[Type]]="Petroleum",1,IF(ISERROR(Table1[[#This Row],[Well Density]]*Table1[[#This Row],[Single Well Discovery Area]]),"",IF(Table1[[#This Row],[Well Density]]*Table1[[#This Row],[Single Well Discovery Area]]&gt;1,1,Table1[[#This Row],[Well Density]]*Table1[[#This Row],[Single Well Discovery Area]])))</f>
        <v>1</v>
      </c>
      <c r="CM361" t="s">
        <v>158</v>
      </c>
      <c r="CN361" s="19">
        <f>Table1[[#This Row],[Mid]]</f>
        <v>0</v>
      </c>
      <c r="CO361" s="19">
        <f>Table1[[#This Row],[Mid3]]+Table1[[#This Row],[Mid6]]+Table1[[#This Row],[Mid9]]</f>
        <v>0</v>
      </c>
      <c r="CP361" s="19">
        <f>Table1[[#This Row],[Mid12]]+Table1[[#This Row],[Mid15]]+Table1[[#This Row],[Mid18]]+Table1[[#This Row],[Mid21]]+Table1[[#This Row],[Mid24]]</f>
        <v>640</v>
      </c>
      <c r="CQ361" s="19">
        <f>Table1[[#This Row],[Mid27]]+Table1[[#This Row],[Mid30]]+Table1[[#This Row],[Mid33]]+Table1[[#This Row],[Mid36]]+Table1[[#This Row],[Mid39]]</f>
        <v>0</v>
      </c>
      <c r="CR361" t="s">
        <v>471</v>
      </c>
      <c r="CS361" s="19" t="str">
        <f>IF(AND(Table1[[#This Row],[Low41]]=0, Table1[[#This Row],[High43]]=0),"N","Y")</f>
        <v>N</v>
      </c>
    </row>
    <row r="362" spans="1:97" ht="19.5" customHeight="1" x14ac:dyDescent="0.25">
      <c r="A362">
        <v>10359</v>
      </c>
      <c r="B362" t="s">
        <v>1302</v>
      </c>
      <c r="C362" t="s">
        <v>1322</v>
      </c>
      <c r="D362">
        <v>25.64722222</v>
      </c>
      <c r="E362">
        <v>-102.78277780000001</v>
      </c>
      <c r="F362" t="s">
        <v>1323</v>
      </c>
      <c r="I362" t="s">
        <v>118</v>
      </c>
      <c r="J362" t="s">
        <v>119</v>
      </c>
      <c r="K362" t="s">
        <v>120</v>
      </c>
      <c r="L362" t="s">
        <v>121</v>
      </c>
      <c r="N362" s="6" t="s">
        <v>1306</v>
      </c>
      <c r="O362" t="s">
        <v>1307</v>
      </c>
      <c r="P362" t="s">
        <v>170</v>
      </c>
      <c r="Q362" t="s">
        <v>1308</v>
      </c>
      <c r="R362" t="s">
        <v>1309</v>
      </c>
      <c r="S362">
        <v>2012</v>
      </c>
      <c r="T362" t="s">
        <v>128</v>
      </c>
      <c r="U362" t="s">
        <v>154</v>
      </c>
      <c r="V362">
        <v>50</v>
      </c>
      <c r="AD362">
        <v>1</v>
      </c>
      <c r="AE362">
        <v>0.02</v>
      </c>
      <c r="AF362">
        <v>200</v>
      </c>
      <c r="AG362">
        <v>0</v>
      </c>
      <c r="AK362">
        <v>0</v>
      </c>
      <c r="AL362">
        <v>0</v>
      </c>
      <c r="AN362" t="s">
        <v>132</v>
      </c>
      <c r="BN362">
        <v>10</v>
      </c>
      <c r="CE36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62"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36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62" t="s">
        <v>157</v>
      </c>
      <c r="CI362" t="s">
        <v>189</v>
      </c>
      <c r="CJ362" t="s">
        <v>158</v>
      </c>
      <c r="CL362" s="19">
        <f>IF(Table1[[#This Row],[Type]]="Petroleum",1,IF(ISERROR(Table1[[#This Row],[Well Density]]*Table1[[#This Row],[Single Well Discovery Area]]),"",IF(Table1[[#This Row],[Well Density]]*Table1[[#This Row],[Single Well Discovery Area]]&gt;1,1,Table1[[#This Row],[Well Density]]*Table1[[#This Row],[Single Well Discovery Area]])))</f>
        <v>1</v>
      </c>
      <c r="CM362" t="s">
        <v>158</v>
      </c>
      <c r="CN362" s="19">
        <f>Table1[[#This Row],[Mid]]</f>
        <v>0</v>
      </c>
      <c r="CO362" s="19">
        <f>Table1[[#This Row],[Mid3]]+Table1[[#This Row],[Mid6]]+Table1[[#This Row],[Mid9]]</f>
        <v>0</v>
      </c>
      <c r="CP362" s="19">
        <f>Table1[[#This Row],[Mid12]]+Table1[[#This Row],[Mid15]]+Table1[[#This Row],[Mid18]]+Table1[[#This Row],[Mid21]]+Table1[[#This Row],[Mid24]]</f>
        <v>10</v>
      </c>
      <c r="CQ362" s="19">
        <f>Table1[[#This Row],[Mid27]]+Table1[[#This Row],[Mid30]]+Table1[[#This Row],[Mid33]]+Table1[[#This Row],[Mid36]]+Table1[[#This Row],[Mid39]]</f>
        <v>0</v>
      </c>
      <c r="CR362" t="s">
        <v>471</v>
      </c>
      <c r="CS362" s="19" t="str">
        <f>IF(AND(Table1[[#This Row],[Low41]]=0, Table1[[#This Row],[High43]]=0),"N","Y")</f>
        <v>N</v>
      </c>
    </row>
    <row r="363" spans="1:97" ht="19.5" customHeight="1" x14ac:dyDescent="0.25">
      <c r="A363">
        <v>10360</v>
      </c>
      <c r="B363" t="s">
        <v>1302</v>
      </c>
      <c r="C363" t="s">
        <v>1324</v>
      </c>
      <c r="D363">
        <v>16.839166670000001</v>
      </c>
      <c r="E363">
        <v>-93.218333329999993</v>
      </c>
      <c r="F363" t="s">
        <v>1325</v>
      </c>
      <c r="I363" t="s">
        <v>118</v>
      </c>
      <c r="J363" t="s">
        <v>119</v>
      </c>
      <c r="K363" t="s">
        <v>120</v>
      </c>
      <c r="L363" t="s">
        <v>121</v>
      </c>
      <c r="N363" s="6" t="s">
        <v>1306</v>
      </c>
      <c r="O363" t="s">
        <v>1307</v>
      </c>
      <c r="P363" t="s">
        <v>170</v>
      </c>
      <c r="Q363" t="s">
        <v>1308</v>
      </c>
      <c r="R363" t="s">
        <v>1309</v>
      </c>
      <c r="S363">
        <v>2012</v>
      </c>
      <c r="T363" t="s">
        <v>128</v>
      </c>
      <c r="U363" t="s">
        <v>154</v>
      </c>
      <c r="V363">
        <v>15</v>
      </c>
      <c r="AD363">
        <v>1</v>
      </c>
      <c r="AE363">
        <v>6.6666666999999999E-2</v>
      </c>
      <c r="AF363">
        <v>200</v>
      </c>
      <c r="AG363">
        <v>0</v>
      </c>
      <c r="AK363">
        <v>0</v>
      </c>
      <c r="AL363">
        <v>0</v>
      </c>
      <c r="AN363" t="s">
        <v>132</v>
      </c>
      <c r="BN363">
        <v>900</v>
      </c>
      <c r="CE36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63" s="19">
        <f>SUM(Table1[[#This Row],[Mid39]],Table1[[#This Row],[Mid36]],Table1[[#This Row],[Mid33]],Table1[[#This Row],[Mid30]],Table1[[#This Row],[Mid27]],Table1[[#This Row],[Mid24]],Table1[[#This Row],[Mid21]],Table1[[#This Row],[Mid18]],Table1[[#This Row],[Mid15]],Table1[[#This Row],[Mid12]],Table1[[#This Row],[Mid9]],Table1[[#This Row],[Mid6]],Table1[[#This Row],[Mid3]],Table1[[#This Row],[Mid]])</f>
        <v>900</v>
      </c>
      <c r="CG36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63" t="s">
        <v>157</v>
      </c>
      <c r="CI363" t="s">
        <v>189</v>
      </c>
      <c r="CJ363" t="s">
        <v>158</v>
      </c>
      <c r="CL363" s="19">
        <f>IF(Table1[[#This Row],[Type]]="Petroleum",1,IF(ISERROR(Table1[[#This Row],[Well Density]]*Table1[[#This Row],[Single Well Discovery Area]]),"",IF(Table1[[#This Row],[Well Density]]*Table1[[#This Row],[Single Well Discovery Area]]&gt;1,1,Table1[[#This Row],[Well Density]]*Table1[[#This Row],[Single Well Discovery Area]])))</f>
        <v>1</v>
      </c>
      <c r="CM363" t="s">
        <v>158</v>
      </c>
      <c r="CN363" s="19">
        <f>Table1[[#This Row],[Mid]]</f>
        <v>0</v>
      </c>
      <c r="CO363" s="19">
        <f>Table1[[#This Row],[Mid3]]+Table1[[#This Row],[Mid6]]+Table1[[#This Row],[Mid9]]</f>
        <v>0</v>
      </c>
      <c r="CP363" s="19">
        <f>Table1[[#This Row],[Mid12]]+Table1[[#This Row],[Mid15]]+Table1[[#This Row],[Mid18]]+Table1[[#This Row],[Mid21]]+Table1[[#This Row],[Mid24]]</f>
        <v>900</v>
      </c>
      <c r="CQ363" s="19">
        <f>Table1[[#This Row],[Mid27]]+Table1[[#This Row],[Mid30]]+Table1[[#This Row],[Mid33]]+Table1[[#This Row],[Mid36]]+Table1[[#This Row],[Mid39]]</f>
        <v>0</v>
      </c>
      <c r="CR363" t="s">
        <v>471</v>
      </c>
      <c r="CS363" s="19" t="str">
        <f>IF(AND(Table1[[#This Row],[Low41]]=0, Table1[[#This Row],[High43]]=0),"N","Y")</f>
        <v>N</v>
      </c>
    </row>
    <row r="364" spans="1:97" ht="19.5" customHeight="1" x14ac:dyDescent="0.25">
      <c r="A364">
        <v>10361</v>
      </c>
      <c r="B364" t="s">
        <v>1302</v>
      </c>
      <c r="C364" t="s">
        <v>1324</v>
      </c>
      <c r="D364">
        <v>16.792777780000002</v>
      </c>
      <c r="E364">
        <v>-92.325555559999998</v>
      </c>
      <c r="F364" t="s">
        <v>1326</v>
      </c>
      <c r="I364" t="s">
        <v>118</v>
      </c>
      <c r="J364" t="s">
        <v>119</v>
      </c>
      <c r="K364" t="s">
        <v>120</v>
      </c>
      <c r="L364" t="s">
        <v>121</v>
      </c>
      <c r="N364" s="6" t="s">
        <v>1306</v>
      </c>
      <c r="O364" t="s">
        <v>1307</v>
      </c>
      <c r="P364" t="s">
        <v>170</v>
      </c>
      <c r="Q364" t="s">
        <v>1308</v>
      </c>
      <c r="R364" t="s">
        <v>1309</v>
      </c>
      <c r="S364">
        <v>2012</v>
      </c>
      <c r="T364" t="s">
        <v>128</v>
      </c>
      <c r="U364" t="s">
        <v>154</v>
      </c>
      <c r="V364">
        <v>15</v>
      </c>
      <c r="AD364">
        <v>1</v>
      </c>
      <c r="AE364">
        <v>6.6666666999999999E-2</v>
      </c>
      <c r="AF364">
        <v>200</v>
      </c>
      <c r="AG364">
        <v>0</v>
      </c>
      <c r="AK364">
        <v>0</v>
      </c>
      <c r="AL364">
        <v>0</v>
      </c>
      <c r="AN364" t="s">
        <v>132</v>
      </c>
      <c r="BN364">
        <v>190</v>
      </c>
      <c r="CE36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64" s="19">
        <f>SUM(Table1[[#This Row],[Mid39]],Table1[[#This Row],[Mid36]],Table1[[#This Row],[Mid33]],Table1[[#This Row],[Mid30]],Table1[[#This Row],[Mid27]],Table1[[#This Row],[Mid24]],Table1[[#This Row],[Mid21]],Table1[[#This Row],[Mid18]],Table1[[#This Row],[Mid15]],Table1[[#This Row],[Mid12]],Table1[[#This Row],[Mid9]],Table1[[#This Row],[Mid6]],Table1[[#This Row],[Mid3]],Table1[[#This Row],[Mid]])</f>
        <v>190</v>
      </c>
      <c r="CG36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64" t="s">
        <v>157</v>
      </c>
      <c r="CI364" t="s">
        <v>189</v>
      </c>
      <c r="CJ364" t="s">
        <v>158</v>
      </c>
      <c r="CL364" s="19">
        <f>IF(Table1[[#This Row],[Type]]="Petroleum",1,IF(ISERROR(Table1[[#This Row],[Well Density]]*Table1[[#This Row],[Single Well Discovery Area]]),"",IF(Table1[[#This Row],[Well Density]]*Table1[[#This Row],[Single Well Discovery Area]]&gt;1,1,Table1[[#This Row],[Well Density]]*Table1[[#This Row],[Single Well Discovery Area]])))</f>
        <v>1</v>
      </c>
      <c r="CM364" t="s">
        <v>158</v>
      </c>
      <c r="CN364" s="19">
        <f>Table1[[#This Row],[Mid]]</f>
        <v>0</v>
      </c>
      <c r="CO364" s="19">
        <f>Table1[[#This Row],[Mid3]]+Table1[[#This Row],[Mid6]]+Table1[[#This Row],[Mid9]]</f>
        <v>0</v>
      </c>
      <c r="CP364" s="19">
        <f>Table1[[#This Row],[Mid12]]+Table1[[#This Row],[Mid15]]+Table1[[#This Row],[Mid18]]+Table1[[#This Row],[Mid21]]+Table1[[#This Row],[Mid24]]</f>
        <v>190</v>
      </c>
      <c r="CQ364" s="19">
        <f>Table1[[#This Row],[Mid27]]+Table1[[#This Row],[Mid30]]+Table1[[#This Row],[Mid33]]+Table1[[#This Row],[Mid36]]+Table1[[#This Row],[Mid39]]</f>
        <v>0</v>
      </c>
      <c r="CR364" t="s">
        <v>471</v>
      </c>
      <c r="CS364" s="19" t="str">
        <f>IF(AND(Table1[[#This Row],[Low41]]=0, Table1[[#This Row],[High43]]=0),"N","Y")</f>
        <v>N</v>
      </c>
    </row>
    <row r="365" spans="1:97" ht="19.5" customHeight="1" x14ac:dyDescent="0.25">
      <c r="A365">
        <v>10362</v>
      </c>
      <c r="B365" t="s">
        <v>1302</v>
      </c>
      <c r="C365" t="s">
        <v>1324</v>
      </c>
      <c r="D365">
        <v>16.32111111</v>
      </c>
      <c r="E365">
        <v>-91.903333329999995</v>
      </c>
      <c r="F365" t="s">
        <v>1327</v>
      </c>
      <c r="I365" t="s">
        <v>118</v>
      </c>
      <c r="J365" t="s">
        <v>119</v>
      </c>
      <c r="K365" t="s">
        <v>120</v>
      </c>
      <c r="L365" t="s">
        <v>121</v>
      </c>
      <c r="N365" s="6" t="s">
        <v>1306</v>
      </c>
      <c r="O365" t="s">
        <v>1307</v>
      </c>
      <c r="P365" t="s">
        <v>170</v>
      </c>
      <c r="Q365" t="s">
        <v>1308</v>
      </c>
      <c r="R365" t="s">
        <v>1309</v>
      </c>
      <c r="S365">
        <v>2012</v>
      </c>
      <c r="T365" t="s">
        <v>128</v>
      </c>
      <c r="U365" t="s">
        <v>154</v>
      </c>
      <c r="V365">
        <v>15</v>
      </c>
      <c r="AD365">
        <v>1</v>
      </c>
      <c r="AE365">
        <v>6.6666666999999999E-2</v>
      </c>
      <c r="AF365">
        <v>200</v>
      </c>
      <c r="AG365">
        <v>0</v>
      </c>
      <c r="AK365">
        <v>0</v>
      </c>
      <c r="AL365">
        <v>0</v>
      </c>
      <c r="AN365" t="s">
        <v>132</v>
      </c>
      <c r="BN365">
        <v>20</v>
      </c>
      <c r="CE36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65" s="19">
        <f>SUM(Table1[[#This Row],[Mid39]],Table1[[#This Row],[Mid36]],Table1[[#This Row],[Mid33]],Table1[[#This Row],[Mid30]],Table1[[#This Row],[Mid27]],Table1[[#This Row],[Mid24]],Table1[[#This Row],[Mid21]],Table1[[#This Row],[Mid18]],Table1[[#This Row],[Mid15]],Table1[[#This Row],[Mid12]],Table1[[#This Row],[Mid9]],Table1[[#This Row],[Mid6]],Table1[[#This Row],[Mid3]],Table1[[#This Row],[Mid]])</f>
        <v>20</v>
      </c>
      <c r="CG36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65" t="s">
        <v>157</v>
      </c>
      <c r="CI365" t="s">
        <v>189</v>
      </c>
      <c r="CJ365" t="s">
        <v>158</v>
      </c>
      <c r="CL365" s="19">
        <f>IF(Table1[[#This Row],[Type]]="Petroleum",1,IF(ISERROR(Table1[[#This Row],[Well Density]]*Table1[[#This Row],[Single Well Discovery Area]]),"",IF(Table1[[#This Row],[Well Density]]*Table1[[#This Row],[Single Well Discovery Area]]&gt;1,1,Table1[[#This Row],[Well Density]]*Table1[[#This Row],[Single Well Discovery Area]])))</f>
        <v>1</v>
      </c>
      <c r="CM365" t="s">
        <v>158</v>
      </c>
      <c r="CN365" s="19">
        <f>Table1[[#This Row],[Mid]]</f>
        <v>0</v>
      </c>
      <c r="CO365" s="19">
        <f>Table1[[#This Row],[Mid3]]+Table1[[#This Row],[Mid6]]+Table1[[#This Row],[Mid9]]</f>
        <v>0</v>
      </c>
      <c r="CP365" s="19">
        <f>Table1[[#This Row],[Mid12]]+Table1[[#This Row],[Mid15]]+Table1[[#This Row],[Mid18]]+Table1[[#This Row],[Mid21]]+Table1[[#This Row],[Mid24]]</f>
        <v>20</v>
      </c>
      <c r="CQ365" s="19">
        <f>Table1[[#This Row],[Mid27]]+Table1[[#This Row],[Mid30]]+Table1[[#This Row],[Mid33]]+Table1[[#This Row],[Mid36]]+Table1[[#This Row],[Mid39]]</f>
        <v>0</v>
      </c>
      <c r="CR365" t="s">
        <v>471</v>
      </c>
      <c r="CS365" s="19" t="str">
        <f>IF(AND(Table1[[#This Row],[Low41]]=0, Table1[[#This Row],[High43]]=0),"N","Y")</f>
        <v>N</v>
      </c>
    </row>
    <row r="366" spans="1:97" ht="19.5" customHeight="1" x14ac:dyDescent="0.25">
      <c r="A366">
        <v>10363</v>
      </c>
      <c r="B366" t="s">
        <v>1302</v>
      </c>
      <c r="C366" t="s">
        <v>1324</v>
      </c>
      <c r="D366">
        <v>16.35194444</v>
      </c>
      <c r="E366">
        <v>-91.893611109999995</v>
      </c>
      <c r="F366" t="s">
        <v>1328</v>
      </c>
      <c r="I366" t="s">
        <v>118</v>
      </c>
      <c r="J366" t="s">
        <v>119</v>
      </c>
      <c r="K366" t="s">
        <v>120</v>
      </c>
      <c r="L366" t="s">
        <v>121</v>
      </c>
      <c r="N366" s="6" t="s">
        <v>1306</v>
      </c>
      <c r="O366" t="s">
        <v>1307</v>
      </c>
      <c r="P366" t="s">
        <v>170</v>
      </c>
      <c r="Q366" t="s">
        <v>1308</v>
      </c>
      <c r="R366" t="s">
        <v>1309</v>
      </c>
      <c r="S366">
        <v>2012</v>
      </c>
      <c r="T366" t="s">
        <v>128</v>
      </c>
      <c r="U366" t="s">
        <v>154</v>
      </c>
      <c r="V366">
        <v>10</v>
      </c>
      <c r="AD366">
        <v>1</v>
      </c>
      <c r="AE366">
        <v>0.1</v>
      </c>
      <c r="AF366">
        <v>200</v>
      </c>
      <c r="AG366">
        <v>0</v>
      </c>
      <c r="AK366">
        <v>0</v>
      </c>
      <c r="AL366">
        <v>0</v>
      </c>
      <c r="AN366" t="s">
        <v>132</v>
      </c>
      <c r="BN366">
        <v>240</v>
      </c>
      <c r="CE36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66" s="19">
        <f>SUM(Table1[[#This Row],[Mid39]],Table1[[#This Row],[Mid36]],Table1[[#This Row],[Mid33]],Table1[[#This Row],[Mid30]],Table1[[#This Row],[Mid27]],Table1[[#This Row],[Mid24]],Table1[[#This Row],[Mid21]],Table1[[#This Row],[Mid18]],Table1[[#This Row],[Mid15]],Table1[[#This Row],[Mid12]],Table1[[#This Row],[Mid9]],Table1[[#This Row],[Mid6]],Table1[[#This Row],[Mid3]],Table1[[#This Row],[Mid]])</f>
        <v>240</v>
      </c>
      <c r="CG36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66" t="s">
        <v>157</v>
      </c>
      <c r="CI366" t="s">
        <v>189</v>
      </c>
      <c r="CJ366" t="s">
        <v>158</v>
      </c>
      <c r="CL366" s="19">
        <f>IF(Table1[[#This Row],[Type]]="Petroleum",1,IF(ISERROR(Table1[[#This Row],[Well Density]]*Table1[[#This Row],[Single Well Discovery Area]]),"",IF(Table1[[#This Row],[Well Density]]*Table1[[#This Row],[Single Well Discovery Area]]&gt;1,1,Table1[[#This Row],[Well Density]]*Table1[[#This Row],[Single Well Discovery Area]])))</f>
        <v>1</v>
      </c>
      <c r="CM366" t="s">
        <v>158</v>
      </c>
      <c r="CN366" s="19">
        <f>Table1[[#This Row],[Mid]]</f>
        <v>0</v>
      </c>
      <c r="CO366" s="19">
        <f>Table1[[#This Row],[Mid3]]+Table1[[#This Row],[Mid6]]+Table1[[#This Row],[Mid9]]</f>
        <v>0</v>
      </c>
      <c r="CP366" s="19">
        <f>Table1[[#This Row],[Mid12]]+Table1[[#This Row],[Mid15]]+Table1[[#This Row],[Mid18]]+Table1[[#This Row],[Mid21]]+Table1[[#This Row],[Mid24]]</f>
        <v>240</v>
      </c>
      <c r="CQ366" s="19">
        <f>Table1[[#This Row],[Mid27]]+Table1[[#This Row],[Mid30]]+Table1[[#This Row],[Mid33]]+Table1[[#This Row],[Mid36]]+Table1[[#This Row],[Mid39]]</f>
        <v>0</v>
      </c>
      <c r="CR366" t="s">
        <v>471</v>
      </c>
      <c r="CS366" s="19" t="str">
        <f>IF(AND(Table1[[#This Row],[Low41]]=0, Table1[[#This Row],[High43]]=0),"N","Y")</f>
        <v>N</v>
      </c>
    </row>
    <row r="367" spans="1:97" ht="19.5" customHeight="1" x14ac:dyDescent="0.25">
      <c r="A367">
        <v>10364</v>
      </c>
      <c r="B367" t="s">
        <v>1302</v>
      </c>
      <c r="C367" t="s">
        <v>1324</v>
      </c>
      <c r="D367">
        <v>16.92361111</v>
      </c>
      <c r="E367">
        <v>-91.523611110000004</v>
      </c>
      <c r="F367" t="s">
        <v>1329</v>
      </c>
      <c r="I367" t="s">
        <v>118</v>
      </c>
      <c r="J367" t="s">
        <v>119</v>
      </c>
      <c r="K367" t="s">
        <v>120</v>
      </c>
      <c r="L367" t="s">
        <v>121</v>
      </c>
      <c r="N367" s="6" t="s">
        <v>1306</v>
      </c>
      <c r="O367" t="s">
        <v>1307</v>
      </c>
      <c r="P367" t="s">
        <v>170</v>
      </c>
      <c r="Q367" t="s">
        <v>1308</v>
      </c>
      <c r="R367" t="s">
        <v>1309</v>
      </c>
      <c r="S367">
        <v>2012</v>
      </c>
      <c r="T367" t="s">
        <v>128</v>
      </c>
      <c r="U367" t="s">
        <v>154</v>
      </c>
      <c r="V367">
        <v>20</v>
      </c>
      <c r="AD367">
        <v>1</v>
      </c>
      <c r="AE367">
        <v>0.05</v>
      </c>
      <c r="AF367">
        <v>200</v>
      </c>
      <c r="AG367">
        <v>0</v>
      </c>
      <c r="AK367">
        <v>0</v>
      </c>
      <c r="AL367">
        <v>0</v>
      </c>
      <c r="AN367" t="s">
        <v>132</v>
      </c>
      <c r="BN367">
        <v>4460</v>
      </c>
      <c r="CE36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67" s="19">
        <f>SUM(Table1[[#This Row],[Mid39]],Table1[[#This Row],[Mid36]],Table1[[#This Row],[Mid33]],Table1[[#This Row],[Mid30]],Table1[[#This Row],[Mid27]],Table1[[#This Row],[Mid24]],Table1[[#This Row],[Mid21]],Table1[[#This Row],[Mid18]],Table1[[#This Row],[Mid15]],Table1[[#This Row],[Mid12]],Table1[[#This Row],[Mid9]],Table1[[#This Row],[Mid6]],Table1[[#This Row],[Mid3]],Table1[[#This Row],[Mid]])</f>
        <v>4460</v>
      </c>
      <c r="CG36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67" t="s">
        <v>157</v>
      </c>
      <c r="CI367" t="s">
        <v>189</v>
      </c>
      <c r="CJ367" t="s">
        <v>158</v>
      </c>
      <c r="CL367" s="19">
        <f>IF(Table1[[#This Row],[Type]]="Petroleum",1,IF(ISERROR(Table1[[#This Row],[Well Density]]*Table1[[#This Row],[Single Well Discovery Area]]),"",IF(Table1[[#This Row],[Well Density]]*Table1[[#This Row],[Single Well Discovery Area]]&gt;1,1,Table1[[#This Row],[Well Density]]*Table1[[#This Row],[Single Well Discovery Area]])))</f>
        <v>1</v>
      </c>
      <c r="CM367" t="s">
        <v>158</v>
      </c>
      <c r="CN367" s="19">
        <f>Table1[[#This Row],[Mid]]</f>
        <v>0</v>
      </c>
      <c r="CO367" s="19">
        <f>Table1[[#This Row],[Mid3]]+Table1[[#This Row],[Mid6]]+Table1[[#This Row],[Mid9]]</f>
        <v>0</v>
      </c>
      <c r="CP367" s="19">
        <f>Table1[[#This Row],[Mid12]]+Table1[[#This Row],[Mid15]]+Table1[[#This Row],[Mid18]]+Table1[[#This Row],[Mid21]]+Table1[[#This Row],[Mid24]]</f>
        <v>4460</v>
      </c>
      <c r="CQ367" s="19">
        <f>Table1[[#This Row],[Mid27]]+Table1[[#This Row],[Mid30]]+Table1[[#This Row],[Mid33]]+Table1[[#This Row],[Mid36]]+Table1[[#This Row],[Mid39]]</f>
        <v>0</v>
      </c>
      <c r="CR367" t="s">
        <v>471</v>
      </c>
      <c r="CS367" s="19" t="str">
        <f>IF(AND(Table1[[#This Row],[Low41]]=0, Table1[[#This Row],[High43]]=0),"N","Y")</f>
        <v>N</v>
      </c>
    </row>
    <row r="368" spans="1:97" ht="19.5" customHeight="1" x14ac:dyDescent="0.25">
      <c r="A368">
        <v>10365</v>
      </c>
      <c r="B368" t="s">
        <v>1302</v>
      </c>
      <c r="C368" t="s">
        <v>1330</v>
      </c>
      <c r="D368">
        <v>31.398611110000001</v>
      </c>
      <c r="E368">
        <v>-107.8627778</v>
      </c>
      <c r="F368" t="s">
        <v>1331</v>
      </c>
      <c r="G368" t="s">
        <v>1332</v>
      </c>
      <c r="I368" t="s">
        <v>118</v>
      </c>
      <c r="J368" t="s">
        <v>119</v>
      </c>
      <c r="K368" t="s">
        <v>120</v>
      </c>
      <c r="L368" t="s">
        <v>18</v>
      </c>
      <c r="N368" s="6" t="s">
        <v>1306</v>
      </c>
      <c r="O368" t="s">
        <v>1307</v>
      </c>
      <c r="P368" t="s">
        <v>170</v>
      </c>
      <c r="Q368" t="s">
        <v>1308</v>
      </c>
      <c r="R368" t="s">
        <v>1333</v>
      </c>
      <c r="S368">
        <v>2012</v>
      </c>
      <c r="T368" t="s">
        <v>128</v>
      </c>
      <c r="U368" t="s">
        <v>154</v>
      </c>
      <c r="V368">
        <v>45</v>
      </c>
      <c r="AD368">
        <v>0</v>
      </c>
      <c r="AE368">
        <v>0</v>
      </c>
      <c r="AF368">
        <v>200</v>
      </c>
      <c r="AG368">
        <v>0</v>
      </c>
      <c r="AK368">
        <v>0</v>
      </c>
      <c r="AL368">
        <v>0</v>
      </c>
      <c r="AN368" t="s">
        <v>132</v>
      </c>
      <c r="CC368">
        <v>70</v>
      </c>
      <c r="CE36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68" s="19">
        <f>SUM(Table1[[#This Row],[Mid39]],Table1[[#This Row],[Mid36]],Table1[[#This Row],[Mid33]],Table1[[#This Row],[Mid30]],Table1[[#This Row],[Mid27]],Table1[[#This Row],[Mid24]],Table1[[#This Row],[Mid21]],Table1[[#This Row],[Mid18]],Table1[[#This Row],[Mid15]],Table1[[#This Row],[Mid12]],Table1[[#This Row],[Mid9]],Table1[[#This Row],[Mid6]],Table1[[#This Row],[Mid3]],Table1[[#This Row],[Mid]])</f>
        <v>70</v>
      </c>
      <c r="CG36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68" t="s">
        <v>157</v>
      </c>
      <c r="CI368" t="s">
        <v>189</v>
      </c>
      <c r="CJ368" t="s">
        <v>158</v>
      </c>
      <c r="CL368" s="19">
        <f>IF(Table1[[#This Row],[Type]]="Petroleum",1,IF(ISERROR(Table1[[#This Row],[Well Density]]*Table1[[#This Row],[Single Well Discovery Area]]),"",IF(Table1[[#This Row],[Well Density]]*Table1[[#This Row],[Single Well Discovery Area]]&gt;1,1,Table1[[#This Row],[Well Density]]*Table1[[#This Row],[Single Well Discovery Area]])))</f>
        <v>0</v>
      </c>
      <c r="CM368" t="s">
        <v>158</v>
      </c>
      <c r="CN368" s="19">
        <f>Table1[[#This Row],[Mid]]</f>
        <v>0</v>
      </c>
      <c r="CO368" s="19">
        <f>Table1[[#This Row],[Mid3]]+Table1[[#This Row],[Mid6]]+Table1[[#This Row],[Mid9]]</f>
        <v>0</v>
      </c>
      <c r="CP368" s="19">
        <f>Table1[[#This Row],[Mid12]]+Table1[[#This Row],[Mid15]]+Table1[[#This Row],[Mid18]]+Table1[[#This Row],[Mid21]]+Table1[[#This Row],[Mid24]]</f>
        <v>0</v>
      </c>
      <c r="CQ368" s="19">
        <f>Table1[[#This Row],[Mid27]]+Table1[[#This Row],[Mid30]]+Table1[[#This Row],[Mid33]]+Table1[[#This Row],[Mid36]]+Table1[[#This Row],[Mid39]]</f>
        <v>70</v>
      </c>
      <c r="CR368" t="s">
        <v>471</v>
      </c>
      <c r="CS368" s="19" t="str">
        <f>IF(AND(Table1[[#This Row],[Low41]]=0, Table1[[#This Row],[High43]]=0),"N","Y")</f>
        <v>N</v>
      </c>
    </row>
    <row r="369" spans="1:97" ht="19.5" customHeight="1" x14ac:dyDescent="0.25">
      <c r="A369">
        <v>10366</v>
      </c>
      <c r="B369" t="s">
        <v>1302</v>
      </c>
      <c r="C369" t="s">
        <v>1330</v>
      </c>
      <c r="D369">
        <v>31.550555559999999</v>
      </c>
      <c r="E369">
        <v>-106.9825</v>
      </c>
      <c r="F369" t="s">
        <v>1334</v>
      </c>
      <c r="G369" t="s">
        <v>1332</v>
      </c>
      <c r="I369" t="s">
        <v>118</v>
      </c>
      <c r="J369" t="s">
        <v>119</v>
      </c>
      <c r="K369" t="s">
        <v>120</v>
      </c>
      <c r="L369" t="s">
        <v>121</v>
      </c>
      <c r="N369" s="6" t="s">
        <v>1306</v>
      </c>
      <c r="O369" t="s">
        <v>1307</v>
      </c>
      <c r="P369" t="s">
        <v>170</v>
      </c>
      <c r="Q369" t="s">
        <v>1308</v>
      </c>
      <c r="R369" t="s">
        <v>1309</v>
      </c>
      <c r="S369">
        <v>2012</v>
      </c>
      <c r="T369" t="s">
        <v>128</v>
      </c>
      <c r="U369" t="s">
        <v>154</v>
      </c>
      <c r="V369">
        <v>55</v>
      </c>
      <c r="AD369">
        <v>1</v>
      </c>
      <c r="AE369">
        <v>1.8181817999999999E-2</v>
      </c>
      <c r="AF369">
        <v>200</v>
      </c>
      <c r="AG369">
        <v>0</v>
      </c>
      <c r="AK369">
        <v>0</v>
      </c>
      <c r="AL369">
        <v>0</v>
      </c>
      <c r="AN369" t="s">
        <v>132</v>
      </c>
      <c r="BN369">
        <v>50</v>
      </c>
      <c r="CE36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69" s="19">
        <f>SUM(Table1[[#This Row],[Mid39]],Table1[[#This Row],[Mid36]],Table1[[#This Row],[Mid33]],Table1[[#This Row],[Mid30]],Table1[[#This Row],[Mid27]],Table1[[#This Row],[Mid24]],Table1[[#This Row],[Mid21]],Table1[[#This Row],[Mid18]],Table1[[#This Row],[Mid15]],Table1[[#This Row],[Mid12]],Table1[[#This Row],[Mid9]],Table1[[#This Row],[Mid6]],Table1[[#This Row],[Mid3]],Table1[[#This Row],[Mid]])</f>
        <v>50</v>
      </c>
      <c r="CG36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69" t="s">
        <v>157</v>
      </c>
      <c r="CI369" t="s">
        <v>189</v>
      </c>
      <c r="CJ369" t="s">
        <v>158</v>
      </c>
      <c r="CL369" s="19">
        <f>IF(Table1[[#This Row],[Type]]="Petroleum",1,IF(ISERROR(Table1[[#This Row],[Well Density]]*Table1[[#This Row],[Single Well Discovery Area]]),"",IF(Table1[[#This Row],[Well Density]]*Table1[[#This Row],[Single Well Discovery Area]]&gt;1,1,Table1[[#This Row],[Well Density]]*Table1[[#This Row],[Single Well Discovery Area]])))</f>
        <v>1</v>
      </c>
      <c r="CM369" t="s">
        <v>158</v>
      </c>
      <c r="CN369" s="19">
        <f>Table1[[#This Row],[Mid]]</f>
        <v>0</v>
      </c>
      <c r="CO369" s="19">
        <f>Table1[[#This Row],[Mid3]]+Table1[[#This Row],[Mid6]]+Table1[[#This Row],[Mid9]]</f>
        <v>0</v>
      </c>
      <c r="CP369" s="19">
        <f>Table1[[#This Row],[Mid12]]+Table1[[#This Row],[Mid15]]+Table1[[#This Row],[Mid18]]+Table1[[#This Row],[Mid21]]+Table1[[#This Row],[Mid24]]</f>
        <v>50</v>
      </c>
      <c r="CQ369" s="19">
        <f>Table1[[#This Row],[Mid27]]+Table1[[#This Row],[Mid30]]+Table1[[#This Row],[Mid33]]+Table1[[#This Row],[Mid36]]+Table1[[#This Row],[Mid39]]</f>
        <v>0</v>
      </c>
      <c r="CR369" t="s">
        <v>471</v>
      </c>
      <c r="CS369" s="19" t="str">
        <f>IF(AND(Table1[[#This Row],[Low41]]=0, Table1[[#This Row],[High43]]=0),"N","Y")</f>
        <v>N</v>
      </c>
    </row>
    <row r="370" spans="1:97" ht="19.5" customHeight="1" x14ac:dyDescent="0.25">
      <c r="A370">
        <v>10367</v>
      </c>
      <c r="B370" t="s">
        <v>1302</v>
      </c>
      <c r="C370" t="s">
        <v>1330</v>
      </c>
      <c r="D370">
        <v>30.520555559999998</v>
      </c>
      <c r="E370">
        <v>-106.84638889999999</v>
      </c>
      <c r="F370" t="s">
        <v>1335</v>
      </c>
      <c r="G370" t="s">
        <v>1332</v>
      </c>
      <c r="I370" t="s">
        <v>118</v>
      </c>
      <c r="J370" t="s">
        <v>119</v>
      </c>
      <c r="K370" t="s">
        <v>120</v>
      </c>
      <c r="L370" t="s">
        <v>121</v>
      </c>
      <c r="N370" s="6" t="s">
        <v>1306</v>
      </c>
      <c r="O370" t="s">
        <v>1307</v>
      </c>
      <c r="P370" t="s">
        <v>170</v>
      </c>
      <c r="Q370" t="s">
        <v>1308</v>
      </c>
      <c r="R370" t="s">
        <v>1309</v>
      </c>
      <c r="S370">
        <v>2012</v>
      </c>
      <c r="T370" t="s">
        <v>128</v>
      </c>
      <c r="U370" t="s">
        <v>154</v>
      </c>
      <c r="V370">
        <v>50</v>
      </c>
      <c r="AD370">
        <v>1</v>
      </c>
      <c r="AE370">
        <v>0.02</v>
      </c>
      <c r="AF370">
        <v>200</v>
      </c>
      <c r="AG370">
        <v>0</v>
      </c>
      <c r="AK370">
        <v>0</v>
      </c>
      <c r="AL370">
        <v>0</v>
      </c>
      <c r="AN370" t="s">
        <v>132</v>
      </c>
      <c r="BN370">
        <v>130</v>
      </c>
      <c r="CE37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70" s="19">
        <f>SUM(Table1[[#This Row],[Mid39]],Table1[[#This Row],[Mid36]],Table1[[#This Row],[Mid33]],Table1[[#This Row],[Mid30]],Table1[[#This Row],[Mid27]],Table1[[#This Row],[Mid24]],Table1[[#This Row],[Mid21]],Table1[[#This Row],[Mid18]],Table1[[#This Row],[Mid15]],Table1[[#This Row],[Mid12]],Table1[[#This Row],[Mid9]],Table1[[#This Row],[Mid6]],Table1[[#This Row],[Mid3]],Table1[[#This Row],[Mid]])</f>
        <v>130</v>
      </c>
      <c r="CG37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70" t="s">
        <v>157</v>
      </c>
      <c r="CI370" t="s">
        <v>189</v>
      </c>
      <c r="CJ370" t="s">
        <v>158</v>
      </c>
      <c r="CL370" s="19">
        <f>IF(Table1[[#This Row],[Type]]="Petroleum",1,IF(ISERROR(Table1[[#This Row],[Well Density]]*Table1[[#This Row],[Single Well Discovery Area]]),"",IF(Table1[[#This Row],[Well Density]]*Table1[[#This Row],[Single Well Discovery Area]]&gt;1,1,Table1[[#This Row],[Well Density]]*Table1[[#This Row],[Single Well Discovery Area]])))</f>
        <v>1</v>
      </c>
      <c r="CM370" t="s">
        <v>158</v>
      </c>
      <c r="CN370" s="19">
        <f>Table1[[#This Row],[Mid]]</f>
        <v>0</v>
      </c>
      <c r="CO370" s="19">
        <f>Table1[[#This Row],[Mid3]]+Table1[[#This Row],[Mid6]]+Table1[[#This Row],[Mid9]]</f>
        <v>0</v>
      </c>
      <c r="CP370" s="19">
        <f>Table1[[#This Row],[Mid12]]+Table1[[#This Row],[Mid15]]+Table1[[#This Row],[Mid18]]+Table1[[#This Row],[Mid21]]+Table1[[#This Row],[Mid24]]</f>
        <v>130</v>
      </c>
      <c r="CQ370" s="19">
        <f>Table1[[#This Row],[Mid27]]+Table1[[#This Row],[Mid30]]+Table1[[#This Row],[Mid33]]+Table1[[#This Row],[Mid36]]+Table1[[#This Row],[Mid39]]</f>
        <v>0</v>
      </c>
      <c r="CR370" t="s">
        <v>471</v>
      </c>
      <c r="CS370" s="19" t="str">
        <f>IF(AND(Table1[[#This Row],[Low41]]=0, Table1[[#This Row],[High43]]=0),"N","Y")</f>
        <v>N</v>
      </c>
    </row>
    <row r="371" spans="1:97" ht="19.5" customHeight="1" x14ac:dyDescent="0.25">
      <c r="A371">
        <v>10368</v>
      </c>
      <c r="B371" t="s">
        <v>1302</v>
      </c>
      <c r="C371" t="s">
        <v>1330</v>
      </c>
      <c r="D371">
        <v>29.159444440000001</v>
      </c>
      <c r="E371">
        <v>-104.7711111</v>
      </c>
      <c r="F371" t="s">
        <v>1336</v>
      </c>
      <c r="G371" t="s">
        <v>1332</v>
      </c>
      <c r="I371" t="s">
        <v>118</v>
      </c>
      <c r="J371" t="s">
        <v>119</v>
      </c>
      <c r="K371" t="s">
        <v>120</v>
      </c>
      <c r="L371" t="s">
        <v>121</v>
      </c>
      <c r="N371" s="6" t="s">
        <v>1306</v>
      </c>
      <c r="O371" t="s">
        <v>1307</v>
      </c>
      <c r="P371" t="s">
        <v>170</v>
      </c>
      <c r="Q371" t="s">
        <v>1308</v>
      </c>
      <c r="R371" t="s">
        <v>1309</v>
      </c>
      <c r="S371">
        <v>2012</v>
      </c>
      <c r="T371" t="s">
        <v>128</v>
      </c>
      <c r="U371" t="s">
        <v>154</v>
      </c>
      <c r="V371">
        <v>50</v>
      </c>
      <c r="AD371">
        <v>1</v>
      </c>
      <c r="AE371">
        <v>0.02</v>
      </c>
      <c r="AF371">
        <v>200</v>
      </c>
      <c r="AG371">
        <v>0</v>
      </c>
      <c r="AK371">
        <v>0</v>
      </c>
      <c r="AL371">
        <v>0</v>
      </c>
      <c r="AN371" t="s">
        <v>132</v>
      </c>
      <c r="BN371">
        <v>80</v>
      </c>
      <c r="CE37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71" s="19">
        <f>SUM(Table1[[#This Row],[Mid39]],Table1[[#This Row],[Mid36]],Table1[[#This Row],[Mid33]],Table1[[#This Row],[Mid30]],Table1[[#This Row],[Mid27]],Table1[[#This Row],[Mid24]],Table1[[#This Row],[Mid21]],Table1[[#This Row],[Mid18]],Table1[[#This Row],[Mid15]],Table1[[#This Row],[Mid12]],Table1[[#This Row],[Mid9]],Table1[[#This Row],[Mid6]],Table1[[#This Row],[Mid3]],Table1[[#This Row],[Mid]])</f>
        <v>80</v>
      </c>
      <c r="CG37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71" t="s">
        <v>157</v>
      </c>
      <c r="CI371" t="s">
        <v>189</v>
      </c>
      <c r="CJ371" t="s">
        <v>158</v>
      </c>
      <c r="CL371" s="19">
        <f>IF(Table1[[#This Row],[Type]]="Petroleum",1,IF(ISERROR(Table1[[#This Row],[Well Density]]*Table1[[#This Row],[Single Well Discovery Area]]),"",IF(Table1[[#This Row],[Well Density]]*Table1[[#This Row],[Single Well Discovery Area]]&gt;1,1,Table1[[#This Row],[Well Density]]*Table1[[#This Row],[Single Well Discovery Area]])))</f>
        <v>1</v>
      </c>
      <c r="CM371" t="s">
        <v>158</v>
      </c>
      <c r="CN371" s="19">
        <f>Table1[[#This Row],[Mid]]</f>
        <v>0</v>
      </c>
      <c r="CO371" s="19">
        <f>Table1[[#This Row],[Mid3]]+Table1[[#This Row],[Mid6]]+Table1[[#This Row],[Mid9]]</f>
        <v>0</v>
      </c>
      <c r="CP371" s="19">
        <f>Table1[[#This Row],[Mid12]]+Table1[[#This Row],[Mid15]]+Table1[[#This Row],[Mid18]]+Table1[[#This Row],[Mid21]]+Table1[[#This Row],[Mid24]]</f>
        <v>80</v>
      </c>
      <c r="CQ371" s="19">
        <f>Table1[[#This Row],[Mid27]]+Table1[[#This Row],[Mid30]]+Table1[[#This Row],[Mid33]]+Table1[[#This Row],[Mid36]]+Table1[[#This Row],[Mid39]]</f>
        <v>0</v>
      </c>
      <c r="CR371" t="s">
        <v>471</v>
      </c>
      <c r="CS371" s="19" t="str">
        <f>IF(AND(Table1[[#This Row],[Low41]]=0, Table1[[#This Row],[High43]]=0),"N","Y")</f>
        <v>N</v>
      </c>
    </row>
    <row r="372" spans="1:97" ht="19.5" customHeight="1" x14ac:dyDescent="0.25">
      <c r="A372">
        <v>10369</v>
      </c>
      <c r="B372" t="s">
        <v>1302</v>
      </c>
      <c r="C372" t="s">
        <v>1330</v>
      </c>
      <c r="D372">
        <v>29.171111109999998</v>
      </c>
      <c r="E372">
        <v>-104.69138890000001</v>
      </c>
      <c r="F372" t="s">
        <v>1337</v>
      </c>
      <c r="G372" t="s">
        <v>1332</v>
      </c>
      <c r="I372" t="s">
        <v>118</v>
      </c>
      <c r="J372" t="s">
        <v>119</v>
      </c>
      <c r="K372" t="s">
        <v>120</v>
      </c>
      <c r="L372" t="s">
        <v>121</v>
      </c>
      <c r="N372" s="6" t="s">
        <v>1306</v>
      </c>
      <c r="O372" t="s">
        <v>1307</v>
      </c>
      <c r="P372" t="s">
        <v>170</v>
      </c>
      <c r="Q372" t="s">
        <v>1308</v>
      </c>
      <c r="R372" t="s">
        <v>1309</v>
      </c>
      <c r="S372">
        <v>2012</v>
      </c>
      <c r="T372" t="s">
        <v>128</v>
      </c>
      <c r="U372" t="s">
        <v>154</v>
      </c>
      <c r="V372">
        <v>50</v>
      </c>
      <c r="AD372">
        <v>1</v>
      </c>
      <c r="AE372">
        <v>0.02</v>
      </c>
      <c r="AF372">
        <v>200</v>
      </c>
      <c r="AG372">
        <v>0</v>
      </c>
      <c r="AK372">
        <v>0</v>
      </c>
      <c r="AL372">
        <v>0</v>
      </c>
      <c r="AN372" t="s">
        <v>132</v>
      </c>
      <c r="BN372">
        <v>90</v>
      </c>
      <c r="CE37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72" s="19">
        <f>SUM(Table1[[#This Row],[Mid39]],Table1[[#This Row],[Mid36]],Table1[[#This Row],[Mid33]],Table1[[#This Row],[Mid30]],Table1[[#This Row],[Mid27]],Table1[[#This Row],[Mid24]],Table1[[#This Row],[Mid21]],Table1[[#This Row],[Mid18]],Table1[[#This Row],[Mid15]],Table1[[#This Row],[Mid12]],Table1[[#This Row],[Mid9]],Table1[[#This Row],[Mid6]],Table1[[#This Row],[Mid3]],Table1[[#This Row],[Mid]])</f>
        <v>90</v>
      </c>
      <c r="CG37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72" t="s">
        <v>157</v>
      </c>
      <c r="CI372" t="s">
        <v>189</v>
      </c>
      <c r="CJ372" t="s">
        <v>158</v>
      </c>
      <c r="CL372" s="19">
        <f>IF(Table1[[#This Row],[Type]]="Petroleum",1,IF(ISERROR(Table1[[#This Row],[Well Density]]*Table1[[#This Row],[Single Well Discovery Area]]),"",IF(Table1[[#This Row],[Well Density]]*Table1[[#This Row],[Single Well Discovery Area]]&gt;1,1,Table1[[#This Row],[Well Density]]*Table1[[#This Row],[Single Well Discovery Area]])))</f>
        <v>1</v>
      </c>
      <c r="CM372" t="s">
        <v>158</v>
      </c>
      <c r="CN372" s="19">
        <f>Table1[[#This Row],[Mid]]</f>
        <v>0</v>
      </c>
      <c r="CO372" s="19">
        <f>Table1[[#This Row],[Mid3]]+Table1[[#This Row],[Mid6]]+Table1[[#This Row],[Mid9]]</f>
        <v>0</v>
      </c>
      <c r="CP372" s="19">
        <f>Table1[[#This Row],[Mid12]]+Table1[[#This Row],[Mid15]]+Table1[[#This Row],[Mid18]]+Table1[[#This Row],[Mid21]]+Table1[[#This Row],[Mid24]]</f>
        <v>90</v>
      </c>
      <c r="CQ372" s="19">
        <f>Table1[[#This Row],[Mid27]]+Table1[[#This Row],[Mid30]]+Table1[[#This Row],[Mid33]]+Table1[[#This Row],[Mid36]]+Table1[[#This Row],[Mid39]]</f>
        <v>0</v>
      </c>
      <c r="CR372" t="s">
        <v>471</v>
      </c>
      <c r="CS372" s="19" t="str">
        <f>IF(AND(Table1[[#This Row],[Low41]]=0, Table1[[#This Row],[High43]]=0),"N","Y")</f>
        <v>N</v>
      </c>
    </row>
    <row r="373" spans="1:97" ht="19.5" customHeight="1" x14ac:dyDescent="0.25">
      <c r="A373">
        <v>10370</v>
      </c>
      <c r="B373" t="s">
        <v>1302</v>
      </c>
      <c r="C373" t="s">
        <v>1338</v>
      </c>
      <c r="D373">
        <v>29.352222220000002</v>
      </c>
      <c r="E373">
        <v>-101.5780556</v>
      </c>
      <c r="F373" t="s">
        <v>1339</v>
      </c>
      <c r="G373" t="s">
        <v>1340</v>
      </c>
      <c r="I373" t="s">
        <v>118</v>
      </c>
      <c r="J373" t="s">
        <v>119</v>
      </c>
      <c r="K373" t="s">
        <v>120</v>
      </c>
      <c r="L373" t="s">
        <v>121</v>
      </c>
      <c r="N373" s="6" t="s">
        <v>1306</v>
      </c>
      <c r="O373" t="s">
        <v>1307</v>
      </c>
      <c r="P373" t="s">
        <v>170</v>
      </c>
      <c r="Q373" t="s">
        <v>1308</v>
      </c>
      <c r="R373" t="s">
        <v>1309</v>
      </c>
      <c r="S373">
        <v>2012</v>
      </c>
      <c r="T373" t="s">
        <v>128</v>
      </c>
      <c r="U373" t="s">
        <v>154</v>
      </c>
      <c r="V373">
        <v>60</v>
      </c>
      <c r="AD373">
        <v>1</v>
      </c>
      <c r="AE373">
        <v>1.6666667E-2</v>
      </c>
      <c r="AF373">
        <v>200</v>
      </c>
      <c r="AG373">
        <v>0</v>
      </c>
      <c r="AK373">
        <v>0</v>
      </c>
      <c r="AL373">
        <v>0</v>
      </c>
      <c r="AN373" t="s">
        <v>132</v>
      </c>
      <c r="BN373">
        <v>760</v>
      </c>
      <c r="CE37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73" s="19">
        <f>SUM(Table1[[#This Row],[Mid39]],Table1[[#This Row],[Mid36]],Table1[[#This Row],[Mid33]],Table1[[#This Row],[Mid30]],Table1[[#This Row],[Mid27]],Table1[[#This Row],[Mid24]],Table1[[#This Row],[Mid21]],Table1[[#This Row],[Mid18]],Table1[[#This Row],[Mid15]],Table1[[#This Row],[Mid12]],Table1[[#This Row],[Mid9]],Table1[[#This Row],[Mid6]],Table1[[#This Row],[Mid3]],Table1[[#This Row],[Mid]])</f>
        <v>760</v>
      </c>
      <c r="CG37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73" t="s">
        <v>157</v>
      </c>
      <c r="CI373" t="s">
        <v>189</v>
      </c>
      <c r="CJ373" t="s">
        <v>158</v>
      </c>
      <c r="CL373" s="19">
        <f>IF(Table1[[#This Row],[Type]]="Petroleum",1,IF(ISERROR(Table1[[#This Row],[Well Density]]*Table1[[#This Row],[Single Well Discovery Area]]),"",IF(Table1[[#This Row],[Well Density]]*Table1[[#This Row],[Single Well Discovery Area]]&gt;1,1,Table1[[#This Row],[Well Density]]*Table1[[#This Row],[Single Well Discovery Area]])))</f>
        <v>1</v>
      </c>
      <c r="CM373" t="s">
        <v>158</v>
      </c>
      <c r="CN373" s="19">
        <f>Table1[[#This Row],[Mid]]</f>
        <v>0</v>
      </c>
      <c r="CO373" s="19">
        <f>Table1[[#This Row],[Mid3]]+Table1[[#This Row],[Mid6]]+Table1[[#This Row],[Mid9]]</f>
        <v>0</v>
      </c>
      <c r="CP373" s="19">
        <f>Table1[[#This Row],[Mid12]]+Table1[[#This Row],[Mid15]]+Table1[[#This Row],[Mid18]]+Table1[[#This Row],[Mid21]]+Table1[[#This Row],[Mid24]]</f>
        <v>760</v>
      </c>
      <c r="CQ373" s="19">
        <f>Table1[[#This Row],[Mid27]]+Table1[[#This Row],[Mid30]]+Table1[[#This Row],[Mid33]]+Table1[[#This Row],[Mid36]]+Table1[[#This Row],[Mid39]]</f>
        <v>0</v>
      </c>
      <c r="CR373" t="s">
        <v>471</v>
      </c>
      <c r="CS373" s="19" t="str">
        <f>IF(AND(Table1[[#This Row],[Low41]]=0, Table1[[#This Row],[High43]]=0),"N","Y")</f>
        <v>N</v>
      </c>
    </row>
    <row r="374" spans="1:97" ht="19.5" customHeight="1" x14ac:dyDescent="0.25">
      <c r="A374">
        <v>10371</v>
      </c>
      <c r="B374" t="s">
        <v>1302</v>
      </c>
      <c r="C374" t="s">
        <v>1338</v>
      </c>
      <c r="D374">
        <v>28.242222219999999</v>
      </c>
      <c r="E374">
        <v>-101.6886111</v>
      </c>
      <c r="F374" t="s">
        <v>1341</v>
      </c>
      <c r="G374" t="s">
        <v>1305</v>
      </c>
      <c r="I374" t="s">
        <v>118</v>
      </c>
      <c r="J374" t="s">
        <v>119</v>
      </c>
      <c r="K374" t="s">
        <v>120</v>
      </c>
      <c r="L374" t="s">
        <v>121</v>
      </c>
      <c r="N374" s="6" t="s">
        <v>1306</v>
      </c>
      <c r="O374" t="s">
        <v>1307</v>
      </c>
      <c r="P374" t="s">
        <v>170</v>
      </c>
      <c r="Q374" t="s">
        <v>1308</v>
      </c>
      <c r="R374" t="s">
        <v>1309</v>
      </c>
      <c r="S374">
        <v>2012</v>
      </c>
      <c r="T374" t="s">
        <v>128</v>
      </c>
      <c r="U374" t="s">
        <v>154</v>
      </c>
      <c r="V374">
        <v>70</v>
      </c>
      <c r="AD374">
        <v>1</v>
      </c>
      <c r="AE374">
        <v>1.4285714E-2</v>
      </c>
      <c r="AF374">
        <v>200</v>
      </c>
      <c r="AG374">
        <v>0</v>
      </c>
      <c r="AK374">
        <v>0</v>
      </c>
      <c r="AL374">
        <v>0</v>
      </c>
      <c r="AN374" t="s">
        <v>132</v>
      </c>
      <c r="BN374">
        <v>1150</v>
      </c>
      <c r="CE37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74" s="19">
        <f>SUM(Table1[[#This Row],[Mid39]],Table1[[#This Row],[Mid36]],Table1[[#This Row],[Mid33]],Table1[[#This Row],[Mid30]],Table1[[#This Row],[Mid27]],Table1[[#This Row],[Mid24]],Table1[[#This Row],[Mid21]],Table1[[#This Row],[Mid18]],Table1[[#This Row],[Mid15]],Table1[[#This Row],[Mid12]],Table1[[#This Row],[Mid9]],Table1[[#This Row],[Mid6]],Table1[[#This Row],[Mid3]],Table1[[#This Row],[Mid]])</f>
        <v>1150</v>
      </c>
      <c r="CG37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74" t="s">
        <v>157</v>
      </c>
      <c r="CI374" t="s">
        <v>189</v>
      </c>
      <c r="CJ374" t="s">
        <v>158</v>
      </c>
      <c r="CL374" s="19">
        <f>IF(Table1[[#This Row],[Type]]="Petroleum",1,IF(ISERROR(Table1[[#This Row],[Well Density]]*Table1[[#This Row],[Single Well Discovery Area]]),"",IF(Table1[[#This Row],[Well Density]]*Table1[[#This Row],[Single Well Discovery Area]]&gt;1,1,Table1[[#This Row],[Well Density]]*Table1[[#This Row],[Single Well Discovery Area]])))</f>
        <v>1</v>
      </c>
      <c r="CM374" t="s">
        <v>158</v>
      </c>
      <c r="CN374" s="19">
        <f>Table1[[#This Row],[Mid]]</f>
        <v>0</v>
      </c>
      <c r="CO374" s="19">
        <f>Table1[[#This Row],[Mid3]]+Table1[[#This Row],[Mid6]]+Table1[[#This Row],[Mid9]]</f>
        <v>0</v>
      </c>
      <c r="CP374" s="19">
        <f>Table1[[#This Row],[Mid12]]+Table1[[#This Row],[Mid15]]+Table1[[#This Row],[Mid18]]+Table1[[#This Row],[Mid21]]+Table1[[#This Row],[Mid24]]</f>
        <v>1150</v>
      </c>
      <c r="CQ374" s="19">
        <f>Table1[[#This Row],[Mid27]]+Table1[[#This Row],[Mid30]]+Table1[[#This Row],[Mid33]]+Table1[[#This Row],[Mid36]]+Table1[[#This Row],[Mid39]]</f>
        <v>0</v>
      </c>
      <c r="CR374" t="s">
        <v>471</v>
      </c>
      <c r="CS374" s="19" t="str">
        <f>IF(AND(Table1[[#This Row],[Low41]]=0, Table1[[#This Row],[High43]]=0),"N","Y")</f>
        <v>N</v>
      </c>
    </row>
    <row r="375" spans="1:97" ht="19.5" customHeight="1" x14ac:dyDescent="0.25">
      <c r="A375">
        <v>10372</v>
      </c>
      <c r="B375" t="s">
        <v>1302</v>
      </c>
      <c r="C375" t="s">
        <v>1338</v>
      </c>
      <c r="D375">
        <v>28.396944439999999</v>
      </c>
      <c r="E375">
        <v>-101.31388889999999</v>
      </c>
      <c r="F375" t="s">
        <v>1342</v>
      </c>
      <c r="G375" t="s">
        <v>1305</v>
      </c>
      <c r="I375" t="s">
        <v>118</v>
      </c>
      <c r="J375" t="s">
        <v>119</v>
      </c>
      <c r="K375" t="s">
        <v>120</v>
      </c>
      <c r="L375" t="s">
        <v>121</v>
      </c>
      <c r="N375" s="6" t="s">
        <v>1306</v>
      </c>
      <c r="O375" t="s">
        <v>1307</v>
      </c>
      <c r="P375" t="s">
        <v>170</v>
      </c>
      <c r="Q375" t="s">
        <v>1308</v>
      </c>
      <c r="R375" t="s">
        <v>1309</v>
      </c>
      <c r="S375">
        <v>2012</v>
      </c>
      <c r="T375" t="s">
        <v>128</v>
      </c>
      <c r="U375" t="s">
        <v>154</v>
      </c>
      <c r="V375">
        <v>60</v>
      </c>
      <c r="AD375">
        <v>1</v>
      </c>
      <c r="AE375">
        <v>1.6666667E-2</v>
      </c>
      <c r="AF375">
        <v>200</v>
      </c>
      <c r="AG375">
        <v>0</v>
      </c>
      <c r="AK375">
        <v>0</v>
      </c>
      <c r="AL375">
        <v>0</v>
      </c>
      <c r="AN375" t="s">
        <v>132</v>
      </c>
      <c r="BN375">
        <v>330</v>
      </c>
      <c r="CE37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75" s="19">
        <f>SUM(Table1[[#This Row],[Mid39]],Table1[[#This Row],[Mid36]],Table1[[#This Row],[Mid33]],Table1[[#This Row],[Mid30]],Table1[[#This Row],[Mid27]],Table1[[#This Row],[Mid24]],Table1[[#This Row],[Mid21]],Table1[[#This Row],[Mid18]],Table1[[#This Row],[Mid15]],Table1[[#This Row],[Mid12]],Table1[[#This Row],[Mid9]],Table1[[#This Row],[Mid6]],Table1[[#This Row],[Mid3]],Table1[[#This Row],[Mid]])</f>
        <v>330</v>
      </c>
      <c r="CG37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75" t="s">
        <v>157</v>
      </c>
      <c r="CI375" t="s">
        <v>189</v>
      </c>
      <c r="CJ375" t="s">
        <v>158</v>
      </c>
      <c r="CL375" s="19">
        <f>IF(Table1[[#This Row],[Type]]="Petroleum",1,IF(ISERROR(Table1[[#This Row],[Well Density]]*Table1[[#This Row],[Single Well Discovery Area]]),"",IF(Table1[[#This Row],[Well Density]]*Table1[[#This Row],[Single Well Discovery Area]]&gt;1,1,Table1[[#This Row],[Well Density]]*Table1[[#This Row],[Single Well Discovery Area]])))</f>
        <v>1</v>
      </c>
      <c r="CM375" t="s">
        <v>158</v>
      </c>
      <c r="CN375" s="19">
        <f>Table1[[#This Row],[Mid]]</f>
        <v>0</v>
      </c>
      <c r="CO375" s="19">
        <f>Table1[[#This Row],[Mid3]]+Table1[[#This Row],[Mid6]]+Table1[[#This Row],[Mid9]]</f>
        <v>0</v>
      </c>
      <c r="CP375" s="19">
        <f>Table1[[#This Row],[Mid12]]+Table1[[#This Row],[Mid15]]+Table1[[#This Row],[Mid18]]+Table1[[#This Row],[Mid21]]+Table1[[#This Row],[Mid24]]</f>
        <v>330</v>
      </c>
      <c r="CQ375" s="19">
        <f>Table1[[#This Row],[Mid27]]+Table1[[#This Row],[Mid30]]+Table1[[#This Row],[Mid33]]+Table1[[#This Row],[Mid36]]+Table1[[#This Row],[Mid39]]</f>
        <v>0</v>
      </c>
      <c r="CR375" t="s">
        <v>471</v>
      </c>
      <c r="CS375" s="19" t="str">
        <f>IF(AND(Table1[[#This Row],[Low41]]=0, Table1[[#This Row],[High43]]=0),"N","Y")</f>
        <v>N</v>
      </c>
    </row>
    <row r="376" spans="1:97" ht="19.5" customHeight="1" x14ac:dyDescent="0.25">
      <c r="A376">
        <v>10373</v>
      </c>
      <c r="B376" t="s">
        <v>1302</v>
      </c>
      <c r="C376" t="s">
        <v>1338</v>
      </c>
      <c r="D376">
        <v>27.076944439999998</v>
      </c>
      <c r="E376">
        <v>-103.37</v>
      </c>
      <c r="F376" t="s">
        <v>1343</v>
      </c>
      <c r="I376" t="s">
        <v>118</v>
      </c>
      <c r="J376" t="s">
        <v>119</v>
      </c>
      <c r="K376" t="s">
        <v>120</v>
      </c>
      <c r="L376" t="s">
        <v>121</v>
      </c>
      <c r="N376" s="6" t="s">
        <v>1306</v>
      </c>
      <c r="O376" t="s">
        <v>1307</v>
      </c>
      <c r="P376" t="s">
        <v>170</v>
      </c>
      <c r="Q376" t="s">
        <v>1308</v>
      </c>
      <c r="R376" t="s">
        <v>1309</v>
      </c>
      <c r="S376">
        <v>2012</v>
      </c>
      <c r="T376" t="s">
        <v>128</v>
      </c>
      <c r="U376" t="s">
        <v>154</v>
      </c>
      <c r="V376">
        <v>55</v>
      </c>
      <c r="AD376">
        <v>1</v>
      </c>
      <c r="AE376">
        <v>1.8181817999999999E-2</v>
      </c>
      <c r="AF376">
        <v>200</v>
      </c>
      <c r="AG376">
        <v>0</v>
      </c>
      <c r="AK376">
        <v>0</v>
      </c>
      <c r="AL376">
        <v>0</v>
      </c>
      <c r="AN376" t="s">
        <v>132</v>
      </c>
      <c r="BN376">
        <v>1200</v>
      </c>
      <c r="CE37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76" s="19">
        <f>SUM(Table1[[#This Row],[Mid39]],Table1[[#This Row],[Mid36]],Table1[[#This Row],[Mid33]],Table1[[#This Row],[Mid30]],Table1[[#This Row],[Mid27]],Table1[[#This Row],[Mid24]],Table1[[#This Row],[Mid21]],Table1[[#This Row],[Mid18]],Table1[[#This Row],[Mid15]],Table1[[#This Row],[Mid12]],Table1[[#This Row],[Mid9]],Table1[[#This Row],[Mid6]],Table1[[#This Row],[Mid3]],Table1[[#This Row],[Mid]])</f>
        <v>1200</v>
      </c>
      <c r="CG37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76" t="s">
        <v>157</v>
      </c>
      <c r="CI376" t="s">
        <v>189</v>
      </c>
      <c r="CJ376" t="s">
        <v>158</v>
      </c>
      <c r="CL376" s="19">
        <f>IF(Table1[[#This Row],[Type]]="Petroleum",1,IF(ISERROR(Table1[[#This Row],[Well Density]]*Table1[[#This Row],[Single Well Discovery Area]]),"",IF(Table1[[#This Row],[Well Density]]*Table1[[#This Row],[Single Well Discovery Area]]&gt;1,1,Table1[[#This Row],[Well Density]]*Table1[[#This Row],[Single Well Discovery Area]])))</f>
        <v>1</v>
      </c>
      <c r="CM376" t="s">
        <v>158</v>
      </c>
      <c r="CN376" s="19">
        <f>Table1[[#This Row],[Mid]]</f>
        <v>0</v>
      </c>
      <c r="CO376" s="19">
        <f>Table1[[#This Row],[Mid3]]+Table1[[#This Row],[Mid6]]+Table1[[#This Row],[Mid9]]</f>
        <v>0</v>
      </c>
      <c r="CP376" s="19">
        <f>Table1[[#This Row],[Mid12]]+Table1[[#This Row],[Mid15]]+Table1[[#This Row],[Mid18]]+Table1[[#This Row],[Mid21]]+Table1[[#This Row],[Mid24]]</f>
        <v>1200</v>
      </c>
      <c r="CQ376" s="19">
        <f>Table1[[#This Row],[Mid27]]+Table1[[#This Row],[Mid30]]+Table1[[#This Row],[Mid33]]+Table1[[#This Row],[Mid36]]+Table1[[#This Row],[Mid39]]</f>
        <v>0</v>
      </c>
      <c r="CR376" t="s">
        <v>471</v>
      </c>
      <c r="CS376" s="19" t="str">
        <f>IF(AND(Table1[[#This Row],[Low41]]=0, Table1[[#This Row],[High43]]=0),"N","Y")</f>
        <v>N</v>
      </c>
    </row>
    <row r="377" spans="1:97" ht="19.5" customHeight="1" x14ac:dyDescent="0.25">
      <c r="A377">
        <v>10374</v>
      </c>
      <c r="B377" t="s">
        <v>1302</v>
      </c>
      <c r="C377" t="s">
        <v>1338</v>
      </c>
      <c r="D377">
        <v>27.591388890000001</v>
      </c>
      <c r="E377">
        <v>-101.84472220000001</v>
      </c>
      <c r="F377" t="s">
        <v>1344</v>
      </c>
      <c r="G377" t="s">
        <v>1305</v>
      </c>
      <c r="I377" t="s">
        <v>118</v>
      </c>
      <c r="J377" t="s">
        <v>119</v>
      </c>
      <c r="K377" t="s">
        <v>120</v>
      </c>
      <c r="L377" t="s">
        <v>121</v>
      </c>
      <c r="N377" s="6" t="s">
        <v>1306</v>
      </c>
      <c r="O377" t="s">
        <v>1307</v>
      </c>
      <c r="P377" t="s">
        <v>170</v>
      </c>
      <c r="Q377" t="s">
        <v>1308</v>
      </c>
      <c r="R377" t="s">
        <v>1309</v>
      </c>
      <c r="S377">
        <v>2012</v>
      </c>
      <c r="T377" t="s">
        <v>128</v>
      </c>
      <c r="U377" t="s">
        <v>154</v>
      </c>
      <c r="V377">
        <v>65</v>
      </c>
      <c r="AD377">
        <v>1</v>
      </c>
      <c r="AE377">
        <v>1.5384615000000001E-2</v>
      </c>
      <c r="AF377">
        <v>200</v>
      </c>
      <c r="AG377">
        <v>0</v>
      </c>
      <c r="AK377">
        <v>0</v>
      </c>
      <c r="AL377">
        <v>0</v>
      </c>
      <c r="AN377" t="s">
        <v>132</v>
      </c>
      <c r="BN377">
        <v>60</v>
      </c>
      <c r="CE37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77" s="19">
        <f>SUM(Table1[[#This Row],[Mid39]],Table1[[#This Row],[Mid36]],Table1[[#This Row],[Mid33]],Table1[[#This Row],[Mid30]],Table1[[#This Row],[Mid27]],Table1[[#This Row],[Mid24]],Table1[[#This Row],[Mid21]],Table1[[#This Row],[Mid18]],Table1[[#This Row],[Mid15]],Table1[[#This Row],[Mid12]],Table1[[#This Row],[Mid9]],Table1[[#This Row],[Mid6]],Table1[[#This Row],[Mid3]],Table1[[#This Row],[Mid]])</f>
        <v>60</v>
      </c>
      <c r="CG37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77" t="s">
        <v>157</v>
      </c>
      <c r="CI377" t="s">
        <v>189</v>
      </c>
      <c r="CJ377" t="s">
        <v>158</v>
      </c>
      <c r="CL377" s="19">
        <f>IF(Table1[[#This Row],[Type]]="Petroleum",1,IF(ISERROR(Table1[[#This Row],[Well Density]]*Table1[[#This Row],[Single Well Discovery Area]]),"",IF(Table1[[#This Row],[Well Density]]*Table1[[#This Row],[Single Well Discovery Area]]&gt;1,1,Table1[[#This Row],[Well Density]]*Table1[[#This Row],[Single Well Discovery Area]])))</f>
        <v>1</v>
      </c>
      <c r="CM377" t="s">
        <v>158</v>
      </c>
      <c r="CN377" s="19">
        <f>Table1[[#This Row],[Mid]]</f>
        <v>0</v>
      </c>
      <c r="CO377" s="19">
        <f>Table1[[#This Row],[Mid3]]+Table1[[#This Row],[Mid6]]+Table1[[#This Row],[Mid9]]</f>
        <v>0</v>
      </c>
      <c r="CP377" s="19">
        <f>Table1[[#This Row],[Mid12]]+Table1[[#This Row],[Mid15]]+Table1[[#This Row],[Mid18]]+Table1[[#This Row],[Mid21]]+Table1[[#This Row],[Mid24]]</f>
        <v>60</v>
      </c>
      <c r="CQ377" s="19">
        <f>Table1[[#This Row],[Mid27]]+Table1[[#This Row],[Mid30]]+Table1[[#This Row],[Mid33]]+Table1[[#This Row],[Mid36]]+Table1[[#This Row],[Mid39]]</f>
        <v>0</v>
      </c>
      <c r="CR377" t="s">
        <v>471</v>
      </c>
      <c r="CS377" s="19" t="str">
        <f>IF(AND(Table1[[#This Row],[Low41]]=0, Table1[[#This Row],[High43]]=0),"N","Y")</f>
        <v>N</v>
      </c>
    </row>
    <row r="378" spans="1:97" ht="19.5" customHeight="1" x14ac:dyDescent="0.25">
      <c r="A378">
        <v>10375</v>
      </c>
      <c r="B378" t="s">
        <v>1302</v>
      </c>
      <c r="C378" t="s">
        <v>1338</v>
      </c>
      <c r="D378">
        <v>27.63027778</v>
      </c>
      <c r="E378">
        <v>-101.74861110000001</v>
      </c>
      <c r="F378" t="s">
        <v>1345</v>
      </c>
      <c r="G378" t="s">
        <v>1305</v>
      </c>
      <c r="I378" t="s">
        <v>118</v>
      </c>
      <c r="J378" t="s">
        <v>119</v>
      </c>
      <c r="K378" t="s">
        <v>120</v>
      </c>
      <c r="L378" t="s">
        <v>121</v>
      </c>
      <c r="N378" s="6" t="s">
        <v>1306</v>
      </c>
      <c r="O378" t="s">
        <v>1307</v>
      </c>
      <c r="P378" t="s">
        <v>170</v>
      </c>
      <c r="Q378" t="s">
        <v>1308</v>
      </c>
      <c r="R378" t="s">
        <v>1309</v>
      </c>
      <c r="S378">
        <v>2012</v>
      </c>
      <c r="T378" t="s">
        <v>128</v>
      </c>
      <c r="U378" t="s">
        <v>154</v>
      </c>
      <c r="V378">
        <v>60</v>
      </c>
      <c r="AD378">
        <v>1</v>
      </c>
      <c r="AE378">
        <v>1.6666667E-2</v>
      </c>
      <c r="AF378">
        <v>200</v>
      </c>
      <c r="AG378">
        <v>0</v>
      </c>
      <c r="AK378">
        <v>0</v>
      </c>
      <c r="AL378">
        <v>0</v>
      </c>
      <c r="AN378" t="s">
        <v>132</v>
      </c>
      <c r="BN378">
        <v>100</v>
      </c>
      <c r="CE37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78"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37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78" t="s">
        <v>157</v>
      </c>
      <c r="CI378" t="s">
        <v>189</v>
      </c>
      <c r="CJ378" t="s">
        <v>158</v>
      </c>
      <c r="CL378" s="19">
        <f>IF(Table1[[#This Row],[Type]]="Petroleum",1,IF(ISERROR(Table1[[#This Row],[Well Density]]*Table1[[#This Row],[Single Well Discovery Area]]),"",IF(Table1[[#This Row],[Well Density]]*Table1[[#This Row],[Single Well Discovery Area]]&gt;1,1,Table1[[#This Row],[Well Density]]*Table1[[#This Row],[Single Well Discovery Area]])))</f>
        <v>1</v>
      </c>
      <c r="CM378" t="s">
        <v>158</v>
      </c>
      <c r="CN378" s="19">
        <f>Table1[[#This Row],[Mid]]</f>
        <v>0</v>
      </c>
      <c r="CO378" s="19">
        <f>Table1[[#This Row],[Mid3]]+Table1[[#This Row],[Mid6]]+Table1[[#This Row],[Mid9]]</f>
        <v>0</v>
      </c>
      <c r="CP378" s="19">
        <f>Table1[[#This Row],[Mid12]]+Table1[[#This Row],[Mid15]]+Table1[[#This Row],[Mid18]]+Table1[[#This Row],[Mid21]]+Table1[[#This Row],[Mid24]]</f>
        <v>100</v>
      </c>
      <c r="CQ378" s="19">
        <f>Table1[[#This Row],[Mid27]]+Table1[[#This Row],[Mid30]]+Table1[[#This Row],[Mid33]]+Table1[[#This Row],[Mid36]]+Table1[[#This Row],[Mid39]]</f>
        <v>0</v>
      </c>
      <c r="CR378" t="s">
        <v>471</v>
      </c>
      <c r="CS378" s="19" t="str">
        <f>IF(AND(Table1[[#This Row],[Low41]]=0, Table1[[#This Row],[High43]]=0),"N","Y")</f>
        <v>N</v>
      </c>
    </row>
    <row r="379" spans="1:97" ht="19.5" customHeight="1" x14ac:dyDescent="0.25">
      <c r="A379">
        <v>10376</v>
      </c>
      <c r="B379" t="s">
        <v>1302</v>
      </c>
      <c r="C379" t="s">
        <v>1338</v>
      </c>
      <c r="D379">
        <v>27.985277780000001</v>
      </c>
      <c r="E379">
        <v>-101.0483333</v>
      </c>
      <c r="F379" t="s">
        <v>1346</v>
      </c>
      <c r="G379" t="s">
        <v>1305</v>
      </c>
      <c r="I379" t="s">
        <v>118</v>
      </c>
      <c r="J379" t="s">
        <v>119</v>
      </c>
      <c r="K379" t="s">
        <v>120</v>
      </c>
      <c r="L379" t="s">
        <v>121</v>
      </c>
      <c r="N379" s="6" t="s">
        <v>1306</v>
      </c>
      <c r="O379" t="s">
        <v>1307</v>
      </c>
      <c r="P379" t="s">
        <v>170</v>
      </c>
      <c r="Q379" t="s">
        <v>1308</v>
      </c>
      <c r="R379" t="s">
        <v>1309</v>
      </c>
      <c r="S379">
        <v>2012</v>
      </c>
      <c r="T379" t="s">
        <v>128</v>
      </c>
      <c r="U379" t="s">
        <v>154</v>
      </c>
      <c r="V379">
        <v>55</v>
      </c>
      <c r="AD379">
        <v>1</v>
      </c>
      <c r="AE379">
        <v>1.8181817999999999E-2</v>
      </c>
      <c r="AF379">
        <v>200</v>
      </c>
      <c r="AG379">
        <v>0</v>
      </c>
      <c r="AK379">
        <v>0</v>
      </c>
      <c r="AL379">
        <v>0</v>
      </c>
      <c r="AN379" t="s">
        <v>132</v>
      </c>
      <c r="BN379">
        <v>730</v>
      </c>
      <c r="CE37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79" s="19">
        <f>SUM(Table1[[#This Row],[Mid39]],Table1[[#This Row],[Mid36]],Table1[[#This Row],[Mid33]],Table1[[#This Row],[Mid30]],Table1[[#This Row],[Mid27]],Table1[[#This Row],[Mid24]],Table1[[#This Row],[Mid21]],Table1[[#This Row],[Mid18]],Table1[[#This Row],[Mid15]],Table1[[#This Row],[Mid12]],Table1[[#This Row],[Mid9]],Table1[[#This Row],[Mid6]],Table1[[#This Row],[Mid3]],Table1[[#This Row],[Mid]])</f>
        <v>730</v>
      </c>
      <c r="CG37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79" t="s">
        <v>157</v>
      </c>
      <c r="CI379" t="s">
        <v>189</v>
      </c>
      <c r="CJ379" t="s">
        <v>158</v>
      </c>
      <c r="CL379" s="19">
        <f>IF(Table1[[#This Row],[Type]]="Petroleum",1,IF(ISERROR(Table1[[#This Row],[Well Density]]*Table1[[#This Row],[Single Well Discovery Area]]),"",IF(Table1[[#This Row],[Well Density]]*Table1[[#This Row],[Single Well Discovery Area]]&gt;1,1,Table1[[#This Row],[Well Density]]*Table1[[#This Row],[Single Well Discovery Area]])))</f>
        <v>1</v>
      </c>
      <c r="CM379" t="s">
        <v>158</v>
      </c>
      <c r="CN379" s="19">
        <f>Table1[[#This Row],[Mid]]</f>
        <v>0</v>
      </c>
      <c r="CO379" s="19">
        <f>Table1[[#This Row],[Mid3]]+Table1[[#This Row],[Mid6]]+Table1[[#This Row],[Mid9]]</f>
        <v>0</v>
      </c>
      <c r="CP379" s="19">
        <f>Table1[[#This Row],[Mid12]]+Table1[[#This Row],[Mid15]]+Table1[[#This Row],[Mid18]]+Table1[[#This Row],[Mid21]]+Table1[[#This Row],[Mid24]]</f>
        <v>730</v>
      </c>
      <c r="CQ379" s="19">
        <f>Table1[[#This Row],[Mid27]]+Table1[[#This Row],[Mid30]]+Table1[[#This Row],[Mid33]]+Table1[[#This Row],[Mid36]]+Table1[[#This Row],[Mid39]]</f>
        <v>0</v>
      </c>
      <c r="CR379" t="s">
        <v>471</v>
      </c>
      <c r="CS379" s="19" t="str">
        <f>IF(AND(Table1[[#This Row],[Low41]]=0, Table1[[#This Row],[High43]]=0),"N","Y")</f>
        <v>N</v>
      </c>
    </row>
    <row r="380" spans="1:97" ht="19.5" customHeight="1" x14ac:dyDescent="0.25">
      <c r="A380">
        <v>10377</v>
      </c>
      <c r="B380" t="s">
        <v>1302</v>
      </c>
      <c r="C380" t="s">
        <v>1338</v>
      </c>
      <c r="D380">
        <v>27.47472222</v>
      </c>
      <c r="E380">
        <v>-100.5347222</v>
      </c>
      <c r="F380" t="s">
        <v>1347</v>
      </c>
      <c r="G380" t="s">
        <v>1305</v>
      </c>
      <c r="I380" t="s">
        <v>118</v>
      </c>
      <c r="J380" t="s">
        <v>119</v>
      </c>
      <c r="K380" t="s">
        <v>120</v>
      </c>
      <c r="L380" t="s">
        <v>121</v>
      </c>
      <c r="N380" s="6" t="s">
        <v>1306</v>
      </c>
      <c r="O380" t="s">
        <v>1307</v>
      </c>
      <c r="P380" t="s">
        <v>170</v>
      </c>
      <c r="Q380" t="s">
        <v>1308</v>
      </c>
      <c r="R380" t="s">
        <v>1309</v>
      </c>
      <c r="S380">
        <v>2012</v>
      </c>
      <c r="T380" t="s">
        <v>128</v>
      </c>
      <c r="U380" t="s">
        <v>154</v>
      </c>
      <c r="V380">
        <v>70</v>
      </c>
      <c r="AD380">
        <v>1</v>
      </c>
      <c r="AE380">
        <v>1.4285714E-2</v>
      </c>
      <c r="AF380">
        <v>200</v>
      </c>
      <c r="AG380">
        <v>0</v>
      </c>
      <c r="AK380">
        <v>0</v>
      </c>
      <c r="AL380">
        <v>0</v>
      </c>
      <c r="AN380" t="s">
        <v>132</v>
      </c>
      <c r="BN380">
        <v>720</v>
      </c>
      <c r="CE38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80" s="19">
        <f>SUM(Table1[[#This Row],[Mid39]],Table1[[#This Row],[Mid36]],Table1[[#This Row],[Mid33]],Table1[[#This Row],[Mid30]],Table1[[#This Row],[Mid27]],Table1[[#This Row],[Mid24]],Table1[[#This Row],[Mid21]],Table1[[#This Row],[Mid18]],Table1[[#This Row],[Mid15]],Table1[[#This Row],[Mid12]],Table1[[#This Row],[Mid9]],Table1[[#This Row],[Mid6]],Table1[[#This Row],[Mid3]],Table1[[#This Row],[Mid]])</f>
        <v>720</v>
      </c>
      <c r="CG38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80" t="s">
        <v>157</v>
      </c>
      <c r="CI380" t="s">
        <v>189</v>
      </c>
      <c r="CJ380" t="s">
        <v>158</v>
      </c>
      <c r="CL380" s="19">
        <f>IF(Table1[[#This Row],[Type]]="Petroleum",1,IF(ISERROR(Table1[[#This Row],[Well Density]]*Table1[[#This Row],[Single Well Discovery Area]]),"",IF(Table1[[#This Row],[Well Density]]*Table1[[#This Row],[Single Well Discovery Area]]&gt;1,1,Table1[[#This Row],[Well Density]]*Table1[[#This Row],[Single Well Discovery Area]])))</f>
        <v>1</v>
      </c>
      <c r="CM380" t="s">
        <v>158</v>
      </c>
      <c r="CN380" s="19">
        <f>Table1[[#This Row],[Mid]]</f>
        <v>0</v>
      </c>
      <c r="CO380" s="19">
        <f>Table1[[#This Row],[Mid3]]+Table1[[#This Row],[Mid6]]+Table1[[#This Row],[Mid9]]</f>
        <v>0</v>
      </c>
      <c r="CP380" s="19">
        <f>Table1[[#This Row],[Mid12]]+Table1[[#This Row],[Mid15]]+Table1[[#This Row],[Mid18]]+Table1[[#This Row],[Mid21]]+Table1[[#This Row],[Mid24]]</f>
        <v>720</v>
      </c>
      <c r="CQ380" s="19">
        <f>Table1[[#This Row],[Mid27]]+Table1[[#This Row],[Mid30]]+Table1[[#This Row],[Mid33]]+Table1[[#This Row],[Mid36]]+Table1[[#This Row],[Mid39]]</f>
        <v>0</v>
      </c>
      <c r="CR380" t="s">
        <v>471</v>
      </c>
      <c r="CS380" s="19" t="str">
        <f>IF(AND(Table1[[#This Row],[Low41]]=0, Table1[[#This Row],[High43]]=0),"N","Y")</f>
        <v>N</v>
      </c>
    </row>
    <row r="381" spans="1:97" ht="19.5" customHeight="1" x14ac:dyDescent="0.25">
      <c r="A381">
        <v>10378</v>
      </c>
      <c r="B381" t="s">
        <v>1302</v>
      </c>
      <c r="C381" t="s">
        <v>1338</v>
      </c>
      <c r="D381">
        <v>27.028888890000001</v>
      </c>
      <c r="E381">
        <v>-100.2094444</v>
      </c>
      <c r="F381" t="s">
        <v>1348</v>
      </c>
      <c r="G381" t="s">
        <v>1305</v>
      </c>
      <c r="I381" t="s">
        <v>118</v>
      </c>
      <c r="J381" t="s">
        <v>119</v>
      </c>
      <c r="K381" t="s">
        <v>120</v>
      </c>
      <c r="L381" t="s">
        <v>121</v>
      </c>
      <c r="N381" s="6" t="s">
        <v>1306</v>
      </c>
      <c r="O381" t="s">
        <v>1307</v>
      </c>
      <c r="P381" t="s">
        <v>170</v>
      </c>
      <c r="Q381" t="s">
        <v>1308</v>
      </c>
      <c r="R381" t="s">
        <v>1309</v>
      </c>
      <c r="S381">
        <v>2012</v>
      </c>
      <c r="T381" t="s">
        <v>128</v>
      </c>
      <c r="U381" t="s">
        <v>154</v>
      </c>
      <c r="V381">
        <v>60</v>
      </c>
      <c r="AD381">
        <v>1</v>
      </c>
      <c r="AE381">
        <v>1.6666667E-2</v>
      </c>
      <c r="AF381">
        <v>200</v>
      </c>
      <c r="AG381">
        <v>0</v>
      </c>
      <c r="AK381">
        <v>0</v>
      </c>
      <c r="AL381">
        <v>0</v>
      </c>
      <c r="AN381" t="s">
        <v>132</v>
      </c>
      <c r="BN381">
        <v>1130</v>
      </c>
      <c r="CE38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81" s="19">
        <f>SUM(Table1[[#This Row],[Mid39]],Table1[[#This Row],[Mid36]],Table1[[#This Row],[Mid33]],Table1[[#This Row],[Mid30]],Table1[[#This Row],[Mid27]],Table1[[#This Row],[Mid24]],Table1[[#This Row],[Mid21]],Table1[[#This Row],[Mid18]],Table1[[#This Row],[Mid15]],Table1[[#This Row],[Mid12]],Table1[[#This Row],[Mid9]],Table1[[#This Row],[Mid6]],Table1[[#This Row],[Mid3]],Table1[[#This Row],[Mid]])</f>
        <v>1130</v>
      </c>
      <c r="CG38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81" t="s">
        <v>157</v>
      </c>
      <c r="CI381" t="s">
        <v>189</v>
      </c>
      <c r="CJ381" t="s">
        <v>158</v>
      </c>
      <c r="CL381" s="19">
        <f>IF(Table1[[#This Row],[Type]]="Petroleum",1,IF(ISERROR(Table1[[#This Row],[Well Density]]*Table1[[#This Row],[Single Well Discovery Area]]),"",IF(Table1[[#This Row],[Well Density]]*Table1[[#This Row],[Single Well Discovery Area]]&gt;1,1,Table1[[#This Row],[Well Density]]*Table1[[#This Row],[Single Well Discovery Area]])))</f>
        <v>1</v>
      </c>
      <c r="CM381" t="s">
        <v>158</v>
      </c>
      <c r="CN381" s="19">
        <f>Table1[[#This Row],[Mid]]</f>
        <v>0</v>
      </c>
      <c r="CO381" s="19">
        <f>Table1[[#This Row],[Mid3]]+Table1[[#This Row],[Mid6]]+Table1[[#This Row],[Mid9]]</f>
        <v>0</v>
      </c>
      <c r="CP381" s="19">
        <f>Table1[[#This Row],[Mid12]]+Table1[[#This Row],[Mid15]]+Table1[[#This Row],[Mid18]]+Table1[[#This Row],[Mid21]]+Table1[[#This Row],[Mid24]]</f>
        <v>1130</v>
      </c>
      <c r="CQ381" s="19">
        <f>Table1[[#This Row],[Mid27]]+Table1[[#This Row],[Mid30]]+Table1[[#This Row],[Mid33]]+Table1[[#This Row],[Mid36]]+Table1[[#This Row],[Mid39]]</f>
        <v>0</v>
      </c>
      <c r="CR381" t="s">
        <v>471</v>
      </c>
      <c r="CS381" s="19" t="str">
        <f>IF(AND(Table1[[#This Row],[Low41]]=0, Table1[[#This Row],[High43]]=0),"N","Y")</f>
        <v>N</v>
      </c>
    </row>
    <row r="382" spans="1:97" ht="19.5" customHeight="1" x14ac:dyDescent="0.25">
      <c r="A382">
        <v>10379</v>
      </c>
      <c r="B382" t="s">
        <v>1302</v>
      </c>
      <c r="C382" t="s">
        <v>1338</v>
      </c>
      <c r="D382">
        <v>26.491111109999999</v>
      </c>
      <c r="E382">
        <v>-100.2227778</v>
      </c>
      <c r="F382" t="s">
        <v>1349</v>
      </c>
      <c r="G382" t="s">
        <v>1305</v>
      </c>
      <c r="I382" t="s">
        <v>118</v>
      </c>
      <c r="J382" t="s">
        <v>119</v>
      </c>
      <c r="K382" t="s">
        <v>120</v>
      </c>
      <c r="L382" t="s">
        <v>121</v>
      </c>
      <c r="N382" s="6" t="s">
        <v>1306</v>
      </c>
      <c r="O382" t="s">
        <v>1307</v>
      </c>
      <c r="P382" t="s">
        <v>170</v>
      </c>
      <c r="Q382" t="s">
        <v>1308</v>
      </c>
      <c r="R382" t="s">
        <v>1309</v>
      </c>
      <c r="S382">
        <v>2012</v>
      </c>
      <c r="T382" t="s">
        <v>128</v>
      </c>
      <c r="U382" t="s">
        <v>154</v>
      </c>
      <c r="V382">
        <v>65</v>
      </c>
      <c r="AD382">
        <v>1</v>
      </c>
      <c r="AE382">
        <v>1.5384615000000001E-2</v>
      </c>
      <c r="AF382">
        <v>200</v>
      </c>
      <c r="AG382">
        <v>0</v>
      </c>
      <c r="AK382">
        <v>0</v>
      </c>
      <c r="AL382">
        <v>0</v>
      </c>
      <c r="AN382" t="s">
        <v>132</v>
      </c>
      <c r="BN382">
        <v>6630</v>
      </c>
      <c r="CE38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82" s="19">
        <f>SUM(Table1[[#This Row],[Mid39]],Table1[[#This Row],[Mid36]],Table1[[#This Row],[Mid33]],Table1[[#This Row],[Mid30]],Table1[[#This Row],[Mid27]],Table1[[#This Row],[Mid24]],Table1[[#This Row],[Mid21]],Table1[[#This Row],[Mid18]],Table1[[#This Row],[Mid15]],Table1[[#This Row],[Mid12]],Table1[[#This Row],[Mid9]],Table1[[#This Row],[Mid6]],Table1[[#This Row],[Mid3]],Table1[[#This Row],[Mid]])</f>
        <v>6630</v>
      </c>
      <c r="CG38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82" t="s">
        <v>157</v>
      </c>
      <c r="CI382" t="s">
        <v>189</v>
      </c>
      <c r="CJ382" t="s">
        <v>158</v>
      </c>
      <c r="CL382" s="19">
        <f>IF(Table1[[#This Row],[Type]]="Petroleum",1,IF(ISERROR(Table1[[#This Row],[Well Density]]*Table1[[#This Row],[Single Well Discovery Area]]),"",IF(Table1[[#This Row],[Well Density]]*Table1[[#This Row],[Single Well Discovery Area]]&gt;1,1,Table1[[#This Row],[Well Density]]*Table1[[#This Row],[Single Well Discovery Area]])))</f>
        <v>1</v>
      </c>
      <c r="CM382" t="s">
        <v>158</v>
      </c>
      <c r="CN382" s="19">
        <f>Table1[[#This Row],[Mid]]</f>
        <v>0</v>
      </c>
      <c r="CO382" s="19">
        <f>Table1[[#This Row],[Mid3]]+Table1[[#This Row],[Mid6]]+Table1[[#This Row],[Mid9]]</f>
        <v>0</v>
      </c>
      <c r="CP382" s="19">
        <f>Table1[[#This Row],[Mid12]]+Table1[[#This Row],[Mid15]]+Table1[[#This Row],[Mid18]]+Table1[[#This Row],[Mid21]]+Table1[[#This Row],[Mid24]]</f>
        <v>6630</v>
      </c>
      <c r="CQ382" s="19">
        <f>Table1[[#This Row],[Mid27]]+Table1[[#This Row],[Mid30]]+Table1[[#This Row],[Mid33]]+Table1[[#This Row],[Mid36]]+Table1[[#This Row],[Mid39]]</f>
        <v>0</v>
      </c>
      <c r="CR382" t="s">
        <v>471</v>
      </c>
      <c r="CS382" s="19" t="str">
        <f>IF(AND(Table1[[#This Row],[Low41]]=0, Table1[[#This Row],[High43]]=0),"N","Y")</f>
        <v>N</v>
      </c>
    </row>
    <row r="383" spans="1:97" ht="19.5" customHeight="1" x14ac:dyDescent="0.25">
      <c r="A383">
        <v>10380</v>
      </c>
      <c r="B383" t="s">
        <v>1302</v>
      </c>
      <c r="C383" t="s">
        <v>1350</v>
      </c>
      <c r="D383">
        <v>17.429166670000001</v>
      </c>
      <c r="E383">
        <v>-94.896388889999997</v>
      </c>
      <c r="F383" t="s">
        <v>1351</v>
      </c>
      <c r="G383" t="s">
        <v>1352</v>
      </c>
      <c r="I383" t="s">
        <v>118</v>
      </c>
      <c r="J383" t="s">
        <v>119</v>
      </c>
      <c r="K383" t="s">
        <v>120</v>
      </c>
      <c r="L383" t="s">
        <v>121</v>
      </c>
      <c r="N383" s="6" t="s">
        <v>1306</v>
      </c>
      <c r="O383" t="s">
        <v>1307</v>
      </c>
      <c r="P383" t="s">
        <v>170</v>
      </c>
      <c r="Q383" t="s">
        <v>1308</v>
      </c>
      <c r="R383" t="s">
        <v>1309</v>
      </c>
      <c r="S383">
        <v>2012</v>
      </c>
      <c r="T383" t="s">
        <v>128</v>
      </c>
      <c r="U383" t="s">
        <v>154</v>
      </c>
      <c r="V383">
        <v>50</v>
      </c>
      <c r="AD383">
        <v>1</v>
      </c>
      <c r="AE383">
        <v>0.02</v>
      </c>
      <c r="AF383">
        <v>200</v>
      </c>
      <c r="AG383">
        <v>0</v>
      </c>
      <c r="AK383">
        <v>0</v>
      </c>
      <c r="AL383">
        <v>0</v>
      </c>
      <c r="AN383" t="s">
        <v>132</v>
      </c>
      <c r="BN383">
        <v>2220</v>
      </c>
      <c r="CE38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83" s="19">
        <f>SUM(Table1[[#This Row],[Mid39]],Table1[[#This Row],[Mid36]],Table1[[#This Row],[Mid33]],Table1[[#This Row],[Mid30]],Table1[[#This Row],[Mid27]],Table1[[#This Row],[Mid24]],Table1[[#This Row],[Mid21]],Table1[[#This Row],[Mid18]],Table1[[#This Row],[Mid15]],Table1[[#This Row],[Mid12]],Table1[[#This Row],[Mid9]],Table1[[#This Row],[Mid6]],Table1[[#This Row],[Mid3]],Table1[[#This Row],[Mid]])</f>
        <v>2220</v>
      </c>
      <c r="CG38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83" t="s">
        <v>157</v>
      </c>
      <c r="CI383" t="s">
        <v>189</v>
      </c>
      <c r="CJ383" t="s">
        <v>158</v>
      </c>
      <c r="CL383" s="19">
        <f>IF(Table1[[#This Row],[Type]]="Petroleum",1,IF(ISERROR(Table1[[#This Row],[Well Density]]*Table1[[#This Row],[Single Well Discovery Area]]),"",IF(Table1[[#This Row],[Well Density]]*Table1[[#This Row],[Single Well Discovery Area]]&gt;1,1,Table1[[#This Row],[Well Density]]*Table1[[#This Row],[Single Well Discovery Area]])))</f>
        <v>1</v>
      </c>
      <c r="CM383" t="s">
        <v>158</v>
      </c>
      <c r="CN383" s="19">
        <f>Table1[[#This Row],[Mid]]</f>
        <v>0</v>
      </c>
      <c r="CO383" s="19">
        <f>Table1[[#This Row],[Mid3]]+Table1[[#This Row],[Mid6]]+Table1[[#This Row],[Mid9]]</f>
        <v>0</v>
      </c>
      <c r="CP383" s="19">
        <f>Table1[[#This Row],[Mid12]]+Table1[[#This Row],[Mid15]]+Table1[[#This Row],[Mid18]]+Table1[[#This Row],[Mid21]]+Table1[[#This Row],[Mid24]]</f>
        <v>2220</v>
      </c>
      <c r="CQ383" s="19">
        <f>Table1[[#This Row],[Mid27]]+Table1[[#This Row],[Mid30]]+Table1[[#This Row],[Mid33]]+Table1[[#This Row],[Mid36]]+Table1[[#This Row],[Mid39]]</f>
        <v>0</v>
      </c>
      <c r="CR383" t="s">
        <v>471</v>
      </c>
      <c r="CS383" s="19" t="str">
        <f>IF(AND(Table1[[#This Row],[Low41]]=0, Table1[[#This Row],[High43]]=0),"N","Y")</f>
        <v>N</v>
      </c>
    </row>
    <row r="384" spans="1:97" ht="19.5" customHeight="1" x14ac:dyDescent="0.25">
      <c r="A384">
        <v>10381</v>
      </c>
      <c r="B384" t="s">
        <v>1302</v>
      </c>
      <c r="C384" t="s">
        <v>1350</v>
      </c>
      <c r="D384">
        <v>17.696944439999999</v>
      </c>
      <c r="E384">
        <v>-93.449444439999994</v>
      </c>
      <c r="F384" t="s">
        <v>1353</v>
      </c>
      <c r="G384" t="s">
        <v>1352</v>
      </c>
      <c r="I384" t="s">
        <v>118</v>
      </c>
      <c r="J384" t="s">
        <v>119</v>
      </c>
      <c r="K384" t="s">
        <v>120</v>
      </c>
      <c r="L384" t="s">
        <v>121</v>
      </c>
      <c r="N384" s="6" t="s">
        <v>1306</v>
      </c>
      <c r="O384" t="s">
        <v>1307</v>
      </c>
      <c r="P384" t="s">
        <v>170</v>
      </c>
      <c r="Q384" t="s">
        <v>1308</v>
      </c>
      <c r="R384" t="s">
        <v>1309</v>
      </c>
      <c r="S384">
        <v>2012</v>
      </c>
      <c r="T384" t="s">
        <v>128</v>
      </c>
      <c r="U384" t="s">
        <v>154</v>
      </c>
      <c r="V384">
        <v>35</v>
      </c>
      <c r="AD384">
        <v>1</v>
      </c>
      <c r="AE384">
        <v>2.8571428999999999E-2</v>
      </c>
      <c r="AF384">
        <v>200</v>
      </c>
      <c r="AG384">
        <v>0</v>
      </c>
      <c r="AK384">
        <v>0</v>
      </c>
      <c r="AL384">
        <v>0</v>
      </c>
      <c r="AN384" t="s">
        <v>132</v>
      </c>
      <c r="BN384">
        <v>260</v>
      </c>
      <c r="CE38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84" s="19">
        <f>SUM(Table1[[#This Row],[Mid39]],Table1[[#This Row],[Mid36]],Table1[[#This Row],[Mid33]],Table1[[#This Row],[Mid30]],Table1[[#This Row],[Mid27]],Table1[[#This Row],[Mid24]],Table1[[#This Row],[Mid21]],Table1[[#This Row],[Mid18]],Table1[[#This Row],[Mid15]],Table1[[#This Row],[Mid12]],Table1[[#This Row],[Mid9]],Table1[[#This Row],[Mid6]],Table1[[#This Row],[Mid3]],Table1[[#This Row],[Mid]])</f>
        <v>260</v>
      </c>
      <c r="CG38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84" t="s">
        <v>157</v>
      </c>
      <c r="CI384" t="s">
        <v>189</v>
      </c>
      <c r="CJ384" t="s">
        <v>158</v>
      </c>
      <c r="CL384" s="19">
        <f>IF(Table1[[#This Row],[Type]]="Petroleum",1,IF(ISERROR(Table1[[#This Row],[Well Density]]*Table1[[#This Row],[Single Well Discovery Area]]),"",IF(Table1[[#This Row],[Well Density]]*Table1[[#This Row],[Single Well Discovery Area]]&gt;1,1,Table1[[#This Row],[Well Density]]*Table1[[#This Row],[Single Well Discovery Area]])))</f>
        <v>1</v>
      </c>
      <c r="CM384" t="s">
        <v>158</v>
      </c>
      <c r="CN384" s="19">
        <f>Table1[[#This Row],[Mid]]</f>
        <v>0</v>
      </c>
      <c r="CO384" s="19">
        <f>Table1[[#This Row],[Mid3]]+Table1[[#This Row],[Mid6]]+Table1[[#This Row],[Mid9]]</f>
        <v>0</v>
      </c>
      <c r="CP384" s="19">
        <f>Table1[[#This Row],[Mid12]]+Table1[[#This Row],[Mid15]]+Table1[[#This Row],[Mid18]]+Table1[[#This Row],[Mid21]]+Table1[[#This Row],[Mid24]]</f>
        <v>260</v>
      </c>
      <c r="CQ384" s="19">
        <f>Table1[[#This Row],[Mid27]]+Table1[[#This Row],[Mid30]]+Table1[[#This Row],[Mid33]]+Table1[[#This Row],[Mid36]]+Table1[[#This Row],[Mid39]]</f>
        <v>0</v>
      </c>
      <c r="CR384" t="s">
        <v>471</v>
      </c>
      <c r="CS384" s="19" t="str">
        <f>IF(AND(Table1[[#This Row],[Low41]]=0, Table1[[#This Row],[High43]]=0),"N","Y")</f>
        <v>N</v>
      </c>
    </row>
    <row r="385" spans="1:97" ht="19.5" customHeight="1" x14ac:dyDescent="0.25">
      <c r="A385">
        <v>10382</v>
      </c>
      <c r="B385" t="s">
        <v>1302</v>
      </c>
      <c r="C385" t="s">
        <v>1350</v>
      </c>
      <c r="D385">
        <v>18.191111110000001</v>
      </c>
      <c r="E385">
        <v>-93.128333330000004</v>
      </c>
      <c r="F385" t="s">
        <v>1354</v>
      </c>
      <c r="G385" t="s">
        <v>1352</v>
      </c>
      <c r="I385" t="s">
        <v>118</v>
      </c>
      <c r="J385" t="s">
        <v>119</v>
      </c>
      <c r="K385" t="s">
        <v>120</v>
      </c>
      <c r="L385" t="s">
        <v>121</v>
      </c>
      <c r="N385" s="6" t="s">
        <v>1306</v>
      </c>
      <c r="O385" t="s">
        <v>1307</v>
      </c>
      <c r="P385" t="s">
        <v>170</v>
      </c>
      <c r="Q385" t="s">
        <v>1308</v>
      </c>
      <c r="R385" t="s">
        <v>1309</v>
      </c>
      <c r="S385">
        <v>2012</v>
      </c>
      <c r="T385" t="s">
        <v>128</v>
      </c>
      <c r="U385" t="s">
        <v>154</v>
      </c>
      <c r="V385">
        <v>40</v>
      </c>
      <c r="AD385">
        <v>1</v>
      </c>
      <c r="AE385">
        <v>2.5000000000000001E-2</v>
      </c>
      <c r="AF385">
        <v>200</v>
      </c>
      <c r="AG385">
        <v>0</v>
      </c>
      <c r="AK385">
        <v>0</v>
      </c>
      <c r="AL385">
        <v>0</v>
      </c>
      <c r="AN385" t="s">
        <v>132</v>
      </c>
      <c r="BN385">
        <v>1840</v>
      </c>
      <c r="CE38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85" s="19">
        <f>SUM(Table1[[#This Row],[Mid39]],Table1[[#This Row],[Mid36]],Table1[[#This Row],[Mid33]],Table1[[#This Row],[Mid30]],Table1[[#This Row],[Mid27]],Table1[[#This Row],[Mid24]],Table1[[#This Row],[Mid21]],Table1[[#This Row],[Mid18]],Table1[[#This Row],[Mid15]],Table1[[#This Row],[Mid12]],Table1[[#This Row],[Mid9]],Table1[[#This Row],[Mid6]],Table1[[#This Row],[Mid3]],Table1[[#This Row],[Mid]])</f>
        <v>1840</v>
      </c>
      <c r="CG38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85" t="s">
        <v>157</v>
      </c>
      <c r="CI385" t="s">
        <v>189</v>
      </c>
      <c r="CJ385" t="s">
        <v>158</v>
      </c>
      <c r="CL385" s="19">
        <f>IF(Table1[[#This Row],[Type]]="Petroleum",1,IF(ISERROR(Table1[[#This Row],[Well Density]]*Table1[[#This Row],[Single Well Discovery Area]]),"",IF(Table1[[#This Row],[Well Density]]*Table1[[#This Row],[Single Well Discovery Area]]&gt;1,1,Table1[[#This Row],[Well Density]]*Table1[[#This Row],[Single Well Discovery Area]])))</f>
        <v>1</v>
      </c>
      <c r="CM385" t="s">
        <v>158</v>
      </c>
      <c r="CN385" s="19">
        <f>Table1[[#This Row],[Mid]]</f>
        <v>0</v>
      </c>
      <c r="CO385" s="19">
        <f>Table1[[#This Row],[Mid3]]+Table1[[#This Row],[Mid6]]+Table1[[#This Row],[Mid9]]</f>
        <v>0</v>
      </c>
      <c r="CP385" s="19">
        <f>Table1[[#This Row],[Mid12]]+Table1[[#This Row],[Mid15]]+Table1[[#This Row],[Mid18]]+Table1[[#This Row],[Mid21]]+Table1[[#This Row],[Mid24]]</f>
        <v>1840</v>
      </c>
      <c r="CQ385" s="19">
        <f>Table1[[#This Row],[Mid27]]+Table1[[#This Row],[Mid30]]+Table1[[#This Row],[Mid33]]+Table1[[#This Row],[Mid36]]+Table1[[#This Row],[Mid39]]</f>
        <v>0</v>
      </c>
      <c r="CR385" t="s">
        <v>471</v>
      </c>
      <c r="CS385" s="19" t="str">
        <f>IF(AND(Table1[[#This Row],[Low41]]=0, Table1[[#This Row],[High43]]=0),"N","Y")</f>
        <v>N</v>
      </c>
    </row>
    <row r="386" spans="1:97" ht="19.5" customHeight="1" x14ac:dyDescent="0.25">
      <c r="A386">
        <v>10383</v>
      </c>
      <c r="B386" t="s">
        <v>1302</v>
      </c>
      <c r="C386" t="s">
        <v>1350</v>
      </c>
      <c r="D386">
        <v>18.844722220000001</v>
      </c>
      <c r="E386">
        <v>-92.43</v>
      </c>
      <c r="F386" t="s">
        <v>1355</v>
      </c>
      <c r="G386" t="s">
        <v>1352</v>
      </c>
      <c r="I386" t="s">
        <v>118</v>
      </c>
      <c r="J386" t="s">
        <v>119</v>
      </c>
      <c r="K386" t="s">
        <v>120</v>
      </c>
      <c r="L386" t="s">
        <v>121</v>
      </c>
      <c r="N386" s="6" t="s">
        <v>1306</v>
      </c>
      <c r="O386" t="s">
        <v>1307</v>
      </c>
      <c r="P386" t="s">
        <v>170</v>
      </c>
      <c r="Q386" t="s">
        <v>1308</v>
      </c>
      <c r="R386" t="s">
        <v>1309</v>
      </c>
      <c r="S386">
        <v>2012</v>
      </c>
      <c r="T386" t="s">
        <v>128</v>
      </c>
      <c r="U386" t="s">
        <v>154</v>
      </c>
      <c r="V386">
        <v>75</v>
      </c>
      <c r="AD386">
        <v>2</v>
      </c>
      <c r="AE386">
        <v>2.6666667000000002E-2</v>
      </c>
      <c r="AF386">
        <v>200</v>
      </c>
      <c r="AG386">
        <v>0</v>
      </c>
      <c r="AK386">
        <v>0</v>
      </c>
      <c r="AL386">
        <v>0</v>
      </c>
      <c r="AN386" t="s">
        <v>132</v>
      </c>
      <c r="BN386">
        <v>1410</v>
      </c>
      <c r="CE38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86" s="19">
        <f>SUM(Table1[[#This Row],[Mid39]],Table1[[#This Row],[Mid36]],Table1[[#This Row],[Mid33]],Table1[[#This Row],[Mid30]],Table1[[#This Row],[Mid27]],Table1[[#This Row],[Mid24]],Table1[[#This Row],[Mid21]],Table1[[#This Row],[Mid18]],Table1[[#This Row],[Mid15]],Table1[[#This Row],[Mid12]],Table1[[#This Row],[Mid9]],Table1[[#This Row],[Mid6]],Table1[[#This Row],[Mid3]],Table1[[#This Row],[Mid]])</f>
        <v>1410</v>
      </c>
      <c r="CG38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86" t="s">
        <v>157</v>
      </c>
      <c r="CI386" t="s">
        <v>189</v>
      </c>
      <c r="CJ386" t="s">
        <v>158</v>
      </c>
      <c r="CL386" s="19">
        <f>IF(Table1[[#This Row],[Type]]="Petroleum",1,IF(ISERROR(Table1[[#This Row],[Well Density]]*Table1[[#This Row],[Single Well Discovery Area]]),"",IF(Table1[[#This Row],[Well Density]]*Table1[[#This Row],[Single Well Discovery Area]]&gt;1,1,Table1[[#This Row],[Well Density]]*Table1[[#This Row],[Single Well Discovery Area]])))</f>
        <v>1</v>
      </c>
      <c r="CM386" t="s">
        <v>158</v>
      </c>
      <c r="CN386" s="19">
        <f>Table1[[#This Row],[Mid]]</f>
        <v>0</v>
      </c>
      <c r="CO386" s="19">
        <f>Table1[[#This Row],[Mid3]]+Table1[[#This Row],[Mid6]]+Table1[[#This Row],[Mid9]]</f>
        <v>0</v>
      </c>
      <c r="CP386" s="19">
        <f>Table1[[#This Row],[Mid12]]+Table1[[#This Row],[Mid15]]+Table1[[#This Row],[Mid18]]+Table1[[#This Row],[Mid21]]+Table1[[#This Row],[Mid24]]</f>
        <v>1410</v>
      </c>
      <c r="CQ386" s="19">
        <f>Table1[[#This Row],[Mid27]]+Table1[[#This Row],[Mid30]]+Table1[[#This Row],[Mid33]]+Table1[[#This Row],[Mid36]]+Table1[[#This Row],[Mid39]]</f>
        <v>0</v>
      </c>
      <c r="CR386" t="s">
        <v>471</v>
      </c>
      <c r="CS386" s="19" t="str">
        <f>IF(AND(Table1[[#This Row],[Low41]]=0, Table1[[#This Row],[High43]]=0),"N","Y")</f>
        <v>N</v>
      </c>
    </row>
    <row r="387" spans="1:97" ht="19.5" customHeight="1" x14ac:dyDescent="0.25">
      <c r="A387">
        <v>10384</v>
      </c>
      <c r="B387" t="s">
        <v>1302</v>
      </c>
      <c r="C387" t="s">
        <v>1350</v>
      </c>
      <c r="D387">
        <v>18.63138889</v>
      </c>
      <c r="E387">
        <v>-91.9375</v>
      </c>
      <c r="F387" t="s">
        <v>1356</v>
      </c>
      <c r="G387" t="s">
        <v>1352</v>
      </c>
      <c r="I387" t="s">
        <v>118</v>
      </c>
      <c r="J387" t="s">
        <v>119</v>
      </c>
      <c r="K387" t="s">
        <v>120</v>
      </c>
      <c r="L387" t="s">
        <v>121</v>
      </c>
      <c r="N387" s="6" t="s">
        <v>1306</v>
      </c>
      <c r="O387" t="s">
        <v>1307</v>
      </c>
      <c r="P387" t="s">
        <v>170</v>
      </c>
      <c r="Q387" t="s">
        <v>1308</v>
      </c>
      <c r="R387" t="s">
        <v>1309</v>
      </c>
      <c r="S387">
        <v>2012</v>
      </c>
      <c r="T387" t="s">
        <v>128</v>
      </c>
      <c r="U387" t="s">
        <v>154</v>
      </c>
      <c r="V387">
        <v>35</v>
      </c>
      <c r="AD387">
        <v>1</v>
      </c>
      <c r="AE387">
        <v>2.8571428999999999E-2</v>
      </c>
      <c r="AF387">
        <v>200</v>
      </c>
      <c r="AG387">
        <v>0</v>
      </c>
      <c r="AK387">
        <v>0</v>
      </c>
      <c r="AL387">
        <v>0</v>
      </c>
      <c r="AN387" t="s">
        <v>132</v>
      </c>
      <c r="BN387">
        <v>210</v>
      </c>
      <c r="CE38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87" s="19">
        <f>SUM(Table1[[#This Row],[Mid39]],Table1[[#This Row],[Mid36]],Table1[[#This Row],[Mid33]],Table1[[#This Row],[Mid30]],Table1[[#This Row],[Mid27]],Table1[[#This Row],[Mid24]],Table1[[#This Row],[Mid21]],Table1[[#This Row],[Mid18]],Table1[[#This Row],[Mid15]],Table1[[#This Row],[Mid12]],Table1[[#This Row],[Mid9]],Table1[[#This Row],[Mid6]],Table1[[#This Row],[Mid3]],Table1[[#This Row],[Mid]])</f>
        <v>210</v>
      </c>
      <c r="CG38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87" t="s">
        <v>157</v>
      </c>
      <c r="CI387" t="s">
        <v>189</v>
      </c>
      <c r="CJ387" t="s">
        <v>158</v>
      </c>
      <c r="CL387" s="19">
        <f>IF(Table1[[#This Row],[Type]]="Petroleum",1,IF(ISERROR(Table1[[#This Row],[Well Density]]*Table1[[#This Row],[Single Well Discovery Area]]),"",IF(Table1[[#This Row],[Well Density]]*Table1[[#This Row],[Single Well Discovery Area]]&gt;1,1,Table1[[#This Row],[Well Density]]*Table1[[#This Row],[Single Well Discovery Area]])))</f>
        <v>1</v>
      </c>
      <c r="CM387" t="s">
        <v>158</v>
      </c>
      <c r="CN387" s="19">
        <f>Table1[[#This Row],[Mid]]</f>
        <v>0</v>
      </c>
      <c r="CO387" s="19">
        <f>Table1[[#This Row],[Mid3]]+Table1[[#This Row],[Mid6]]+Table1[[#This Row],[Mid9]]</f>
        <v>0</v>
      </c>
      <c r="CP387" s="19">
        <f>Table1[[#This Row],[Mid12]]+Table1[[#This Row],[Mid15]]+Table1[[#This Row],[Mid18]]+Table1[[#This Row],[Mid21]]+Table1[[#This Row],[Mid24]]</f>
        <v>210</v>
      </c>
      <c r="CQ387" s="19">
        <f>Table1[[#This Row],[Mid27]]+Table1[[#This Row],[Mid30]]+Table1[[#This Row],[Mid33]]+Table1[[#This Row],[Mid36]]+Table1[[#This Row],[Mid39]]</f>
        <v>0</v>
      </c>
      <c r="CR387" t="s">
        <v>471</v>
      </c>
      <c r="CS387" s="19" t="str">
        <f>IF(AND(Table1[[#This Row],[Low41]]=0, Table1[[#This Row],[High43]]=0),"N","Y")</f>
        <v>N</v>
      </c>
    </row>
    <row r="388" spans="1:97" ht="19.5" customHeight="1" x14ac:dyDescent="0.25">
      <c r="A388">
        <v>10385</v>
      </c>
      <c r="B388" t="s">
        <v>1302</v>
      </c>
      <c r="C388" t="s">
        <v>1350</v>
      </c>
      <c r="D388">
        <v>17.96611111</v>
      </c>
      <c r="E388">
        <v>-93.222499999999997</v>
      </c>
      <c r="F388" t="s">
        <v>1357</v>
      </c>
      <c r="G388" t="s">
        <v>1352</v>
      </c>
      <c r="I388" t="s">
        <v>118</v>
      </c>
      <c r="J388" t="s">
        <v>119</v>
      </c>
      <c r="K388" t="s">
        <v>120</v>
      </c>
      <c r="L388" t="s">
        <v>121</v>
      </c>
      <c r="N388" s="6" t="s">
        <v>1306</v>
      </c>
      <c r="O388" t="s">
        <v>1307</v>
      </c>
      <c r="P388" t="s">
        <v>170</v>
      </c>
      <c r="Q388" t="s">
        <v>1308</v>
      </c>
      <c r="R388" t="s">
        <v>1309</v>
      </c>
      <c r="S388">
        <v>2012</v>
      </c>
      <c r="T388" t="s">
        <v>128</v>
      </c>
      <c r="U388" t="s">
        <v>154</v>
      </c>
      <c r="V388">
        <v>260</v>
      </c>
      <c r="AD388">
        <v>3</v>
      </c>
      <c r="AE388">
        <v>1.1538461999999999E-2</v>
      </c>
      <c r="AF388">
        <v>200</v>
      </c>
      <c r="AG388">
        <v>0</v>
      </c>
      <c r="AK388">
        <v>0</v>
      </c>
      <c r="AL388">
        <v>0</v>
      </c>
      <c r="AN388" t="s">
        <v>132</v>
      </c>
      <c r="BN388">
        <v>4810</v>
      </c>
      <c r="CE38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88" s="19">
        <f>SUM(Table1[[#This Row],[Mid39]],Table1[[#This Row],[Mid36]],Table1[[#This Row],[Mid33]],Table1[[#This Row],[Mid30]],Table1[[#This Row],[Mid27]],Table1[[#This Row],[Mid24]],Table1[[#This Row],[Mid21]],Table1[[#This Row],[Mid18]],Table1[[#This Row],[Mid15]],Table1[[#This Row],[Mid12]],Table1[[#This Row],[Mid9]],Table1[[#This Row],[Mid6]],Table1[[#This Row],[Mid3]],Table1[[#This Row],[Mid]])</f>
        <v>4810</v>
      </c>
      <c r="CG38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88" t="s">
        <v>157</v>
      </c>
      <c r="CI388" t="s">
        <v>189</v>
      </c>
      <c r="CJ388" t="s">
        <v>158</v>
      </c>
      <c r="CL388" s="19">
        <f>IF(Table1[[#This Row],[Type]]="Petroleum",1,IF(ISERROR(Table1[[#This Row],[Well Density]]*Table1[[#This Row],[Single Well Discovery Area]]),"",IF(Table1[[#This Row],[Well Density]]*Table1[[#This Row],[Single Well Discovery Area]]&gt;1,1,Table1[[#This Row],[Well Density]]*Table1[[#This Row],[Single Well Discovery Area]])))</f>
        <v>1</v>
      </c>
      <c r="CM388" t="s">
        <v>158</v>
      </c>
      <c r="CN388" s="19">
        <f>Table1[[#This Row],[Mid]]</f>
        <v>0</v>
      </c>
      <c r="CO388" s="19">
        <f>Table1[[#This Row],[Mid3]]+Table1[[#This Row],[Mid6]]+Table1[[#This Row],[Mid9]]</f>
        <v>0</v>
      </c>
      <c r="CP388" s="19">
        <f>Table1[[#This Row],[Mid12]]+Table1[[#This Row],[Mid15]]+Table1[[#This Row],[Mid18]]+Table1[[#This Row],[Mid21]]+Table1[[#This Row],[Mid24]]</f>
        <v>4810</v>
      </c>
      <c r="CQ388" s="19">
        <f>Table1[[#This Row],[Mid27]]+Table1[[#This Row],[Mid30]]+Table1[[#This Row],[Mid33]]+Table1[[#This Row],[Mid36]]+Table1[[#This Row],[Mid39]]</f>
        <v>0</v>
      </c>
      <c r="CR388" t="s">
        <v>471</v>
      </c>
      <c r="CS388" s="19" t="str">
        <f>IF(AND(Table1[[#This Row],[Low41]]=0, Table1[[#This Row],[High43]]=0),"N","Y")</f>
        <v>N</v>
      </c>
    </row>
    <row r="389" spans="1:97" ht="19.5" customHeight="1" x14ac:dyDescent="0.25">
      <c r="A389">
        <v>10386</v>
      </c>
      <c r="B389" t="s">
        <v>1302</v>
      </c>
      <c r="C389" t="s">
        <v>1350</v>
      </c>
      <c r="D389">
        <v>18.157499999999999</v>
      </c>
      <c r="E389">
        <v>-92.963611110000002</v>
      </c>
      <c r="F389" t="s">
        <v>1358</v>
      </c>
      <c r="G389" t="s">
        <v>1352</v>
      </c>
      <c r="I389" t="s">
        <v>118</v>
      </c>
      <c r="J389" t="s">
        <v>119</v>
      </c>
      <c r="K389" t="s">
        <v>120</v>
      </c>
      <c r="L389" t="s">
        <v>18</v>
      </c>
      <c r="N389" s="6" t="s">
        <v>1306</v>
      </c>
      <c r="O389" t="s">
        <v>1307</v>
      </c>
      <c r="P389" t="s">
        <v>170</v>
      </c>
      <c r="Q389" t="s">
        <v>1308</v>
      </c>
      <c r="R389" t="s">
        <v>1333</v>
      </c>
      <c r="S389">
        <v>2012</v>
      </c>
      <c r="T389" t="s">
        <v>128</v>
      </c>
      <c r="U389" t="s">
        <v>154</v>
      </c>
      <c r="V389">
        <v>55</v>
      </c>
      <c r="AD389">
        <v>0</v>
      </c>
      <c r="AE389">
        <v>0</v>
      </c>
      <c r="AF389">
        <v>200</v>
      </c>
      <c r="AG389">
        <v>0</v>
      </c>
      <c r="AK389">
        <v>0</v>
      </c>
      <c r="AL389">
        <v>0</v>
      </c>
      <c r="AN389" t="s">
        <v>132</v>
      </c>
      <c r="CC389">
        <v>7670</v>
      </c>
      <c r="CE38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89" s="19">
        <f>SUM(Table1[[#This Row],[Mid39]],Table1[[#This Row],[Mid36]],Table1[[#This Row],[Mid33]],Table1[[#This Row],[Mid30]],Table1[[#This Row],[Mid27]],Table1[[#This Row],[Mid24]],Table1[[#This Row],[Mid21]],Table1[[#This Row],[Mid18]],Table1[[#This Row],[Mid15]],Table1[[#This Row],[Mid12]],Table1[[#This Row],[Mid9]],Table1[[#This Row],[Mid6]],Table1[[#This Row],[Mid3]],Table1[[#This Row],[Mid]])</f>
        <v>7670</v>
      </c>
      <c r="CG38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89" t="s">
        <v>157</v>
      </c>
      <c r="CI389" t="s">
        <v>189</v>
      </c>
      <c r="CJ389" t="s">
        <v>158</v>
      </c>
      <c r="CL389" s="19">
        <f>IF(Table1[[#This Row],[Type]]="Petroleum",1,IF(ISERROR(Table1[[#This Row],[Well Density]]*Table1[[#This Row],[Single Well Discovery Area]]),"",IF(Table1[[#This Row],[Well Density]]*Table1[[#This Row],[Single Well Discovery Area]]&gt;1,1,Table1[[#This Row],[Well Density]]*Table1[[#This Row],[Single Well Discovery Area]])))</f>
        <v>0</v>
      </c>
      <c r="CM389" t="s">
        <v>158</v>
      </c>
      <c r="CN389" s="19">
        <f>Table1[[#This Row],[Mid]]</f>
        <v>0</v>
      </c>
      <c r="CO389" s="19">
        <f>Table1[[#This Row],[Mid3]]+Table1[[#This Row],[Mid6]]+Table1[[#This Row],[Mid9]]</f>
        <v>0</v>
      </c>
      <c r="CP389" s="19">
        <f>Table1[[#This Row],[Mid12]]+Table1[[#This Row],[Mid15]]+Table1[[#This Row],[Mid18]]+Table1[[#This Row],[Mid21]]+Table1[[#This Row],[Mid24]]</f>
        <v>0</v>
      </c>
      <c r="CQ389" s="19">
        <f>Table1[[#This Row],[Mid27]]+Table1[[#This Row],[Mid30]]+Table1[[#This Row],[Mid33]]+Table1[[#This Row],[Mid36]]+Table1[[#This Row],[Mid39]]</f>
        <v>7670</v>
      </c>
      <c r="CR389" t="s">
        <v>471</v>
      </c>
      <c r="CS389" s="19" t="str">
        <f>IF(AND(Table1[[#This Row],[Low41]]=0, Table1[[#This Row],[High43]]=0),"N","Y")</f>
        <v>N</v>
      </c>
    </row>
    <row r="390" spans="1:97" ht="19.5" customHeight="1" x14ac:dyDescent="0.25">
      <c r="A390">
        <v>10387</v>
      </c>
      <c r="B390" t="s">
        <v>1302</v>
      </c>
      <c r="C390" t="s">
        <v>1350</v>
      </c>
      <c r="D390">
        <v>18.500833329999999</v>
      </c>
      <c r="E390">
        <v>-92.75972222</v>
      </c>
      <c r="F390" t="s">
        <v>1359</v>
      </c>
      <c r="G390" t="s">
        <v>1352</v>
      </c>
      <c r="I390" t="s">
        <v>118</v>
      </c>
      <c r="J390" t="s">
        <v>119</v>
      </c>
      <c r="K390" t="s">
        <v>120</v>
      </c>
      <c r="L390" t="s">
        <v>121</v>
      </c>
      <c r="N390" s="6" t="s">
        <v>1306</v>
      </c>
      <c r="O390" t="s">
        <v>1307</v>
      </c>
      <c r="P390" t="s">
        <v>170</v>
      </c>
      <c r="Q390" t="s">
        <v>1308</v>
      </c>
      <c r="R390" t="s">
        <v>1309</v>
      </c>
      <c r="S390">
        <v>2012</v>
      </c>
      <c r="T390" t="s">
        <v>128</v>
      </c>
      <c r="U390" t="s">
        <v>154</v>
      </c>
      <c r="V390">
        <v>120</v>
      </c>
      <c r="AD390">
        <v>1</v>
      </c>
      <c r="AE390">
        <v>8.3333330000000001E-3</v>
      </c>
      <c r="AF390">
        <v>200</v>
      </c>
      <c r="AG390">
        <v>0</v>
      </c>
      <c r="AK390">
        <v>0</v>
      </c>
      <c r="AL390">
        <v>0</v>
      </c>
      <c r="AN390" t="s">
        <v>132</v>
      </c>
      <c r="BN390">
        <v>1680</v>
      </c>
      <c r="CE39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90" s="19">
        <f>SUM(Table1[[#This Row],[Mid39]],Table1[[#This Row],[Mid36]],Table1[[#This Row],[Mid33]],Table1[[#This Row],[Mid30]],Table1[[#This Row],[Mid27]],Table1[[#This Row],[Mid24]],Table1[[#This Row],[Mid21]],Table1[[#This Row],[Mid18]],Table1[[#This Row],[Mid15]],Table1[[#This Row],[Mid12]],Table1[[#This Row],[Mid9]],Table1[[#This Row],[Mid6]],Table1[[#This Row],[Mid3]],Table1[[#This Row],[Mid]])</f>
        <v>1680</v>
      </c>
      <c r="CG39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90" t="s">
        <v>157</v>
      </c>
      <c r="CI390" t="s">
        <v>189</v>
      </c>
      <c r="CJ390" t="s">
        <v>158</v>
      </c>
      <c r="CL390" s="19">
        <f>IF(Table1[[#This Row],[Type]]="Petroleum",1,IF(ISERROR(Table1[[#This Row],[Well Density]]*Table1[[#This Row],[Single Well Discovery Area]]),"",IF(Table1[[#This Row],[Well Density]]*Table1[[#This Row],[Single Well Discovery Area]]&gt;1,1,Table1[[#This Row],[Well Density]]*Table1[[#This Row],[Single Well Discovery Area]])))</f>
        <v>1</v>
      </c>
      <c r="CM390" t="s">
        <v>158</v>
      </c>
      <c r="CN390" s="19">
        <f>Table1[[#This Row],[Mid]]</f>
        <v>0</v>
      </c>
      <c r="CO390" s="19">
        <f>Table1[[#This Row],[Mid3]]+Table1[[#This Row],[Mid6]]+Table1[[#This Row],[Mid9]]</f>
        <v>0</v>
      </c>
      <c r="CP390" s="19">
        <f>Table1[[#This Row],[Mid12]]+Table1[[#This Row],[Mid15]]+Table1[[#This Row],[Mid18]]+Table1[[#This Row],[Mid21]]+Table1[[#This Row],[Mid24]]</f>
        <v>1680</v>
      </c>
      <c r="CQ390" s="19">
        <f>Table1[[#This Row],[Mid27]]+Table1[[#This Row],[Mid30]]+Table1[[#This Row],[Mid33]]+Table1[[#This Row],[Mid36]]+Table1[[#This Row],[Mid39]]</f>
        <v>0</v>
      </c>
      <c r="CR390" t="s">
        <v>471</v>
      </c>
      <c r="CS390" s="19" t="str">
        <f>IF(AND(Table1[[#This Row],[Low41]]=0, Table1[[#This Row],[High43]]=0),"N","Y")</f>
        <v>N</v>
      </c>
    </row>
    <row r="391" spans="1:97" ht="19.5" customHeight="1" x14ac:dyDescent="0.25">
      <c r="A391">
        <v>10388</v>
      </c>
      <c r="B391" t="s">
        <v>1302</v>
      </c>
      <c r="C391" t="s">
        <v>1350</v>
      </c>
      <c r="D391">
        <v>18.69166667</v>
      </c>
      <c r="E391">
        <v>-92.623888890000003</v>
      </c>
      <c r="F391" t="s">
        <v>1360</v>
      </c>
      <c r="G391" t="s">
        <v>1352</v>
      </c>
      <c r="I391" t="s">
        <v>118</v>
      </c>
      <c r="J391" t="s">
        <v>119</v>
      </c>
      <c r="K391" t="s">
        <v>120</v>
      </c>
      <c r="L391" t="s">
        <v>121</v>
      </c>
      <c r="N391" s="6" t="s">
        <v>1306</v>
      </c>
      <c r="O391" t="s">
        <v>1307</v>
      </c>
      <c r="P391" t="s">
        <v>170</v>
      </c>
      <c r="Q391" t="s">
        <v>1308</v>
      </c>
      <c r="R391" t="s">
        <v>1309</v>
      </c>
      <c r="S391">
        <v>2012</v>
      </c>
      <c r="T391" t="s">
        <v>128</v>
      </c>
      <c r="U391" t="s">
        <v>154</v>
      </c>
      <c r="V391">
        <v>60</v>
      </c>
      <c r="AD391">
        <v>1</v>
      </c>
      <c r="AE391">
        <v>1.6666667E-2</v>
      </c>
      <c r="AF391">
        <v>200</v>
      </c>
      <c r="AG391">
        <v>0</v>
      </c>
      <c r="AK391">
        <v>0</v>
      </c>
      <c r="AL391">
        <v>0</v>
      </c>
      <c r="AN391" t="s">
        <v>132</v>
      </c>
      <c r="BN391">
        <v>410</v>
      </c>
      <c r="CE39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91" s="19">
        <f>SUM(Table1[[#This Row],[Mid39]],Table1[[#This Row],[Mid36]],Table1[[#This Row],[Mid33]],Table1[[#This Row],[Mid30]],Table1[[#This Row],[Mid27]],Table1[[#This Row],[Mid24]],Table1[[#This Row],[Mid21]],Table1[[#This Row],[Mid18]],Table1[[#This Row],[Mid15]],Table1[[#This Row],[Mid12]],Table1[[#This Row],[Mid9]],Table1[[#This Row],[Mid6]],Table1[[#This Row],[Mid3]],Table1[[#This Row],[Mid]])</f>
        <v>410</v>
      </c>
      <c r="CG39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91" t="s">
        <v>157</v>
      </c>
      <c r="CI391" t="s">
        <v>189</v>
      </c>
      <c r="CJ391" t="s">
        <v>158</v>
      </c>
      <c r="CL391" s="19">
        <f>IF(Table1[[#This Row],[Type]]="Petroleum",1,IF(ISERROR(Table1[[#This Row],[Well Density]]*Table1[[#This Row],[Single Well Discovery Area]]),"",IF(Table1[[#This Row],[Well Density]]*Table1[[#This Row],[Single Well Discovery Area]]&gt;1,1,Table1[[#This Row],[Well Density]]*Table1[[#This Row],[Single Well Discovery Area]])))</f>
        <v>1</v>
      </c>
      <c r="CM391" t="s">
        <v>158</v>
      </c>
      <c r="CN391" s="19">
        <f>Table1[[#This Row],[Mid]]</f>
        <v>0</v>
      </c>
      <c r="CO391" s="19">
        <f>Table1[[#This Row],[Mid3]]+Table1[[#This Row],[Mid6]]+Table1[[#This Row],[Mid9]]</f>
        <v>0</v>
      </c>
      <c r="CP391" s="19">
        <f>Table1[[#This Row],[Mid12]]+Table1[[#This Row],[Mid15]]+Table1[[#This Row],[Mid18]]+Table1[[#This Row],[Mid21]]+Table1[[#This Row],[Mid24]]</f>
        <v>410</v>
      </c>
      <c r="CQ391" s="19">
        <f>Table1[[#This Row],[Mid27]]+Table1[[#This Row],[Mid30]]+Table1[[#This Row],[Mid33]]+Table1[[#This Row],[Mid36]]+Table1[[#This Row],[Mid39]]</f>
        <v>0</v>
      </c>
      <c r="CR391" t="s">
        <v>471</v>
      </c>
      <c r="CS391" s="19" t="str">
        <f>IF(AND(Table1[[#This Row],[Low41]]=0, Table1[[#This Row],[High43]]=0),"N","Y")</f>
        <v>N</v>
      </c>
    </row>
    <row r="392" spans="1:97" ht="19.5" customHeight="1" x14ac:dyDescent="0.25">
      <c r="A392">
        <v>10389</v>
      </c>
      <c r="B392" t="s">
        <v>1302</v>
      </c>
      <c r="C392" t="s">
        <v>1350</v>
      </c>
      <c r="D392">
        <v>18.763055560000002</v>
      </c>
      <c r="E392">
        <v>-92.571388889999994</v>
      </c>
      <c r="F392" t="s">
        <v>1361</v>
      </c>
      <c r="G392" t="s">
        <v>1352</v>
      </c>
      <c r="I392" t="s">
        <v>118</v>
      </c>
      <c r="J392" t="s">
        <v>119</v>
      </c>
      <c r="K392" t="s">
        <v>120</v>
      </c>
      <c r="L392" t="s">
        <v>121</v>
      </c>
      <c r="N392" s="6" t="s">
        <v>1306</v>
      </c>
      <c r="O392" t="s">
        <v>1307</v>
      </c>
      <c r="P392" t="s">
        <v>170</v>
      </c>
      <c r="Q392" t="s">
        <v>1308</v>
      </c>
      <c r="R392" t="s">
        <v>1309</v>
      </c>
      <c r="S392">
        <v>2012</v>
      </c>
      <c r="T392" t="s">
        <v>128</v>
      </c>
      <c r="U392" t="s">
        <v>154</v>
      </c>
      <c r="V392">
        <v>40</v>
      </c>
      <c r="AD392">
        <v>1</v>
      </c>
      <c r="AE392">
        <v>2.5000000000000001E-2</v>
      </c>
      <c r="AF392">
        <v>200</v>
      </c>
      <c r="AG392">
        <v>0</v>
      </c>
      <c r="AK392">
        <v>0</v>
      </c>
      <c r="AL392">
        <v>0</v>
      </c>
      <c r="AN392" t="s">
        <v>132</v>
      </c>
      <c r="BN392">
        <v>580</v>
      </c>
      <c r="CE39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92" s="19">
        <f>SUM(Table1[[#This Row],[Mid39]],Table1[[#This Row],[Mid36]],Table1[[#This Row],[Mid33]],Table1[[#This Row],[Mid30]],Table1[[#This Row],[Mid27]],Table1[[#This Row],[Mid24]],Table1[[#This Row],[Mid21]],Table1[[#This Row],[Mid18]],Table1[[#This Row],[Mid15]],Table1[[#This Row],[Mid12]],Table1[[#This Row],[Mid9]],Table1[[#This Row],[Mid6]],Table1[[#This Row],[Mid3]],Table1[[#This Row],[Mid]])</f>
        <v>580</v>
      </c>
      <c r="CG39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92" t="s">
        <v>157</v>
      </c>
      <c r="CI392" t="s">
        <v>189</v>
      </c>
      <c r="CJ392" t="s">
        <v>158</v>
      </c>
      <c r="CL392" s="19">
        <f>IF(Table1[[#This Row],[Type]]="Petroleum",1,IF(ISERROR(Table1[[#This Row],[Well Density]]*Table1[[#This Row],[Single Well Discovery Area]]),"",IF(Table1[[#This Row],[Well Density]]*Table1[[#This Row],[Single Well Discovery Area]]&gt;1,1,Table1[[#This Row],[Well Density]]*Table1[[#This Row],[Single Well Discovery Area]])))</f>
        <v>1</v>
      </c>
      <c r="CM392" t="s">
        <v>158</v>
      </c>
      <c r="CN392" s="19">
        <f>Table1[[#This Row],[Mid]]</f>
        <v>0</v>
      </c>
      <c r="CO392" s="19">
        <f>Table1[[#This Row],[Mid3]]+Table1[[#This Row],[Mid6]]+Table1[[#This Row],[Mid9]]</f>
        <v>0</v>
      </c>
      <c r="CP392" s="19">
        <f>Table1[[#This Row],[Mid12]]+Table1[[#This Row],[Mid15]]+Table1[[#This Row],[Mid18]]+Table1[[#This Row],[Mid21]]+Table1[[#This Row],[Mid24]]</f>
        <v>580</v>
      </c>
      <c r="CQ392" s="19">
        <f>Table1[[#This Row],[Mid27]]+Table1[[#This Row],[Mid30]]+Table1[[#This Row],[Mid33]]+Table1[[#This Row],[Mid36]]+Table1[[#This Row],[Mid39]]</f>
        <v>0</v>
      </c>
      <c r="CR392" t="s">
        <v>471</v>
      </c>
      <c r="CS392" s="19" t="str">
        <f>IF(AND(Table1[[#This Row],[Low41]]=0, Table1[[#This Row],[High43]]=0),"N","Y")</f>
        <v>N</v>
      </c>
    </row>
    <row r="393" spans="1:97" ht="19.5" customHeight="1" x14ac:dyDescent="0.25">
      <c r="A393">
        <v>10390</v>
      </c>
      <c r="B393" t="s">
        <v>1302</v>
      </c>
      <c r="C393" t="s">
        <v>1350</v>
      </c>
      <c r="D393">
        <v>19.130555560000001</v>
      </c>
      <c r="E393">
        <v>-92.491944439999997</v>
      </c>
      <c r="F393" t="s">
        <v>1362</v>
      </c>
      <c r="G393" t="s">
        <v>1352</v>
      </c>
      <c r="I393" t="s">
        <v>118</v>
      </c>
      <c r="J393" t="s">
        <v>119</v>
      </c>
      <c r="K393" t="s">
        <v>120</v>
      </c>
      <c r="L393" t="s">
        <v>121</v>
      </c>
      <c r="N393" s="6" t="s">
        <v>1306</v>
      </c>
      <c r="O393" t="s">
        <v>1307</v>
      </c>
      <c r="P393" t="s">
        <v>170</v>
      </c>
      <c r="Q393" t="s">
        <v>1308</v>
      </c>
      <c r="R393" t="s">
        <v>1309</v>
      </c>
      <c r="S393">
        <v>2012</v>
      </c>
      <c r="T393" t="s">
        <v>128</v>
      </c>
      <c r="U393" t="s">
        <v>154</v>
      </c>
      <c r="V393">
        <v>60</v>
      </c>
      <c r="AD393">
        <v>1</v>
      </c>
      <c r="AE393">
        <v>1.6666667E-2</v>
      </c>
      <c r="AF393">
        <v>200</v>
      </c>
      <c r="AG393">
        <v>0</v>
      </c>
      <c r="AK393">
        <v>0</v>
      </c>
      <c r="AL393">
        <v>0</v>
      </c>
      <c r="AN393" t="s">
        <v>132</v>
      </c>
      <c r="BN393">
        <v>450</v>
      </c>
      <c r="CE39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93" s="19">
        <f>SUM(Table1[[#This Row],[Mid39]],Table1[[#This Row],[Mid36]],Table1[[#This Row],[Mid33]],Table1[[#This Row],[Mid30]],Table1[[#This Row],[Mid27]],Table1[[#This Row],[Mid24]],Table1[[#This Row],[Mid21]],Table1[[#This Row],[Mid18]],Table1[[#This Row],[Mid15]],Table1[[#This Row],[Mid12]],Table1[[#This Row],[Mid9]],Table1[[#This Row],[Mid6]],Table1[[#This Row],[Mid3]],Table1[[#This Row],[Mid]])</f>
        <v>450</v>
      </c>
      <c r="CG39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93" t="s">
        <v>157</v>
      </c>
      <c r="CI393" t="s">
        <v>189</v>
      </c>
      <c r="CJ393" t="s">
        <v>158</v>
      </c>
      <c r="CL393" s="19">
        <f>IF(Table1[[#This Row],[Type]]="Petroleum",1,IF(ISERROR(Table1[[#This Row],[Well Density]]*Table1[[#This Row],[Single Well Discovery Area]]),"",IF(Table1[[#This Row],[Well Density]]*Table1[[#This Row],[Single Well Discovery Area]]&gt;1,1,Table1[[#This Row],[Well Density]]*Table1[[#This Row],[Single Well Discovery Area]])))</f>
        <v>1</v>
      </c>
      <c r="CM393" t="s">
        <v>158</v>
      </c>
      <c r="CN393" s="19">
        <f>Table1[[#This Row],[Mid]]</f>
        <v>0</v>
      </c>
      <c r="CO393" s="19">
        <f>Table1[[#This Row],[Mid3]]+Table1[[#This Row],[Mid6]]+Table1[[#This Row],[Mid9]]</f>
        <v>0</v>
      </c>
      <c r="CP393" s="19">
        <f>Table1[[#This Row],[Mid12]]+Table1[[#This Row],[Mid15]]+Table1[[#This Row],[Mid18]]+Table1[[#This Row],[Mid21]]+Table1[[#This Row],[Mid24]]</f>
        <v>450</v>
      </c>
      <c r="CQ393" s="19">
        <f>Table1[[#This Row],[Mid27]]+Table1[[#This Row],[Mid30]]+Table1[[#This Row],[Mid33]]+Table1[[#This Row],[Mid36]]+Table1[[#This Row],[Mid39]]</f>
        <v>0</v>
      </c>
      <c r="CR393" t="s">
        <v>471</v>
      </c>
      <c r="CS393" s="19" t="str">
        <f>IF(AND(Table1[[#This Row],[Low41]]=0, Table1[[#This Row],[High43]]=0),"N","Y")</f>
        <v>N</v>
      </c>
    </row>
    <row r="394" spans="1:97" ht="19.5" customHeight="1" x14ac:dyDescent="0.25">
      <c r="A394">
        <v>10391</v>
      </c>
      <c r="B394" t="s">
        <v>1302</v>
      </c>
      <c r="C394" t="s">
        <v>1350</v>
      </c>
      <c r="D394">
        <v>19.37833333</v>
      </c>
      <c r="E394">
        <v>-92.357222219999997</v>
      </c>
      <c r="F394" t="s">
        <v>1363</v>
      </c>
      <c r="G394" t="s">
        <v>1352</v>
      </c>
      <c r="I394" t="s">
        <v>118</v>
      </c>
      <c r="J394" t="s">
        <v>119</v>
      </c>
      <c r="K394" t="s">
        <v>120</v>
      </c>
      <c r="L394" t="s">
        <v>121</v>
      </c>
      <c r="N394" s="6" t="s">
        <v>1306</v>
      </c>
      <c r="O394" t="s">
        <v>1307</v>
      </c>
      <c r="P394" t="s">
        <v>170</v>
      </c>
      <c r="Q394" t="s">
        <v>1308</v>
      </c>
      <c r="R394" t="s">
        <v>1309</v>
      </c>
      <c r="S394">
        <v>2012</v>
      </c>
      <c r="T394" t="s">
        <v>128</v>
      </c>
      <c r="U394" t="s">
        <v>154</v>
      </c>
      <c r="V394">
        <v>30</v>
      </c>
      <c r="AD394">
        <v>1</v>
      </c>
      <c r="AE394">
        <v>3.3333333E-2</v>
      </c>
      <c r="AF394">
        <v>200</v>
      </c>
      <c r="AG394">
        <v>0</v>
      </c>
      <c r="AK394">
        <v>0</v>
      </c>
      <c r="AL394">
        <v>0</v>
      </c>
      <c r="AN394" t="s">
        <v>132</v>
      </c>
      <c r="BN394">
        <v>2700</v>
      </c>
      <c r="CE39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94" s="19">
        <f>SUM(Table1[[#This Row],[Mid39]],Table1[[#This Row],[Mid36]],Table1[[#This Row],[Mid33]],Table1[[#This Row],[Mid30]],Table1[[#This Row],[Mid27]],Table1[[#This Row],[Mid24]],Table1[[#This Row],[Mid21]],Table1[[#This Row],[Mid18]],Table1[[#This Row],[Mid15]],Table1[[#This Row],[Mid12]],Table1[[#This Row],[Mid9]],Table1[[#This Row],[Mid6]],Table1[[#This Row],[Mid3]],Table1[[#This Row],[Mid]])</f>
        <v>2700</v>
      </c>
      <c r="CG39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94" t="s">
        <v>157</v>
      </c>
      <c r="CI394" t="s">
        <v>189</v>
      </c>
      <c r="CJ394" t="s">
        <v>158</v>
      </c>
      <c r="CL394" s="19">
        <f>IF(Table1[[#This Row],[Type]]="Petroleum",1,IF(ISERROR(Table1[[#This Row],[Well Density]]*Table1[[#This Row],[Single Well Discovery Area]]),"",IF(Table1[[#This Row],[Well Density]]*Table1[[#This Row],[Single Well Discovery Area]]&gt;1,1,Table1[[#This Row],[Well Density]]*Table1[[#This Row],[Single Well Discovery Area]])))</f>
        <v>1</v>
      </c>
      <c r="CM394" t="s">
        <v>158</v>
      </c>
      <c r="CN394" s="19">
        <f>Table1[[#This Row],[Mid]]</f>
        <v>0</v>
      </c>
      <c r="CO394" s="19">
        <f>Table1[[#This Row],[Mid3]]+Table1[[#This Row],[Mid6]]+Table1[[#This Row],[Mid9]]</f>
        <v>0</v>
      </c>
      <c r="CP394" s="19">
        <f>Table1[[#This Row],[Mid12]]+Table1[[#This Row],[Mid15]]+Table1[[#This Row],[Mid18]]+Table1[[#This Row],[Mid21]]+Table1[[#This Row],[Mid24]]</f>
        <v>2700</v>
      </c>
      <c r="CQ394" s="19">
        <f>Table1[[#This Row],[Mid27]]+Table1[[#This Row],[Mid30]]+Table1[[#This Row],[Mid33]]+Table1[[#This Row],[Mid36]]+Table1[[#This Row],[Mid39]]</f>
        <v>0</v>
      </c>
      <c r="CR394" t="s">
        <v>471</v>
      </c>
      <c r="CS394" s="19" t="str">
        <f>IF(AND(Table1[[#This Row],[Low41]]=0, Table1[[#This Row],[High43]]=0),"N","Y")</f>
        <v>N</v>
      </c>
    </row>
    <row r="395" spans="1:97" ht="19.5" customHeight="1" x14ac:dyDescent="0.25">
      <c r="A395">
        <v>10392</v>
      </c>
      <c r="B395" t="s">
        <v>1302</v>
      </c>
      <c r="C395" t="s">
        <v>1364</v>
      </c>
      <c r="D395">
        <v>22.53388889</v>
      </c>
      <c r="E395">
        <v>-99.165833329999998</v>
      </c>
      <c r="F395" t="s">
        <v>1365</v>
      </c>
      <c r="G395" t="s">
        <v>1366</v>
      </c>
      <c r="I395" t="s">
        <v>118</v>
      </c>
      <c r="J395" t="s">
        <v>119</v>
      </c>
      <c r="K395" t="s">
        <v>120</v>
      </c>
      <c r="L395" t="s">
        <v>121</v>
      </c>
      <c r="N395" s="6" t="s">
        <v>1306</v>
      </c>
      <c r="O395" t="s">
        <v>1307</v>
      </c>
      <c r="P395" t="s">
        <v>170</v>
      </c>
      <c r="Q395" t="s">
        <v>1308</v>
      </c>
      <c r="R395" t="s">
        <v>1309</v>
      </c>
      <c r="S395">
        <v>2012</v>
      </c>
      <c r="T395" t="s">
        <v>128</v>
      </c>
      <c r="U395" t="s">
        <v>154</v>
      </c>
      <c r="V395">
        <v>50</v>
      </c>
      <c r="AD395">
        <v>1</v>
      </c>
      <c r="AE395">
        <v>0.02</v>
      </c>
      <c r="AF395">
        <v>200</v>
      </c>
      <c r="AG395">
        <v>0</v>
      </c>
      <c r="AK395">
        <v>0</v>
      </c>
      <c r="AL395">
        <v>0</v>
      </c>
      <c r="AN395" t="s">
        <v>132</v>
      </c>
      <c r="BN395">
        <v>150</v>
      </c>
      <c r="CE39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95" s="19">
        <f>SUM(Table1[[#This Row],[Mid39]],Table1[[#This Row],[Mid36]],Table1[[#This Row],[Mid33]],Table1[[#This Row],[Mid30]],Table1[[#This Row],[Mid27]],Table1[[#This Row],[Mid24]],Table1[[#This Row],[Mid21]],Table1[[#This Row],[Mid18]],Table1[[#This Row],[Mid15]],Table1[[#This Row],[Mid12]],Table1[[#This Row],[Mid9]],Table1[[#This Row],[Mid6]],Table1[[#This Row],[Mid3]],Table1[[#This Row],[Mid]])</f>
        <v>150</v>
      </c>
      <c r="CG39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95" t="s">
        <v>157</v>
      </c>
      <c r="CI395" t="s">
        <v>189</v>
      </c>
      <c r="CJ395" t="s">
        <v>158</v>
      </c>
      <c r="CL395" s="19">
        <f>IF(Table1[[#This Row],[Type]]="Petroleum",1,IF(ISERROR(Table1[[#This Row],[Well Density]]*Table1[[#This Row],[Single Well Discovery Area]]),"",IF(Table1[[#This Row],[Well Density]]*Table1[[#This Row],[Single Well Discovery Area]]&gt;1,1,Table1[[#This Row],[Well Density]]*Table1[[#This Row],[Single Well Discovery Area]])))</f>
        <v>1</v>
      </c>
      <c r="CM395" t="s">
        <v>158</v>
      </c>
      <c r="CN395" s="19">
        <f>Table1[[#This Row],[Mid]]</f>
        <v>0</v>
      </c>
      <c r="CO395" s="19">
        <f>Table1[[#This Row],[Mid3]]+Table1[[#This Row],[Mid6]]+Table1[[#This Row],[Mid9]]</f>
        <v>0</v>
      </c>
      <c r="CP395" s="19">
        <f>Table1[[#This Row],[Mid12]]+Table1[[#This Row],[Mid15]]+Table1[[#This Row],[Mid18]]+Table1[[#This Row],[Mid21]]+Table1[[#This Row],[Mid24]]</f>
        <v>150</v>
      </c>
      <c r="CQ395" s="19">
        <f>Table1[[#This Row],[Mid27]]+Table1[[#This Row],[Mid30]]+Table1[[#This Row],[Mid33]]+Table1[[#This Row],[Mid36]]+Table1[[#This Row],[Mid39]]</f>
        <v>0</v>
      </c>
      <c r="CR395" t="s">
        <v>471</v>
      </c>
      <c r="CS395" s="19" t="str">
        <f>IF(AND(Table1[[#This Row],[Low41]]=0, Table1[[#This Row],[High43]]=0),"N","Y")</f>
        <v>N</v>
      </c>
    </row>
    <row r="396" spans="1:97" ht="19.5" customHeight="1" x14ac:dyDescent="0.25">
      <c r="A396">
        <v>10393</v>
      </c>
      <c r="B396" t="s">
        <v>1302</v>
      </c>
      <c r="C396" t="s">
        <v>1364</v>
      </c>
      <c r="D396">
        <v>22.590277780000001</v>
      </c>
      <c r="E396">
        <v>-98.721666670000005</v>
      </c>
      <c r="F396" t="s">
        <v>1367</v>
      </c>
      <c r="G396" t="s">
        <v>1366</v>
      </c>
      <c r="I396" t="s">
        <v>118</v>
      </c>
      <c r="J396" t="s">
        <v>119</v>
      </c>
      <c r="K396" t="s">
        <v>120</v>
      </c>
      <c r="L396" t="s">
        <v>121</v>
      </c>
      <c r="N396" s="6" t="s">
        <v>1306</v>
      </c>
      <c r="O396" t="s">
        <v>1307</v>
      </c>
      <c r="P396" t="s">
        <v>170</v>
      </c>
      <c r="Q396" t="s">
        <v>1308</v>
      </c>
      <c r="R396" t="s">
        <v>1309</v>
      </c>
      <c r="S396">
        <v>2012</v>
      </c>
      <c r="T396" t="s">
        <v>128</v>
      </c>
      <c r="U396" t="s">
        <v>154</v>
      </c>
      <c r="V396">
        <v>55</v>
      </c>
      <c r="AD396">
        <v>1</v>
      </c>
      <c r="AE396">
        <v>1.8181817999999999E-2</v>
      </c>
      <c r="AF396">
        <v>200</v>
      </c>
      <c r="AG396">
        <v>0</v>
      </c>
      <c r="AK396">
        <v>0</v>
      </c>
      <c r="AL396">
        <v>0</v>
      </c>
      <c r="AN396" t="s">
        <v>132</v>
      </c>
      <c r="BN396">
        <v>5700</v>
      </c>
      <c r="CE39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96" s="19">
        <f>SUM(Table1[[#This Row],[Mid39]],Table1[[#This Row],[Mid36]],Table1[[#This Row],[Mid33]],Table1[[#This Row],[Mid30]],Table1[[#This Row],[Mid27]],Table1[[#This Row],[Mid24]],Table1[[#This Row],[Mid21]],Table1[[#This Row],[Mid18]],Table1[[#This Row],[Mid15]],Table1[[#This Row],[Mid12]],Table1[[#This Row],[Mid9]],Table1[[#This Row],[Mid6]],Table1[[#This Row],[Mid3]],Table1[[#This Row],[Mid]])</f>
        <v>5700</v>
      </c>
      <c r="CG39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96" t="s">
        <v>157</v>
      </c>
      <c r="CI396" t="s">
        <v>189</v>
      </c>
      <c r="CJ396" t="s">
        <v>158</v>
      </c>
      <c r="CL396" s="19">
        <f>IF(Table1[[#This Row],[Type]]="Petroleum",1,IF(ISERROR(Table1[[#This Row],[Well Density]]*Table1[[#This Row],[Single Well Discovery Area]]),"",IF(Table1[[#This Row],[Well Density]]*Table1[[#This Row],[Single Well Discovery Area]]&gt;1,1,Table1[[#This Row],[Well Density]]*Table1[[#This Row],[Single Well Discovery Area]])))</f>
        <v>1</v>
      </c>
      <c r="CM396" t="s">
        <v>158</v>
      </c>
      <c r="CN396" s="19">
        <f>Table1[[#This Row],[Mid]]</f>
        <v>0</v>
      </c>
      <c r="CO396" s="19">
        <f>Table1[[#This Row],[Mid3]]+Table1[[#This Row],[Mid6]]+Table1[[#This Row],[Mid9]]</f>
        <v>0</v>
      </c>
      <c r="CP396" s="19">
        <f>Table1[[#This Row],[Mid12]]+Table1[[#This Row],[Mid15]]+Table1[[#This Row],[Mid18]]+Table1[[#This Row],[Mid21]]+Table1[[#This Row],[Mid24]]</f>
        <v>5700</v>
      </c>
      <c r="CQ396" s="19">
        <f>Table1[[#This Row],[Mid27]]+Table1[[#This Row],[Mid30]]+Table1[[#This Row],[Mid33]]+Table1[[#This Row],[Mid36]]+Table1[[#This Row],[Mid39]]</f>
        <v>0</v>
      </c>
      <c r="CR396" t="s">
        <v>471</v>
      </c>
      <c r="CS396" s="19" t="str">
        <f>IF(AND(Table1[[#This Row],[Low41]]=0, Table1[[#This Row],[High43]]=0),"N","Y")</f>
        <v>N</v>
      </c>
    </row>
    <row r="397" spans="1:97" ht="19.5" customHeight="1" x14ac:dyDescent="0.25">
      <c r="A397">
        <v>10394</v>
      </c>
      <c r="B397" t="s">
        <v>1302</v>
      </c>
      <c r="C397" t="s">
        <v>1364</v>
      </c>
      <c r="D397">
        <v>21.41305556</v>
      </c>
      <c r="E397">
        <v>-98.143888889999999</v>
      </c>
      <c r="F397" t="s">
        <v>1368</v>
      </c>
      <c r="G397" t="s">
        <v>1366</v>
      </c>
      <c r="I397" t="s">
        <v>118</v>
      </c>
      <c r="J397" t="s">
        <v>119</v>
      </c>
      <c r="K397" t="s">
        <v>120</v>
      </c>
      <c r="L397" t="s">
        <v>121</v>
      </c>
      <c r="N397" s="6" t="s">
        <v>1306</v>
      </c>
      <c r="O397" t="s">
        <v>1307</v>
      </c>
      <c r="P397" t="s">
        <v>170</v>
      </c>
      <c r="Q397" t="s">
        <v>1308</v>
      </c>
      <c r="R397" t="s">
        <v>1309</v>
      </c>
      <c r="S397">
        <v>2012</v>
      </c>
      <c r="T397" t="s">
        <v>128</v>
      </c>
      <c r="U397" t="s">
        <v>154</v>
      </c>
      <c r="V397">
        <v>75</v>
      </c>
      <c r="AD397">
        <v>1</v>
      </c>
      <c r="AE397">
        <v>1.3333332999999999E-2</v>
      </c>
      <c r="AF397">
        <v>200</v>
      </c>
      <c r="AG397">
        <v>0</v>
      </c>
      <c r="AK397">
        <v>0</v>
      </c>
      <c r="AL397">
        <v>0</v>
      </c>
      <c r="AN397" t="s">
        <v>132</v>
      </c>
      <c r="BN397">
        <v>100</v>
      </c>
      <c r="CE39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97"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39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97" t="s">
        <v>157</v>
      </c>
      <c r="CI397" t="s">
        <v>189</v>
      </c>
      <c r="CJ397" t="s">
        <v>158</v>
      </c>
      <c r="CL397" s="19">
        <f>IF(Table1[[#This Row],[Type]]="Petroleum",1,IF(ISERROR(Table1[[#This Row],[Well Density]]*Table1[[#This Row],[Single Well Discovery Area]]),"",IF(Table1[[#This Row],[Well Density]]*Table1[[#This Row],[Single Well Discovery Area]]&gt;1,1,Table1[[#This Row],[Well Density]]*Table1[[#This Row],[Single Well Discovery Area]])))</f>
        <v>1</v>
      </c>
      <c r="CM397" t="s">
        <v>158</v>
      </c>
      <c r="CN397" s="19">
        <f>Table1[[#This Row],[Mid]]</f>
        <v>0</v>
      </c>
      <c r="CO397" s="19">
        <f>Table1[[#This Row],[Mid3]]+Table1[[#This Row],[Mid6]]+Table1[[#This Row],[Mid9]]</f>
        <v>0</v>
      </c>
      <c r="CP397" s="19">
        <f>Table1[[#This Row],[Mid12]]+Table1[[#This Row],[Mid15]]+Table1[[#This Row],[Mid18]]+Table1[[#This Row],[Mid21]]+Table1[[#This Row],[Mid24]]</f>
        <v>100</v>
      </c>
      <c r="CQ397" s="19">
        <f>Table1[[#This Row],[Mid27]]+Table1[[#This Row],[Mid30]]+Table1[[#This Row],[Mid33]]+Table1[[#This Row],[Mid36]]+Table1[[#This Row],[Mid39]]</f>
        <v>0</v>
      </c>
      <c r="CR397" t="s">
        <v>471</v>
      </c>
      <c r="CS397" s="19" t="str">
        <f>IF(AND(Table1[[#This Row],[Low41]]=0, Table1[[#This Row],[High43]]=0),"N","Y")</f>
        <v>N</v>
      </c>
    </row>
    <row r="398" spans="1:97" ht="19.5" customHeight="1" x14ac:dyDescent="0.25">
      <c r="A398">
        <v>10395</v>
      </c>
      <c r="B398" t="s">
        <v>1302</v>
      </c>
      <c r="C398" t="s">
        <v>1364</v>
      </c>
      <c r="D398">
        <v>21.448611110000002</v>
      </c>
      <c r="E398">
        <v>-97.766666670000006</v>
      </c>
      <c r="F398" t="s">
        <v>1369</v>
      </c>
      <c r="G398" t="s">
        <v>1366</v>
      </c>
      <c r="I398" t="s">
        <v>118</v>
      </c>
      <c r="J398" t="s">
        <v>119</v>
      </c>
      <c r="K398" t="s">
        <v>120</v>
      </c>
      <c r="L398" t="s">
        <v>121</v>
      </c>
      <c r="N398" s="6" t="s">
        <v>1306</v>
      </c>
      <c r="O398" t="s">
        <v>1307</v>
      </c>
      <c r="P398" t="s">
        <v>170</v>
      </c>
      <c r="Q398" t="s">
        <v>1308</v>
      </c>
      <c r="R398" t="s">
        <v>1309</v>
      </c>
      <c r="S398">
        <v>2012</v>
      </c>
      <c r="T398" t="s">
        <v>128</v>
      </c>
      <c r="U398" t="s">
        <v>154</v>
      </c>
      <c r="V398">
        <v>45</v>
      </c>
      <c r="AD398">
        <v>1</v>
      </c>
      <c r="AE398">
        <v>2.2222222E-2</v>
      </c>
      <c r="AF398">
        <v>200</v>
      </c>
      <c r="AG398">
        <v>0</v>
      </c>
      <c r="AK398">
        <v>0</v>
      </c>
      <c r="AL398">
        <v>0</v>
      </c>
      <c r="AN398" t="s">
        <v>132</v>
      </c>
      <c r="BN398">
        <v>150</v>
      </c>
      <c r="CE39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98" s="19">
        <f>SUM(Table1[[#This Row],[Mid39]],Table1[[#This Row],[Mid36]],Table1[[#This Row],[Mid33]],Table1[[#This Row],[Mid30]],Table1[[#This Row],[Mid27]],Table1[[#This Row],[Mid24]],Table1[[#This Row],[Mid21]],Table1[[#This Row],[Mid18]],Table1[[#This Row],[Mid15]],Table1[[#This Row],[Mid12]],Table1[[#This Row],[Mid9]],Table1[[#This Row],[Mid6]],Table1[[#This Row],[Mid3]],Table1[[#This Row],[Mid]])</f>
        <v>150</v>
      </c>
      <c r="CG39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98" t="s">
        <v>157</v>
      </c>
      <c r="CI398" t="s">
        <v>189</v>
      </c>
      <c r="CJ398" t="s">
        <v>158</v>
      </c>
      <c r="CL398" s="19">
        <f>IF(Table1[[#This Row],[Type]]="Petroleum",1,IF(ISERROR(Table1[[#This Row],[Well Density]]*Table1[[#This Row],[Single Well Discovery Area]]),"",IF(Table1[[#This Row],[Well Density]]*Table1[[#This Row],[Single Well Discovery Area]]&gt;1,1,Table1[[#This Row],[Well Density]]*Table1[[#This Row],[Single Well Discovery Area]])))</f>
        <v>1</v>
      </c>
      <c r="CM398" t="s">
        <v>158</v>
      </c>
      <c r="CN398" s="19">
        <f>Table1[[#This Row],[Mid]]</f>
        <v>0</v>
      </c>
      <c r="CO398" s="19">
        <f>Table1[[#This Row],[Mid3]]+Table1[[#This Row],[Mid6]]+Table1[[#This Row],[Mid9]]</f>
        <v>0</v>
      </c>
      <c r="CP398" s="19">
        <f>Table1[[#This Row],[Mid12]]+Table1[[#This Row],[Mid15]]+Table1[[#This Row],[Mid18]]+Table1[[#This Row],[Mid21]]+Table1[[#This Row],[Mid24]]</f>
        <v>150</v>
      </c>
      <c r="CQ398" s="19">
        <f>Table1[[#This Row],[Mid27]]+Table1[[#This Row],[Mid30]]+Table1[[#This Row],[Mid33]]+Table1[[#This Row],[Mid36]]+Table1[[#This Row],[Mid39]]</f>
        <v>0</v>
      </c>
      <c r="CR398" t="s">
        <v>471</v>
      </c>
      <c r="CS398" s="19" t="str">
        <f>IF(AND(Table1[[#This Row],[Low41]]=0, Table1[[#This Row],[High43]]=0),"N","Y")</f>
        <v>N</v>
      </c>
    </row>
    <row r="399" spans="1:97" ht="19.5" customHeight="1" x14ac:dyDescent="0.25">
      <c r="A399">
        <v>10396</v>
      </c>
      <c r="B399" t="s">
        <v>1302</v>
      </c>
      <c r="C399" t="s">
        <v>1364</v>
      </c>
      <c r="D399">
        <v>20.955833330000001</v>
      </c>
      <c r="E399">
        <v>-97.369444439999995</v>
      </c>
      <c r="F399" t="s">
        <v>1370</v>
      </c>
      <c r="G399" t="s">
        <v>1366</v>
      </c>
      <c r="I399" t="s">
        <v>118</v>
      </c>
      <c r="J399" t="s">
        <v>119</v>
      </c>
      <c r="K399" t="s">
        <v>120</v>
      </c>
      <c r="L399" t="s">
        <v>121</v>
      </c>
      <c r="N399" s="6" t="s">
        <v>1306</v>
      </c>
      <c r="O399" t="s">
        <v>1307</v>
      </c>
      <c r="P399" t="s">
        <v>170</v>
      </c>
      <c r="Q399" t="s">
        <v>1308</v>
      </c>
      <c r="R399" t="s">
        <v>1309</v>
      </c>
      <c r="S399">
        <v>2012</v>
      </c>
      <c r="T399" t="s">
        <v>128</v>
      </c>
      <c r="U399" t="s">
        <v>154</v>
      </c>
      <c r="V399">
        <v>30</v>
      </c>
      <c r="AD399">
        <v>1</v>
      </c>
      <c r="AE399">
        <v>3.3333333E-2</v>
      </c>
      <c r="AF399">
        <v>200</v>
      </c>
      <c r="AG399">
        <v>0</v>
      </c>
      <c r="AK399">
        <v>0</v>
      </c>
      <c r="AL399">
        <v>0</v>
      </c>
      <c r="AN399" t="s">
        <v>132</v>
      </c>
      <c r="BN399">
        <v>1760</v>
      </c>
      <c r="CE39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399" s="19">
        <f>SUM(Table1[[#This Row],[Mid39]],Table1[[#This Row],[Mid36]],Table1[[#This Row],[Mid33]],Table1[[#This Row],[Mid30]],Table1[[#This Row],[Mid27]],Table1[[#This Row],[Mid24]],Table1[[#This Row],[Mid21]],Table1[[#This Row],[Mid18]],Table1[[#This Row],[Mid15]],Table1[[#This Row],[Mid12]],Table1[[#This Row],[Mid9]],Table1[[#This Row],[Mid6]],Table1[[#This Row],[Mid3]],Table1[[#This Row],[Mid]])</f>
        <v>1760</v>
      </c>
      <c r="CG39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399" t="s">
        <v>157</v>
      </c>
      <c r="CI399" t="s">
        <v>189</v>
      </c>
      <c r="CJ399" t="s">
        <v>158</v>
      </c>
      <c r="CL399" s="19">
        <f>IF(Table1[[#This Row],[Type]]="Petroleum",1,IF(ISERROR(Table1[[#This Row],[Well Density]]*Table1[[#This Row],[Single Well Discovery Area]]),"",IF(Table1[[#This Row],[Well Density]]*Table1[[#This Row],[Single Well Discovery Area]]&gt;1,1,Table1[[#This Row],[Well Density]]*Table1[[#This Row],[Single Well Discovery Area]])))</f>
        <v>1</v>
      </c>
      <c r="CM399" t="s">
        <v>158</v>
      </c>
      <c r="CN399" s="19">
        <f>Table1[[#This Row],[Mid]]</f>
        <v>0</v>
      </c>
      <c r="CO399" s="19">
        <f>Table1[[#This Row],[Mid3]]+Table1[[#This Row],[Mid6]]+Table1[[#This Row],[Mid9]]</f>
        <v>0</v>
      </c>
      <c r="CP399" s="19">
        <f>Table1[[#This Row],[Mid12]]+Table1[[#This Row],[Mid15]]+Table1[[#This Row],[Mid18]]+Table1[[#This Row],[Mid21]]+Table1[[#This Row],[Mid24]]</f>
        <v>1760</v>
      </c>
      <c r="CQ399" s="19">
        <f>Table1[[#This Row],[Mid27]]+Table1[[#This Row],[Mid30]]+Table1[[#This Row],[Mid33]]+Table1[[#This Row],[Mid36]]+Table1[[#This Row],[Mid39]]</f>
        <v>0</v>
      </c>
      <c r="CR399" t="s">
        <v>471</v>
      </c>
      <c r="CS399" s="19" t="str">
        <f>IF(AND(Table1[[#This Row],[Low41]]=0, Table1[[#This Row],[High43]]=0),"N","Y")</f>
        <v>N</v>
      </c>
    </row>
    <row r="400" spans="1:97" ht="19.5" customHeight="1" x14ac:dyDescent="0.25">
      <c r="A400">
        <v>10397</v>
      </c>
      <c r="B400" t="s">
        <v>1302</v>
      </c>
      <c r="C400" t="s">
        <v>1364</v>
      </c>
      <c r="D400">
        <v>20.50527778</v>
      </c>
      <c r="E400">
        <v>-97.364722220000004</v>
      </c>
      <c r="F400" t="s">
        <v>1371</v>
      </c>
      <c r="G400" t="s">
        <v>1366</v>
      </c>
      <c r="I400" t="s">
        <v>118</v>
      </c>
      <c r="J400" t="s">
        <v>119</v>
      </c>
      <c r="K400" t="s">
        <v>120</v>
      </c>
      <c r="L400" t="s">
        <v>121</v>
      </c>
      <c r="N400" s="6" t="s">
        <v>1306</v>
      </c>
      <c r="O400" t="s">
        <v>1307</v>
      </c>
      <c r="P400" t="s">
        <v>170</v>
      </c>
      <c r="Q400" t="s">
        <v>1308</v>
      </c>
      <c r="R400" t="s">
        <v>1309</v>
      </c>
      <c r="S400">
        <v>2012</v>
      </c>
      <c r="T400" t="s">
        <v>128</v>
      </c>
      <c r="U400" t="s">
        <v>154</v>
      </c>
      <c r="V400">
        <v>45</v>
      </c>
      <c r="AD400">
        <v>1</v>
      </c>
      <c r="AE400">
        <v>2.2222222E-2</v>
      </c>
      <c r="AF400">
        <v>200</v>
      </c>
      <c r="AG400">
        <v>0</v>
      </c>
      <c r="AK400">
        <v>0</v>
      </c>
      <c r="AL400">
        <v>0</v>
      </c>
      <c r="AN400" t="s">
        <v>132</v>
      </c>
      <c r="BN400">
        <v>1190</v>
      </c>
      <c r="CE40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00" s="19">
        <f>SUM(Table1[[#This Row],[Mid39]],Table1[[#This Row],[Mid36]],Table1[[#This Row],[Mid33]],Table1[[#This Row],[Mid30]],Table1[[#This Row],[Mid27]],Table1[[#This Row],[Mid24]],Table1[[#This Row],[Mid21]],Table1[[#This Row],[Mid18]],Table1[[#This Row],[Mid15]],Table1[[#This Row],[Mid12]],Table1[[#This Row],[Mid9]],Table1[[#This Row],[Mid6]],Table1[[#This Row],[Mid3]],Table1[[#This Row],[Mid]])</f>
        <v>1190</v>
      </c>
      <c r="CG40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00" t="s">
        <v>157</v>
      </c>
      <c r="CI400" t="s">
        <v>189</v>
      </c>
      <c r="CJ400" t="s">
        <v>158</v>
      </c>
      <c r="CL400" s="19">
        <f>IF(Table1[[#This Row],[Type]]="Petroleum",1,IF(ISERROR(Table1[[#This Row],[Well Density]]*Table1[[#This Row],[Single Well Discovery Area]]),"",IF(Table1[[#This Row],[Well Density]]*Table1[[#This Row],[Single Well Discovery Area]]&gt;1,1,Table1[[#This Row],[Well Density]]*Table1[[#This Row],[Single Well Discovery Area]])))</f>
        <v>1</v>
      </c>
      <c r="CM400" t="s">
        <v>158</v>
      </c>
      <c r="CN400" s="19">
        <f>Table1[[#This Row],[Mid]]</f>
        <v>0</v>
      </c>
      <c r="CO400" s="19">
        <f>Table1[[#This Row],[Mid3]]+Table1[[#This Row],[Mid6]]+Table1[[#This Row],[Mid9]]</f>
        <v>0</v>
      </c>
      <c r="CP400" s="19">
        <f>Table1[[#This Row],[Mid12]]+Table1[[#This Row],[Mid15]]+Table1[[#This Row],[Mid18]]+Table1[[#This Row],[Mid21]]+Table1[[#This Row],[Mid24]]</f>
        <v>1190</v>
      </c>
      <c r="CQ400" s="19">
        <f>Table1[[#This Row],[Mid27]]+Table1[[#This Row],[Mid30]]+Table1[[#This Row],[Mid33]]+Table1[[#This Row],[Mid36]]+Table1[[#This Row],[Mid39]]</f>
        <v>0</v>
      </c>
      <c r="CR400" t="s">
        <v>471</v>
      </c>
      <c r="CS400" s="19" t="str">
        <f>IF(AND(Table1[[#This Row],[Low41]]=0, Table1[[#This Row],[High43]]=0),"N","Y")</f>
        <v>N</v>
      </c>
    </row>
    <row r="401" spans="1:97" ht="19.5" customHeight="1" x14ac:dyDescent="0.25">
      <c r="A401">
        <v>10398</v>
      </c>
      <c r="B401" t="s">
        <v>1302</v>
      </c>
      <c r="C401" t="s">
        <v>1364</v>
      </c>
      <c r="D401">
        <v>20.284166670000001</v>
      </c>
      <c r="E401">
        <v>-97.126666670000006</v>
      </c>
      <c r="F401" t="s">
        <v>1372</v>
      </c>
      <c r="G401" t="s">
        <v>1366</v>
      </c>
      <c r="I401" t="s">
        <v>118</v>
      </c>
      <c r="J401" t="s">
        <v>119</v>
      </c>
      <c r="K401" t="s">
        <v>120</v>
      </c>
      <c r="L401" t="s">
        <v>121</v>
      </c>
      <c r="N401" s="6" t="s">
        <v>1306</v>
      </c>
      <c r="O401" t="s">
        <v>1307</v>
      </c>
      <c r="P401" t="s">
        <v>170</v>
      </c>
      <c r="Q401" t="s">
        <v>1308</v>
      </c>
      <c r="R401" t="s">
        <v>1309</v>
      </c>
      <c r="S401">
        <v>2012</v>
      </c>
      <c r="T401" t="s">
        <v>128</v>
      </c>
      <c r="U401" t="s">
        <v>154</v>
      </c>
      <c r="V401">
        <v>65</v>
      </c>
      <c r="AD401">
        <v>2</v>
      </c>
      <c r="AE401">
        <v>3.0769231000000001E-2</v>
      </c>
      <c r="AF401">
        <v>200</v>
      </c>
      <c r="AG401">
        <v>0</v>
      </c>
      <c r="AK401">
        <v>0</v>
      </c>
      <c r="AL401">
        <v>0</v>
      </c>
      <c r="AN401" t="s">
        <v>132</v>
      </c>
      <c r="BN401">
        <v>700</v>
      </c>
      <c r="CE40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01" s="19">
        <f>SUM(Table1[[#This Row],[Mid39]],Table1[[#This Row],[Mid36]],Table1[[#This Row],[Mid33]],Table1[[#This Row],[Mid30]],Table1[[#This Row],[Mid27]],Table1[[#This Row],[Mid24]],Table1[[#This Row],[Mid21]],Table1[[#This Row],[Mid18]],Table1[[#This Row],[Mid15]],Table1[[#This Row],[Mid12]],Table1[[#This Row],[Mid9]],Table1[[#This Row],[Mid6]],Table1[[#This Row],[Mid3]],Table1[[#This Row],[Mid]])</f>
        <v>700</v>
      </c>
      <c r="CG40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01" t="s">
        <v>157</v>
      </c>
      <c r="CI401" t="s">
        <v>189</v>
      </c>
      <c r="CJ401" t="s">
        <v>158</v>
      </c>
      <c r="CL401" s="19">
        <f>IF(Table1[[#This Row],[Type]]="Petroleum",1,IF(ISERROR(Table1[[#This Row],[Well Density]]*Table1[[#This Row],[Single Well Discovery Area]]),"",IF(Table1[[#This Row],[Well Density]]*Table1[[#This Row],[Single Well Discovery Area]]&gt;1,1,Table1[[#This Row],[Well Density]]*Table1[[#This Row],[Single Well Discovery Area]])))</f>
        <v>1</v>
      </c>
      <c r="CM401" t="s">
        <v>158</v>
      </c>
      <c r="CN401" s="19">
        <f>Table1[[#This Row],[Mid]]</f>
        <v>0</v>
      </c>
      <c r="CO401" s="19">
        <f>Table1[[#This Row],[Mid3]]+Table1[[#This Row],[Mid6]]+Table1[[#This Row],[Mid9]]</f>
        <v>0</v>
      </c>
      <c r="CP401" s="19">
        <f>Table1[[#This Row],[Mid12]]+Table1[[#This Row],[Mid15]]+Table1[[#This Row],[Mid18]]+Table1[[#This Row],[Mid21]]+Table1[[#This Row],[Mid24]]</f>
        <v>700</v>
      </c>
      <c r="CQ401" s="19">
        <f>Table1[[#This Row],[Mid27]]+Table1[[#This Row],[Mid30]]+Table1[[#This Row],[Mid33]]+Table1[[#This Row],[Mid36]]+Table1[[#This Row],[Mid39]]</f>
        <v>0</v>
      </c>
      <c r="CR401" t="s">
        <v>471</v>
      </c>
      <c r="CS401" s="19" t="str">
        <f>IF(AND(Table1[[#This Row],[Low41]]=0, Table1[[#This Row],[High43]]=0),"N","Y")</f>
        <v>N</v>
      </c>
    </row>
    <row r="402" spans="1:97" ht="19.5" customHeight="1" x14ac:dyDescent="0.25">
      <c r="A402">
        <v>10399</v>
      </c>
      <c r="B402" t="s">
        <v>1302</v>
      </c>
      <c r="C402" t="s">
        <v>1364</v>
      </c>
      <c r="D402">
        <v>20.333055559999998</v>
      </c>
      <c r="E402">
        <v>-97.055000000000007</v>
      </c>
      <c r="F402" t="s">
        <v>1373</v>
      </c>
      <c r="G402" t="s">
        <v>1366</v>
      </c>
      <c r="I402" t="s">
        <v>118</v>
      </c>
      <c r="J402" t="s">
        <v>119</v>
      </c>
      <c r="K402" t="s">
        <v>120</v>
      </c>
      <c r="L402" t="s">
        <v>121</v>
      </c>
      <c r="N402" s="6" t="s">
        <v>1306</v>
      </c>
      <c r="O402" t="s">
        <v>1307</v>
      </c>
      <c r="P402" t="s">
        <v>170</v>
      </c>
      <c r="Q402" t="s">
        <v>1308</v>
      </c>
      <c r="R402" t="s">
        <v>1309</v>
      </c>
      <c r="S402">
        <v>2012</v>
      </c>
      <c r="T402" t="s">
        <v>128</v>
      </c>
      <c r="U402" t="s">
        <v>154</v>
      </c>
      <c r="V402">
        <v>55</v>
      </c>
      <c r="AD402">
        <v>3</v>
      </c>
      <c r="AE402">
        <v>5.4545455E-2</v>
      </c>
      <c r="AF402">
        <v>200</v>
      </c>
      <c r="AG402">
        <v>0</v>
      </c>
      <c r="AK402">
        <v>0</v>
      </c>
      <c r="AL402">
        <v>0</v>
      </c>
      <c r="AN402" t="s">
        <v>132</v>
      </c>
      <c r="BN402">
        <v>260</v>
      </c>
      <c r="CE40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02" s="19">
        <f>SUM(Table1[[#This Row],[Mid39]],Table1[[#This Row],[Mid36]],Table1[[#This Row],[Mid33]],Table1[[#This Row],[Mid30]],Table1[[#This Row],[Mid27]],Table1[[#This Row],[Mid24]],Table1[[#This Row],[Mid21]],Table1[[#This Row],[Mid18]],Table1[[#This Row],[Mid15]],Table1[[#This Row],[Mid12]],Table1[[#This Row],[Mid9]],Table1[[#This Row],[Mid6]],Table1[[#This Row],[Mid3]],Table1[[#This Row],[Mid]])</f>
        <v>260</v>
      </c>
      <c r="CG40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02" t="s">
        <v>157</v>
      </c>
      <c r="CI402" t="s">
        <v>189</v>
      </c>
      <c r="CJ402" t="s">
        <v>158</v>
      </c>
      <c r="CL402" s="19">
        <f>IF(Table1[[#This Row],[Type]]="Petroleum",1,IF(ISERROR(Table1[[#This Row],[Well Density]]*Table1[[#This Row],[Single Well Discovery Area]]),"",IF(Table1[[#This Row],[Well Density]]*Table1[[#This Row],[Single Well Discovery Area]]&gt;1,1,Table1[[#This Row],[Well Density]]*Table1[[#This Row],[Single Well Discovery Area]])))</f>
        <v>1</v>
      </c>
      <c r="CM402" t="s">
        <v>158</v>
      </c>
      <c r="CN402" s="19">
        <f>Table1[[#This Row],[Mid]]</f>
        <v>0</v>
      </c>
      <c r="CO402" s="19">
        <f>Table1[[#This Row],[Mid3]]+Table1[[#This Row],[Mid6]]+Table1[[#This Row],[Mid9]]</f>
        <v>0</v>
      </c>
      <c r="CP402" s="19">
        <f>Table1[[#This Row],[Mid12]]+Table1[[#This Row],[Mid15]]+Table1[[#This Row],[Mid18]]+Table1[[#This Row],[Mid21]]+Table1[[#This Row],[Mid24]]</f>
        <v>260</v>
      </c>
      <c r="CQ402" s="19">
        <f>Table1[[#This Row],[Mid27]]+Table1[[#This Row],[Mid30]]+Table1[[#This Row],[Mid33]]+Table1[[#This Row],[Mid36]]+Table1[[#This Row],[Mid39]]</f>
        <v>0</v>
      </c>
      <c r="CR402" t="s">
        <v>471</v>
      </c>
      <c r="CS402" s="19" t="str">
        <f>IF(AND(Table1[[#This Row],[Low41]]=0, Table1[[#This Row],[High43]]=0),"N","Y")</f>
        <v>N</v>
      </c>
    </row>
    <row r="403" spans="1:97" ht="19.5" customHeight="1" x14ac:dyDescent="0.25">
      <c r="A403">
        <v>10400</v>
      </c>
      <c r="B403" t="s">
        <v>1302</v>
      </c>
      <c r="C403" t="s">
        <v>1374</v>
      </c>
      <c r="D403">
        <v>19.64083333</v>
      </c>
      <c r="E403">
        <v>-96.802222220000004</v>
      </c>
      <c r="F403" t="s">
        <v>1375</v>
      </c>
      <c r="G403" t="s">
        <v>1374</v>
      </c>
      <c r="I403" t="s">
        <v>118</v>
      </c>
      <c r="J403" t="s">
        <v>119</v>
      </c>
      <c r="K403" t="s">
        <v>120</v>
      </c>
      <c r="L403" t="s">
        <v>18</v>
      </c>
      <c r="N403" s="6" t="s">
        <v>1306</v>
      </c>
      <c r="O403" t="s">
        <v>1307</v>
      </c>
      <c r="P403" t="s">
        <v>170</v>
      </c>
      <c r="Q403" t="s">
        <v>1308</v>
      </c>
      <c r="R403" t="s">
        <v>1333</v>
      </c>
      <c r="S403">
        <v>2012</v>
      </c>
      <c r="T403" t="s">
        <v>128</v>
      </c>
      <c r="U403" t="s">
        <v>154</v>
      </c>
      <c r="V403">
        <v>95</v>
      </c>
      <c r="AD403">
        <v>0</v>
      </c>
      <c r="AE403">
        <v>0</v>
      </c>
      <c r="AF403">
        <v>200</v>
      </c>
      <c r="AG403">
        <v>0</v>
      </c>
      <c r="AK403">
        <v>0</v>
      </c>
      <c r="AL403">
        <v>0</v>
      </c>
      <c r="AN403" t="s">
        <v>132</v>
      </c>
      <c r="CC403">
        <v>830</v>
      </c>
      <c r="CE40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03" s="19">
        <f>SUM(Table1[[#This Row],[Mid39]],Table1[[#This Row],[Mid36]],Table1[[#This Row],[Mid33]],Table1[[#This Row],[Mid30]],Table1[[#This Row],[Mid27]],Table1[[#This Row],[Mid24]],Table1[[#This Row],[Mid21]],Table1[[#This Row],[Mid18]],Table1[[#This Row],[Mid15]],Table1[[#This Row],[Mid12]],Table1[[#This Row],[Mid9]],Table1[[#This Row],[Mid6]],Table1[[#This Row],[Mid3]],Table1[[#This Row],[Mid]])</f>
        <v>830</v>
      </c>
      <c r="CG40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03" t="s">
        <v>157</v>
      </c>
      <c r="CI403" t="s">
        <v>189</v>
      </c>
      <c r="CJ403" t="s">
        <v>158</v>
      </c>
      <c r="CL403" s="19">
        <f>IF(Table1[[#This Row],[Type]]="Petroleum",1,IF(ISERROR(Table1[[#This Row],[Well Density]]*Table1[[#This Row],[Single Well Discovery Area]]),"",IF(Table1[[#This Row],[Well Density]]*Table1[[#This Row],[Single Well Discovery Area]]&gt;1,1,Table1[[#This Row],[Well Density]]*Table1[[#This Row],[Single Well Discovery Area]])))</f>
        <v>0</v>
      </c>
      <c r="CM403" t="s">
        <v>158</v>
      </c>
      <c r="CN403" s="19">
        <f>Table1[[#This Row],[Mid]]</f>
        <v>0</v>
      </c>
      <c r="CO403" s="19">
        <f>Table1[[#This Row],[Mid3]]+Table1[[#This Row],[Mid6]]+Table1[[#This Row],[Mid9]]</f>
        <v>0</v>
      </c>
      <c r="CP403" s="19">
        <f>Table1[[#This Row],[Mid12]]+Table1[[#This Row],[Mid15]]+Table1[[#This Row],[Mid18]]+Table1[[#This Row],[Mid21]]+Table1[[#This Row],[Mid24]]</f>
        <v>0</v>
      </c>
      <c r="CQ403" s="19">
        <f>Table1[[#This Row],[Mid27]]+Table1[[#This Row],[Mid30]]+Table1[[#This Row],[Mid33]]+Table1[[#This Row],[Mid36]]+Table1[[#This Row],[Mid39]]</f>
        <v>830</v>
      </c>
      <c r="CR403" t="s">
        <v>471</v>
      </c>
      <c r="CS403" s="19" t="str">
        <f>IF(AND(Table1[[#This Row],[Low41]]=0, Table1[[#This Row],[High43]]=0),"N","Y")</f>
        <v>N</v>
      </c>
    </row>
    <row r="404" spans="1:97" ht="19.5" customHeight="1" x14ac:dyDescent="0.25">
      <c r="A404">
        <v>10401</v>
      </c>
      <c r="B404" t="s">
        <v>1302</v>
      </c>
      <c r="C404" t="s">
        <v>1374</v>
      </c>
      <c r="D404">
        <v>19.788888889999999</v>
      </c>
      <c r="E404">
        <v>-96.625277780000005</v>
      </c>
      <c r="F404" t="s">
        <v>1376</v>
      </c>
      <c r="G404" t="s">
        <v>1374</v>
      </c>
      <c r="I404" t="s">
        <v>118</v>
      </c>
      <c r="J404" t="s">
        <v>119</v>
      </c>
      <c r="K404" t="s">
        <v>120</v>
      </c>
      <c r="L404" t="s">
        <v>121</v>
      </c>
      <c r="N404" s="6" t="s">
        <v>1306</v>
      </c>
      <c r="O404" t="s">
        <v>1307</v>
      </c>
      <c r="P404" t="s">
        <v>170</v>
      </c>
      <c r="Q404" t="s">
        <v>1308</v>
      </c>
      <c r="R404" t="s">
        <v>1309</v>
      </c>
      <c r="S404">
        <v>2012</v>
      </c>
      <c r="T404" t="s">
        <v>128</v>
      </c>
      <c r="U404" t="s">
        <v>154</v>
      </c>
      <c r="V404">
        <v>70</v>
      </c>
      <c r="AD404">
        <v>1</v>
      </c>
      <c r="AE404">
        <v>1.4285714E-2</v>
      </c>
      <c r="AF404">
        <v>200</v>
      </c>
      <c r="AG404">
        <v>0</v>
      </c>
      <c r="AK404">
        <v>0</v>
      </c>
      <c r="AL404">
        <v>0</v>
      </c>
      <c r="AN404" t="s">
        <v>132</v>
      </c>
      <c r="BN404">
        <v>1630</v>
      </c>
      <c r="CE40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04" s="19">
        <f>SUM(Table1[[#This Row],[Mid39]],Table1[[#This Row],[Mid36]],Table1[[#This Row],[Mid33]],Table1[[#This Row],[Mid30]],Table1[[#This Row],[Mid27]],Table1[[#This Row],[Mid24]],Table1[[#This Row],[Mid21]],Table1[[#This Row],[Mid18]],Table1[[#This Row],[Mid15]],Table1[[#This Row],[Mid12]],Table1[[#This Row],[Mid9]],Table1[[#This Row],[Mid6]],Table1[[#This Row],[Mid3]],Table1[[#This Row],[Mid]])</f>
        <v>1630</v>
      </c>
      <c r="CG40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04" t="s">
        <v>157</v>
      </c>
      <c r="CI404" t="s">
        <v>189</v>
      </c>
      <c r="CJ404" t="s">
        <v>158</v>
      </c>
      <c r="CL404" s="19">
        <f>IF(Table1[[#This Row],[Type]]="Petroleum",1,IF(ISERROR(Table1[[#This Row],[Well Density]]*Table1[[#This Row],[Single Well Discovery Area]]),"",IF(Table1[[#This Row],[Well Density]]*Table1[[#This Row],[Single Well Discovery Area]]&gt;1,1,Table1[[#This Row],[Well Density]]*Table1[[#This Row],[Single Well Discovery Area]])))</f>
        <v>1</v>
      </c>
      <c r="CM404" t="s">
        <v>158</v>
      </c>
      <c r="CN404" s="19">
        <f>Table1[[#This Row],[Mid]]</f>
        <v>0</v>
      </c>
      <c r="CO404" s="19">
        <f>Table1[[#This Row],[Mid3]]+Table1[[#This Row],[Mid6]]+Table1[[#This Row],[Mid9]]</f>
        <v>0</v>
      </c>
      <c r="CP404" s="19">
        <f>Table1[[#This Row],[Mid12]]+Table1[[#This Row],[Mid15]]+Table1[[#This Row],[Mid18]]+Table1[[#This Row],[Mid21]]+Table1[[#This Row],[Mid24]]</f>
        <v>1630</v>
      </c>
      <c r="CQ404" s="19">
        <f>Table1[[#This Row],[Mid27]]+Table1[[#This Row],[Mid30]]+Table1[[#This Row],[Mid33]]+Table1[[#This Row],[Mid36]]+Table1[[#This Row],[Mid39]]</f>
        <v>0</v>
      </c>
      <c r="CR404" t="s">
        <v>471</v>
      </c>
      <c r="CS404" s="19" t="str">
        <f>IF(AND(Table1[[#This Row],[Low41]]=0, Table1[[#This Row],[High43]]=0),"N","Y")</f>
        <v>N</v>
      </c>
    </row>
    <row r="405" spans="1:97" ht="19.5" customHeight="1" x14ac:dyDescent="0.25">
      <c r="A405">
        <v>10402</v>
      </c>
      <c r="B405" t="s">
        <v>1302</v>
      </c>
      <c r="C405" t="s">
        <v>1374</v>
      </c>
      <c r="D405">
        <v>19.03083333</v>
      </c>
      <c r="E405">
        <v>-96.517222219999994</v>
      </c>
      <c r="F405" t="s">
        <v>1377</v>
      </c>
      <c r="G405" t="s">
        <v>1374</v>
      </c>
      <c r="I405" t="s">
        <v>118</v>
      </c>
      <c r="J405" t="s">
        <v>119</v>
      </c>
      <c r="K405" t="s">
        <v>120</v>
      </c>
      <c r="L405" t="s">
        <v>121</v>
      </c>
      <c r="N405" s="6" t="s">
        <v>1306</v>
      </c>
      <c r="O405" t="s">
        <v>1307</v>
      </c>
      <c r="P405" t="s">
        <v>170</v>
      </c>
      <c r="Q405" t="s">
        <v>1308</v>
      </c>
      <c r="R405" t="s">
        <v>1309</v>
      </c>
      <c r="S405">
        <v>2012</v>
      </c>
      <c r="T405" t="s">
        <v>128</v>
      </c>
      <c r="U405" t="s">
        <v>154</v>
      </c>
      <c r="V405">
        <v>90</v>
      </c>
      <c r="AD405">
        <v>1</v>
      </c>
      <c r="AE405">
        <v>1.1111111E-2</v>
      </c>
      <c r="AF405">
        <v>200</v>
      </c>
      <c r="AG405">
        <v>0</v>
      </c>
      <c r="AK405">
        <v>0</v>
      </c>
      <c r="AL405">
        <v>0</v>
      </c>
      <c r="AN405" t="s">
        <v>132</v>
      </c>
      <c r="BN405">
        <v>420</v>
      </c>
      <c r="CE40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05" s="19">
        <f>SUM(Table1[[#This Row],[Mid39]],Table1[[#This Row],[Mid36]],Table1[[#This Row],[Mid33]],Table1[[#This Row],[Mid30]],Table1[[#This Row],[Mid27]],Table1[[#This Row],[Mid24]],Table1[[#This Row],[Mid21]],Table1[[#This Row],[Mid18]],Table1[[#This Row],[Mid15]],Table1[[#This Row],[Mid12]],Table1[[#This Row],[Mid9]],Table1[[#This Row],[Mid6]],Table1[[#This Row],[Mid3]],Table1[[#This Row],[Mid]])</f>
        <v>420</v>
      </c>
      <c r="CG40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05" t="s">
        <v>157</v>
      </c>
      <c r="CI405" t="s">
        <v>189</v>
      </c>
      <c r="CJ405" t="s">
        <v>158</v>
      </c>
      <c r="CL405" s="19">
        <f>IF(Table1[[#This Row],[Type]]="Petroleum",1,IF(ISERROR(Table1[[#This Row],[Well Density]]*Table1[[#This Row],[Single Well Discovery Area]]),"",IF(Table1[[#This Row],[Well Density]]*Table1[[#This Row],[Single Well Discovery Area]]&gt;1,1,Table1[[#This Row],[Well Density]]*Table1[[#This Row],[Single Well Discovery Area]])))</f>
        <v>1</v>
      </c>
      <c r="CM405" t="s">
        <v>158</v>
      </c>
      <c r="CN405" s="19">
        <f>Table1[[#This Row],[Mid]]</f>
        <v>0</v>
      </c>
      <c r="CO405" s="19">
        <f>Table1[[#This Row],[Mid3]]+Table1[[#This Row],[Mid6]]+Table1[[#This Row],[Mid9]]</f>
        <v>0</v>
      </c>
      <c r="CP405" s="19">
        <f>Table1[[#This Row],[Mid12]]+Table1[[#This Row],[Mid15]]+Table1[[#This Row],[Mid18]]+Table1[[#This Row],[Mid21]]+Table1[[#This Row],[Mid24]]</f>
        <v>420</v>
      </c>
      <c r="CQ405" s="19">
        <f>Table1[[#This Row],[Mid27]]+Table1[[#This Row],[Mid30]]+Table1[[#This Row],[Mid33]]+Table1[[#This Row],[Mid36]]+Table1[[#This Row],[Mid39]]</f>
        <v>0</v>
      </c>
      <c r="CR405" t="s">
        <v>471</v>
      </c>
      <c r="CS405" s="19" t="str">
        <f>IF(AND(Table1[[#This Row],[Low41]]=0, Table1[[#This Row],[High43]]=0),"N","Y")</f>
        <v>N</v>
      </c>
    </row>
    <row r="406" spans="1:97" ht="19.5" customHeight="1" x14ac:dyDescent="0.25">
      <c r="A406">
        <v>10403</v>
      </c>
      <c r="B406" t="s">
        <v>1302</v>
      </c>
      <c r="C406" t="s">
        <v>1374</v>
      </c>
      <c r="D406">
        <v>19.38138889</v>
      </c>
      <c r="E406">
        <v>-96.31777778</v>
      </c>
      <c r="F406" t="s">
        <v>1378</v>
      </c>
      <c r="G406" t="s">
        <v>1374</v>
      </c>
      <c r="I406" t="s">
        <v>118</v>
      </c>
      <c r="J406" t="s">
        <v>119</v>
      </c>
      <c r="K406" t="s">
        <v>120</v>
      </c>
      <c r="L406" t="s">
        <v>121</v>
      </c>
      <c r="N406" s="6" t="s">
        <v>1306</v>
      </c>
      <c r="O406" t="s">
        <v>1307</v>
      </c>
      <c r="P406" t="s">
        <v>170</v>
      </c>
      <c r="Q406" t="s">
        <v>1308</v>
      </c>
      <c r="R406" t="s">
        <v>1309</v>
      </c>
      <c r="S406">
        <v>2012</v>
      </c>
      <c r="T406" t="s">
        <v>128</v>
      </c>
      <c r="U406" t="s">
        <v>154</v>
      </c>
      <c r="V406">
        <v>20</v>
      </c>
      <c r="AD406">
        <v>1</v>
      </c>
      <c r="AE406">
        <v>0.05</v>
      </c>
      <c r="AF406">
        <v>200</v>
      </c>
      <c r="AG406">
        <v>0</v>
      </c>
      <c r="AK406">
        <v>0</v>
      </c>
      <c r="AL406">
        <v>0</v>
      </c>
      <c r="AN406" t="s">
        <v>132</v>
      </c>
      <c r="BN406">
        <v>30</v>
      </c>
      <c r="CE40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06" s="19">
        <f>SUM(Table1[[#This Row],[Mid39]],Table1[[#This Row],[Mid36]],Table1[[#This Row],[Mid33]],Table1[[#This Row],[Mid30]],Table1[[#This Row],[Mid27]],Table1[[#This Row],[Mid24]],Table1[[#This Row],[Mid21]],Table1[[#This Row],[Mid18]],Table1[[#This Row],[Mid15]],Table1[[#This Row],[Mid12]],Table1[[#This Row],[Mid9]],Table1[[#This Row],[Mid6]],Table1[[#This Row],[Mid3]],Table1[[#This Row],[Mid]])</f>
        <v>30</v>
      </c>
      <c r="CG40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06" t="s">
        <v>157</v>
      </c>
      <c r="CI406" t="s">
        <v>189</v>
      </c>
      <c r="CJ406" t="s">
        <v>158</v>
      </c>
      <c r="CL406" s="19">
        <f>IF(Table1[[#This Row],[Type]]="Petroleum",1,IF(ISERROR(Table1[[#This Row],[Well Density]]*Table1[[#This Row],[Single Well Discovery Area]]),"",IF(Table1[[#This Row],[Well Density]]*Table1[[#This Row],[Single Well Discovery Area]]&gt;1,1,Table1[[#This Row],[Well Density]]*Table1[[#This Row],[Single Well Discovery Area]])))</f>
        <v>1</v>
      </c>
      <c r="CM406" t="s">
        <v>158</v>
      </c>
      <c r="CN406" s="19">
        <f>Table1[[#This Row],[Mid]]</f>
        <v>0</v>
      </c>
      <c r="CO406" s="19">
        <f>Table1[[#This Row],[Mid3]]+Table1[[#This Row],[Mid6]]+Table1[[#This Row],[Mid9]]</f>
        <v>0</v>
      </c>
      <c r="CP406" s="19">
        <f>Table1[[#This Row],[Mid12]]+Table1[[#This Row],[Mid15]]+Table1[[#This Row],[Mid18]]+Table1[[#This Row],[Mid21]]+Table1[[#This Row],[Mid24]]</f>
        <v>30</v>
      </c>
      <c r="CQ406" s="19">
        <f>Table1[[#This Row],[Mid27]]+Table1[[#This Row],[Mid30]]+Table1[[#This Row],[Mid33]]+Table1[[#This Row],[Mid36]]+Table1[[#This Row],[Mid39]]</f>
        <v>0</v>
      </c>
      <c r="CR406" t="s">
        <v>471</v>
      </c>
      <c r="CS406" s="19" t="str">
        <f>IF(AND(Table1[[#This Row],[Low41]]=0, Table1[[#This Row],[High43]]=0),"N","Y")</f>
        <v>N</v>
      </c>
    </row>
    <row r="407" spans="1:97" ht="19.5" customHeight="1" x14ac:dyDescent="0.25">
      <c r="A407">
        <v>10404</v>
      </c>
      <c r="B407" t="s">
        <v>1302</v>
      </c>
      <c r="C407" t="s">
        <v>1374</v>
      </c>
      <c r="D407">
        <v>18.720555560000001</v>
      </c>
      <c r="E407">
        <v>-96.411111109999993</v>
      </c>
      <c r="F407" t="s">
        <v>1379</v>
      </c>
      <c r="G407" t="s">
        <v>1374</v>
      </c>
      <c r="I407" t="s">
        <v>118</v>
      </c>
      <c r="J407" t="s">
        <v>119</v>
      </c>
      <c r="K407" t="s">
        <v>120</v>
      </c>
      <c r="L407" t="s">
        <v>121</v>
      </c>
      <c r="N407" s="6" t="s">
        <v>1306</v>
      </c>
      <c r="O407" t="s">
        <v>1307</v>
      </c>
      <c r="P407" t="s">
        <v>170</v>
      </c>
      <c r="Q407" t="s">
        <v>1308</v>
      </c>
      <c r="R407" t="s">
        <v>1309</v>
      </c>
      <c r="S407">
        <v>2012</v>
      </c>
      <c r="T407" t="s">
        <v>128</v>
      </c>
      <c r="U407" t="s">
        <v>154</v>
      </c>
      <c r="V407">
        <v>45</v>
      </c>
      <c r="AD407">
        <v>1</v>
      </c>
      <c r="AE407">
        <v>2.2222222E-2</v>
      </c>
      <c r="AF407">
        <v>200</v>
      </c>
      <c r="AG407">
        <v>0</v>
      </c>
      <c r="AK407">
        <v>0</v>
      </c>
      <c r="AL407">
        <v>0</v>
      </c>
      <c r="AN407" t="s">
        <v>132</v>
      </c>
      <c r="BN407">
        <v>190</v>
      </c>
      <c r="CE40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07" s="19">
        <f>SUM(Table1[[#This Row],[Mid39]],Table1[[#This Row],[Mid36]],Table1[[#This Row],[Mid33]],Table1[[#This Row],[Mid30]],Table1[[#This Row],[Mid27]],Table1[[#This Row],[Mid24]],Table1[[#This Row],[Mid21]],Table1[[#This Row],[Mid18]],Table1[[#This Row],[Mid15]],Table1[[#This Row],[Mid12]],Table1[[#This Row],[Mid9]],Table1[[#This Row],[Mid6]],Table1[[#This Row],[Mid3]],Table1[[#This Row],[Mid]])</f>
        <v>190</v>
      </c>
      <c r="CG40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07" t="s">
        <v>157</v>
      </c>
      <c r="CI407" t="s">
        <v>189</v>
      </c>
      <c r="CJ407" t="s">
        <v>158</v>
      </c>
      <c r="CL407" s="19">
        <f>IF(Table1[[#This Row],[Type]]="Petroleum",1,IF(ISERROR(Table1[[#This Row],[Well Density]]*Table1[[#This Row],[Single Well Discovery Area]]),"",IF(Table1[[#This Row],[Well Density]]*Table1[[#This Row],[Single Well Discovery Area]]&gt;1,1,Table1[[#This Row],[Well Density]]*Table1[[#This Row],[Single Well Discovery Area]])))</f>
        <v>1</v>
      </c>
      <c r="CM407" t="s">
        <v>158</v>
      </c>
      <c r="CN407" s="19">
        <f>Table1[[#This Row],[Mid]]</f>
        <v>0</v>
      </c>
      <c r="CO407" s="19">
        <f>Table1[[#This Row],[Mid3]]+Table1[[#This Row],[Mid6]]+Table1[[#This Row],[Mid9]]</f>
        <v>0</v>
      </c>
      <c r="CP407" s="19">
        <f>Table1[[#This Row],[Mid12]]+Table1[[#This Row],[Mid15]]+Table1[[#This Row],[Mid18]]+Table1[[#This Row],[Mid21]]+Table1[[#This Row],[Mid24]]</f>
        <v>190</v>
      </c>
      <c r="CQ407" s="19">
        <f>Table1[[#This Row],[Mid27]]+Table1[[#This Row],[Mid30]]+Table1[[#This Row],[Mid33]]+Table1[[#This Row],[Mid36]]+Table1[[#This Row],[Mid39]]</f>
        <v>0</v>
      </c>
      <c r="CR407" t="s">
        <v>471</v>
      </c>
      <c r="CS407" s="19" t="str">
        <f>IF(AND(Table1[[#This Row],[Low41]]=0, Table1[[#This Row],[High43]]=0),"N","Y")</f>
        <v>N</v>
      </c>
    </row>
    <row r="408" spans="1:97" ht="19.5" customHeight="1" x14ac:dyDescent="0.25">
      <c r="A408">
        <v>10405</v>
      </c>
      <c r="B408" t="s">
        <v>1302</v>
      </c>
      <c r="C408" t="s">
        <v>1374</v>
      </c>
      <c r="D408">
        <v>18.788888889999999</v>
      </c>
      <c r="E408">
        <v>-96.345555559999994</v>
      </c>
      <c r="F408" t="s">
        <v>1380</v>
      </c>
      <c r="G408" t="s">
        <v>1374</v>
      </c>
      <c r="I408" t="s">
        <v>118</v>
      </c>
      <c r="J408" t="s">
        <v>119</v>
      </c>
      <c r="K408" t="s">
        <v>120</v>
      </c>
      <c r="L408" t="s">
        <v>121</v>
      </c>
      <c r="N408" s="6" t="s">
        <v>1306</v>
      </c>
      <c r="O408" t="s">
        <v>1307</v>
      </c>
      <c r="P408" t="s">
        <v>170</v>
      </c>
      <c r="Q408" t="s">
        <v>1308</v>
      </c>
      <c r="R408" t="s">
        <v>1309</v>
      </c>
      <c r="S408">
        <v>2012</v>
      </c>
      <c r="T408" t="s">
        <v>128</v>
      </c>
      <c r="U408" t="s">
        <v>154</v>
      </c>
      <c r="V408">
        <v>15</v>
      </c>
      <c r="AD408">
        <v>1</v>
      </c>
      <c r="AE408">
        <v>6.6666666999999999E-2</v>
      </c>
      <c r="AF408">
        <v>200</v>
      </c>
      <c r="AG408">
        <v>0</v>
      </c>
      <c r="AK408">
        <v>0</v>
      </c>
      <c r="AL408">
        <v>0</v>
      </c>
      <c r="AN408" t="s">
        <v>132</v>
      </c>
      <c r="BN408">
        <v>110</v>
      </c>
      <c r="CE40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08" s="19">
        <f>SUM(Table1[[#This Row],[Mid39]],Table1[[#This Row],[Mid36]],Table1[[#This Row],[Mid33]],Table1[[#This Row],[Mid30]],Table1[[#This Row],[Mid27]],Table1[[#This Row],[Mid24]],Table1[[#This Row],[Mid21]],Table1[[#This Row],[Mid18]],Table1[[#This Row],[Mid15]],Table1[[#This Row],[Mid12]],Table1[[#This Row],[Mid9]],Table1[[#This Row],[Mid6]],Table1[[#This Row],[Mid3]],Table1[[#This Row],[Mid]])</f>
        <v>110</v>
      </c>
      <c r="CG40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08" t="s">
        <v>157</v>
      </c>
      <c r="CI408" t="s">
        <v>189</v>
      </c>
      <c r="CJ408" t="s">
        <v>158</v>
      </c>
      <c r="CL408" s="19">
        <f>IF(Table1[[#This Row],[Type]]="Petroleum",1,IF(ISERROR(Table1[[#This Row],[Well Density]]*Table1[[#This Row],[Single Well Discovery Area]]),"",IF(Table1[[#This Row],[Well Density]]*Table1[[#This Row],[Single Well Discovery Area]]&gt;1,1,Table1[[#This Row],[Well Density]]*Table1[[#This Row],[Single Well Discovery Area]])))</f>
        <v>1</v>
      </c>
      <c r="CM408" t="s">
        <v>158</v>
      </c>
      <c r="CN408" s="19">
        <f>Table1[[#This Row],[Mid]]</f>
        <v>0</v>
      </c>
      <c r="CO408" s="19">
        <f>Table1[[#This Row],[Mid3]]+Table1[[#This Row],[Mid6]]+Table1[[#This Row],[Mid9]]</f>
        <v>0</v>
      </c>
      <c r="CP408" s="19">
        <f>Table1[[#This Row],[Mid12]]+Table1[[#This Row],[Mid15]]+Table1[[#This Row],[Mid18]]+Table1[[#This Row],[Mid21]]+Table1[[#This Row],[Mid24]]</f>
        <v>110</v>
      </c>
      <c r="CQ408" s="19">
        <f>Table1[[#This Row],[Mid27]]+Table1[[#This Row],[Mid30]]+Table1[[#This Row],[Mid33]]+Table1[[#This Row],[Mid36]]+Table1[[#This Row],[Mid39]]</f>
        <v>0</v>
      </c>
      <c r="CR408" t="s">
        <v>471</v>
      </c>
      <c r="CS408" s="19" t="str">
        <f>IF(AND(Table1[[#This Row],[Low41]]=0, Table1[[#This Row],[High43]]=0),"N","Y")</f>
        <v>N</v>
      </c>
    </row>
    <row r="409" spans="1:97" ht="19.5" customHeight="1" x14ac:dyDescent="0.25">
      <c r="A409">
        <v>10406</v>
      </c>
      <c r="B409" t="s">
        <v>1302</v>
      </c>
      <c r="C409" t="s">
        <v>1374</v>
      </c>
      <c r="D409">
        <v>18.93305556</v>
      </c>
      <c r="E409">
        <v>-96.1</v>
      </c>
      <c r="F409" t="s">
        <v>1381</v>
      </c>
      <c r="G409" t="s">
        <v>1374</v>
      </c>
      <c r="I409" t="s">
        <v>118</v>
      </c>
      <c r="J409" t="s">
        <v>119</v>
      </c>
      <c r="K409" t="s">
        <v>120</v>
      </c>
      <c r="L409" t="s">
        <v>121</v>
      </c>
      <c r="N409" s="6" t="s">
        <v>1306</v>
      </c>
      <c r="O409" t="s">
        <v>1307</v>
      </c>
      <c r="P409" t="s">
        <v>170</v>
      </c>
      <c r="Q409" t="s">
        <v>1308</v>
      </c>
      <c r="R409" t="s">
        <v>1309</v>
      </c>
      <c r="S409">
        <v>2012</v>
      </c>
      <c r="T409" t="s">
        <v>128</v>
      </c>
      <c r="U409" t="s">
        <v>154</v>
      </c>
      <c r="V409">
        <v>10</v>
      </c>
      <c r="AD409">
        <v>1</v>
      </c>
      <c r="AE409">
        <v>0.1</v>
      </c>
      <c r="AF409">
        <v>200</v>
      </c>
      <c r="AG409">
        <v>0</v>
      </c>
      <c r="AK409">
        <v>0</v>
      </c>
      <c r="AL409">
        <v>0</v>
      </c>
      <c r="AN409" t="s">
        <v>132</v>
      </c>
      <c r="BN409">
        <v>40</v>
      </c>
      <c r="CE40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09" s="19">
        <f>SUM(Table1[[#This Row],[Mid39]],Table1[[#This Row],[Mid36]],Table1[[#This Row],[Mid33]],Table1[[#This Row],[Mid30]],Table1[[#This Row],[Mid27]],Table1[[#This Row],[Mid24]],Table1[[#This Row],[Mid21]],Table1[[#This Row],[Mid18]],Table1[[#This Row],[Mid15]],Table1[[#This Row],[Mid12]],Table1[[#This Row],[Mid9]],Table1[[#This Row],[Mid6]],Table1[[#This Row],[Mid3]],Table1[[#This Row],[Mid]])</f>
        <v>40</v>
      </c>
      <c r="CG40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09" t="s">
        <v>157</v>
      </c>
      <c r="CI409" t="s">
        <v>189</v>
      </c>
      <c r="CJ409" t="s">
        <v>158</v>
      </c>
      <c r="CL409" s="19">
        <f>IF(Table1[[#This Row],[Type]]="Petroleum",1,IF(ISERROR(Table1[[#This Row],[Well Density]]*Table1[[#This Row],[Single Well Discovery Area]]),"",IF(Table1[[#This Row],[Well Density]]*Table1[[#This Row],[Single Well Discovery Area]]&gt;1,1,Table1[[#This Row],[Well Density]]*Table1[[#This Row],[Single Well Discovery Area]])))</f>
        <v>1</v>
      </c>
      <c r="CM409" t="s">
        <v>158</v>
      </c>
      <c r="CN409" s="19">
        <f>Table1[[#This Row],[Mid]]</f>
        <v>0</v>
      </c>
      <c r="CO409" s="19">
        <f>Table1[[#This Row],[Mid3]]+Table1[[#This Row],[Mid6]]+Table1[[#This Row],[Mid9]]</f>
        <v>0</v>
      </c>
      <c r="CP409" s="19">
        <f>Table1[[#This Row],[Mid12]]+Table1[[#This Row],[Mid15]]+Table1[[#This Row],[Mid18]]+Table1[[#This Row],[Mid21]]+Table1[[#This Row],[Mid24]]</f>
        <v>40</v>
      </c>
      <c r="CQ409" s="19">
        <f>Table1[[#This Row],[Mid27]]+Table1[[#This Row],[Mid30]]+Table1[[#This Row],[Mid33]]+Table1[[#This Row],[Mid36]]+Table1[[#This Row],[Mid39]]</f>
        <v>0</v>
      </c>
      <c r="CR409" t="s">
        <v>471</v>
      </c>
      <c r="CS409" s="19" t="str">
        <f>IF(AND(Table1[[#This Row],[Low41]]=0, Table1[[#This Row],[High43]]=0),"N","Y")</f>
        <v>N</v>
      </c>
    </row>
    <row r="410" spans="1:97" ht="19.5" customHeight="1" x14ac:dyDescent="0.25">
      <c r="A410">
        <v>10407</v>
      </c>
      <c r="B410" t="s">
        <v>1302</v>
      </c>
      <c r="C410" t="s">
        <v>1374</v>
      </c>
      <c r="D410">
        <v>19.043611110000001</v>
      </c>
      <c r="E410">
        <v>-95.962777779999996</v>
      </c>
      <c r="F410" t="s">
        <v>1382</v>
      </c>
      <c r="G410" t="s">
        <v>1374</v>
      </c>
      <c r="I410" t="s">
        <v>118</v>
      </c>
      <c r="J410" t="s">
        <v>119</v>
      </c>
      <c r="K410" t="s">
        <v>120</v>
      </c>
      <c r="L410" t="s">
        <v>121</v>
      </c>
      <c r="N410" s="6" t="s">
        <v>1306</v>
      </c>
      <c r="O410" t="s">
        <v>1307</v>
      </c>
      <c r="P410" t="s">
        <v>170</v>
      </c>
      <c r="Q410" t="s">
        <v>1308</v>
      </c>
      <c r="R410" t="s">
        <v>1309</v>
      </c>
      <c r="S410">
        <v>2012</v>
      </c>
      <c r="T410" t="s">
        <v>128</v>
      </c>
      <c r="U410" t="s">
        <v>154</v>
      </c>
      <c r="V410">
        <v>40</v>
      </c>
      <c r="AD410">
        <v>1</v>
      </c>
      <c r="AE410">
        <v>2.5000000000000001E-2</v>
      </c>
      <c r="AF410">
        <v>200</v>
      </c>
      <c r="AG410">
        <v>0</v>
      </c>
      <c r="AK410">
        <v>0</v>
      </c>
      <c r="AL410">
        <v>0</v>
      </c>
      <c r="AN410" t="s">
        <v>132</v>
      </c>
      <c r="BN410">
        <v>2080</v>
      </c>
      <c r="CE41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10" s="19">
        <f>SUM(Table1[[#This Row],[Mid39]],Table1[[#This Row],[Mid36]],Table1[[#This Row],[Mid33]],Table1[[#This Row],[Mid30]],Table1[[#This Row],[Mid27]],Table1[[#This Row],[Mid24]],Table1[[#This Row],[Mid21]],Table1[[#This Row],[Mid18]],Table1[[#This Row],[Mid15]],Table1[[#This Row],[Mid12]],Table1[[#This Row],[Mid9]],Table1[[#This Row],[Mid6]],Table1[[#This Row],[Mid3]],Table1[[#This Row],[Mid]])</f>
        <v>2080</v>
      </c>
      <c r="CG4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10" t="s">
        <v>157</v>
      </c>
      <c r="CI410" t="s">
        <v>189</v>
      </c>
      <c r="CJ410" t="s">
        <v>158</v>
      </c>
      <c r="CL410" s="19">
        <f>IF(Table1[[#This Row],[Type]]="Petroleum",1,IF(ISERROR(Table1[[#This Row],[Well Density]]*Table1[[#This Row],[Single Well Discovery Area]]),"",IF(Table1[[#This Row],[Well Density]]*Table1[[#This Row],[Single Well Discovery Area]]&gt;1,1,Table1[[#This Row],[Well Density]]*Table1[[#This Row],[Single Well Discovery Area]])))</f>
        <v>1</v>
      </c>
      <c r="CM410" t="s">
        <v>158</v>
      </c>
      <c r="CN410" s="19">
        <f>Table1[[#This Row],[Mid]]</f>
        <v>0</v>
      </c>
      <c r="CO410" s="19">
        <f>Table1[[#This Row],[Mid3]]+Table1[[#This Row],[Mid6]]+Table1[[#This Row],[Mid9]]</f>
        <v>0</v>
      </c>
      <c r="CP410" s="19">
        <f>Table1[[#This Row],[Mid12]]+Table1[[#This Row],[Mid15]]+Table1[[#This Row],[Mid18]]+Table1[[#This Row],[Mid21]]+Table1[[#This Row],[Mid24]]</f>
        <v>2080</v>
      </c>
      <c r="CQ410" s="19">
        <f>Table1[[#This Row],[Mid27]]+Table1[[#This Row],[Mid30]]+Table1[[#This Row],[Mid33]]+Table1[[#This Row],[Mid36]]+Table1[[#This Row],[Mid39]]</f>
        <v>0</v>
      </c>
      <c r="CR410" t="s">
        <v>471</v>
      </c>
      <c r="CS410" s="19" t="str">
        <f>IF(AND(Table1[[#This Row],[Low41]]=0, Table1[[#This Row],[High43]]=0),"N","Y")</f>
        <v>N</v>
      </c>
    </row>
    <row r="411" spans="1:97" ht="19.5" customHeight="1" x14ac:dyDescent="0.25">
      <c r="A411">
        <v>10408</v>
      </c>
      <c r="B411" t="s">
        <v>1302</v>
      </c>
      <c r="C411" t="s">
        <v>1374</v>
      </c>
      <c r="D411">
        <v>19.125</v>
      </c>
      <c r="E411">
        <v>-95.86</v>
      </c>
      <c r="F411" t="s">
        <v>1383</v>
      </c>
      <c r="G411" t="s">
        <v>1374</v>
      </c>
      <c r="I411" t="s">
        <v>118</v>
      </c>
      <c r="J411" t="s">
        <v>119</v>
      </c>
      <c r="K411" t="s">
        <v>120</v>
      </c>
      <c r="L411" t="s">
        <v>121</v>
      </c>
      <c r="N411" s="6" t="s">
        <v>1306</v>
      </c>
      <c r="O411" t="s">
        <v>1307</v>
      </c>
      <c r="P411" t="s">
        <v>170</v>
      </c>
      <c r="Q411" t="s">
        <v>1308</v>
      </c>
      <c r="R411" t="s">
        <v>1309</v>
      </c>
      <c r="S411">
        <v>2012</v>
      </c>
      <c r="T411" t="s">
        <v>128</v>
      </c>
      <c r="U411" t="s">
        <v>154</v>
      </c>
      <c r="V411">
        <v>20</v>
      </c>
      <c r="AD411">
        <v>1</v>
      </c>
      <c r="AE411">
        <v>0.05</v>
      </c>
      <c r="AF411">
        <v>200</v>
      </c>
      <c r="AG411">
        <v>0</v>
      </c>
      <c r="AK411">
        <v>0</v>
      </c>
      <c r="AL411">
        <v>0</v>
      </c>
      <c r="AN411" t="s">
        <v>132</v>
      </c>
      <c r="BN411">
        <v>870</v>
      </c>
      <c r="CE41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11" s="19">
        <f>SUM(Table1[[#This Row],[Mid39]],Table1[[#This Row],[Mid36]],Table1[[#This Row],[Mid33]],Table1[[#This Row],[Mid30]],Table1[[#This Row],[Mid27]],Table1[[#This Row],[Mid24]],Table1[[#This Row],[Mid21]],Table1[[#This Row],[Mid18]],Table1[[#This Row],[Mid15]],Table1[[#This Row],[Mid12]],Table1[[#This Row],[Mid9]],Table1[[#This Row],[Mid6]],Table1[[#This Row],[Mid3]],Table1[[#This Row],[Mid]])</f>
        <v>870</v>
      </c>
      <c r="CG4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11" t="s">
        <v>157</v>
      </c>
      <c r="CI411" t="s">
        <v>189</v>
      </c>
      <c r="CJ411" t="s">
        <v>158</v>
      </c>
      <c r="CL411" s="19">
        <f>IF(Table1[[#This Row],[Type]]="Petroleum",1,IF(ISERROR(Table1[[#This Row],[Well Density]]*Table1[[#This Row],[Single Well Discovery Area]]),"",IF(Table1[[#This Row],[Well Density]]*Table1[[#This Row],[Single Well Discovery Area]]&gt;1,1,Table1[[#This Row],[Well Density]]*Table1[[#This Row],[Single Well Discovery Area]])))</f>
        <v>1</v>
      </c>
      <c r="CM411" t="s">
        <v>158</v>
      </c>
      <c r="CN411" s="19">
        <f>Table1[[#This Row],[Mid]]</f>
        <v>0</v>
      </c>
      <c r="CO411" s="19">
        <f>Table1[[#This Row],[Mid3]]+Table1[[#This Row],[Mid6]]+Table1[[#This Row],[Mid9]]</f>
        <v>0</v>
      </c>
      <c r="CP411" s="19">
        <f>Table1[[#This Row],[Mid12]]+Table1[[#This Row],[Mid15]]+Table1[[#This Row],[Mid18]]+Table1[[#This Row],[Mid21]]+Table1[[#This Row],[Mid24]]</f>
        <v>870</v>
      </c>
      <c r="CQ411" s="19">
        <f>Table1[[#This Row],[Mid27]]+Table1[[#This Row],[Mid30]]+Table1[[#This Row],[Mid33]]+Table1[[#This Row],[Mid36]]+Table1[[#This Row],[Mid39]]</f>
        <v>0</v>
      </c>
      <c r="CR411" t="s">
        <v>471</v>
      </c>
      <c r="CS411" s="19" t="str">
        <f>IF(AND(Table1[[#This Row],[Low41]]=0, Table1[[#This Row],[High43]]=0),"N","Y")</f>
        <v>N</v>
      </c>
    </row>
    <row r="412" spans="1:97" ht="19.5" customHeight="1" x14ac:dyDescent="0.25">
      <c r="A412">
        <v>10409</v>
      </c>
      <c r="B412" t="s">
        <v>1302</v>
      </c>
      <c r="C412" t="s">
        <v>1374</v>
      </c>
      <c r="D412">
        <v>17.942222220000001</v>
      </c>
      <c r="E412">
        <v>-95.730555559999999</v>
      </c>
      <c r="F412" t="s">
        <v>1384</v>
      </c>
      <c r="G412" t="s">
        <v>1374</v>
      </c>
      <c r="I412" t="s">
        <v>118</v>
      </c>
      <c r="J412" t="s">
        <v>119</v>
      </c>
      <c r="K412" t="s">
        <v>120</v>
      </c>
      <c r="L412" t="s">
        <v>121</v>
      </c>
      <c r="N412" s="6" t="s">
        <v>1306</v>
      </c>
      <c r="O412" t="s">
        <v>1307</v>
      </c>
      <c r="P412" t="s">
        <v>170</v>
      </c>
      <c r="Q412" t="s">
        <v>1308</v>
      </c>
      <c r="R412" t="s">
        <v>1309</v>
      </c>
      <c r="S412">
        <v>2012</v>
      </c>
      <c r="T412" t="s">
        <v>128</v>
      </c>
      <c r="U412" t="s">
        <v>154</v>
      </c>
      <c r="V412">
        <v>50</v>
      </c>
      <c r="AD412">
        <v>1</v>
      </c>
      <c r="AE412">
        <v>0.02</v>
      </c>
      <c r="AF412">
        <v>200</v>
      </c>
      <c r="AG412">
        <v>0</v>
      </c>
      <c r="AK412">
        <v>0</v>
      </c>
      <c r="AL412">
        <v>0</v>
      </c>
      <c r="AN412" t="s">
        <v>132</v>
      </c>
      <c r="BN412">
        <v>2730</v>
      </c>
      <c r="CE41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12" s="19">
        <f>SUM(Table1[[#This Row],[Mid39]],Table1[[#This Row],[Mid36]],Table1[[#This Row],[Mid33]],Table1[[#This Row],[Mid30]],Table1[[#This Row],[Mid27]],Table1[[#This Row],[Mid24]],Table1[[#This Row],[Mid21]],Table1[[#This Row],[Mid18]],Table1[[#This Row],[Mid15]],Table1[[#This Row],[Mid12]],Table1[[#This Row],[Mid9]],Table1[[#This Row],[Mid6]],Table1[[#This Row],[Mid3]],Table1[[#This Row],[Mid]])</f>
        <v>2730</v>
      </c>
      <c r="CG4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12" t="s">
        <v>157</v>
      </c>
      <c r="CI412" t="s">
        <v>189</v>
      </c>
      <c r="CJ412" t="s">
        <v>158</v>
      </c>
      <c r="CL412" s="19">
        <f>IF(Table1[[#This Row],[Type]]="Petroleum",1,IF(ISERROR(Table1[[#This Row],[Well Density]]*Table1[[#This Row],[Single Well Discovery Area]]),"",IF(Table1[[#This Row],[Well Density]]*Table1[[#This Row],[Single Well Discovery Area]]&gt;1,1,Table1[[#This Row],[Well Density]]*Table1[[#This Row],[Single Well Discovery Area]])))</f>
        <v>1</v>
      </c>
      <c r="CM412" t="s">
        <v>158</v>
      </c>
      <c r="CN412" s="19">
        <f>Table1[[#This Row],[Mid]]</f>
        <v>0</v>
      </c>
      <c r="CO412" s="19">
        <f>Table1[[#This Row],[Mid3]]+Table1[[#This Row],[Mid6]]+Table1[[#This Row],[Mid9]]</f>
        <v>0</v>
      </c>
      <c r="CP412" s="19">
        <f>Table1[[#This Row],[Mid12]]+Table1[[#This Row],[Mid15]]+Table1[[#This Row],[Mid18]]+Table1[[#This Row],[Mid21]]+Table1[[#This Row],[Mid24]]</f>
        <v>2730</v>
      </c>
      <c r="CQ412" s="19">
        <f>Table1[[#This Row],[Mid27]]+Table1[[#This Row],[Mid30]]+Table1[[#This Row],[Mid33]]+Table1[[#This Row],[Mid36]]+Table1[[#This Row],[Mid39]]</f>
        <v>0</v>
      </c>
      <c r="CR412" t="s">
        <v>471</v>
      </c>
      <c r="CS412" s="19" t="str">
        <f>IF(AND(Table1[[#This Row],[Low41]]=0, Table1[[#This Row],[High43]]=0),"N","Y")</f>
        <v>N</v>
      </c>
    </row>
    <row r="413" spans="1:97" ht="19.5" customHeight="1" x14ac:dyDescent="0.25">
      <c r="A413">
        <v>10410</v>
      </c>
      <c r="B413" t="s">
        <v>1302</v>
      </c>
      <c r="C413" t="s">
        <v>1374</v>
      </c>
      <c r="D413">
        <v>18.159444440000001</v>
      </c>
      <c r="E413">
        <v>-95.602222220000002</v>
      </c>
      <c r="F413" t="s">
        <v>1385</v>
      </c>
      <c r="G413" t="s">
        <v>1374</v>
      </c>
      <c r="I413" t="s">
        <v>118</v>
      </c>
      <c r="J413" t="s">
        <v>119</v>
      </c>
      <c r="K413" t="s">
        <v>120</v>
      </c>
      <c r="L413" t="s">
        <v>18</v>
      </c>
      <c r="N413" s="6" t="s">
        <v>1306</v>
      </c>
      <c r="O413" t="s">
        <v>1307</v>
      </c>
      <c r="P413" t="s">
        <v>170</v>
      </c>
      <c r="Q413" t="s">
        <v>1308</v>
      </c>
      <c r="R413" t="s">
        <v>1333</v>
      </c>
      <c r="S413">
        <v>2012</v>
      </c>
      <c r="T413" t="s">
        <v>128</v>
      </c>
      <c r="U413" t="s">
        <v>154</v>
      </c>
      <c r="V413">
        <v>40</v>
      </c>
      <c r="AD413">
        <v>0</v>
      </c>
      <c r="AE413">
        <v>0</v>
      </c>
      <c r="AF413">
        <v>200</v>
      </c>
      <c r="AG413">
        <v>0</v>
      </c>
      <c r="AK413">
        <v>0</v>
      </c>
      <c r="AL413">
        <v>0</v>
      </c>
      <c r="AN413" t="s">
        <v>132</v>
      </c>
      <c r="CC413">
        <v>340</v>
      </c>
      <c r="CE41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13" s="19">
        <f>SUM(Table1[[#This Row],[Mid39]],Table1[[#This Row],[Mid36]],Table1[[#This Row],[Mid33]],Table1[[#This Row],[Mid30]],Table1[[#This Row],[Mid27]],Table1[[#This Row],[Mid24]],Table1[[#This Row],[Mid21]],Table1[[#This Row],[Mid18]],Table1[[#This Row],[Mid15]],Table1[[#This Row],[Mid12]],Table1[[#This Row],[Mid9]],Table1[[#This Row],[Mid6]],Table1[[#This Row],[Mid3]],Table1[[#This Row],[Mid]])</f>
        <v>340</v>
      </c>
      <c r="CG4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13" t="s">
        <v>157</v>
      </c>
      <c r="CI413" t="s">
        <v>189</v>
      </c>
      <c r="CJ413" t="s">
        <v>158</v>
      </c>
      <c r="CL413" s="19">
        <f>IF(Table1[[#This Row],[Type]]="Petroleum",1,IF(ISERROR(Table1[[#This Row],[Well Density]]*Table1[[#This Row],[Single Well Discovery Area]]),"",IF(Table1[[#This Row],[Well Density]]*Table1[[#This Row],[Single Well Discovery Area]]&gt;1,1,Table1[[#This Row],[Well Density]]*Table1[[#This Row],[Single Well Discovery Area]])))</f>
        <v>0</v>
      </c>
      <c r="CM413" t="s">
        <v>158</v>
      </c>
      <c r="CN413" s="19">
        <f>Table1[[#This Row],[Mid]]</f>
        <v>0</v>
      </c>
      <c r="CO413" s="19">
        <f>Table1[[#This Row],[Mid3]]+Table1[[#This Row],[Mid6]]+Table1[[#This Row],[Mid9]]</f>
        <v>0</v>
      </c>
      <c r="CP413" s="19">
        <f>Table1[[#This Row],[Mid12]]+Table1[[#This Row],[Mid15]]+Table1[[#This Row],[Mid18]]+Table1[[#This Row],[Mid21]]+Table1[[#This Row],[Mid24]]</f>
        <v>0</v>
      </c>
      <c r="CQ413" s="19">
        <f>Table1[[#This Row],[Mid27]]+Table1[[#This Row],[Mid30]]+Table1[[#This Row],[Mid33]]+Table1[[#This Row],[Mid36]]+Table1[[#This Row],[Mid39]]</f>
        <v>340</v>
      </c>
      <c r="CR413" t="s">
        <v>471</v>
      </c>
      <c r="CS413" s="19" t="str">
        <f>IF(AND(Table1[[#This Row],[Low41]]=0, Table1[[#This Row],[High43]]=0),"N","Y")</f>
        <v>N</v>
      </c>
    </row>
    <row r="414" spans="1:97" ht="19.5" customHeight="1" x14ac:dyDescent="0.25">
      <c r="A414">
        <v>10411</v>
      </c>
      <c r="B414" t="s">
        <v>1302</v>
      </c>
      <c r="C414" t="s">
        <v>1374</v>
      </c>
      <c r="D414">
        <v>18.402222219999999</v>
      </c>
      <c r="E414">
        <v>-95.464166669999997</v>
      </c>
      <c r="F414" t="s">
        <v>1386</v>
      </c>
      <c r="G414" t="s">
        <v>1374</v>
      </c>
      <c r="I414" t="s">
        <v>118</v>
      </c>
      <c r="J414" t="s">
        <v>119</v>
      </c>
      <c r="K414" t="s">
        <v>120</v>
      </c>
      <c r="L414" t="s">
        <v>121</v>
      </c>
      <c r="N414" s="6" t="s">
        <v>1306</v>
      </c>
      <c r="O414" t="s">
        <v>1307</v>
      </c>
      <c r="P414" t="s">
        <v>170</v>
      </c>
      <c r="Q414" t="s">
        <v>1308</v>
      </c>
      <c r="R414" t="s">
        <v>1309</v>
      </c>
      <c r="S414">
        <v>2012</v>
      </c>
      <c r="T414" t="s">
        <v>128</v>
      </c>
      <c r="U414" t="s">
        <v>154</v>
      </c>
      <c r="V414">
        <v>30</v>
      </c>
      <c r="AD414">
        <v>1</v>
      </c>
      <c r="AE414">
        <v>3.3333333E-2</v>
      </c>
      <c r="AF414">
        <v>200</v>
      </c>
      <c r="AG414">
        <v>0</v>
      </c>
      <c r="AK414">
        <v>0</v>
      </c>
      <c r="AL414">
        <v>0</v>
      </c>
      <c r="AN414" t="s">
        <v>132</v>
      </c>
      <c r="BN414">
        <v>840</v>
      </c>
      <c r="CE41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14" s="19">
        <f>SUM(Table1[[#This Row],[Mid39]],Table1[[#This Row],[Mid36]],Table1[[#This Row],[Mid33]],Table1[[#This Row],[Mid30]],Table1[[#This Row],[Mid27]],Table1[[#This Row],[Mid24]],Table1[[#This Row],[Mid21]],Table1[[#This Row],[Mid18]],Table1[[#This Row],[Mid15]],Table1[[#This Row],[Mid12]],Table1[[#This Row],[Mid9]],Table1[[#This Row],[Mid6]],Table1[[#This Row],[Mid3]],Table1[[#This Row],[Mid]])</f>
        <v>840</v>
      </c>
      <c r="CG4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14" t="s">
        <v>157</v>
      </c>
      <c r="CI414" t="s">
        <v>189</v>
      </c>
      <c r="CJ414" t="s">
        <v>158</v>
      </c>
      <c r="CL414" s="19">
        <f>IF(Table1[[#This Row],[Type]]="Petroleum",1,IF(ISERROR(Table1[[#This Row],[Well Density]]*Table1[[#This Row],[Single Well Discovery Area]]),"",IF(Table1[[#This Row],[Well Density]]*Table1[[#This Row],[Single Well Discovery Area]]&gt;1,1,Table1[[#This Row],[Well Density]]*Table1[[#This Row],[Single Well Discovery Area]])))</f>
        <v>1</v>
      </c>
      <c r="CM414" t="s">
        <v>158</v>
      </c>
      <c r="CN414" s="19">
        <f>Table1[[#This Row],[Mid]]</f>
        <v>0</v>
      </c>
      <c r="CO414" s="19">
        <f>Table1[[#This Row],[Mid3]]+Table1[[#This Row],[Mid6]]+Table1[[#This Row],[Mid9]]</f>
        <v>0</v>
      </c>
      <c r="CP414" s="19">
        <f>Table1[[#This Row],[Mid12]]+Table1[[#This Row],[Mid15]]+Table1[[#This Row],[Mid18]]+Table1[[#This Row],[Mid21]]+Table1[[#This Row],[Mid24]]</f>
        <v>840</v>
      </c>
      <c r="CQ414" s="19">
        <f>Table1[[#This Row],[Mid27]]+Table1[[#This Row],[Mid30]]+Table1[[#This Row],[Mid33]]+Table1[[#This Row],[Mid36]]+Table1[[#This Row],[Mid39]]</f>
        <v>0</v>
      </c>
      <c r="CR414" t="s">
        <v>471</v>
      </c>
      <c r="CS414" s="19" t="str">
        <f>IF(AND(Table1[[#This Row],[Low41]]=0, Table1[[#This Row],[High43]]=0),"N","Y")</f>
        <v>N</v>
      </c>
    </row>
    <row r="415" spans="1:97" ht="19.5" customHeight="1" x14ac:dyDescent="0.25">
      <c r="A415">
        <v>10412</v>
      </c>
      <c r="B415" t="s">
        <v>1302</v>
      </c>
      <c r="C415" t="s">
        <v>1374</v>
      </c>
      <c r="D415">
        <v>18.456944440000001</v>
      </c>
      <c r="E415">
        <v>-95.376388890000001</v>
      </c>
      <c r="F415" t="s">
        <v>1387</v>
      </c>
      <c r="G415" t="s">
        <v>1374</v>
      </c>
      <c r="I415" t="s">
        <v>118</v>
      </c>
      <c r="J415" t="s">
        <v>119</v>
      </c>
      <c r="K415" t="s">
        <v>120</v>
      </c>
      <c r="L415" t="s">
        <v>121</v>
      </c>
      <c r="N415" s="6" t="s">
        <v>1306</v>
      </c>
      <c r="O415" t="s">
        <v>1307</v>
      </c>
      <c r="P415" t="s">
        <v>170</v>
      </c>
      <c r="Q415" t="s">
        <v>1308</v>
      </c>
      <c r="R415" t="s">
        <v>1309</v>
      </c>
      <c r="S415">
        <v>2012</v>
      </c>
      <c r="T415" t="s">
        <v>128</v>
      </c>
      <c r="U415" t="s">
        <v>154</v>
      </c>
      <c r="V415">
        <v>75</v>
      </c>
      <c r="AD415">
        <v>1</v>
      </c>
      <c r="AE415">
        <v>1.3333332999999999E-2</v>
      </c>
      <c r="AF415">
        <v>200</v>
      </c>
      <c r="AG415">
        <v>0</v>
      </c>
      <c r="AK415">
        <v>0</v>
      </c>
      <c r="AL415">
        <v>0</v>
      </c>
      <c r="AN415" t="s">
        <v>132</v>
      </c>
      <c r="BN415">
        <v>2010</v>
      </c>
      <c r="CE41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15" s="19">
        <f>SUM(Table1[[#This Row],[Mid39]],Table1[[#This Row],[Mid36]],Table1[[#This Row],[Mid33]],Table1[[#This Row],[Mid30]],Table1[[#This Row],[Mid27]],Table1[[#This Row],[Mid24]],Table1[[#This Row],[Mid21]],Table1[[#This Row],[Mid18]],Table1[[#This Row],[Mid15]],Table1[[#This Row],[Mid12]],Table1[[#This Row],[Mid9]],Table1[[#This Row],[Mid6]],Table1[[#This Row],[Mid3]],Table1[[#This Row],[Mid]])</f>
        <v>2010</v>
      </c>
      <c r="CG4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15" t="s">
        <v>157</v>
      </c>
      <c r="CI415" t="s">
        <v>189</v>
      </c>
      <c r="CJ415" t="s">
        <v>158</v>
      </c>
      <c r="CL415" s="19">
        <f>IF(Table1[[#This Row],[Type]]="Petroleum",1,IF(ISERROR(Table1[[#This Row],[Well Density]]*Table1[[#This Row],[Single Well Discovery Area]]),"",IF(Table1[[#This Row],[Well Density]]*Table1[[#This Row],[Single Well Discovery Area]]&gt;1,1,Table1[[#This Row],[Well Density]]*Table1[[#This Row],[Single Well Discovery Area]])))</f>
        <v>1</v>
      </c>
      <c r="CM415" t="s">
        <v>158</v>
      </c>
      <c r="CN415" s="19">
        <f>Table1[[#This Row],[Mid]]</f>
        <v>0</v>
      </c>
      <c r="CO415" s="19">
        <f>Table1[[#This Row],[Mid3]]+Table1[[#This Row],[Mid6]]+Table1[[#This Row],[Mid9]]</f>
        <v>0</v>
      </c>
      <c r="CP415" s="19">
        <f>Table1[[#This Row],[Mid12]]+Table1[[#This Row],[Mid15]]+Table1[[#This Row],[Mid18]]+Table1[[#This Row],[Mid21]]+Table1[[#This Row],[Mid24]]</f>
        <v>2010</v>
      </c>
      <c r="CQ415" s="19">
        <f>Table1[[#This Row],[Mid27]]+Table1[[#This Row],[Mid30]]+Table1[[#This Row],[Mid33]]+Table1[[#This Row],[Mid36]]+Table1[[#This Row],[Mid39]]</f>
        <v>0</v>
      </c>
      <c r="CR415" t="s">
        <v>471</v>
      </c>
      <c r="CS415" s="19" t="str">
        <f>IF(AND(Table1[[#This Row],[Low41]]=0, Table1[[#This Row],[High43]]=0),"N","Y")</f>
        <v>N</v>
      </c>
    </row>
    <row r="416" spans="1:97" ht="19.5" customHeight="1" x14ac:dyDescent="0.25">
      <c r="A416">
        <v>10413</v>
      </c>
      <c r="B416" t="s">
        <v>1302</v>
      </c>
      <c r="C416" t="s">
        <v>1374</v>
      </c>
      <c r="D416">
        <v>18.36</v>
      </c>
      <c r="E416">
        <v>-96.097222220000006</v>
      </c>
      <c r="F416" t="s">
        <v>1388</v>
      </c>
      <c r="G416" t="s">
        <v>1374</v>
      </c>
      <c r="I416" t="s">
        <v>118</v>
      </c>
      <c r="J416" t="s">
        <v>119</v>
      </c>
      <c r="K416" t="s">
        <v>120</v>
      </c>
      <c r="L416" t="s">
        <v>121</v>
      </c>
      <c r="N416" s="6" t="s">
        <v>1306</v>
      </c>
      <c r="O416" t="s">
        <v>1307</v>
      </c>
      <c r="P416" t="s">
        <v>170</v>
      </c>
      <c r="Q416" t="s">
        <v>1308</v>
      </c>
      <c r="R416" t="s">
        <v>1309</v>
      </c>
      <c r="S416">
        <v>2012</v>
      </c>
      <c r="T416" t="s">
        <v>128</v>
      </c>
      <c r="U416" t="s">
        <v>154</v>
      </c>
      <c r="V416">
        <v>150</v>
      </c>
      <c r="AD416">
        <v>3</v>
      </c>
      <c r="AE416">
        <v>0.02</v>
      </c>
      <c r="AF416">
        <v>200</v>
      </c>
      <c r="AG416">
        <v>0</v>
      </c>
      <c r="AK416">
        <v>0</v>
      </c>
      <c r="AL416">
        <v>0</v>
      </c>
      <c r="AN416" t="s">
        <v>132</v>
      </c>
      <c r="BN416">
        <v>2190</v>
      </c>
      <c r="CE41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16" s="19">
        <f>SUM(Table1[[#This Row],[Mid39]],Table1[[#This Row],[Mid36]],Table1[[#This Row],[Mid33]],Table1[[#This Row],[Mid30]],Table1[[#This Row],[Mid27]],Table1[[#This Row],[Mid24]],Table1[[#This Row],[Mid21]],Table1[[#This Row],[Mid18]],Table1[[#This Row],[Mid15]],Table1[[#This Row],[Mid12]],Table1[[#This Row],[Mid9]],Table1[[#This Row],[Mid6]],Table1[[#This Row],[Mid3]],Table1[[#This Row],[Mid]])</f>
        <v>2190</v>
      </c>
      <c r="CG4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16" t="s">
        <v>157</v>
      </c>
      <c r="CI416" t="s">
        <v>189</v>
      </c>
      <c r="CJ416" t="s">
        <v>158</v>
      </c>
      <c r="CL416" s="19">
        <f>IF(Table1[[#This Row],[Type]]="Petroleum",1,IF(ISERROR(Table1[[#This Row],[Well Density]]*Table1[[#This Row],[Single Well Discovery Area]]),"",IF(Table1[[#This Row],[Well Density]]*Table1[[#This Row],[Single Well Discovery Area]]&gt;1,1,Table1[[#This Row],[Well Density]]*Table1[[#This Row],[Single Well Discovery Area]])))</f>
        <v>1</v>
      </c>
      <c r="CM416" t="s">
        <v>158</v>
      </c>
      <c r="CN416" s="19">
        <f>Table1[[#This Row],[Mid]]</f>
        <v>0</v>
      </c>
      <c r="CO416" s="19">
        <f>Table1[[#This Row],[Mid3]]+Table1[[#This Row],[Mid6]]+Table1[[#This Row],[Mid9]]</f>
        <v>0</v>
      </c>
      <c r="CP416" s="19">
        <f>Table1[[#This Row],[Mid12]]+Table1[[#This Row],[Mid15]]+Table1[[#This Row],[Mid18]]+Table1[[#This Row],[Mid21]]+Table1[[#This Row],[Mid24]]</f>
        <v>2190</v>
      </c>
      <c r="CQ416" s="19">
        <f>Table1[[#This Row],[Mid27]]+Table1[[#This Row],[Mid30]]+Table1[[#This Row],[Mid33]]+Table1[[#This Row],[Mid36]]+Table1[[#This Row],[Mid39]]</f>
        <v>0</v>
      </c>
      <c r="CR416" t="s">
        <v>471</v>
      </c>
      <c r="CS416" s="19" t="str">
        <f>IF(AND(Table1[[#This Row],[Low41]]=0, Table1[[#This Row],[High43]]=0),"N","Y")</f>
        <v>N</v>
      </c>
    </row>
    <row r="417" spans="1:97" ht="19.5" customHeight="1" x14ac:dyDescent="0.25">
      <c r="A417">
        <v>10414</v>
      </c>
      <c r="B417" t="s">
        <v>1302</v>
      </c>
      <c r="C417" t="s">
        <v>1374</v>
      </c>
      <c r="D417">
        <v>18.481111110000001</v>
      </c>
      <c r="E417">
        <v>-95.908611109999995</v>
      </c>
      <c r="F417" t="s">
        <v>1389</v>
      </c>
      <c r="G417" t="s">
        <v>1374</v>
      </c>
      <c r="I417" t="s">
        <v>118</v>
      </c>
      <c r="J417" t="s">
        <v>119</v>
      </c>
      <c r="K417" t="s">
        <v>120</v>
      </c>
      <c r="L417" t="s">
        <v>121</v>
      </c>
      <c r="N417" s="6" t="s">
        <v>1306</v>
      </c>
      <c r="O417" t="s">
        <v>1307</v>
      </c>
      <c r="P417" t="s">
        <v>170</v>
      </c>
      <c r="Q417" t="s">
        <v>1308</v>
      </c>
      <c r="R417" t="s">
        <v>1309</v>
      </c>
      <c r="S417">
        <v>2012</v>
      </c>
      <c r="T417" t="s">
        <v>128</v>
      </c>
      <c r="U417" t="s">
        <v>154</v>
      </c>
      <c r="V417">
        <v>90</v>
      </c>
      <c r="AD417">
        <v>1</v>
      </c>
      <c r="AE417">
        <v>1.1111111E-2</v>
      </c>
      <c r="AF417">
        <v>200</v>
      </c>
      <c r="AG417">
        <v>0</v>
      </c>
      <c r="AK417">
        <v>0</v>
      </c>
      <c r="AL417">
        <v>0</v>
      </c>
      <c r="AN417" t="s">
        <v>132</v>
      </c>
      <c r="BN417">
        <v>920</v>
      </c>
      <c r="CE41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17" s="19">
        <f>SUM(Table1[[#This Row],[Mid39]],Table1[[#This Row],[Mid36]],Table1[[#This Row],[Mid33]],Table1[[#This Row],[Mid30]],Table1[[#This Row],[Mid27]],Table1[[#This Row],[Mid24]],Table1[[#This Row],[Mid21]],Table1[[#This Row],[Mid18]],Table1[[#This Row],[Mid15]],Table1[[#This Row],[Mid12]],Table1[[#This Row],[Mid9]],Table1[[#This Row],[Mid6]],Table1[[#This Row],[Mid3]],Table1[[#This Row],[Mid]])</f>
        <v>920</v>
      </c>
      <c r="CG4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17" t="s">
        <v>157</v>
      </c>
      <c r="CI417" t="s">
        <v>189</v>
      </c>
      <c r="CJ417" t="s">
        <v>158</v>
      </c>
      <c r="CL417" s="19">
        <f>IF(Table1[[#This Row],[Type]]="Petroleum",1,IF(ISERROR(Table1[[#This Row],[Well Density]]*Table1[[#This Row],[Single Well Discovery Area]]),"",IF(Table1[[#This Row],[Well Density]]*Table1[[#This Row],[Single Well Discovery Area]]&gt;1,1,Table1[[#This Row],[Well Density]]*Table1[[#This Row],[Single Well Discovery Area]])))</f>
        <v>1</v>
      </c>
      <c r="CM417" t="s">
        <v>158</v>
      </c>
      <c r="CN417" s="19">
        <f>Table1[[#This Row],[Mid]]</f>
        <v>0</v>
      </c>
      <c r="CO417" s="19">
        <f>Table1[[#This Row],[Mid3]]+Table1[[#This Row],[Mid6]]+Table1[[#This Row],[Mid9]]</f>
        <v>0</v>
      </c>
      <c r="CP417" s="19">
        <f>Table1[[#This Row],[Mid12]]+Table1[[#This Row],[Mid15]]+Table1[[#This Row],[Mid18]]+Table1[[#This Row],[Mid21]]+Table1[[#This Row],[Mid24]]</f>
        <v>920</v>
      </c>
      <c r="CQ417" s="19">
        <f>Table1[[#This Row],[Mid27]]+Table1[[#This Row],[Mid30]]+Table1[[#This Row],[Mid33]]+Table1[[#This Row],[Mid36]]+Table1[[#This Row],[Mid39]]</f>
        <v>0</v>
      </c>
      <c r="CR417" t="s">
        <v>471</v>
      </c>
      <c r="CS417" s="19" t="str">
        <f>IF(AND(Table1[[#This Row],[Low41]]=0, Table1[[#This Row],[High43]]=0),"N","Y")</f>
        <v>N</v>
      </c>
    </row>
    <row r="418" spans="1:97" ht="19.5" customHeight="1" x14ac:dyDescent="0.25">
      <c r="A418">
        <v>10415</v>
      </c>
      <c r="B418" t="s">
        <v>1302</v>
      </c>
      <c r="C418" t="s">
        <v>1390</v>
      </c>
      <c r="D418">
        <v>19.284444440000001</v>
      </c>
      <c r="E418">
        <v>-92.18305556</v>
      </c>
      <c r="F418" t="s">
        <v>1391</v>
      </c>
      <c r="G418" t="s">
        <v>1392</v>
      </c>
      <c r="I418" t="s">
        <v>118</v>
      </c>
      <c r="J418" t="s">
        <v>119</v>
      </c>
      <c r="K418" t="s">
        <v>120</v>
      </c>
      <c r="L418" t="s">
        <v>121</v>
      </c>
      <c r="N418" s="6" t="s">
        <v>1306</v>
      </c>
      <c r="O418" t="s">
        <v>1307</v>
      </c>
      <c r="P418" t="s">
        <v>170</v>
      </c>
      <c r="Q418" t="s">
        <v>1308</v>
      </c>
      <c r="R418" t="s">
        <v>1309</v>
      </c>
      <c r="S418">
        <v>2012</v>
      </c>
      <c r="T418" t="s">
        <v>128</v>
      </c>
      <c r="U418" t="s">
        <v>154</v>
      </c>
      <c r="V418">
        <v>60</v>
      </c>
      <c r="AD418">
        <v>2</v>
      </c>
      <c r="AE418">
        <v>3.3333333E-2</v>
      </c>
      <c r="AF418">
        <v>200</v>
      </c>
      <c r="AG418">
        <v>0</v>
      </c>
      <c r="AK418">
        <v>0</v>
      </c>
      <c r="AL418">
        <v>0</v>
      </c>
      <c r="AN418" t="s">
        <v>132</v>
      </c>
      <c r="BN418">
        <v>3190</v>
      </c>
      <c r="CE41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18" s="19">
        <f>SUM(Table1[[#This Row],[Mid39]],Table1[[#This Row],[Mid36]],Table1[[#This Row],[Mid33]],Table1[[#This Row],[Mid30]],Table1[[#This Row],[Mid27]],Table1[[#This Row],[Mid24]],Table1[[#This Row],[Mid21]],Table1[[#This Row],[Mid18]],Table1[[#This Row],[Mid15]],Table1[[#This Row],[Mid12]],Table1[[#This Row],[Mid9]],Table1[[#This Row],[Mid6]],Table1[[#This Row],[Mid3]],Table1[[#This Row],[Mid]])</f>
        <v>3190</v>
      </c>
      <c r="CG41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18" t="s">
        <v>157</v>
      </c>
      <c r="CI418" t="s">
        <v>189</v>
      </c>
      <c r="CJ418" t="s">
        <v>158</v>
      </c>
      <c r="CL418" s="19">
        <f>IF(Table1[[#This Row],[Type]]="Petroleum",1,IF(ISERROR(Table1[[#This Row],[Well Density]]*Table1[[#This Row],[Single Well Discovery Area]]),"",IF(Table1[[#This Row],[Well Density]]*Table1[[#This Row],[Single Well Discovery Area]]&gt;1,1,Table1[[#This Row],[Well Density]]*Table1[[#This Row],[Single Well Discovery Area]])))</f>
        <v>1</v>
      </c>
      <c r="CM418" t="s">
        <v>158</v>
      </c>
      <c r="CN418" s="19">
        <f>Table1[[#This Row],[Mid]]</f>
        <v>0</v>
      </c>
      <c r="CO418" s="19">
        <f>Table1[[#This Row],[Mid3]]+Table1[[#This Row],[Mid6]]+Table1[[#This Row],[Mid9]]</f>
        <v>0</v>
      </c>
      <c r="CP418" s="19">
        <f>Table1[[#This Row],[Mid12]]+Table1[[#This Row],[Mid15]]+Table1[[#This Row],[Mid18]]+Table1[[#This Row],[Mid21]]+Table1[[#This Row],[Mid24]]</f>
        <v>3190</v>
      </c>
      <c r="CQ418" s="19">
        <f>Table1[[#This Row],[Mid27]]+Table1[[#This Row],[Mid30]]+Table1[[#This Row],[Mid33]]+Table1[[#This Row],[Mid36]]+Table1[[#This Row],[Mid39]]</f>
        <v>0</v>
      </c>
      <c r="CR418" t="s">
        <v>471</v>
      </c>
      <c r="CS418" s="19" t="str">
        <f>IF(AND(Table1[[#This Row],[Low41]]=0, Table1[[#This Row],[High43]]=0),"N","Y")</f>
        <v>N</v>
      </c>
    </row>
    <row r="419" spans="1:97" ht="19.5" customHeight="1" x14ac:dyDescent="0.25">
      <c r="A419">
        <v>10416</v>
      </c>
      <c r="B419" t="s">
        <v>1302</v>
      </c>
      <c r="C419" t="s">
        <v>1390</v>
      </c>
      <c r="D419">
        <v>19.41222222</v>
      </c>
      <c r="E419">
        <v>-91.893888889999999</v>
      </c>
      <c r="F419" t="s">
        <v>1393</v>
      </c>
      <c r="G419" t="s">
        <v>1392</v>
      </c>
      <c r="I419" t="s">
        <v>118</v>
      </c>
      <c r="J419" t="s">
        <v>119</v>
      </c>
      <c r="K419" t="s">
        <v>120</v>
      </c>
      <c r="L419" t="s">
        <v>121</v>
      </c>
      <c r="N419" s="6" t="s">
        <v>1306</v>
      </c>
      <c r="O419" t="s">
        <v>1307</v>
      </c>
      <c r="P419" t="s">
        <v>170</v>
      </c>
      <c r="Q419" t="s">
        <v>1308</v>
      </c>
      <c r="R419" t="s">
        <v>1309</v>
      </c>
      <c r="S419">
        <v>2012</v>
      </c>
      <c r="T419" t="s">
        <v>128</v>
      </c>
      <c r="U419" t="s">
        <v>154</v>
      </c>
      <c r="V419">
        <v>75</v>
      </c>
      <c r="AD419">
        <v>2</v>
      </c>
      <c r="AE419">
        <v>2.6666667000000002E-2</v>
      </c>
      <c r="AF419">
        <v>200</v>
      </c>
      <c r="AG419">
        <v>0</v>
      </c>
      <c r="AK419">
        <v>0</v>
      </c>
      <c r="AL419">
        <v>0</v>
      </c>
      <c r="AN419" t="s">
        <v>132</v>
      </c>
      <c r="BN419">
        <v>3320</v>
      </c>
      <c r="CE41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19" s="19">
        <f>SUM(Table1[[#This Row],[Mid39]],Table1[[#This Row],[Mid36]],Table1[[#This Row],[Mid33]],Table1[[#This Row],[Mid30]],Table1[[#This Row],[Mid27]],Table1[[#This Row],[Mid24]],Table1[[#This Row],[Mid21]],Table1[[#This Row],[Mid18]],Table1[[#This Row],[Mid15]],Table1[[#This Row],[Mid12]],Table1[[#This Row],[Mid9]],Table1[[#This Row],[Mid6]],Table1[[#This Row],[Mid3]],Table1[[#This Row],[Mid]])</f>
        <v>3320</v>
      </c>
      <c r="CG4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19" t="s">
        <v>157</v>
      </c>
      <c r="CI419" t="s">
        <v>189</v>
      </c>
      <c r="CJ419" t="s">
        <v>158</v>
      </c>
      <c r="CL419" s="19">
        <f>IF(Table1[[#This Row],[Type]]="Petroleum",1,IF(ISERROR(Table1[[#This Row],[Well Density]]*Table1[[#This Row],[Single Well Discovery Area]]),"",IF(Table1[[#This Row],[Well Density]]*Table1[[#This Row],[Single Well Discovery Area]]&gt;1,1,Table1[[#This Row],[Well Density]]*Table1[[#This Row],[Single Well Discovery Area]])))</f>
        <v>1</v>
      </c>
      <c r="CM419" t="s">
        <v>158</v>
      </c>
      <c r="CN419" s="19">
        <f>Table1[[#This Row],[Mid]]</f>
        <v>0</v>
      </c>
      <c r="CO419" s="19">
        <f>Table1[[#This Row],[Mid3]]+Table1[[#This Row],[Mid6]]+Table1[[#This Row],[Mid9]]</f>
        <v>0</v>
      </c>
      <c r="CP419" s="19">
        <f>Table1[[#This Row],[Mid12]]+Table1[[#This Row],[Mid15]]+Table1[[#This Row],[Mid18]]+Table1[[#This Row],[Mid21]]+Table1[[#This Row],[Mid24]]</f>
        <v>3320</v>
      </c>
      <c r="CQ419" s="19">
        <f>Table1[[#This Row],[Mid27]]+Table1[[#This Row],[Mid30]]+Table1[[#This Row],[Mid33]]+Table1[[#This Row],[Mid36]]+Table1[[#This Row],[Mid39]]</f>
        <v>0</v>
      </c>
      <c r="CR419" t="s">
        <v>471</v>
      </c>
      <c r="CS419" s="19" t="str">
        <f>IF(AND(Table1[[#This Row],[Low41]]=0, Table1[[#This Row],[High43]]=0),"N","Y")</f>
        <v>N</v>
      </c>
    </row>
    <row r="420" spans="1:97" ht="19.5" customHeight="1" x14ac:dyDescent="0.25">
      <c r="A420">
        <v>10417</v>
      </c>
      <c r="B420" t="s">
        <v>1302</v>
      </c>
      <c r="C420" t="s">
        <v>1390</v>
      </c>
      <c r="D420">
        <v>19.47555556</v>
      </c>
      <c r="E420">
        <v>-91.764166669999994</v>
      </c>
      <c r="F420" t="s">
        <v>1394</v>
      </c>
      <c r="G420" t="s">
        <v>1392</v>
      </c>
      <c r="I420" t="s">
        <v>118</v>
      </c>
      <c r="J420" t="s">
        <v>119</v>
      </c>
      <c r="K420" t="s">
        <v>120</v>
      </c>
      <c r="L420" t="s">
        <v>121</v>
      </c>
      <c r="N420" s="6" t="s">
        <v>1306</v>
      </c>
      <c r="O420" t="s">
        <v>1307</v>
      </c>
      <c r="P420" t="s">
        <v>170</v>
      </c>
      <c r="Q420" t="s">
        <v>1308</v>
      </c>
      <c r="R420" t="s">
        <v>1309</v>
      </c>
      <c r="S420">
        <v>2012</v>
      </c>
      <c r="T420" t="s">
        <v>128</v>
      </c>
      <c r="U420" t="s">
        <v>154</v>
      </c>
      <c r="V420">
        <v>20</v>
      </c>
      <c r="AD420">
        <v>1</v>
      </c>
      <c r="AE420">
        <v>0.05</v>
      </c>
      <c r="AF420">
        <v>200</v>
      </c>
      <c r="AG420">
        <v>0</v>
      </c>
      <c r="AK420">
        <v>0</v>
      </c>
      <c r="AL420">
        <v>0</v>
      </c>
      <c r="AN420" t="s">
        <v>132</v>
      </c>
      <c r="BN420">
        <v>380</v>
      </c>
      <c r="CE42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20" s="19">
        <f>SUM(Table1[[#This Row],[Mid39]],Table1[[#This Row],[Mid36]],Table1[[#This Row],[Mid33]],Table1[[#This Row],[Mid30]],Table1[[#This Row],[Mid27]],Table1[[#This Row],[Mid24]],Table1[[#This Row],[Mid21]],Table1[[#This Row],[Mid18]],Table1[[#This Row],[Mid15]],Table1[[#This Row],[Mid12]],Table1[[#This Row],[Mid9]],Table1[[#This Row],[Mid6]],Table1[[#This Row],[Mid3]],Table1[[#This Row],[Mid]])</f>
        <v>380</v>
      </c>
      <c r="CG4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20" t="s">
        <v>157</v>
      </c>
      <c r="CI420" t="s">
        <v>189</v>
      </c>
      <c r="CJ420" t="s">
        <v>158</v>
      </c>
      <c r="CL420" s="19">
        <f>IF(Table1[[#This Row],[Type]]="Petroleum",1,IF(ISERROR(Table1[[#This Row],[Well Density]]*Table1[[#This Row],[Single Well Discovery Area]]),"",IF(Table1[[#This Row],[Well Density]]*Table1[[#This Row],[Single Well Discovery Area]]&gt;1,1,Table1[[#This Row],[Well Density]]*Table1[[#This Row],[Single Well Discovery Area]])))</f>
        <v>1</v>
      </c>
      <c r="CM420" t="s">
        <v>158</v>
      </c>
      <c r="CN420" s="19">
        <f>Table1[[#This Row],[Mid]]</f>
        <v>0</v>
      </c>
      <c r="CO420" s="19">
        <f>Table1[[#This Row],[Mid3]]+Table1[[#This Row],[Mid6]]+Table1[[#This Row],[Mid9]]</f>
        <v>0</v>
      </c>
      <c r="CP420" s="19">
        <f>Table1[[#This Row],[Mid12]]+Table1[[#This Row],[Mid15]]+Table1[[#This Row],[Mid18]]+Table1[[#This Row],[Mid21]]+Table1[[#This Row],[Mid24]]</f>
        <v>380</v>
      </c>
      <c r="CQ420" s="19">
        <f>Table1[[#This Row],[Mid27]]+Table1[[#This Row],[Mid30]]+Table1[[#This Row],[Mid33]]+Table1[[#This Row],[Mid36]]+Table1[[#This Row],[Mid39]]</f>
        <v>0</v>
      </c>
      <c r="CR420" t="s">
        <v>471</v>
      </c>
      <c r="CS420" s="19" t="str">
        <f>IF(AND(Table1[[#This Row],[Low41]]=0, Table1[[#This Row],[High43]]=0),"N","Y")</f>
        <v>N</v>
      </c>
    </row>
    <row r="421" spans="1:97" ht="19.5" customHeight="1" x14ac:dyDescent="0.25">
      <c r="A421">
        <v>10418</v>
      </c>
      <c r="B421" t="s">
        <v>1302</v>
      </c>
      <c r="C421" t="s">
        <v>1390</v>
      </c>
      <c r="D421">
        <v>20.63361111</v>
      </c>
      <c r="E421">
        <v>-88.038888889999996</v>
      </c>
      <c r="F421" t="s">
        <v>1395</v>
      </c>
      <c r="G421" t="s">
        <v>1392</v>
      </c>
      <c r="I421" t="s">
        <v>118</v>
      </c>
      <c r="J421" t="s">
        <v>119</v>
      </c>
      <c r="K421" t="s">
        <v>120</v>
      </c>
      <c r="L421" t="s">
        <v>18</v>
      </c>
      <c r="N421" s="6" t="s">
        <v>1306</v>
      </c>
      <c r="O421" t="s">
        <v>1307</v>
      </c>
      <c r="P421" t="s">
        <v>170</v>
      </c>
      <c r="Q421" t="s">
        <v>1308</v>
      </c>
      <c r="R421" t="s">
        <v>1333</v>
      </c>
      <c r="S421">
        <v>2012</v>
      </c>
      <c r="T421" t="s">
        <v>128</v>
      </c>
      <c r="U421" t="s">
        <v>154</v>
      </c>
      <c r="V421">
        <v>90</v>
      </c>
      <c r="AD421">
        <v>0</v>
      </c>
      <c r="AE421">
        <v>0</v>
      </c>
      <c r="AF421">
        <v>200</v>
      </c>
      <c r="AG421">
        <v>0</v>
      </c>
      <c r="AK421">
        <v>0</v>
      </c>
      <c r="AL421">
        <v>0</v>
      </c>
      <c r="AN421" t="s">
        <v>132</v>
      </c>
      <c r="CC421">
        <v>2030</v>
      </c>
      <c r="CE42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21" s="19">
        <f>SUM(Table1[[#This Row],[Mid39]],Table1[[#This Row],[Mid36]],Table1[[#This Row],[Mid33]],Table1[[#This Row],[Mid30]],Table1[[#This Row],[Mid27]],Table1[[#This Row],[Mid24]],Table1[[#This Row],[Mid21]],Table1[[#This Row],[Mid18]],Table1[[#This Row],[Mid15]],Table1[[#This Row],[Mid12]],Table1[[#This Row],[Mid9]],Table1[[#This Row],[Mid6]],Table1[[#This Row],[Mid3]],Table1[[#This Row],[Mid]])</f>
        <v>2030</v>
      </c>
      <c r="CG4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21" t="s">
        <v>157</v>
      </c>
      <c r="CI421" t="s">
        <v>189</v>
      </c>
      <c r="CJ421" t="s">
        <v>158</v>
      </c>
      <c r="CL421" s="19">
        <f>IF(Table1[[#This Row],[Type]]="Petroleum",1,IF(ISERROR(Table1[[#This Row],[Well Density]]*Table1[[#This Row],[Single Well Discovery Area]]),"",IF(Table1[[#This Row],[Well Density]]*Table1[[#This Row],[Single Well Discovery Area]]&gt;1,1,Table1[[#This Row],[Well Density]]*Table1[[#This Row],[Single Well Discovery Area]])))</f>
        <v>0</v>
      </c>
      <c r="CM421" t="s">
        <v>158</v>
      </c>
      <c r="CN421" s="19">
        <f>Table1[[#This Row],[Mid]]</f>
        <v>0</v>
      </c>
      <c r="CO421" s="19">
        <f>Table1[[#This Row],[Mid3]]+Table1[[#This Row],[Mid6]]+Table1[[#This Row],[Mid9]]</f>
        <v>0</v>
      </c>
      <c r="CP421" s="19">
        <f>Table1[[#This Row],[Mid12]]+Table1[[#This Row],[Mid15]]+Table1[[#This Row],[Mid18]]+Table1[[#This Row],[Mid21]]+Table1[[#This Row],[Mid24]]</f>
        <v>0</v>
      </c>
      <c r="CQ421" s="19">
        <f>Table1[[#This Row],[Mid27]]+Table1[[#This Row],[Mid30]]+Table1[[#This Row],[Mid33]]+Table1[[#This Row],[Mid36]]+Table1[[#This Row],[Mid39]]</f>
        <v>2030</v>
      </c>
      <c r="CR421" t="s">
        <v>471</v>
      </c>
      <c r="CS421" s="19" t="str">
        <f>IF(AND(Table1[[#This Row],[Low41]]=0, Table1[[#This Row],[High43]]=0),"N","Y")</f>
        <v>N</v>
      </c>
    </row>
    <row r="422" spans="1:97" ht="19.5" customHeight="1" x14ac:dyDescent="0.25">
      <c r="A422">
        <v>10419</v>
      </c>
      <c r="B422" t="s">
        <v>1302</v>
      </c>
      <c r="C422" t="s">
        <v>1390</v>
      </c>
      <c r="D422">
        <v>20.801111110000001</v>
      </c>
      <c r="E422">
        <v>-87.690277780000002</v>
      </c>
      <c r="F422" t="s">
        <v>1396</v>
      </c>
      <c r="G422" t="s">
        <v>1392</v>
      </c>
      <c r="I422" t="s">
        <v>118</v>
      </c>
      <c r="J422" t="s">
        <v>119</v>
      </c>
      <c r="K422" t="s">
        <v>120</v>
      </c>
      <c r="L422" t="s">
        <v>121</v>
      </c>
      <c r="N422" s="6" t="s">
        <v>1306</v>
      </c>
      <c r="O422" t="s">
        <v>1307</v>
      </c>
      <c r="P422" t="s">
        <v>170</v>
      </c>
      <c r="Q422" t="s">
        <v>1308</v>
      </c>
      <c r="R422" t="s">
        <v>1309</v>
      </c>
      <c r="S422">
        <v>2012</v>
      </c>
      <c r="T422" t="s">
        <v>128</v>
      </c>
      <c r="U422" t="s">
        <v>154</v>
      </c>
      <c r="V422">
        <v>90</v>
      </c>
      <c r="AD422">
        <v>1</v>
      </c>
      <c r="AE422">
        <v>1.1111111E-2</v>
      </c>
      <c r="AF422">
        <v>200</v>
      </c>
      <c r="AG422">
        <v>0</v>
      </c>
      <c r="AK422">
        <v>0</v>
      </c>
      <c r="AL422">
        <v>0</v>
      </c>
      <c r="AN422" t="s">
        <v>132</v>
      </c>
      <c r="BN422">
        <v>1950</v>
      </c>
      <c r="CE42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22" s="19">
        <f>SUM(Table1[[#This Row],[Mid39]],Table1[[#This Row],[Mid36]],Table1[[#This Row],[Mid33]],Table1[[#This Row],[Mid30]],Table1[[#This Row],[Mid27]],Table1[[#This Row],[Mid24]],Table1[[#This Row],[Mid21]],Table1[[#This Row],[Mid18]],Table1[[#This Row],[Mid15]],Table1[[#This Row],[Mid12]],Table1[[#This Row],[Mid9]],Table1[[#This Row],[Mid6]],Table1[[#This Row],[Mid3]],Table1[[#This Row],[Mid]])</f>
        <v>1950</v>
      </c>
      <c r="CG4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22" t="s">
        <v>157</v>
      </c>
      <c r="CI422" t="s">
        <v>189</v>
      </c>
      <c r="CJ422" t="s">
        <v>158</v>
      </c>
      <c r="CL422" s="19">
        <f>IF(Table1[[#This Row],[Type]]="Petroleum",1,IF(ISERROR(Table1[[#This Row],[Well Density]]*Table1[[#This Row],[Single Well Discovery Area]]),"",IF(Table1[[#This Row],[Well Density]]*Table1[[#This Row],[Single Well Discovery Area]]&gt;1,1,Table1[[#This Row],[Well Density]]*Table1[[#This Row],[Single Well Discovery Area]])))</f>
        <v>1</v>
      </c>
      <c r="CM422" t="s">
        <v>158</v>
      </c>
      <c r="CN422" s="19">
        <f>Table1[[#This Row],[Mid]]</f>
        <v>0</v>
      </c>
      <c r="CO422" s="19">
        <f>Table1[[#This Row],[Mid3]]+Table1[[#This Row],[Mid6]]+Table1[[#This Row],[Mid9]]</f>
        <v>0</v>
      </c>
      <c r="CP422" s="19">
        <f>Table1[[#This Row],[Mid12]]+Table1[[#This Row],[Mid15]]+Table1[[#This Row],[Mid18]]+Table1[[#This Row],[Mid21]]+Table1[[#This Row],[Mid24]]</f>
        <v>1950</v>
      </c>
      <c r="CQ422" s="19">
        <f>Table1[[#This Row],[Mid27]]+Table1[[#This Row],[Mid30]]+Table1[[#This Row],[Mid33]]+Table1[[#This Row],[Mid36]]+Table1[[#This Row],[Mid39]]</f>
        <v>0</v>
      </c>
      <c r="CR422" t="s">
        <v>471</v>
      </c>
      <c r="CS422" s="19" t="str">
        <f>IF(AND(Table1[[#This Row],[Low41]]=0, Table1[[#This Row],[High43]]=0),"N","Y")</f>
        <v>N</v>
      </c>
    </row>
    <row r="423" spans="1:97" ht="19.5" customHeight="1" x14ac:dyDescent="0.25">
      <c r="A423">
        <v>10420</v>
      </c>
      <c r="B423" t="s">
        <v>1302</v>
      </c>
      <c r="C423" t="s">
        <v>1390</v>
      </c>
      <c r="D423">
        <v>19.167777780000002</v>
      </c>
      <c r="E423">
        <v>-92.043611110000001</v>
      </c>
      <c r="F423" t="s">
        <v>1397</v>
      </c>
      <c r="G423" t="s">
        <v>1392</v>
      </c>
      <c r="I423" t="s">
        <v>118</v>
      </c>
      <c r="J423" t="s">
        <v>119</v>
      </c>
      <c r="K423" t="s">
        <v>120</v>
      </c>
      <c r="L423" t="s">
        <v>121</v>
      </c>
      <c r="N423" s="6" t="s">
        <v>1306</v>
      </c>
      <c r="O423" t="s">
        <v>1307</v>
      </c>
      <c r="P423" t="s">
        <v>170</v>
      </c>
      <c r="Q423" t="s">
        <v>1308</v>
      </c>
      <c r="R423" t="s">
        <v>1309</v>
      </c>
      <c r="S423">
        <v>2012</v>
      </c>
      <c r="T423" t="s">
        <v>128</v>
      </c>
      <c r="U423" t="s">
        <v>154</v>
      </c>
      <c r="V423">
        <v>165</v>
      </c>
      <c r="AD423">
        <v>2</v>
      </c>
      <c r="AE423">
        <v>1.2121211999999999E-2</v>
      </c>
      <c r="AF423">
        <v>200</v>
      </c>
      <c r="AG423">
        <v>0</v>
      </c>
      <c r="AK423">
        <v>0</v>
      </c>
      <c r="AL423">
        <v>0</v>
      </c>
      <c r="AN423" t="s">
        <v>132</v>
      </c>
      <c r="BN423">
        <v>3250</v>
      </c>
      <c r="CE42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23" s="19">
        <f>SUM(Table1[[#This Row],[Mid39]],Table1[[#This Row],[Mid36]],Table1[[#This Row],[Mid33]],Table1[[#This Row],[Mid30]],Table1[[#This Row],[Mid27]],Table1[[#This Row],[Mid24]],Table1[[#This Row],[Mid21]],Table1[[#This Row],[Mid18]],Table1[[#This Row],[Mid15]],Table1[[#This Row],[Mid12]],Table1[[#This Row],[Mid9]],Table1[[#This Row],[Mid6]],Table1[[#This Row],[Mid3]],Table1[[#This Row],[Mid]])</f>
        <v>3250</v>
      </c>
      <c r="CG4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23" t="s">
        <v>157</v>
      </c>
      <c r="CI423" t="s">
        <v>189</v>
      </c>
      <c r="CJ423" t="s">
        <v>158</v>
      </c>
      <c r="CL423" s="19">
        <f>IF(Table1[[#This Row],[Type]]="Petroleum",1,IF(ISERROR(Table1[[#This Row],[Well Density]]*Table1[[#This Row],[Single Well Discovery Area]]),"",IF(Table1[[#This Row],[Well Density]]*Table1[[#This Row],[Single Well Discovery Area]]&gt;1,1,Table1[[#This Row],[Well Density]]*Table1[[#This Row],[Single Well Discovery Area]])))</f>
        <v>1</v>
      </c>
      <c r="CM423" t="s">
        <v>158</v>
      </c>
      <c r="CN423" s="19">
        <f>Table1[[#This Row],[Mid]]</f>
        <v>0</v>
      </c>
      <c r="CO423" s="19">
        <f>Table1[[#This Row],[Mid3]]+Table1[[#This Row],[Mid6]]+Table1[[#This Row],[Mid9]]</f>
        <v>0</v>
      </c>
      <c r="CP423" s="19">
        <f>Table1[[#This Row],[Mid12]]+Table1[[#This Row],[Mid15]]+Table1[[#This Row],[Mid18]]+Table1[[#This Row],[Mid21]]+Table1[[#This Row],[Mid24]]</f>
        <v>3250</v>
      </c>
      <c r="CQ423" s="19">
        <f>Table1[[#This Row],[Mid27]]+Table1[[#This Row],[Mid30]]+Table1[[#This Row],[Mid33]]+Table1[[#This Row],[Mid36]]+Table1[[#This Row],[Mid39]]</f>
        <v>0</v>
      </c>
      <c r="CR423" t="s">
        <v>471</v>
      </c>
      <c r="CS423" s="19" t="str">
        <f>IF(AND(Table1[[#This Row],[Low41]]=0, Table1[[#This Row],[High43]]=0),"N","Y")</f>
        <v>N</v>
      </c>
    </row>
    <row r="424" spans="1:97" ht="19.5" customHeight="1" x14ac:dyDescent="0.25">
      <c r="A424">
        <v>10421</v>
      </c>
      <c r="B424" t="s">
        <v>1302</v>
      </c>
      <c r="C424" t="s">
        <v>1390</v>
      </c>
      <c r="D424">
        <v>18.99555556</v>
      </c>
      <c r="E424">
        <v>-91.637500000000003</v>
      </c>
      <c r="F424" t="s">
        <v>1398</v>
      </c>
      <c r="G424" t="s">
        <v>1392</v>
      </c>
      <c r="I424" t="s">
        <v>118</v>
      </c>
      <c r="J424" t="s">
        <v>119</v>
      </c>
      <c r="K424" t="s">
        <v>120</v>
      </c>
      <c r="L424" t="s">
        <v>18</v>
      </c>
      <c r="N424" s="6" t="s">
        <v>1306</v>
      </c>
      <c r="O424" t="s">
        <v>1307</v>
      </c>
      <c r="P424" t="s">
        <v>170</v>
      </c>
      <c r="Q424" t="s">
        <v>1308</v>
      </c>
      <c r="R424" t="s">
        <v>1333</v>
      </c>
      <c r="S424">
        <v>2012</v>
      </c>
      <c r="T424" t="s">
        <v>128</v>
      </c>
      <c r="U424" t="s">
        <v>154</v>
      </c>
      <c r="V424">
        <v>35</v>
      </c>
      <c r="AD424">
        <v>0</v>
      </c>
      <c r="AE424">
        <v>0</v>
      </c>
      <c r="AF424">
        <v>200</v>
      </c>
      <c r="AG424">
        <v>0</v>
      </c>
      <c r="AK424">
        <v>0</v>
      </c>
      <c r="AL424">
        <v>0</v>
      </c>
      <c r="AN424" t="s">
        <v>132</v>
      </c>
      <c r="CC424">
        <v>320</v>
      </c>
      <c r="CE42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24" s="19">
        <f>SUM(Table1[[#This Row],[Mid39]],Table1[[#This Row],[Mid36]],Table1[[#This Row],[Mid33]],Table1[[#This Row],[Mid30]],Table1[[#This Row],[Mid27]],Table1[[#This Row],[Mid24]],Table1[[#This Row],[Mid21]],Table1[[#This Row],[Mid18]],Table1[[#This Row],[Mid15]],Table1[[#This Row],[Mid12]],Table1[[#This Row],[Mid9]],Table1[[#This Row],[Mid6]],Table1[[#This Row],[Mid3]],Table1[[#This Row],[Mid]])</f>
        <v>320</v>
      </c>
      <c r="CG4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24" t="s">
        <v>157</v>
      </c>
      <c r="CI424" t="s">
        <v>189</v>
      </c>
      <c r="CJ424" t="s">
        <v>158</v>
      </c>
      <c r="CL424" s="19">
        <f>IF(Table1[[#This Row],[Type]]="Petroleum",1,IF(ISERROR(Table1[[#This Row],[Well Density]]*Table1[[#This Row],[Single Well Discovery Area]]),"",IF(Table1[[#This Row],[Well Density]]*Table1[[#This Row],[Single Well Discovery Area]]&gt;1,1,Table1[[#This Row],[Well Density]]*Table1[[#This Row],[Single Well Discovery Area]])))</f>
        <v>0</v>
      </c>
      <c r="CM424" t="s">
        <v>158</v>
      </c>
      <c r="CN424" s="19">
        <f>Table1[[#This Row],[Mid]]</f>
        <v>0</v>
      </c>
      <c r="CO424" s="19">
        <f>Table1[[#This Row],[Mid3]]+Table1[[#This Row],[Mid6]]+Table1[[#This Row],[Mid9]]</f>
        <v>0</v>
      </c>
      <c r="CP424" s="19">
        <f>Table1[[#This Row],[Mid12]]+Table1[[#This Row],[Mid15]]+Table1[[#This Row],[Mid18]]+Table1[[#This Row],[Mid21]]+Table1[[#This Row],[Mid24]]</f>
        <v>0</v>
      </c>
      <c r="CQ424" s="19">
        <f>Table1[[#This Row],[Mid27]]+Table1[[#This Row],[Mid30]]+Table1[[#This Row],[Mid33]]+Table1[[#This Row],[Mid36]]+Table1[[#This Row],[Mid39]]</f>
        <v>320</v>
      </c>
      <c r="CR424" t="s">
        <v>471</v>
      </c>
      <c r="CS424" s="19" t="str">
        <f>IF(AND(Table1[[#This Row],[Low41]]=0, Table1[[#This Row],[High43]]=0),"N","Y")</f>
        <v>N</v>
      </c>
    </row>
    <row r="425" spans="1:97" ht="19.5" customHeight="1" x14ac:dyDescent="0.25">
      <c r="A425">
        <v>10422</v>
      </c>
      <c r="B425" t="s">
        <v>1399</v>
      </c>
      <c r="C425" t="s">
        <v>1400</v>
      </c>
      <c r="D425">
        <v>59.914444439999997</v>
      </c>
      <c r="E425">
        <v>10.764722219999999</v>
      </c>
      <c r="F425" t="s">
        <v>1401</v>
      </c>
      <c r="G425" t="s">
        <v>1402</v>
      </c>
      <c r="I425" t="s">
        <v>201</v>
      </c>
      <c r="J425" t="s">
        <v>202</v>
      </c>
      <c r="K425" t="s">
        <v>203</v>
      </c>
      <c r="L425" t="s">
        <v>121</v>
      </c>
      <c r="N425" s="6" t="s">
        <v>1403</v>
      </c>
      <c r="P425" t="s">
        <v>170</v>
      </c>
      <c r="Q425" t="s">
        <v>1404</v>
      </c>
      <c r="R425" t="s">
        <v>1405</v>
      </c>
      <c r="S425">
        <v>2014</v>
      </c>
      <c r="T425" t="s">
        <v>207</v>
      </c>
      <c r="U425" t="s">
        <v>173</v>
      </c>
      <c r="V425"/>
      <c r="AF425">
        <v>200</v>
      </c>
      <c r="AG425">
        <v>0</v>
      </c>
      <c r="AK425">
        <v>0</v>
      </c>
      <c r="AL425">
        <v>0</v>
      </c>
      <c r="AN425" t="s">
        <v>132</v>
      </c>
      <c r="BN425">
        <v>200</v>
      </c>
      <c r="CE42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25" s="19">
        <f>SUM(Table1[[#This Row],[Mid39]],Table1[[#This Row],[Mid36]],Table1[[#This Row],[Mid33]],Table1[[#This Row],[Mid30]],Table1[[#This Row],[Mid27]],Table1[[#This Row],[Mid24]],Table1[[#This Row],[Mid21]],Table1[[#This Row],[Mid18]],Table1[[#This Row],[Mid15]],Table1[[#This Row],[Mid12]],Table1[[#This Row],[Mid9]],Table1[[#This Row],[Mid6]],Table1[[#This Row],[Mid3]],Table1[[#This Row],[Mid]])</f>
        <v>200</v>
      </c>
      <c r="CG4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25" t="s">
        <v>135</v>
      </c>
      <c r="CI425" t="s">
        <v>134</v>
      </c>
      <c r="CJ425" t="s">
        <v>158</v>
      </c>
      <c r="CL425" s="19">
        <f>IF(Table1[[#This Row],[Type]]="Petroleum",1,IF(ISERROR(Table1[[#This Row],[Well Density]]*Table1[[#This Row],[Single Well Discovery Area]]),"",IF(Table1[[#This Row],[Well Density]]*Table1[[#This Row],[Single Well Discovery Area]]&gt;1,1,Table1[[#This Row],[Well Density]]*Table1[[#This Row],[Single Well Discovery Area]])))</f>
        <v>1</v>
      </c>
      <c r="CM425" t="s">
        <v>158</v>
      </c>
      <c r="CN425" s="19">
        <f>Table1[[#This Row],[Mid]]</f>
        <v>0</v>
      </c>
      <c r="CO425" s="19">
        <f>Table1[[#This Row],[Mid3]]+Table1[[#This Row],[Mid6]]+Table1[[#This Row],[Mid9]]</f>
        <v>0</v>
      </c>
      <c r="CP425" s="19">
        <f>Table1[[#This Row],[Mid12]]+Table1[[#This Row],[Mid15]]+Table1[[#This Row],[Mid18]]+Table1[[#This Row],[Mid21]]+Table1[[#This Row],[Mid24]]</f>
        <v>200</v>
      </c>
      <c r="CQ425" s="19">
        <f>Table1[[#This Row],[Mid27]]+Table1[[#This Row],[Mid30]]+Table1[[#This Row],[Mid33]]+Table1[[#This Row],[Mid36]]+Table1[[#This Row],[Mid39]]</f>
        <v>0</v>
      </c>
      <c r="CR425" t="s">
        <v>415</v>
      </c>
      <c r="CS425" s="19" t="str">
        <f>IF(AND(Table1[[#This Row],[Low41]]=0, Table1[[#This Row],[High43]]=0),"N","Y")</f>
        <v>N</v>
      </c>
    </row>
    <row r="426" spans="1:97" ht="19.5" customHeight="1" x14ac:dyDescent="0.25">
      <c r="A426">
        <v>10423</v>
      </c>
      <c r="B426" t="s">
        <v>1399</v>
      </c>
      <c r="C426" t="s">
        <v>1400</v>
      </c>
      <c r="D426">
        <v>72.833333330000002</v>
      </c>
      <c r="E426">
        <v>25.166666670000001</v>
      </c>
      <c r="F426" t="s">
        <v>1406</v>
      </c>
      <c r="G426" t="s">
        <v>1402</v>
      </c>
      <c r="H426" t="s">
        <v>1407</v>
      </c>
      <c r="I426" t="s">
        <v>118</v>
      </c>
      <c r="J426" t="s">
        <v>119</v>
      </c>
      <c r="K426" t="s">
        <v>120</v>
      </c>
      <c r="L426" t="s">
        <v>147</v>
      </c>
      <c r="M426" t="s">
        <v>1408</v>
      </c>
      <c r="N426" s="6" t="s">
        <v>1403</v>
      </c>
      <c r="P426" t="s">
        <v>170</v>
      </c>
      <c r="Q426" t="s">
        <v>195</v>
      </c>
      <c r="R426" t="s">
        <v>1409</v>
      </c>
      <c r="S426">
        <v>2014</v>
      </c>
      <c r="T426" t="s">
        <v>207</v>
      </c>
      <c r="U426" t="s">
        <v>173</v>
      </c>
      <c r="V426">
        <v>29600</v>
      </c>
      <c r="W426">
        <v>1100</v>
      </c>
      <c r="Y426">
        <v>72</v>
      </c>
      <c r="Z426">
        <v>23</v>
      </c>
      <c r="AC426">
        <v>0.65</v>
      </c>
      <c r="AD426">
        <v>10</v>
      </c>
      <c r="AE426">
        <v>3.3783799999999997E-4</v>
      </c>
      <c r="AF426">
        <v>200</v>
      </c>
      <c r="AG426">
        <v>0</v>
      </c>
      <c r="AH426" t="s">
        <v>1410</v>
      </c>
      <c r="AI426">
        <v>3</v>
      </c>
      <c r="AK426">
        <v>0</v>
      </c>
      <c r="AL426">
        <v>0</v>
      </c>
      <c r="AN426" t="s">
        <v>132</v>
      </c>
      <c r="BH426">
        <v>336</v>
      </c>
      <c r="BW426">
        <v>4464</v>
      </c>
      <c r="CE42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26" s="19">
        <f>SUM(Table1[[#This Row],[Mid39]],Table1[[#This Row],[Mid36]],Table1[[#This Row],[Mid33]],Table1[[#This Row],[Mid30]],Table1[[#This Row],[Mid27]],Table1[[#This Row],[Mid24]],Table1[[#This Row],[Mid21]],Table1[[#This Row],[Mid18]],Table1[[#This Row],[Mid15]],Table1[[#This Row],[Mid12]],Table1[[#This Row],[Mid9]],Table1[[#This Row],[Mid6]],Table1[[#This Row],[Mid3]],Table1[[#This Row],[Mid]])</f>
        <v>4800</v>
      </c>
      <c r="CG4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26" t="s">
        <v>134</v>
      </c>
      <c r="CJ426" t="s">
        <v>158</v>
      </c>
      <c r="CK426">
        <v>250000</v>
      </c>
      <c r="CL426" s="19">
        <f>IF(Table1[[#This Row],[Type]]="Petroleum",1,IF(ISERROR(Table1[[#This Row],[Well Density]]*Table1[[#This Row],[Single Well Discovery Area]]),"",IF(Table1[[#This Row],[Well Density]]*Table1[[#This Row],[Single Well Discovery Area]]&gt;1,1,Table1[[#This Row],[Well Density]]*Table1[[#This Row],[Single Well Discovery Area]])))</f>
        <v>6.7567599999999992E-2</v>
      </c>
      <c r="CM426" t="s">
        <v>158</v>
      </c>
      <c r="CN426" s="19">
        <f>Table1[[#This Row],[Mid]]</f>
        <v>0</v>
      </c>
      <c r="CO426" s="19">
        <f>Table1[[#This Row],[Mid3]]+Table1[[#This Row],[Mid6]]+Table1[[#This Row],[Mid9]]</f>
        <v>0</v>
      </c>
      <c r="CP426" s="19">
        <f>Table1[[#This Row],[Mid12]]+Table1[[#This Row],[Mid15]]+Table1[[#This Row],[Mid18]]+Table1[[#This Row],[Mid21]]+Table1[[#This Row],[Mid24]]</f>
        <v>336</v>
      </c>
      <c r="CQ426" s="19">
        <f>Table1[[#This Row],[Mid27]]+Table1[[#This Row],[Mid30]]+Table1[[#This Row],[Mid33]]+Table1[[#This Row],[Mid36]]+Table1[[#This Row],[Mid39]]</f>
        <v>4464</v>
      </c>
      <c r="CR426" t="s">
        <v>415</v>
      </c>
      <c r="CS426" s="19" t="str">
        <f>IF(AND(Table1[[#This Row],[Low41]]=0, Table1[[#This Row],[High43]]=0),"N","Y")</f>
        <v>N</v>
      </c>
    </row>
    <row r="427" spans="1:97" ht="19.5" customHeight="1" x14ac:dyDescent="0.25">
      <c r="A427">
        <v>10424</v>
      </c>
      <c r="B427" t="s">
        <v>1399</v>
      </c>
      <c r="C427" t="s">
        <v>1400</v>
      </c>
      <c r="D427">
        <v>71.5</v>
      </c>
      <c r="E427">
        <v>21.5</v>
      </c>
      <c r="F427" t="s">
        <v>1411</v>
      </c>
      <c r="G427" t="s">
        <v>1402</v>
      </c>
      <c r="H427" t="s">
        <v>1412</v>
      </c>
      <c r="I427" t="s">
        <v>118</v>
      </c>
      <c r="J427" t="s">
        <v>119</v>
      </c>
      <c r="K427" t="s">
        <v>120</v>
      </c>
      <c r="L427" t="s">
        <v>147</v>
      </c>
      <c r="M427" t="s">
        <v>1408</v>
      </c>
      <c r="N427" s="6" t="s">
        <v>1403</v>
      </c>
      <c r="P427" t="s">
        <v>170</v>
      </c>
      <c r="Q427" t="s">
        <v>1413</v>
      </c>
      <c r="R427" t="s">
        <v>1414</v>
      </c>
      <c r="S427">
        <v>2014</v>
      </c>
      <c r="T427" t="s">
        <v>207</v>
      </c>
      <c r="U427" t="s">
        <v>173</v>
      </c>
      <c r="V427">
        <v>6962</v>
      </c>
      <c r="W427">
        <v>2400</v>
      </c>
      <c r="Y427">
        <v>65</v>
      </c>
      <c r="Z427">
        <v>15</v>
      </c>
      <c r="AC427">
        <v>0.7</v>
      </c>
      <c r="AD427">
        <v>27</v>
      </c>
      <c r="AE427">
        <v>3.878196E-3</v>
      </c>
      <c r="AF427">
        <v>200</v>
      </c>
      <c r="AG427">
        <v>0</v>
      </c>
      <c r="AH427" t="s">
        <v>1410</v>
      </c>
      <c r="AI427">
        <v>3</v>
      </c>
      <c r="AK427">
        <v>0</v>
      </c>
      <c r="AL427">
        <v>0</v>
      </c>
      <c r="AN427" t="s">
        <v>132</v>
      </c>
      <c r="BH427">
        <v>1950</v>
      </c>
      <c r="BW427">
        <v>550</v>
      </c>
      <c r="CE42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27" s="19">
        <f>SUM(Table1[[#This Row],[Mid39]],Table1[[#This Row],[Mid36]],Table1[[#This Row],[Mid33]],Table1[[#This Row],[Mid30]],Table1[[#This Row],[Mid27]],Table1[[#This Row],[Mid24]],Table1[[#This Row],[Mid21]],Table1[[#This Row],[Mid18]],Table1[[#This Row],[Mid15]],Table1[[#This Row],[Mid12]],Table1[[#This Row],[Mid9]],Table1[[#This Row],[Mid6]],Table1[[#This Row],[Mid3]],Table1[[#This Row],[Mid]])</f>
        <v>2500</v>
      </c>
      <c r="CG4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27" t="s">
        <v>134</v>
      </c>
      <c r="CJ427" t="s">
        <v>158</v>
      </c>
      <c r="CK427">
        <v>120000</v>
      </c>
      <c r="CL427" s="19">
        <f>IF(Table1[[#This Row],[Type]]="Petroleum",1,IF(ISERROR(Table1[[#This Row],[Well Density]]*Table1[[#This Row],[Single Well Discovery Area]]),"",IF(Table1[[#This Row],[Well Density]]*Table1[[#This Row],[Single Well Discovery Area]]&gt;1,1,Table1[[#This Row],[Well Density]]*Table1[[#This Row],[Single Well Discovery Area]])))</f>
        <v>0.77563919999999997</v>
      </c>
      <c r="CM427" t="s">
        <v>158</v>
      </c>
      <c r="CN427" s="19">
        <f>Table1[[#This Row],[Mid]]</f>
        <v>0</v>
      </c>
      <c r="CO427" s="19">
        <f>Table1[[#This Row],[Mid3]]+Table1[[#This Row],[Mid6]]+Table1[[#This Row],[Mid9]]</f>
        <v>0</v>
      </c>
      <c r="CP427" s="19">
        <f>Table1[[#This Row],[Mid12]]+Table1[[#This Row],[Mid15]]+Table1[[#This Row],[Mid18]]+Table1[[#This Row],[Mid21]]+Table1[[#This Row],[Mid24]]</f>
        <v>1950</v>
      </c>
      <c r="CQ427" s="19">
        <f>Table1[[#This Row],[Mid27]]+Table1[[#This Row],[Mid30]]+Table1[[#This Row],[Mid33]]+Table1[[#This Row],[Mid36]]+Table1[[#This Row],[Mid39]]</f>
        <v>550</v>
      </c>
      <c r="CR427" t="s">
        <v>415</v>
      </c>
      <c r="CS427" s="19" t="str">
        <f>IF(AND(Table1[[#This Row],[Low41]]=0, Table1[[#This Row],[High43]]=0),"N","Y")</f>
        <v>N</v>
      </c>
    </row>
    <row r="428" spans="1:97" ht="19.5" customHeight="1" x14ac:dyDescent="0.25">
      <c r="A428">
        <v>10425</v>
      </c>
      <c r="B428" t="s">
        <v>1399</v>
      </c>
      <c r="C428" t="s">
        <v>1400</v>
      </c>
      <c r="D428">
        <v>71.666666669999998</v>
      </c>
      <c r="E428">
        <v>24.083333329999999</v>
      </c>
      <c r="F428" t="s">
        <v>1415</v>
      </c>
      <c r="G428" t="s">
        <v>1402</v>
      </c>
      <c r="H428" t="s">
        <v>1416</v>
      </c>
      <c r="I428" t="s">
        <v>118</v>
      </c>
      <c r="J428" t="s">
        <v>119</v>
      </c>
      <c r="K428" t="s">
        <v>203</v>
      </c>
      <c r="L428" t="s">
        <v>121</v>
      </c>
      <c r="M428" t="s">
        <v>1408</v>
      </c>
      <c r="N428" s="6" t="s">
        <v>1403</v>
      </c>
      <c r="Q428" t="s">
        <v>1417</v>
      </c>
      <c r="R428" t="s">
        <v>1418</v>
      </c>
      <c r="S428">
        <v>2014</v>
      </c>
      <c r="T428" t="s">
        <v>207</v>
      </c>
      <c r="U428" t="s">
        <v>173</v>
      </c>
      <c r="V428">
        <v>60</v>
      </c>
      <c r="W428">
        <v>1260</v>
      </c>
      <c r="Y428">
        <v>98</v>
      </c>
      <c r="Z428">
        <v>23</v>
      </c>
      <c r="AA428">
        <v>500</v>
      </c>
      <c r="AC428">
        <v>0.65</v>
      </c>
      <c r="AD428">
        <v>1</v>
      </c>
      <c r="AE428">
        <v>1.6666667E-2</v>
      </c>
      <c r="AF428">
        <v>200</v>
      </c>
      <c r="AG428">
        <v>0</v>
      </c>
      <c r="AH428" t="s">
        <v>1410</v>
      </c>
      <c r="AI428">
        <v>3</v>
      </c>
      <c r="AK428">
        <v>0</v>
      </c>
      <c r="AL428">
        <v>0</v>
      </c>
      <c r="AN428" t="s">
        <v>132</v>
      </c>
      <c r="BH428">
        <v>19</v>
      </c>
      <c r="CE42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28" s="19">
        <f>SUM(Table1[[#This Row],[Mid39]],Table1[[#This Row],[Mid36]],Table1[[#This Row],[Mid33]],Table1[[#This Row],[Mid30]],Table1[[#This Row],[Mid27]],Table1[[#This Row],[Mid24]],Table1[[#This Row],[Mid21]],Table1[[#This Row],[Mid18]],Table1[[#This Row],[Mid15]],Table1[[#This Row],[Mid12]],Table1[[#This Row],[Mid9]],Table1[[#This Row],[Mid6]],Table1[[#This Row],[Mid3]],Table1[[#This Row],[Mid]])</f>
        <v>19</v>
      </c>
      <c r="CG4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28" t="s">
        <v>134</v>
      </c>
      <c r="CJ428" t="s">
        <v>158</v>
      </c>
      <c r="CK428">
        <v>10000</v>
      </c>
      <c r="CL428" s="19">
        <f>IF(Table1[[#This Row],[Type]]="Petroleum",1,IF(ISERROR(Table1[[#This Row],[Well Density]]*Table1[[#This Row],[Single Well Discovery Area]]),"",IF(Table1[[#This Row],[Well Density]]*Table1[[#This Row],[Single Well Discovery Area]]&gt;1,1,Table1[[#This Row],[Well Density]]*Table1[[#This Row],[Single Well Discovery Area]])))</f>
        <v>1</v>
      </c>
      <c r="CM428" t="s">
        <v>135</v>
      </c>
      <c r="CN428" s="19">
        <f>Table1[[#This Row],[Mid]]</f>
        <v>0</v>
      </c>
      <c r="CO428" s="19">
        <f>Table1[[#This Row],[Mid3]]+Table1[[#This Row],[Mid6]]+Table1[[#This Row],[Mid9]]</f>
        <v>0</v>
      </c>
      <c r="CP428" s="19">
        <f>Table1[[#This Row],[Mid12]]+Table1[[#This Row],[Mid15]]+Table1[[#This Row],[Mid18]]+Table1[[#This Row],[Mid21]]+Table1[[#This Row],[Mid24]]</f>
        <v>19</v>
      </c>
      <c r="CQ428" s="19">
        <f>Table1[[#This Row],[Mid27]]+Table1[[#This Row],[Mid30]]+Table1[[#This Row],[Mid33]]+Table1[[#This Row],[Mid36]]+Table1[[#This Row],[Mid39]]</f>
        <v>0</v>
      </c>
      <c r="CR428" t="s">
        <v>415</v>
      </c>
      <c r="CS428" s="19" t="str">
        <f>IF(AND(Table1[[#This Row],[Low41]]=0, Table1[[#This Row],[High43]]=0),"N","Y")</f>
        <v>N</v>
      </c>
    </row>
    <row r="429" spans="1:97" ht="19.5" customHeight="1" x14ac:dyDescent="0.25">
      <c r="A429">
        <v>10426</v>
      </c>
      <c r="B429" t="s">
        <v>1399</v>
      </c>
      <c r="C429" t="s">
        <v>1400</v>
      </c>
      <c r="D429">
        <v>71.75</v>
      </c>
      <c r="E429">
        <v>22.25</v>
      </c>
      <c r="F429" t="s">
        <v>1419</v>
      </c>
      <c r="G429" t="s">
        <v>1402</v>
      </c>
      <c r="I429" t="s">
        <v>118</v>
      </c>
      <c r="J429" t="s">
        <v>119</v>
      </c>
      <c r="K429" t="s">
        <v>203</v>
      </c>
      <c r="L429" t="s">
        <v>121</v>
      </c>
      <c r="M429" t="s">
        <v>1408</v>
      </c>
      <c r="N429" s="6" t="s">
        <v>1403</v>
      </c>
      <c r="Q429" t="s">
        <v>1420</v>
      </c>
      <c r="R429" t="s">
        <v>1421</v>
      </c>
      <c r="S429">
        <v>2014</v>
      </c>
      <c r="T429" t="s">
        <v>207</v>
      </c>
      <c r="U429" t="s">
        <v>173</v>
      </c>
      <c r="V429">
        <v>47</v>
      </c>
      <c r="W429">
        <v>2400</v>
      </c>
      <c r="Y429">
        <v>92</v>
      </c>
      <c r="Z429">
        <v>15</v>
      </c>
      <c r="AC429">
        <v>0.7</v>
      </c>
      <c r="AD429">
        <v>1</v>
      </c>
      <c r="AE429">
        <v>2.1276595999999998E-2</v>
      </c>
      <c r="AF429">
        <v>200</v>
      </c>
      <c r="AG429">
        <v>0</v>
      </c>
      <c r="AH429" t="s">
        <v>1410</v>
      </c>
      <c r="AI429">
        <v>10</v>
      </c>
      <c r="AK429">
        <v>0</v>
      </c>
      <c r="AL429">
        <v>0</v>
      </c>
      <c r="AN429" t="s">
        <v>132</v>
      </c>
      <c r="BH429">
        <v>19</v>
      </c>
      <c r="CE42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29" s="19">
        <f>SUM(Table1[[#This Row],[Mid39]],Table1[[#This Row],[Mid36]],Table1[[#This Row],[Mid33]],Table1[[#This Row],[Mid30]],Table1[[#This Row],[Mid27]],Table1[[#This Row],[Mid24]],Table1[[#This Row],[Mid21]],Table1[[#This Row],[Mid18]],Table1[[#This Row],[Mid15]],Table1[[#This Row],[Mid12]],Table1[[#This Row],[Mid9]],Table1[[#This Row],[Mid6]],Table1[[#This Row],[Mid3]],Table1[[#This Row],[Mid]])</f>
        <v>19</v>
      </c>
      <c r="CG4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29" t="s">
        <v>134</v>
      </c>
      <c r="CJ429" t="s">
        <v>158</v>
      </c>
      <c r="CK429">
        <v>900</v>
      </c>
      <c r="CL429" s="19">
        <f>IF(Table1[[#This Row],[Type]]="Petroleum",1,IF(ISERROR(Table1[[#This Row],[Well Density]]*Table1[[#This Row],[Single Well Discovery Area]]),"",IF(Table1[[#This Row],[Well Density]]*Table1[[#This Row],[Single Well Discovery Area]]&gt;1,1,Table1[[#This Row],[Well Density]]*Table1[[#This Row],[Single Well Discovery Area]])))</f>
        <v>1</v>
      </c>
      <c r="CM429" t="s">
        <v>158</v>
      </c>
      <c r="CN429" s="19">
        <f>Table1[[#This Row],[Mid]]</f>
        <v>0</v>
      </c>
      <c r="CO429" s="19">
        <f>Table1[[#This Row],[Mid3]]+Table1[[#This Row],[Mid6]]+Table1[[#This Row],[Mid9]]</f>
        <v>0</v>
      </c>
      <c r="CP429" s="19">
        <f>Table1[[#This Row],[Mid12]]+Table1[[#This Row],[Mid15]]+Table1[[#This Row],[Mid18]]+Table1[[#This Row],[Mid21]]+Table1[[#This Row],[Mid24]]</f>
        <v>19</v>
      </c>
      <c r="CQ429" s="19">
        <f>Table1[[#This Row],[Mid27]]+Table1[[#This Row],[Mid30]]+Table1[[#This Row],[Mid33]]+Table1[[#This Row],[Mid36]]+Table1[[#This Row],[Mid39]]</f>
        <v>0</v>
      </c>
      <c r="CR429" t="s">
        <v>415</v>
      </c>
      <c r="CS429" s="19" t="str">
        <f>IF(AND(Table1[[#This Row],[Low41]]=0, Table1[[#This Row],[High43]]=0),"N","Y")</f>
        <v>N</v>
      </c>
    </row>
    <row r="430" spans="1:97" ht="19.5" customHeight="1" x14ac:dyDescent="0.25">
      <c r="A430">
        <v>10427</v>
      </c>
      <c r="B430" t="s">
        <v>1399</v>
      </c>
      <c r="C430" t="s">
        <v>1400</v>
      </c>
      <c r="D430">
        <v>71.666666669999998</v>
      </c>
      <c r="E430">
        <v>21.833333329999999</v>
      </c>
      <c r="F430" t="s">
        <v>1422</v>
      </c>
      <c r="G430" t="s">
        <v>1402</v>
      </c>
      <c r="H430" t="s">
        <v>1412</v>
      </c>
      <c r="I430" t="s">
        <v>118</v>
      </c>
      <c r="J430" t="s">
        <v>119</v>
      </c>
      <c r="K430" t="s">
        <v>203</v>
      </c>
      <c r="L430" t="s">
        <v>18</v>
      </c>
      <c r="M430" t="s">
        <v>1408</v>
      </c>
      <c r="N430" s="6" t="s">
        <v>1403</v>
      </c>
      <c r="Q430" t="s">
        <v>1420</v>
      </c>
      <c r="R430" t="s">
        <v>1423</v>
      </c>
      <c r="S430">
        <v>2014</v>
      </c>
      <c r="T430" t="s">
        <v>207</v>
      </c>
      <c r="U430" t="s">
        <v>173</v>
      </c>
      <c r="V430">
        <v>35</v>
      </c>
      <c r="W430">
        <v>2400</v>
      </c>
      <c r="Y430">
        <v>97</v>
      </c>
      <c r="Z430">
        <v>15</v>
      </c>
      <c r="AC430">
        <v>0.7</v>
      </c>
      <c r="AD430">
        <v>0</v>
      </c>
      <c r="AE430">
        <v>0</v>
      </c>
      <c r="AF430">
        <v>200</v>
      </c>
      <c r="AG430">
        <v>0</v>
      </c>
      <c r="AH430" t="s">
        <v>1410</v>
      </c>
      <c r="AI430">
        <v>10</v>
      </c>
      <c r="AK430">
        <v>0</v>
      </c>
      <c r="AL430">
        <v>0</v>
      </c>
      <c r="AN430" t="s">
        <v>132</v>
      </c>
      <c r="BT430">
        <v>12</v>
      </c>
      <c r="CE43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30" s="19">
        <f>SUM(Table1[[#This Row],[Mid39]],Table1[[#This Row],[Mid36]],Table1[[#This Row],[Mid33]],Table1[[#This Row],[Mid30]],Table1[[#This Row],[Mid27]],Table1[[#This Row],[Mid24]],Table1[[#This Row],[Mid21]],Table1[[#This Row],[Mid18]],Table1[[#This Row],[Mid15]],Table1[[#This Row],[Mid12]],Table1[[#This Row],[Mid9]],Table1[[#This Row],[Mid6]],Table1[[#This Row],[Mid3]],Table1[[#This Row],[Mid]])</f>
        <v>12</v>
      </c>
      <c r="CG4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30" t="s">
        <v>134</v>
      </c>
      <c r="CJ430" t="s">
        <v>158</v>
      </c>
      <c r="CK430">
        <v>280</v>
      </c>
      <c r="CL430" s="19">
        <f>IF(Table1[[#This Row],[Type]]="Petroleum",1,IF(ISERROR(Table1[[#This Row],[Well Density]]*Table1[[#This Row],[Single Well Discovery Area]]),"",IF(Table1[[#This Row],[Well Density]]*Table1[[#This Row],[Single Well Discovery Area]]&gt;1,1,Table1[[#This Row],[Well Density]]*Table1[[#This Row],[Single Well Discovery Area]])))</f>
        <v>0</v>
      </c>
      <c r="CM430" t="s">
        <v>158</v>
      </c>
      <c r="CN430" s="19">
        <f>Table1[[#This Row],[Mid]]</f>
        <v>0</v>
      </c>
      <c r="CO430" s="19">
        <f>Table1[[#This Row],[Mid3]]+Table1[[#This Row],[Mid6]]+Table1[[#This Row],[Mid9]]</f>
        <v>0</v>
      </c>
      <c r="CP430" s="19">
        <f>Table1[[#This Row],[Mid12]]+Table1[[#This Row],[Mid15]]+Table1[[#This Row],[Mid18]]+Table1[[#This Row],[Mid21]]+Table1[[#This Row],[Mid24]]</f>
        <v>0</v>
      </c>
      <c r="CQ430" s="19">
        <f>Table1[[#This Row],[Mid27]]+Table1[[#This Row],[Mid30]]+Table1[[#This Row],[Mid33]]+Table1[[#This Row],[Mid36]]+Table1[[#This Row],[Mid39]]</f>
        <v>12</v>
      </c>
      <c r="CR430" t="s">
        <v>415</v>
      </c>
      <c r="CS430" s="19" t="str">
        <f>IF(AND(Table1[[#This Row],[Low41]]=0, Table1[[#This Row],[High43]]=0),"N","Y")</f>
        <v>N</v>
      </c>
    </row>
    <row r="431" spans="1:97" ht="19.5" customHeight="1" x14ac:dyDescent="0.25">
      <c r="A431">
        <v>10428</v>
      </c>
      <c r="B431" t="s">
        <v>1399</v>
      </c>
      <c r="C431" t="s">
        <v>1400</v>
      </c>
      <c r="D431">
        <v>71.5</v>
      </c>
      <c r="E431">
        <v>21.75</v>
      </c>
      <c r="F431" t="s">
        <v>1424</v>
      </c>
      <c r="G431" t="s">
        <v>1402</v>
      </c>
      <c r="I431" t="s">
        <v>118</v>
      </c>
      <c r="J431" t="s">
        <v>119</v>
      </c>
      <c r="K431" t="s">
        <v>203</v>
      </c>
      <c r="L431" t="s">
        <v>121</v>
      </c>
      <c r="M431" t="s">
        <v>1408</v>
      </c>
      <c r="N431" s="6" t="s">
        <v>1403</v>
      </c>
      <c r="Q431" t="s">
        <v>1420</v>
      </c>
      <c r="R431" t="s">
        <v>1425</v>
      </c>
      <c r="S431">
        <v>2014</v>
      </c>
      <c r="T431" t="s">
        <v>207</v>
      </c>
      <c r="U431" t="s">
        <v>173</v>
      </c>
      <c r="V431">
        <v>50</v>
      </c>
      <c r="W431">
        <v>1900</v>
      </c>
      <c r="Y431">
        <v>86</v>
      </c>
      <c r="Z431">
        <v>18</v>
      </c>
      <c r="AC431">
        <v>0.7</v>
      </c>
      <c r="AD431">
        <v>1</v>
      </c>
      <c r="AE431">
        <v>0.02</v>
      </c>
      <c r="AF431">
        <v>200</v>
      </c>
      <c r="AG431">
        <v>0</v>
      </c>
      <c r="AH431" t="s">
        <v>1410</v>
      </c>
      <c r="AI431">
        <v>10</v>
      </c>
      <c r="AK431">
        <v>0</v>
      </c>
      <c r="AL431">
        <v>0</v>
      </c>
      <c r="AN431" t="s">
        <v>132</v>
      </c>
      <c r="BH431">
        <v>20</v>
      </c>
      <c r="CE4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31" s="19">
        <f>SUM(Table1[[#This Row],[Mid39]],Table1[[#This Row],[Mid36]],Table1[[#This Row],[Mid33]],Table1[[#This Row],[Mid30]],Table1[[#This Row],[Mid27]],Table1[[#This Row],[Mid24]],Table1[[#This Row],[Mid21]],Table1[[#This Row],[Mid18]],Table1[[#This Row],[Mid15]],Table1[[#This Row],[Mid12]],Table1[[#This Row],[Mid9]],Table1[[#This Row],[Mid6]],Table1[[#This Row],[Mid3]],Table1[[#This Row],[Mid]])</f>
        <v>20</v>
      </c>
      <c r="CG4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31" t="s">
        <v>134</v>
      </c>
      <c r="CJ431" t="s">
        <v>158</v>
      </c>
      <c r="CK431">
        <v>180</v>
      </c>
      <c r="CL431" s="19">
        <f>IF(Table1[[#This Row],[Type]]="Petroleum",1,IF(ISERROR(Table1[[#This Row],[Well Density]]*Table1[[#This Row],[Single Well Discovery Area]]),"",IF(Table1[[#This Row],[Well Density]]*Table1[[#This Row],[Single Well Discovery Area]]&gt;1,1,Table1[[#This Row],[Well Density]]*Table1[[#This Row],[Single Well Discovery Area]])))</f>
        <v>1</v>
      </c>
      <c r="CM431" t="s">
        <v>158</v>
      </c>
      <c r="CN431" s="19">
        <f>Table1[[#This Row],[Mid]]</f>
        <v>0</v>
      </c>
      <c r="CO431" s="19">
        <f>Table1[[#This Row],[Mid3]]+Table1[[#This Row],[Mid6]]+Table1[[#This Row],[Mid9]]</f>
        <v>0</v>
      </c>
      <c r="CP431" s="19">
        <f>Table1[[#This Row],[Mid12]]+Table1[[#This Row],[Mid15]]+Table1[[#This Row],[Mid18]]+Table1[[#This Row],[Mid21]]+Table1[[#This Row],[Mid24]]</f>
        <v>20</v>
      </c>
      <c r="CQ431" s="19">
        <f>Table1[[#This Row],[Mid27]]+Table1[[#This Row],[Mid30]]+Table1[[#This Row],[Mid33]]+Table1[[#This Row],[Mid36]]+Table1[[#This Row],[Mid39]]</f>
        <v>0</v>
      </c>
      <c r="CR431" t="s">
        <v>415</v>
      </c>
      <c r="CS431" s="19" t="str">
        <f>IF(AND(Table1[[#This Row],[Low41]]=0, Table1[[#This Row],[High43]]=0),"N","Y")</f>
        <v>N</v>
      </c>
    </row>
    <row r="432" spans="1:97" ht="19.5" customHeight="1" x14ac:dyDescent="0.25">
      <c r="A432">
        <v>10429</v>
      </c>
      <c r="B432" t="s">
        <v>1399</v>
      </c>
      <c r="C432" t="s">
        <v>1400</v>
      </c>
      <c r="D432">
        <v>71.416666669999998</v>
      </c>
      <c r="E432">
        <v>21.75</v>
      </c>
      <c r="F432" t="s">
        <v>1426</v>
      </c>
      <c r="G432" t="s">
        <v>1402</v>
      </c>
      <c r="I432" t="s">
        <v>118</v>
      </c>
      <c r="J432" t="s">
        <v>119</v>
      </c>
      <c r="K432" t="s">
        <v>203</v>
      </c>
      <c r="L432" t="s">
        <v>18</v>
      </c>
      <c r="M432" t="s">
        <v>1408</v>
      </c>
      <c r="N432" s="6" t="s">
        <v>1403</v>
      </c>
      <c r="Q432" t="s">
        <v>1420</v>
      </c>
      <c r="R432" t="s">
        <v>1427</v>
      </c>
      <c r="S432">
        <v>2014</v>
      </c>
      <c r="T432" t="s">
        <v>207</v>
      </c>
      <c r="U432" t="s">
        <v>173</v>
      </c>
      <c r="V432">
        <v>85</v>
      </c>
      <c r="W432">
        <v>1900</v>
      </c>
      <c r="Y432">
        <v>79</v>
      </c>
      <c r="Z432">
        <v>19</v>
      </c>
      <c r="AC432">
        <v>0.7</v>
      </c>
      <c r="AD432">
        <v>0</v>
      </c>
      <c r="AE432">
        <v>0</v>
      </c>
      <c r="AF432">
        <v>200</v>
      </c>
      <c r="AG432">
        <v>0</v>
      </c>
      <c r="AH432" t="s">
        <v>1410</v>
      </c>
      <c r="AI432">
        <v>10</v>
      </c>
      <c r="AK432">
        <v>0</v>
      </c>
      <c r="AL432">
        <v>0</v>
      </c>
      <c r="AN432" t="s">
        <v>132</v>
      </c>
      <c r="BT432">
        <v>24</v>
      </c>
      <c r="CE43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32" s="19">
        <f>SUM(Table1[[#This Row],[Mid39]],Table1[[#This Row],[Mid36]],Table1[[#This Row],[Mid33]],Table1[[#This Row],[Mid30]],Table1[[#This Row],[Mid27]],Table1[[#This Row],[Mid24]],Table1[[#This Row],[Mid21]],Table1[[#This Row],[Mid18]],Table1[[#This Row],[Mid15]],Table1[[#This Row],[Mid12]],Table1[[#This Row],[Mid9]],Table1[[#This Row],[Mid6]],Table1[[#This Row],[Mid3]],Table1[[#This Row],[Mid]])</f>
        <v>24</v>
      </c>
      <c r="CG4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32" t="s">
        <v>134</v>
      </c>
      <c r="CJ432" t="s">
        <v>158</v>
      </c>
      <c r="CK432">
        <v>290</v>
      </c>
      <c r="CL432" s="19">
        <f>IF(Table1[[#This Row],[Type]]="Petroleum",1,IF(ISERROR(Table1[[#This Row],[Well Density]]*Table1[[#This Row],[Single Well Discovery Area]]),"",IF(Table1[[#This Row],[Well Density]]*Table1[[#This Row],[Single Well Discovery Area]]&gt;1,1,Table1[[#This Row],[Well Density]]*Table1[[#This Row],[Single Well Discovery Area]])))</f>
        <v>0</v>
      </c>
      <c r="CM432" t="s">
        <v>158</v>
      </c>
      <c r="CN432" s="19">
        <f>Table1[[#This Row],[Mid]]</f>
        <v>0</v>
      </c>
      <c r="CO432" s="19">
        <f>Table1[[#This Row],[Mid3]]+Table1[[#This Row],[Mid6]]+Table1[[#This Row],[Mid9]]</f>
        <v>0</v>
      </c>
      <c r="CP432" s="19">
        <f>Table1[[#This Row],[Mid12]]+Table1[[#This Row],[Mid15]]+Table1[[#This Row],[Mid18]]+Table1[[#This Row],[Mid21]]+Table1[[#This Row],[Mid24]]</f>
        <v>0</v>
      </c>
      <c r="CQ432" s="19">
        <f>Table1[[#This Row],[Mid27]]+Table1[[#This Row],[Mid30]]+Table1[[#This Row],[Mid33]]+Table1[[#This Row],[Mid36]]+Table1[[#This Row],[Mid39]]</f>
        <v>24</v>
      </c>
      <c r="CR432" t="s">
        <v>415</v>
      </c>
      <c r="CS432" s="19" t="str">
        <f>IF(AND(Table1[[#This Row],[Low41]]=0, Table1[[#This Row],[High43]]=0),"N","Y")</f>
        <v>N</v>
      </c>
    </row>
    <row r="433" spans="1:97" ht="19.5" customHeight="1" x14ac:dyDescent="0.25">
      <c r="A433">
        <v>10430</v>
      </c>
      <c r="B433" t="s">
        <v>1399</v>
      </c>
      <c r="C433" t="s">
        <v>1400</v>
      </c>
      <c r="D433">
        <v>71.166666669999998</v>
      </c>
      <c r="E433">
        <v>20.75</v>
      </c>
      <c r="F433" t="s">
        <v>1428</v>
      </c>
      <c r="G433" t="s">
        <v>1402</v>
      </c>
      <c r="I433" t="s">
        <v>118</v>
      </c>
      <c r="J433" t="s">
        <v>119</v>
      </c>
      <c r="K433" t="s">
        <v>203</v>
      </c>
      <c r="L433" t="s">
        <v>121</v>
      </c>
      <c r="M433" t="s">
        <v>1408</v>
      </c>
      <c r="N433" s="6" t="s">
        <v>1403</v>
      </c>
      <c r="Q433" t="s">
        <v>1429</v>
      </c>
      <c r="R433" t="s">
        <v>1430</v>
      </c>
      <c r="S433">
        <v>2014</v>
      </c>
      <c r="T433" t="s">
        <v>207</v>
      </c>
      <c r="U433" t="s">
        <v>173</v>
      </c>
      <c r="V433">
        <v>142</v>
      </c>
      <c r="W433">
        <v>2200</v>
      </c>
      <c r="Y433">
        <v>57</v>
      </c>
      <c r="Z433">
        <v>17</v>
      </c>
      <c r="AC433">
        <v>0.7</v>
      </c>
      <c r="AD433">
        <v>4</v>
      </c>
      <c r="AE433">
        <v>2.8169013999999999E-2</v>
      </c>
      <c r="AF433">
        <v>200</v>
      </c>
      <c r="AG433">
        <v>0</v>
      </c>
      <c r="AH433" t="s">
        <v>1410</v>
      </c>
      <c r="AI433">
        <v>5</v>
      </c>
      <c r="AK433">
        <v>0</v>
      </c>
      <c r="AL433">
        <v>0</v>
      </c>
      <c r="AN433" t="s">
        <v>132</v>
      </c>
      <c r="BH433">
        <v>57</v>
      </c>
      <c r="CE43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33" s="19">
        <f>SUM(Table1[[#This Row],[Mid39]],Table1[[#This Row],[Mid36]],Table1[[#This Row],[Mid33]],Table1[[#This Row],[Mid30]],Table1[[#This Row],[Mid27]],Table1[[#This Row],[Mid24]],Table1[[#This Row],[Mid21]],Table1[[#This Row],[Mid18]],Table1[[#This Row],[Mid15]],Table1[[#This Row],[Mid12]],Table1[[#This Row],[Mid9]],Table1[[#This Row],[Mid6]],Table1[[#This Row],[Mid3]],Table1[[#This Row],[Mid]])</f>
        <v>57</v>
      </c>
      <c r="CG4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33" t="s">
        <v>134</v>
      </c>
      <c r="CJ433" t="s">
        <v>158</v>
      </c>
      <c r="CK433">
        <v>350</v>
      </c>
      <c r="CL433" s="19">
        <f>IF(Table1[[#This Row],[Type]]="Petroleum",1,IF(ISERROR(Table1[[#This Row],[Well Density]]*Table1[[#This Row],[Single Well Discovery Area]]),"",IF(Table1[[#This Row],[Well Density]]*Table1[[#This Row],[Single Well Discovery Area]]&gt;1,1,Table1[[#This Row],[Well Density]]*Table1[[#This Row],[Single Well Discovery Area]])))</f>
        <v>1</v>
      </c>
      <c r="CM433" t="s">
        <v>158</v>
      </c>
      <c r="CN433" s="19">
        <f>Table1[[#This Row],[Mid]]</f>
        <v>0</v>
      </c>
      <c r="CO433" s="19">
        <f>Table1[[#This Row],[Mid3]]+Table1[[#This Row],[Mid6]]+Table1[[#This Row],[Mid9]]</f>
        <v>0</v>
      </c>
      <c r="CP433" s="19">
        <f>Table1[[#This Row],[Mid12]]+Table1[[#This Row],[Mid15]]+Table1[[#This Row],[Mid18]]+Table1[[#This Row],[Mid21]]+Table1[[#This Row],[Mid24]]</f>
        <v>57</v>
      </c>
      <c r="CQ433" s="19">
        <f>Table1[[#This Row],[Mid27]]+Table1[[#This Row],[Mid30]]+Table1[[#This Row],[Mid33]]+Table1[[#This Row],[Mid36]]+Table1[[#This Row],[Mid39]]</f>
        <v>0</v>
      </c>
      <c r="CR433" t="s">
        <v>415</v>
      </c>
      <c r="CS433" s="19" t="str">
        <f>IF(AND(Table1[[#This Row],[Low41]]=0, Table1[[#This Row],[High43]]=0),"N","Y")</f>
        <v>N</v>
      </c>
    </row>
    <row r="434" spans="1:97" ht="19.5" customHeight="1" x14ac:dyDescent="0.25">
      <c r="A434">
        <v>10431</v>
      </c>
      <c r="B434" t="s">
        <v>1399</v>
      </c>
      <c r="C434" t="s">
        <v>1400</v>
      </c>
      <c r="D434">
        <v>71</v>
      </c>
      <c r="E434">
        <v>20</v>
      </c>
      <c r="F434" t="s">
        <v>1431</v>
      </c>
      <c r="G434" t="s">
        <v>1402</v>
      </c>
      <c r="I434" t="s">
        <v>118</v>
      </c>
      <c r="J434" t="s">
        <v>119</v>
      </c>
      <c r="K434" t="s">
        <v>203</v>
      </c>
      <c r="L434" t="s">
        <v>121</v>
      </c>
      <c r="M434" t="s">
        <v>1408</v>
      </c>
      <c r="N434" s="6" t="s">
        <v>1403</v>
      </c>
      <c r="Q434" t="s">
        <v>1432</v>
      </c>
      <c r="R434" t="s">
        <v>1433</v>
      </c>
      <c r="S434">
        <v>2014</v>
      </c>
      <c r="T434" t="s">
        <v>207</v>
      </c>
      <c r="U434" t="s">
        <v>173</v>
      </c>
      <c r="V434">
        <v>244</v>
      </c>
      <c r="W434">
        <v>2100</v>
      </c>
      <c r="Y434">
        <v>50</v>
      </c>
      <c r="Z434">
        <v>18</v>
      </c>
      <c r="AC434">
        <v>0.7</v>
      </c>
      <c r="AD434">
        <v>3</v>
      </c>
      <c r="AE434">
        <v>1.2295082000000001E-2</v>
      </c>
      <c r="AF434">
        <v>200</v>
      </c>
      <c r="AG434">
        <v>0</v>
      </c>
      <c r="AH434" t="s">
        <v>1410</v>
      </c>
      <c r="AI434">
        <v>5</v>
      </c>
      <c r="AK434">
        <v>0</v>
      </c>
      <c r="AL434">
        <v>0</v>
      </c>
      <c r="AN434" t="s">
        <v>132</v>
      </c>
      <c r="BH434">
        <v>180</v>
      </c>
      <c r="CE43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34" s="19">
        <f>SUM(Table1[[#This Row],[Mid39]],Table1[[#This Row],[Mid36]],Table1[[#This Row],[Mid33]],Table1[[#This Row],[Mid30]],Table1[[#This Row],[Mid27]],Table1[[#This Row],[Mid24]],Table1[[#This Row],[Mid21]],Table1[[#This Row],[Mid18]],Table1[[#This Row],[Mid15]],Table1[[#This Row],[Mid12]],Table1[[#This Row],[Mid9]],Table1[[#This Row],[Mid6]],Table1[[#This Row],[Mid3]],Table1[[#This Row],[Mid]])</f>
        <v>180</v>
      </c>
      <c r="CG4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34" t="s">
        <v>134</v>
      </c>
      <c r="CJ434" t="s">
        <v>158</v>
      </c>
      <c r="CK434">
        <v>1600</v>
      </c>
      <c r="CL434" s="19">
        <f>IF(Table1[[#This Row],[Type]]="Petroleum",1,IF(ISERROR(Table1[[#This Row],[Well Density]]*Table1[[#This Row],[Single Well Discovery Area]]),"",IF(Table1[[#This Row],[Well Density]]*Table1[[#This Row],[Single Well Discovery Area]]&gt;1,1,Table1[[#This Row],[Well Density]]*Table1[[#This Row],[Single Well Discovery Area]])))</f>
        <v>1</v>
      </c>
      <c r="CM434" t="s">
        <v>158</v>
      </c>
      <c r="CN434" s="19">
        <f>Table1[[#This Row],[Mid]]</f>
        <v>0</v>
      </c>
      <c r="CO434" s="19">
        <f>Table1[[#This Row],[Mid3]]+Table1[[#This Row],[Mid6]]+Table1[[#This Row],[Mid9]]</f>
        <v>0</v>
      </c>
      <c r="CP434" s="19">
        <f>Table1[[#This Row],[Mid12]]+Table1[[#This Row],[Mid15]]+Table1[[#This Row],[Mid18]]+Table1[[#This Row],[Mid21]]+Table1[[#This Row],[Mid24]]</f>
        <v>180</v>
      </c>
      <c r="CQ434" s="19">
        <f>Table1[[#This Row],[Mid27]]+Table1[[#This Row],[Mid30]]+Table1[[#This Row],[Mid33]]+Table1[[#This Row],[Mid36]]+Table1[[#This Row],[Mid39]]</f>
        <v>0</v>
      </c>
      <c r="CR434" t="s">
        <v>415</v>
      </c>
      <c r="CS434" s="19" t="str">
        <f>IF(AND(Table1[[#This Row],[Low41]]=0, Table1[[#This Row],[High43]]=0),"N","Y")</f>
        <v>N</v>
      </c>
    </row>
    <row r="435" spans="1:97" ht="19.5" customHeight="1" x14ac:dyDescent="0.25">
      <c r="A435">
        <v>10432</v>
      </c>
      <c r="B435" t="s">
        <v>1399</v>
      </c>
      <c r="C435" t="s">
        <v>1400</v>
      </c>
      <c r="D435">
        <v>72.333333330000002</v>
      </c>
      <c r="E435">
        <v>19.833333329999999</v>
      </c>
      <c r="F435" t="s">
        <v>1434</v>
      </c>
      <c r="G435" t="s">
        <v>1402</v>
      </c>
      <c r="I435" t="s">
        <v>118</v>
      </c>
      <c r="J435" t="s">
        <v>119</v>
      </c>
      <c r="K435" t="s">
        <v>1435</v>
      </c>
      <c r="L435" t="s">
        <v>121</v>
      </c>
      <c r="M435" t="s">
        <v>1408</v>
      </c>
      <c r="N435" s="6" t="s">
        <v>1403</v>
      </c>
      <c r="Q435" t="s">
        <v>1436</v>
      </c>
      <c r="R435" t="s">
        <v>1437</v>
      </c>
      <c r="S435">
        <v>2014</v>
      </c>
      <c r="T435" t="s">
        <v>207</v>
      </c>
      <c r="U435" t="s">
        <v>173</v>
      </c>
      <c r="V435">
        <v>82</v>
      </c>
      <c r="W435">
        <v>2100</v>
      </c>
      <c r="Y435">
        <v>90</v>
      </c>
      <c r="Z435">
        <v>18</v>
      </c>
      <c r="AA435">
        <v>400</v>
      </c>
      <c r="AC435">
        <v>0.7</v>
      </c>
      <c r="AD435">
        <v>1</v>
      </c>
      <c r="AE435">
        <v>1.2195121999999999E-2</v>
      </c>
      <c r="AF435">
        <v>200</v>
      </c>
      <c r="AG435">
        <v>0</v>
      </c>
      <c r="AH435" t="s">
        <v>1410</v>
      </c>
      <c r="AI435">
        <v>1</v>
      </c>
      <c r="AK435">
        <v>0</v>
      </c>
      <c r="AL435">
        <v>0</v>
      </c>
      <c r="AN435" t="s">
        <v>132</v>
      </c>
      <c r="BH435">
        <v>9</v>
      </c>
      <c r="CE43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35" s="19">
        <f>SUM(Table1[[#This Row],[Mid39]],Table1[[#This Row],[Mid36]],Table1[[#This Row],[Mid33]],Table1[[#This Row],[Mid30]],Table1[[#This Row],[Mid27]],Table1[[#This Row],[Mid24]],Table1[[#This Row],[Mid21]],Table1[[#This Row],[Mid18]],Table1[[#This Row],[Mid15]],Table1[[#This Row],[Mid12]],Table1[[#This Row],[Mid9]],Table1[[#This Row],[Mid6]],Table1[[#This Row],[Mid3]],Table1[[#This Row],[Mid]])</f>
        <v>9</v>
      </c>
      <c r="CG4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35" t="s">
        <v>134</v>
      </c>
      <c r="CJ435" t="s">
        <v>158</v>
      </c>
      <c r="CK435">
        <v>5200</v>
      </c>
      <c r="CL435" s="19">
        <f>IF(Table1[[#This Row],[Type]]="Petroleum",1,IF(ISERROR(Table1[[#This Row],[Well Density]]*Table1[[#This Row],[Single Well Discovery Area]]),"",IF(Table1[[#This Row],[Well Density]]*Table1[[#This Row],[Single Well Discovery Area]]&gt;1,1,Table1[[#This Row],[Well Density]]*Table1[[#This Row],[Single Well Discovery Area]])))</f>
        <v>1</v>
      </c>
      <c r="CM435" t="s">
        <v>158</v>
      </c>
      <c r="CN435" s="19">
        <f>Table1[[#This Row],[Mid]]</f>
        <v>0</v>
      </c>
      <c r="CO435" s="19">
        <f>Table1[[#This Row],[Mid3]]+Table1[[#This Row],[Mid6]]+Table1[[#This Row],[Mid9]]</f>
        <v>0</v>
      </c>
      <c r="CP435" s="19">
        <f>Table1[[#This Row],[Mid12]]+Table1[[#This Row],[Mid15]]+Table1[[#This Row],[Mid18]]+Table1[[#This Row],[Mid21]]+Table1[[#This Row],[Mid24]]</f>
        <v>9</v>
      </c>
      <c r="CQ435" s="19">
        <f>Table1[[#This Row],[Mid27]]+Table1[[#This Row],[Mid30]]+Table1[[#This Row],[Mid33]]+Table1[[#This Row],[Mid36]]+Table1[[#This Row],[Mid39]]</f>
        <v>0</v>
      </c>
      <c r="CR435" t="s">
        <v>415</v>
      </c>
      <c r="CS435" s="19" t="str">
        <f>IF(AND(Table1[[#This Row],[Low41]]=0, Table1[[#This Row],[High43]]=0),"N","Y")</f>
        <v>N</v>
      </c>
    </row>
    <row r="436" spans="1:97" ht="19.5" customHeight="1" x14ac:dyDescent="0.25">
      <c r="A436">
        <v>10433</v>
      </c>
      <c r="B436" t="s">
        <v>1399</v>
      </c>
      <c r="C436" t="s">
        <v>1400</v>
      </c>
      <c r="D436">
        <v>64.810555559999997</v>
      </c>
      <c r="E436">
        <v>9.2663888889999999</v>
      </c>
      <c r="F436" t="s">
        <v>1438</v>
      </c>
      <c r="G436" t="s">
        <v>1402</v>
      </c>
      <c r="H436" t="s">
        <v>1439</v>
      </c>
      <c r="I436" t="s">
        <v>118</v>
      </c>
      <c r="J436" t="s">
        <v>119</v>
      </c>
      <c r="K436" t="s">
        <v>203</v>
      </c>
      <c r="L436" t="s">
        <v>121</v>
      </c>
      <c r="M436" t="s">
        <v>1408</v>
      </c>
      <c r="N436" s="6" t="s">
        <v>1403</v>
      </c>
      <c r="O436" t="s">
        <v>1440</v>
      </c>
      <c r="Q436" t="s">
        <v>1441</v>
      </c>
      <c r="R436" t="s">
        <v>1442</v>
      </c>
      <c r="S436">
        <v>2014</v>
      </c>
      <c r="T436" t="s">
        <v>207</v>
      </c>
      <c r="U436" t="s">
        <v>173</v>
      </c>
      <c r="V436"/>
      <c r="AF436">
        <v>200</v>
      </c>
      <c r="AG436">
        <v>0</v>
      </c>
      <c r="AH436" t="s">
        <v>1410</v>
      </c>
      <c r="AI436">
        <v>0</v>
      </c>
      <c r="AK436">
        <v>0</v>
      </c>
      <c r="AL436">
        <v>0</v>
      </c>
      <c r="AN436" t="s">
        <v>132</v>
      </c>
      <c r="AP436">
        <v>1.1000000000000001</v>
      </c>
      <c r="CE4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36" s="19">
        <f>SUM(Table1[[#This Row],[Mid39]],Table1[[#This Row],[Mid36]],Table1[[#This Row],[Mid33]],Table1[[#This Row],[Mid30]],Table1[[#This Row],[Mid27]],Table1[[#This Row],[Mid24]],Table1[[#This Row],[Mid21]],Table1[[#This Row],[Mid18]],Table1[[#This Row],[Mid15]],Table1[[#This Row],[Mid12]],Table1[[#This Row],[Mid9]],Table1[[#This Row],[Mid6]],Table1[[#This Row],[Mid3]],Table1[[#This Row],[Mid]])</f>
        <v>1.1000000000000001</v>
      </c>
      <c r="CG4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36" t="s">
        <v>158</v>
      </c>
      <c r="CI436" t="s">
        <v>134</v>
      </c>
      <c r="CJ436" t="s">
        <v>135</v>
      </c>
      <c r="CK436">
        <v>1300</v>
      </c>
      <c r="CL436" s="19">
        <f>IF(Table1[[#This Row],[Type]]="Petroleum",1,IF(ISERROR(Table1[[#This Row],[Well Density]]*Table1[[#This Row],[Single Well Discovery Area]]),"",IF(Table1[[#This Row],[Well Density]]*Table1[[#This Row],[Single Well Discovery Area]]&gt;1,1,Table1[[#This Row],[Well Density]]*Table1[[#This Row],[Single Well Discovery Area]])))</f>
        <v>0</v>
      </c>
      <c r="CM436" t="s">
        <v>158</v>
      </c>
      <c r="CN436" s="19">
        <f>Table1[[#This Row],[Mid]]</f>
        <v>1.1000000000000001</v>
      </c>
      <c r="CO436" s="19">
        <f>Table1[[#This Row],[Mid3]]+Table1[[#This Row],[Mid6]]+Table1[[#This Row],[Mid9]]</f>
        <v>0</v>
      </c>
      <c r="CP436" s="19">
        <f>Table1[[#This Row],[Mid12]]+Table1[[#This Row],[Mid15]]+Table1[[#This Row],[Mid18]]+Table1[[#This Row],[Mid21]]+Table1[[#This Row],[Mid24]]</f>
        <v>0</v>
      </c>
      <c r="CQ436" s="19">
        <f>Table1[[#This Row],[Mid27]]+Table1[[#This Row],[Mid30]]+Table1[[#This Row],[Mid33]]+Table1[[#This Row],[Mid36]]+Table1[[#This Row],[Mid39]]</f>
        <v>0</v>
      </c>
      <c r="CR436" t="s">
        <v>415</v>
      </c>
      <c r="CS436" s="19" t="str">
        <f>IF(AND(Table1[[#This Row],[Low41]]=0, Table1[[#This Row],[High43]]=0),"N","Y")</f>
        <v>N</v>
      </c>
    </row>
    <row r="437" spans="1:97" ht="19.5" customHeight="1" x14ac:dyDescent="0.25">
      <c r="A437">
        <v>10434</v>
      </c>
      <c r="B437" t="s">
        <v>1399</v>
      </c>
      <c r="C437" t="s">
        <v>1400</v>
      </c>
      <c r="D437">
        <v>64.810555559999997</v>
      </c>
      <c r="E437">
        <v>9.2163888889999992</v>
      </c>
      <c r="F437" t="s">
        <v>1443</v>
      </c>
      <c r="G437" t="s">
        <v>1402</v>
      </c>
      <c r="H437" t="s">
        <v>1416</v>
      </c>
      <c r="I437" t="s">
        <v>118</v>
      </c>
      <c r="J437" t="s">
        <v>119</v>
      </c>
      <c r="K437" t="s">
        <v>203</v>
      </c>
      <c r="L437" t="s">
        <v>121</v>
      </c>
      <c r="M437" t="s">
        <v>1444</v>
      </c>
      <c r="N437" s="6" t="s">
        <v>1445</v>
      </c>
      <c r="O437" t="s">
        <v>1446</v>
      </c>
      <c r="P437" t="s">
        <v>1447</v>
      </c>
      <c r="Q437" t="s">
        <v>1441</v>
      </c>
      <c r="R437" t="s">
        <v>1448</v>
      </c>
      <c r="S437">
        <v>2014</v>
      </c>
      <c r="T437" t="s">
        <v>207</v>
      </c>
      <c r="U437" t="s">
        <v>173</v>
      </c>
      <c r="V437"/>
      <c r="W437">
        <v>2600</v>
      </c>
      <c r="Y437">
        <v>60</v>
      </c>
      <c r="Z437">
        <v>12</v>
      </c>
      <c r="AA437">
        <v>150</v>
      </c>
      <c r="AC437">
        <v>0.7</v>
      </c>
      <c r="AD437">
        <v>4</v>
      </c>
      <c r="AF437">
        <v>200</v>
      </c>
      <c r="AG437">
        <v>0</v>
      </c>
      <c r="AH437" t="s">
        <v>1410</v>
      </c>
      <c r="AI437">
        <v>2</v>
      </c>
      <c r="AK437">
        <v>0</v>
      </c>
      <c r="AL437">
        <v>0</v>
      </c>
      <c r="AN437" t="s">
        <v>132</v>
      </c>
      <c r="AP437">
        <v>8</v>
      </c>
      <c r="AS437">
        <v>16.8</v>
      </c>
      <c r="BB437">
        <v>90</v>
      </c>
      <c r="CE43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37" s="19">
        <f>SUM(Table1[[#This Row],[Mid39]],Table1[[#This Row],[Mid36]],Table1[[#This Row],[Mid33]],Table1[[#This Row],[Mid30]],Table1[[#This Row],[Mid27]],Table1[[#This Row],[Mid24]],Table1[[#This Row],[Mid21]],Table1[[#This Row],[Mid18]],Table1[[#This Row],[Mid15]],Table1[[#This Row],[Mid12]],Table1[[#This Row],[Mid9]],Table1[[#This Row],[Mid6]],Table1[[#This Row],[Mid3]],Table1[[#This Row],[Mid]])</f>
        <v>114.8</v>
      </c>
      <c r="CG4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37" t="s">
        <v>134</v>
      </c>
      <c r="CJ437" t="s">
        <v>135</v>
      </c>
      <c r="CL437" s="19">
        <f>IF(Table1[[#This Row],[Type]]="Petroleum",1,IF(ISERROR(Table1[[#This Row],[Well Density]]*Table1[[#This Row],[Single Well Discovery Area]]),"",IF(Table1[[#This Row],[Well Density]]*Table1[[#This Row],[Single Well Discovery Area]]&gt;1,1,Table1[[#This Row],[Well Density]]*Table1[[#This Row],[Single Well Discovery Area]])))</f>
        <v>0</v>
      </c>
      <c r="CM437" t="s">
        <v>135</v>
      </c>
      <c r="CN437" s="19">
        <f>Table1[[#This Row],[Mid]]</f>
        <v>8</v>
      </c>
      <c r="CO437" s="19">
        <f>Table1[[#This Row],[Mid3]]+Table1[[#This Row],[Mid6]]+Table1[[#This Row],[Mid9]]</f>
        <v>16.8</v>
      </c>
      <c r="CP437" s="19">
        <f>Table1[[#This Row],[Mid12]]+Table1[[#This Row],[Mid15]]+Table1[[#This Row],[Mid18]]+Table1[[#This Row],[Mid21]]+Table1[[#This Row],[Mid24]]</f>
        <v>90</v>
      </c>
      <c r="CQ437" s="19">
        <f>Table1[[#This Row],[Mid27]]+Table1[[#This Row],[Mid30]]+Table1[[#This Row],[Mid33]]+Table1[[#This Row],[Mid36]]+Table1[[#This Row],[Mid39]]</f>
        <v>0</v>
      </c>
      <c r="CR437" t="s">
        <v>415</v>
      </c>
      <c r="CS437" s="19" t="str">
        <f>IF(AND(Table1[[#This Row],[Low41]]=0, Table1[[#This Row],[High43]]=0),"N","Y")</f>
        <v>N</v>
      </c>
    </row>
    <row r="438" spans="1:97" ht="19.5" customHeight="1" x14ac:dyDescent="0.25">
      <c r="A438">
        <v>10435</v>
      </c>
      <c r="B438" t="s">
        <v>1399</v>
      </c>
      <c r="C438" t="s">
        <v>1449</v>
      </c>
      <c r="D438">
        <v>57.837222220000001</v>
      </c>
      <c r="E438">
        <v>4.0855555560000001</v>
      </c>
      <c r="F438" t="s">
        <v>1450</v>
      </c>
      <c r="G438" t="s">
        <v>1451</v>
      </c>
      <c r="H438" t="s">
        <v>1452</v>
      </c>
      <c r="I438" t="s">
        <v>118</v>
      </c>
      <c r="J438" t="s">
        <v>119</v>
      </c>
      <c r="K438" t="s">
        <v>120</v>
      </c>
      <c r="L438" t="s">
        <v>147</v>
      </c>
      <c r="M438" t="s">
        <v>1408</v>
      </c>
      <c r="N438" s="6" t="s">
        <v>1403</v>
      </c>
      <c r="Q438"/>
      <c r="R438" t="s">
        <v>1453</v>
      </c>
      <c r="S438">
        <v>2014</v>
      </c>
      <c r="T438" t="s">
        <v>207</v>
      </c>
      <c r="U438" t="s">
        <v>173</v>
      </c>
      <c r="V438">
        <v>49696</v>
      </c>
      <c r="W438">
        <v>1700</v>
      </c>
      <c r="AA438">
        <v>150</v>
      </c>
      <c r="AC438">
        <v>0.96</v>
      </c>
      <c r="AD438">
        <v>50</v>
      </c>
      <c r="AE438">
        <v>1.0061169999999999E-3</v>
      </c>
      <c r="AF438">
        <v>200</v>
      </c>
      <c r="AG438">
        <v>0</v>
      </c>
      <c r="AH438" t="s">
        <v>1410</v>
      </c>
      <c r="AI438">
        <v>3</v>
      </c>
      <c r="AK438">
        <v>0</v>
      </c>
      <c r="AL438">
        <v>0</v>
      </c>
      <c r="AN438" t="s">
        <v>132</v>
      </c>
      <c r="BH438">
        <v>2800</v>
      </c>
      <c r="BW438">
        <v>11200</v>
      </c>
      <c r="CE43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38" s="19">
        <f>SUM(Table1[[#This Row],[Mid39]],Table1[[#This Row],[Mid36]],Table1[[#This Row],[Mid33]],Table1[[#This Row],[Mid30]],Table1[[#This Row],[Mid27]],Table1[[#This Row],[Mid24]],Table1[[#This Row],[Mid21]],Table1[[#This Row],[Mid18]],Table1[[#This Row],[Mid15]],Table1[[#This Row],[Mid12]],Table1[[#This Row],[Mid9]],Table1[[#This Row],[Mid6]],Table1[[#This Row],[Mid3]],Table1[[#This Row],[Mid]])</f>
        <v>14000</v>
      </c>
      <c r="CG4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38" t="s">
        <v>134</v>
      </c>
      <c r="CJ438" t="s">
        <v>158</v>
      </c>
      <c r="CK438">
        <v>6400</v>
      </c>
      <c r="CL438" s="19">
        <f>IF(Table1[[#This Row],[Type]]="Petroleum",1,IF(ISERROR(Table1[[#This Row],[Well Density]]*Table1[[#This Row],[Single Well Discovery Area]]),"",IF(Table1[[#This Row],[Well Density]]*Table1[[#This Row],[Single Well Discovery Area]]&gt;1,1,Table1[[#This Row],[Well Density]]*Table1[[#This Row],[Single Well Discovery Area]])))</f>
        <v>0.2012234</v>
      </c>
      <c r="CM438" t="s">
        <v>158</v>
      </c>
      <c r="CN438" s="19">
        <f>Table1[[#This Row],[Mid]]</f>
        <v>0</v>
      </c>
      <c r="CO438" s="19">
        <f>Table1[[#This Row],[Mid3]]+Table1[[#This Row],[Mid6]]+Table1[[#This Row],[Mid9]]</f>
        <v>0</v>
      </c>
      <c r="CP438" s="19">
        <f>Table1[[#This Row],[Mid12]]+Table1[[#This Row],[Mid15]]+Table1[[#This Row],[Mid18]]+Table1[[#This Row],[Mid21]]+Table1[[#This Row],[Mid24]]</f>
        <v>2800</v>
      </c>
      <c r="CQ438" s="19">
        <f>Table1[[#This Row],[Mid27]]+Table1[[#This Row],[Mid30]]+Table1[[#This Row],[Mid33]]+Table1[[#This Row],[Mid36]]+Table1[[#This Row],[Mid39]]</f>
        <v>11200</v>
      </c>
      <c r="CR438" t="s">
        <v>415</v>
      </c>
      <c r="CS438" s="19" t="str">
        <f>IF(AND(Table1[[#This Row],[Low41]]=0, Table1[[#This Row],[High43]]=0),"N","Y")</f>
        <v>N</v>
      </c>
    </row>
    <row r="439" spans="1:97" ht="19.5" customHeight="1" x14ac:dyDescent="0.25">
      <c r="A439">
        <v>10436</v>
      </c>
      <c r="B439" t="s">
        <v>1399</v>
      </c>
      <c r="C439" t="s">
        <v>1449</v>
      </c>
      <c r="D439">
        <v>57.332222219999998</v>
      </c>
      <c r="E439">
        <v>5.7</v>
      </c>
      <c r="F439" t="s">
        <v>1454</v>
      </c>
      <c r="G439" t="s">
        <v>1451</v>
      </c>
      <c r="H439" t="s">
        <v>1452</v>
      </c>
      <c r="I439" t="s">
        <v>118</v>
      </c>
      <c r="J439" t="s">
        <v>119</v>
      </c>
      <c r="K439" t="s">
        <v>203</v>
      </c>
      <c r="L439" t="s">
        <v>18</v>
      </c>
      <c r="M439" t="s">
        <v>1408</v>
      </c>
      <c r="N439" s="6" t="s">
        <v>1403</v>
      </c>
      <c r="Q439" t="s">
        <v>1455</v>
      </c>
      <c r="R439" t="s">
        <v>1456</v>
      </c>
      <c r="S439">
        <v>2014</v>
      </c>
      <c r="T439" t="s">
        <v>207</v>
      </c>
      <c r="U439" t="s">
        <v>173</v>
      </c>
      <c r="V439">
        <v>288</v>
      </c>
      <c r="W439">
        <v>1700</v>
      </c>
      <c r="AA439">
        <v>150</v>
      </c>
      <c r="AC439">
        <v>0.69</v>
      </c>
      <c r="AD439">
        <v>0</v>
      </c>
      <c r="AE439">
        <v>0</v>
      </c>
      <c r="AF439">
        <v>200</v>
      </c>
      <c r="AG439">
        <v>0</v>
      </c>
      <c r="AH439" t="s">
        <v>1410</v>
      </c>
      <c r="AI439">
        <v>20</v>
      </c>
      <c r="AK439">
        <v>0</v>
      </c>
      <c r="AL439">
        <v>0</v>
      </c>
      <c r="AN439" t="s">
        <v>132</v>
      </c>
      <c r="BT439">
        <v>2000</v>
      </c>
      <c r="CE43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39" s="19">
        <f>SUM(Table1[[#This Row],[Mid39]],Table1[[#This Row],[Mid36]],Table1[[#This Row],[Mid33]],Table1[[#This Row],[Mid30]],Table1[[#This Row],[Mid27]],Table1[[#This Row],[Mid24]],Table1[[#This Row],[Mid21]],Table1[[#This Row],[Mid18]],Table1[[#This Row],[Mid15]],Table1[[#This Row],[Mid12]],Table1[[#This Row],[Mid9]],Table1[[#This Row],[Mid6]],Table1[[#This Row],[Mid3]],Table1[[#This Row],[Mid]])</f>
        <v>2000</v>
      </c>
      <c r="CG4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39" t="s">
        <v>134</v>
      </c>
      <c r="CJ439" t="s">
        <v>158</v>
      </c>
      <c r="CK439">
        <v>440000</v>
      </c>
      <c r="CL439" s="19">
        <f>IF(Table1[[#This Row],[Type]]="Petroleum",1,IF(ISERROR(Table1[[#This Row],[Well Density]]*Table1[[#This Row],[Single Well Discovery Area]]),"",IF(Table1[[#This Row],[Well Density]]*Table1[[#This Row],[Single Well Discovery Area]]&gt;1,1,Table1[[#This Row],[Well Density]]*Table1[[#This Row],[Single Well Discovery Area]])))</f>
        <v>0</v>
      </c>
      <c r="CM439" t="s">
        <v>158</v>
      </c>
      <c r="CN439" s="19">
        <f>Table1[[#This Row],[Mid]]</f>
        <v>0</v>
      </c>
      <c r="CO439" s="19">
        <f>Table1[[#This Row],[Mid3]]+Table1[[#This Row],[Mid6]]+Table1[[#This Row],[Mid9]]</f>
        <v>0</v>
      </c>
      <c r="CP439" s="19">
        <f>Table1[[#This Row],[Mid12]]+Table1[[#This Row],[Mid15]]+Table1[[#This Row],[Mid18]]+Table1[[#This Row],[Mid21]]+Table1[[#This Row],[Mid24]]</f>
        <v>0</v>
      </c>
      <c r="CQ439" s="19">
        <f>Table1[[#This Row],[Mid27]]+Table1[[#This Row],[Mid30]]+Table1[[#This Row],[Mid33]]+Table1[[#This Row],[Mid36]]+Table1[[#This Row],[Mid39]]</f>
        <v>2000</v>
      </c>
      <c r="CR439" t="s">
        <v>415</v>
      </c>
      <c r="CS439" s="19" t="str">
        <f>IF(AND(Table1[[#This Row],[Low41]]=0, Table1[[#This Row],[High43]]=0),"N","Y")</f>
        <v>N</v>
      </c>
    </row>
    <row r="440" spans="1:97" ht="19.5" customHeight="1" x14ac:dyDescent="0.25">
      <c r="A440">
        <v>10437</v>
      </c>
      <c r="B440" t="s">
        <v>1399</v>
      </c>
      <c r="C440" t="s">
        <v>1449</v>
      </c>
      <c r="D440">
        <v>57.170277779999999</v>
      </c>
      <c r="E440">
        <v>4.9538888889999999</v>
      </c>
      <c r="F440" t="s">
        <v>1457</v>
      </c>
      <c r="G440" t="s">
        <v>1451</v>
      </c>
      <c r="H440" t="s">
        <v>1452</v>
      </c>
      <c r="I440" t="s">
        <v>118</v>
      </c>
      <c r="J440" t="s">
        <v>119</v>
      </c>
      <c r="K440" t="s">
        <v>203</v>
      </c>
      <c r="L440" t="s">
        <v>121</v>
      </c>
      <c r="M440" t="s">
        <v>1408</v>
      </c>
      <c r="N440" s="6" t="s">
        <v>1403</v>
      </c>
      <c r="Q440" t="s">
        <v>1455</v>
      </c>
      <c r="R440" t="s">
        <v>1458</v>
      </c>
      <c r="S440">
        <v>2014</v>
      </c>
      <c r="T440" t="s">
        <v>207</v>
      </c>
      <c r="U440" t="s">
        <v>173</v>
      </c>
      <c r="V440">
        <v>103</v>
      </c>
      <c r="W440">
        <v>1700</v>
      </c>
      <c r="AA440">
        <v>150</v>
      </c>
      <c r="AC440">
        <v>0.69</v>
      </c>
      <c r="AD440">
        <v>1</v>
      </c>
      <c r="AE440">
        <v>9.7087379999999997E-3</v>
      </c>
      <c r="AF440">
        <v>200</v>
      </c>
      <c r="AG440">
        <v>0</v>
      </c>
      <c r="AH440" t="s">
        <v>1410</v>
      </c>
      <c r="AI440">
        <v>20</v>
      </c>
      <c r="AK440">
        <v>0</v>
      </c>
      <c r="AL440">
        <v>0</v>
      </c>
      <c r="AN440" t="s">
        <v>132</v>
      </c>
      <c r="BH440">
        <v>500</v>
      </c>
      <c r="CE44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40" s="19">
        <f>SUM(Table1[[#This Row],[Mid39]],Table1[[#This Row],[Mid36]],Table1[[#This Row],[Mid33]],Table1[[#This Row],[Mid30]],Table1[[#This Row],[Mid27]],Table1[[#This Row],[Mid24]],Table1[[#This Row],[Mid21]],Table1[[#This Row],[Mid18]],Table1[[#This Row],[Mid15]],Table1[[#This Row],[Mid12]],Table1[[#This Row],[Mid9]],Table1[[#This Row],[Mid6]],Table1[[#This Row],[Mid3]],Table1[[#This Row],[Mid]])</f>
        <v>500</v>
      </c>
      <c r="CG4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40" t="s">
        <v>134</v>
      </c>
      <c r="CJ440" t="s">
        <v>158</v>
      </c>
      <c r="CK440">
        <v>1600</v>
      </c>
      <c r="CL440" s="19">
        <f>IF(Table1[[#This Row],[Type]]="Petroleum",1,IF(ISERROR(Table1[[#This Row],[Well Density]]*Table1[[#This Row],[Single Well Discovery Area]]),"",IF(Table1[[#This Row],[Well Density]]*Table1[[#This Row],[Single Well Discovery Area]]&gt;1,1,Table1[[#This Row],[Well Density]]*Table1[[#This Row],[Single Well Discovery Area]])))</f>
        <v>1</v>
      </c>
      <c r="CM440" t="s">
        <v>158</v>
      </c>
      <c r="CN440" s="19">
        <f>Table1[[#This Row],[Mid]]</f>
        <v>0</v>
      </c>
      <c r="CO440" s="19">
        <f>Table1[[#This Row],[Mid3]]+Table1[[#This Row],[Mid6]]+Table1[[#This Row],[Mid9]]</f>
        <v>0</v>
      </c>
      <c r="CP440" s="19">
        <f>Table1[[#This Row],[Mid12]]+Table1[[#This Row],[Mid15]]+Table1[[#This Row],[Mid18]]+Table1[[#This Row],[Mid21]]+Table1[[#This Row],[Mid24]]</f>
        <v>500</v>
      </c>
      <c r="CQ440" s="19">
        <f>Table1[[#This Row],[Mid27]]+Table1[[#This Row],[Mid30]]+Table1[[#This Row],[Mid33]]+Table1[[#This Row],[Mid36]]+Table1[[#This Row],[Mid39]]</f>
        <v>0</v>
      </c>
      <c r="CR440" t="s">
        <v>415</v>
      </c>
      <c r="CS440" s="19" t="str">
        <f>IF(AND(Table1[[#This Row],[Low41]]=0, Table1[[#This Row],[High43]]=0),"N","Y")</f>
        <v>N</v>
      </c>
    </row>
    <row r="441" spans="1:97" ht="19.5" customHeight="1" x14ac:dyDescent="0.25">
      <c r="A441">
        <v>10438</v>
      </c>
      <c r="B441" t="s">
        <v>1399</v>
      </c>
      <c r="C441" t="s">
        <v>1449</v>
      </c>
      <c r="D441">
        <v>57.615555559999997</v>
      </c>
      <c r="E441">
        <v>6.9308333329999998</v>
      </c>
      <c r="F441" t="s">
        <v>1459</v>
      </c>
      <c r="G441" t="s">
        <v>1460</v>
      </c>
      <c r="H441" t="s">
        <v>1452</v>
      </c>
      <c r="I441" t="s">
        <v>118</v>
      </c>
      <c r="J441" t="s">
        <v>119</v>
      </c>
      <c r="K441" t="s">
        <v>120</v>
      </c>
      <c r="L441" t="s">
        <v>147</v>
      </c>
      <c r="M441" t="s">
        <v>1408</v>
      </c>
      <c r="N441" s="6" t="s">
        <v>1403</v>
      </c>
      <c r="Q441" t="s">
        <v>1461</v>
      </c>
      <c r="S441">
        <v>2014</v>
      </c>
      <c r="T441" t="s">
        <v>207</v>
      </c>
      <c r="U441" t="s">
        <v>173</v>
      </c>
      <c r="V441">
        <v>5304</v>
      </c>
      <c r="W441">
        <v>2000</v>
      </c>
      <c r="AA441">
        <v>150</v>
      </c>
      <c r="AC441">
        <v>0.7</v>
      </c>
      <c r="AD441">
        <v>2</v>
      </c>
      <c r="AE441">
        <v>3.7707399999999997E-4</v>
      </c>
      <c r="AF441">
        <v>200</v>
      </c>
      <c r="AG441">
        <v>0</v>
      </c>
      <c r="AH441" t="s">
        <v>1410</v>
      </c>
      <c r="AI441">
        <v>4</v>
      </c>
      <c r="AK441">
        <v>0</v>
      </c>
      <c r="AL441">
        <v>0</v>
      </c>
      <c r="AN441" t="s">
        <v>132</v>
      </c>
      <c r="BH441">
        <v>160</v>
      </c>
      <c r="BW441">
        <v>1840</v>
      </c>
      <c r="CE44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41" s="19">
        <f>SUM(Table1[[#This Row],[Mid39]],Table1[[#This Row],[Mid36]],Table1[[#This Row],[Mid33]],Table1[[#This Row],[Mid30]],Table1[[#This Row],[Mid27]],Table1[[#This Row],[Mid24]],Table1[[#This Row],[Mid21]],Table1[[#This Row],[Mid18]],Table1[[#This Row],[Mid15]],Table1[[#This Row],[Mid12]],Table1[[#This Row],[Mid9]],Table1[[#This Row],[Mid6]],Table1[[#This Row],[Mid3]],Table1[[#This Row],[Mid]])</f>
        <v>2000</v>
      </c>
      <c r="CG4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41" t="s">
        <v>134</v>
      </c>
      <c r="CJ441" t="s">
        <v>158</v>
      </c>
      <c r="CK441">
        <v>150</v>
      </c>
      <c r="CL441" s="19">
        <f>IF(Table1[[#This Row],[Type]]="Petroleum",1,IF(ISERROR(Table1[[#This Row],[Well Density]]*Table1[[#This Row],[Single Well Discovery Area]]),"",IF(Table1[[#This Row],[Well Density]]*Table1[[#This Row],[Single Well Discovery Area]]&gt;1,1,Table1[[#This Row],[Well Density]]*Table1[[#This Row],[Single Well Discovery Area]])))</f>
        <v>7.541479999999999E-2</v>
      </c>
      <c r="CM441" t="s">
        <v>158</v>
      </c>
      <c r="CN441" s="19">
        <f>Table1[[#This Row],[Mid]]</f>
        <v>0</v>
      </c>
      <c r="CO441" s="19">
        <f>Table1[[#This Row],[Mid3]]+Table1[[#This Row],[Mid6]]+Table1[[#This Row],[Mid9]]</f>
        <v>0</v>
      </c>
      <c r="CP441" s="19">
        <f>Table1[[#This Row],[Mid12]]+Table1[[#This Row],[Mid15]]+Table1[[#This Row],[Mid18]]+Table1[[#This Row],[Mid21]]+Table1[[#This Row],[Mid24]]</f>
        <v>160</v>
      </c>
      <c r="CQ441" s="19">
        <f>Table1[[#This Row],[Mid27]]+Table1[[#This Row],[Mid30]]+Table1[[#This Row],[Mid33]]+Table1[[#This Row],[Mid36]]+Table1[[#This Row],[Mid39]]</f>
        <v>1840</v>
      </c>
      <c r="CR441" t="s">
        <v>415</v>
      </c>
      <c r="CS441" s="19" t="str">
        <f>IF(AND(Table1[[#This Row],[Low41]]=0, Table1[[#This Row],[High43]]=0),"N","Y")</f>
        <v>N</v>
      </c>
    </row>
    <row r="442" spans="1:97" ht="19.5" customHeight="1" x14ac:dyDescent="0.25">
      <c r="A442">
        <v>10439</v>
      </c>
      <c r="B442" t="s">
        <v>1399</v>
      </c>
      <c r="C442" t="s">
        <v>1449</v>
      </c>
      <c r="D442">
        <v>56.98944444</v>
      </c>
      <c r="E442">
        <v>5.9438888890000001</v>
      </c>
      <c r="F442" t="s">
        <v>1462</v>
      </c>
      <c r="G442" t="s">
        <v>1463</v>
      </c>
      <c r="H442" t="s">
        <v>1464</v>
      </c>
      <c r="I442" t="s">
        <v>118</v>
      </c>
      <c r="J442" t="s">
        <v>119</v>
      </c>
      <c r="K442" t="s">
        <v>120</v>
      </c>
      <c r="L442" t="s">
        <v>18</v>
      </c>
      <c r="M442" t="s">
        <v>1465</v>
      </c>
      <c r="N442" s="6" t="s">
        <v>1403</v>
      </c>
      <c r="Q442"/>
      <c r="R442" t="s">
        <v>1466</v>
      </c>
      <c r="S442">
        <v>2014</v>
      </c>
      <c r="T442" t="s">
        <v>207</v>
      </c>
      <c r="U442" t="s">
        <v>173</v>
      </c>
      <c r="V442">
        <v>1829</v>
      </c>
      <c r="W442">
        <v>1600</v>
      </c>
      <c r="AA442">
        <v>1000</v>
      </c>
      <c r="AC442">
        <v>0.7</v>
      </c>
      <c r="AD442">
        <v>1</v>
      </c>
      <c r="AE442">
        <v>5.4674699999999999E-4</v>
      </c>
      <c r="AF442">
        <v>200</v>
      </c>
      <c r="AG442">
        <v>0</v>
      </c>
      <c r="AH442" t="s">
        <v>1410</v>
      </c>
      <c r="AI442">
        <v>5</v>
      </c>
      <c r="AK442">
        <v>0</v>
      </c>
      <c r="AL442">
        <v>0</v>
      </c>
      <c r="AN442" t="s">
        <v>132</v>
      </c>
      <c r="BW442">
        <v>1000</v>
      </c>
      <c r="CE4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42" s="19">
        <f>SUM(Table1[[#This Row],[Mid39]],Table1[[#This Row],[Mid36]],Table1[[#This Row],[Mid33]],Table1[[#This Row],[Mid30]],Table1[[#This Row],[Mid27]],Table1[[#This Row],[Mid24]],Table1[[#This Row],[Mid21]],Table1[[#This Row],[Mid18]],Table1[[#This Row],[Mid15]],Table1[[#This Row],[Mid12]],Table1[[#This Row],[Mid9]],Table1[[#This Row],[Mid6]],Table1[[#This Row],[Mid3]],Table1[[#This Row],[Mid]])</f>
        <v>1000</v>
      </c>
      <c r="CG4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42" t="s">
        <v>134</v>
      </c>
      <c r="CJ442" t="s">
        <v>158</v>
      </c>
      <c r="CK442">
        <v>82000</v>
      </c>
      <c r="CL442" s="19">
        <f>IF(Table1[[#This Row],[Type]]="Petroleum",1,IF(ISERROR(Table1[[#This Row],[Well Density]]*Table1[[#This Row],[Single Well Discovery Area]]),"",IF(Table1[[#This Row],[Well Density]]*Table1[[#This Row],[Single Well Discovery Area]]&gt;1,1,Table1[[#This Row],[Well Density]]*Table1[[#This Row],[Single Well Discovery Area]])))</f>
        <v>0.1093494</v>
      </c>
      <c r="CM442" t="s">
        <v>158</v>
      </c>
      <c r="CN442" s="19">
        <f>Table1[[#This Row],[Mid]]</f>
        <v>0</v>
      </c>
      <c r="CO442" s="19">
        <f>Table1[[#This Row],[Mid3]]+Table1[[#This Row],[Mid6]]+Table1[[#This Row],[Mid9]]</f>
        <v>0</v>
      </c>
      <c r="CP442" s="19">
        <f>Table1[[#This Row],[Mid12]]+Table1[[#This Row],[Mid15]]+Table1[[#This Row],[Mid18]]+Table1[[#This Row],[Mid21]]+Table1[[#This Row],[Mid24]]</f>
        <v>0</v>
      </c>
      <c r="CQ442" s="19">
        <f>Table1[[#This Row],[Mid27]]+Table1[[#This Row],[Mid30]]+Table1[[#This Row],[Mid33]]+Table1[[#This Row],[Mid36]]+Table1[[#This Row],[Mid39]]</f>
        <v>1000</v>
      </c>
      <c r="CR442" t="s">
        <v>415</v>
      </c>
      <c r="CS442" s="19" t="str">
        <f>IF(AND(Table1[[#This Row],[Low41]]=0, Table1[[#This Row],[High43]]=0),"N","Y")</f>
        <v>N</v>
      </c>
    </row>
    <row r="443" spans="1:97" ht="19.5" customHeight="1" x14ac:dyDescent="0.25">
      <c r="A443">
        <v>10440</v>
      </c>
      <c r="B443" t="s">
        <v>1399</v>
      </c>
      <c r="C443" t="s">
        <v>1449</v>
      </c>
      <c r="D443">
        <v>57.555</v>
      </c>
      <c r="E443">
        <v>7.5302777780000003</v>
      </c>
      <c r="F443" t="s">
        <v>1467</v>
      </c>
      <c r="G443" t="s">
        <v>1463</v>
      </c>
      <c r="H443" t="s">
        <v>1468</v>
      </c>
      <c r="I443" t="s">
        <v>118</v>
      </c>
      <c r="J443" t="s">
        <v>119</v>
      </c>
      <c r="K443" t="s">
        <v>120</v>
      </c>
      <c r="L443" t="s">
        <v>18</v>
      </c>
      <c r="M443" t="s">
        <v>734</v>
      </c>
      <c r="N443" s="6" t="s">
        <v>1403</v>
      </c>
      <c r="Q443"/>
      <c r="R443" t="s">
        <v>1469</v>
      </c>
      <c r="S443">
        <v>2014</v>
      </c>
      <c r="T443" t="s">
        <v>207</v>
      </c>
      <c r="U443" t="s">
        <v>173</v>
      </c>
      <c r="V443">
        <v>8400</v>
      </c>
      <c r="W443">
        <v>1700</v>
      </c>
      <c r="AA443">
        <v>450</v>
      </c>
      <c r="AC443">
        <v>0.68</v>
      </c>
      <c r="AD443">
        <v>2</v>
      </c>
      <c r="AE443">
        <v>2.3809499999999999E-4</v>
      </c>
      <c r="AF443">
        <v>200</v>
      </c>
      <c r="AG443">
        <v>0</v>
      </c>
      <c r="AH443" t="s">
        <v>1410</v>
      </c>
      <c r="AI443">
        <v>1</v>
      </c>
      <c r="AK443">
        <v>0</v>
      </c>
      <c r="AL443">
        <v>0</v>
      </c>
      <c r="AN443" t="s">
        <v>132</v>
      </c>
      <c r="BW443">
        <v>3000</v>
      </c>
      <c r="CE44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43" s="19">
        <f>SUM(Table1[[#This Row],[Mid39]],Table1[[#This Row],[Mid36]],Table1[[#This Row],[Mid33]],Table1[[#This Row],[Mid30]],Table1[[#This Row],[Mid27]],Table1[[#This Row],[Mid24]],Table1[[#This Row],[Mid21]],Table1[[#This Row],[Mid18]],Table1[[#This Row],[Mid15]],Table1[[#This Row],[Mid12]],Table1[[#This Row],[Mid9]],Table1[[#This Row],[Mid6]],Table1[[#This Row],[Mid3]],Table1[[#This Row],[Mid]])</f>
        <v>3000</v>
      </c>
      <c r="CG4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43" t="s">
        <v>134</v>
      </c>
      <c r="CJ443" t="s">
        <v>158</v>
      </c>
      <c r="CK443">
        <v>25000</v>
      </c>
      <c r="CL443" s="19">
        <f>IF(Table1[[#This Row],[Type]]="Petroleum",1,IF(ISERROR(Table1[[#This Row],[Well Density]]*Table1[[#This Row],[Single Well Discovery Area]]),"",IF(Table1[[#This Row],[Well Density]]*Table1[[#This Row],[Single Well Discovery Area]]&gt;1,1,Table1[[#This Row],[Well Density]]*Table1[[#This Row],[Single Well Discovery Area]])))</f>
        <v>4.7618999999999995E-2</v>
      </c>
      <c r="CM443" t="s">
        <v>158</v>
      </c>
      <c r="CN443" s="19">
        <f>Table1[[#This Row],[Mid]]</f>
        <v>0</v>
      </c>
      <c r="CO443" s="19">
        <f>Table1[[#This Row],[Mid3]]+Table1[[#This Row],[Mid6]]+Table1[[#This Row],[Mid9]]</f>
        <v>0</v>
      </c>
      <c r="CP443" s="19">
        <f>Table1[[#This Row],[Mid12]]+Table1[[#This Row],[Mid15]]+Table1[[#This Row],[Mid18]]+Table1[[#This Row],[Mid21]]+Table1[[#This Row],[Mid24]]</f>
        <v>0</v>
      </c>
      <c r="CQ443" s="19">
        <f>Table1[[#This Row],[Mid27]]+Table1[[#This Row],[Mid30]]+Table1[[#This Row],[Mid33]]+Table1[[#This Row],[Mid36]]+Table1[[#This Row],[Mid39]]</f>
        <v>3000</v>
      </c>
      <c r="CR443" t="s">
        <v>415</v>
      </c>
      <c r="CS443" s="19" t="str">
        <f>IF(AND(Table1[[#This Row],[Low41]]=0, Table1[[#This Row],[High43]]=0),"N","Y")</f>
        <v>N</v>
      </c>
    </row>
    <row r="444" spans="1:97" ht="19.5" customHeight="1" x14ac:dyDescent="0.25">
      <c r="A444">
        <v>10441</v>
      </c>
      <c r="B444" t="s">
        <v>1399</v>
      </c>
      <c r="C444" t="s">
        <v>1449</v>
      </c>
      <c r="D444">
        <v>59.756388889999997</v>
      </c>
      <c r="E444">
        <v>3.1666666669999999</v>
      </c>
      <c r="F444" t="s">
        <v>1470</v>
      </c>
      <c r="G444" t="s">
        <v>1451</v>
      </c>
      <c r="H444" t="s">
        <v>1471</v>
      </c>
      <c r="I444" t="s">
        <v>118</v>
      </c>
      <c r="J444" t="s">
        <v>119</v>
      </c>
      <c r="K444" t="s">
        <v>120</v>
      </c>
      <c r="L444" t="s">
        <v>18</v>
      </c>
      <c r="M444" t="s">
        <v>1465</v>
      </c>
      <c r="N444" s="6" t="s">
        <v>1403</v>
      </c>
      <c r="Q444"/>
      <c r="R444" t="s">
        <v>1472</v>
      </c>
      <c r="S444">
        <v>2014</v>
      </c>
      <c r="T444" t="s">
        <v>153</v>
      </c>
      <c r="U444" t="s">
        <v>154</v>
      </c>
      <c r="V444">
        <v>2598</v>
      </c>
      <c r="W444">
        <v>1700</v>
      </c>
      <c r="AA444">
        <v>500</v>
      </c>
      <c r="AC444">
        <v>0.7</v>
      </c>
      <c r="AD444">
        <v>1</v>
      </c>
      <c r="AE444">
        <v>3.8491099999999999E-4</v>
      </c>
      <c r="AF444">
        <v>200</v>
      </c>
      <c r="AG444">
        <v>0</v>
      </c>
      <c r="AH444" t="s">
        <v>1410</v>
      </c>
      <c r="AI444">
        <v>6</v>
      </c>
      <c r="AK444">
        <v>0</v>
      </c>
      <c r="AL444">
        <v>0</v>
      </c>
      <c r="AN444" t="s">
        <v>132</v>
      </c>
      <c r="BW444">
        <v>100</v>
      </c>
      <c r="CE44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44"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4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44" t="s">
        <v>134</v>
      </c>
      <c r="CJ444" t="s">
        <v>158</v>
      </c>
      <c r="CK444">
        <v>756000</v>
      </c>
      <c r="CL444" s="19">
        <f>IF(Table1[[#This Row],[Type]]="Petroleum",1,IF(ISERROR(Table1[[#This Row],[Well Density]]*Table1[[#This Row],[Single Well Discovery Area]]),"",IF(Table1[[#This Row],[Well Density]]*Table1[[#This Row],[Single Well Discovery Area]]&gt;1,1,Table1[[#This Row],[Well Density]]*Table1[[#This Row],[Single Well Discovery Area]])))</f>
        <v>7.6982200000000001E-2</v>
      </c>
      <c r="CM444" t="s">
        <v>158</v>
      </c>
      <c r="CN444" s="19">
        <f>Table1[[#This Row],[Mid]]</f>
        <v>0</v>
      </c>
      <c r="CO444" s="19">
        <f>Table1[[#This Row],[Mid3]]+Table1[[#This Row],[Mid6]]+Table1[[#This Row],[Mid9]]</f>
        <v>0</v>
      </c>
      <c r="CP444" s="19">
        <f>Table1[[#This Row],[Mid12]]+Table1[[#This Row],[Mid15]]+Table1[[#This Row],[Mid18]]+Table1[[#This Row],[Mid21]]+Table1[[#This Row],[Mid24]]</f>
        <v>0</v>
      </c>
      <c r="CQ444" s="19">
        <f>Table1[[#This Row],[Mid27]]+Table1[[#This Row],[Mid30]]+Table1[[#This Row],[Mid33]]+Table1[[#This Row],[Mid36]]+Table1[[#This Row],[Mid39]]</f>
        <v>100</v>
      </c>
      <c r="CR444" t="s">
        <v>415</v>
      </c>
      <c r="CS444" s="19" t="str">
        <f>IF(AND(Table1[[#This Row],[Low41]]=0, Table1[[#This Row],[High43]]=0),"N","Y")</f>
        <v>N</v>
      </c>
    </row>
    <row r="445" spans="1:97" ht="19.5" customHeight="1" x14ac:dyDescent="0.25">
      <c r="A445">
        <v>10442</v>
      </c>
      <c r="B445" t="s">
        <v>1399</v>
      </c>
      <c r="C445" t="s">
        <v>1449</v>
      </c>
      <c r="D445">
        <v>60.712777780000003</v>
      </c>
      <c r="E445">
        <v>3.5666666669999998</v>
      </c>
      <c r="F445" t="s">
        <v>1473</v>
      </c>
      <c r="G445" t="s">
        <v>1451</v>
      </c>
      <c r="H445" t="s">
        <v>1474</v>
      </c>
      <c r="I445" t="s">
        <v>118</v>
      </c>
      <c r="J445" t="s">
        <v>119</v>
      </c>
      <c r="K445" t="s">
        <v>120</v>
      </c>
      <c r="L445" t="s">
        <v>121</v>
      </c>
      <c r="M445" t="s">
        <v>1408</v>
      </c>
      <c r="N445" s="6" t="s">
        <v>1403</v>
      </c>
      <c r="Q445"/>
      <c r="R445" t="s">
        <v>1475</v>
      </c>
      <c r="S445">
        <v>2014</v>
      </c>
      <c r="T445" t="s">
        <v>207</v>
      </c>
      <c r="U445" t="s">
        <v>173</v>
      </c>
      <c r="V445">
        <v>3360</v>
      </c>
      <c r="W445">
        <v>1700</v>
      </c>
      <c r="AA445">
        <v>400</v>
      </c>
      <c r="AC445">
        <v>0.65</v>
      </c>
      <c r="AD445">
        <v>35</v>
      </c>
      <c r="AE445">
        <v>1.0416666999999999E-2</v>
      </c>
      <c r="AF445">
        <v>200</v>
      </c>
      <c r="AG445">
        <v>0</v>
      </c>
      <c r="AH445" t="s">
        <v>1410</v>
      </c>
      <c r="AI445">
        <v>3</v>
      </c>
      <c r="AK445">
        <v>0</v>
      </c>
      <c r="AL445">
        <v>0</v>
      </c>
      <c r="AN445" t="s">
        <v>132</v>
      </c>
      <c r="BN445">
        <v>2000</v>
      </c>
      <c r="CE44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45" s="19">
        <f>SUM(Table1[[#This Row],[Mid39]],Table1[[#This Row],[Mid36]],Table1[[#This Row],[Mid33]],Table1[[#This Row],[Mid30]],Table1[[#This Row],[Mid27]],Table1[[#This Row],[Mid24]],Table1[[#This Row],[Mid21]],Table1[[#This Row],[Mid18]],Table1[[#This Row],[Mid15]],Table1[[#This Row],[Mid12]],Table1[[#This Row],[Mid9]],Table1[[#This Row],[Mid6]],Table1[[#This Row],[Mid3]],Table1[[#This Row],[Mid]])</f>
        <v>2000</v>
      </c>
      <c r="CG4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45" t="s">
        <v>134</v>
      </c>
      <c r="CJ445" t="s">
        <v>158</v>
      </c>
      <c r="CK445">
        <v>2000</v>
      </c>
      <c r="CL445" s="19">
        <f>IF(Table1[[#This Row],[Type]]="Petroleum",1,IF(ISERROR(Table1[[#This Row],[Well Density]]*Table1[[#This Row],[Single Well Discovery Area]]),"",IF(Table1[[#This Row],[Well Density]]*Table1[[#This Row],[Single Well Discovery Area]]&gt;1,1,Table1[[#This Row],[Well Density]]*Table1[[#This Row],[Single Well Discovery Area]])))</f>
        <v>1</v>
      </c>
      <c r="CM445" t="s">
        <v>158</v>
      </c>
      <c r="CN445" s="19">
        <f>Table1[[#This Row],[Mid]]</f>
        <v>0</v>
      </c>
      <c r="CO445" s="19">
        <f>Table1[[#This Row],[Mid3]]+Table1[[#This Row],[Mid6]]+Table1[[#This Row],[Mid9]]</f>
        <v>0</v>
      </c>
      <c r="CP445" s="19">
        <f>Table1[[#This Row],[Mid12]]+Table1[[#This Row],[Mid15]]+Table1[[#This Row],[Mid18]]+Table1[[#This Row],[Mid21]]+Table1[[#This Row],[Mid24]]</f>
        <v>2000</v>
      </c>
      <c r="CQ445" s="19">
        <f>Table1[[#This Row],[Mid27]]+Table1[[#This Row],[Mid30]]+Table1[[#This Row],[Mid33]]+Table1[[#This Row],[Mid36]]+Table1[[#This Row],[Mid39]]</f>
        <v>0</v>
      </c>
      <c r="CR445" t="s">
        <v>415</v>
      </c>
      <c r="CS445" s="19" t="str">
        <f>IF(AND(Table1[[#This Row],[Low41]]=0, Table1[[#This Row],[High43]]=0),"N","Y")</f>
        <v>N</v>
      </c>
    </row>
    <row r="446" spans="1:97" ht="19.5" customHeight="1" x14ac:dyDescent="0.25">
      <c r="A446">
        <v>10443</v>
      </c>
      <c r="B446" t="s">
        <v>1399</v>
      </c>
      <c r="C446" t="s">
        <v>1449</v>
      </c>
      <c r="D446">
        <v>60.606944439999999</v>
      </c>
      <c r="E446">
        <v>3.5794444439999999</v>
      </c>
      <c r="F446" t="s">
        <v>1476</v>
      </c>
      <c r="G446" t="s">
        <v>1451</v>
      </c>
      <c r="H446" t="s">
        <v>1474</v>
      </c>
      <c r="I446" t="s">
        <v>118</v>
      </c>
      <c r="J446" t="s">
        <v>119</v>
      </c>
      <c r="K446" t="s">
        <v>203</v>
      </c>
      <c r="L446" t="s">
        <v>147</v>
      </c>
      <c r="M446" t="s">
        <v>1408</v>
      </c>
      <c r="N446" s="6" t="s">
        <v>1403</v>
      </c>
      <c r="P446" t="s">
        <v>1477</v>
      </c>
      <c r="Q446"/>
      <c r="R446" t="s">
        <v>1478</v>
      </c>
      <c r="S446">
        <v>2014</v>
      </c>
      <c r="T446" t="s">
        <v>771</v>
      </c>
      <c r="U446" t="s">
        <v>1479</v>
      </c>
      <c r="V446">
        <v>1900</v>
      </c>
      <c r="W446">
        <v>2900</v>
      </c>
      <c r="AA446">
        <v>300</v>
      </c>
      <c r="AC446">
        <v>0.7</v>
      </c>
      <c r="AD446">
        <v>3</v>
      </c>
      <c r="AE446">
        <v>1.578947E-3</v>
      </c>
      <c r="AF446">
        <v>200</v>
      </c>
      <c r="AG446">
        <v>0</v>
      </c>
      <c r="AH446" t="s">
        <v>1410</v>
      </c>
      <c r="AI446">
        <v>2.380952E-3</v>
      </c>
      <c r="AK446">
        <v>0</v>
      </c>
      <c r="AL446">
        <v>0</v>
      </c>
      <c r="AN446" t="s">
        <v>132</v>
      </c>
      <c r="AV446">
        <v>48</v>
      </c>
      <c r="BQ446">
        <v>102</v>
      </c>
      <c r="CE44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46" s="19">
        <f>SUM(Table1[[#This Row],[Mid39]],Table1[[#This Row],[Mid36]],Table1[[#This Row],[Mid33]],Table1[[#This Row],[Mid30]],Table1[[#This Row],[Mid27]],Table1[[#This Row],[Mid24]],Table1[[#This Row],[Mid21]],Table1[[#This Row],[Mid18]],Table1[[#This Row],[Mid15]],Table1[[#This Row],[Mid12]],Table1[[#This Row],[Mid9]],Table1[[#This Row],[Mid6]],Table1[[#This Row],[Mid3]],Table1[[#This Row],[Mid]])</f>
        <v>150</v>
      </c>
      <c r="CG4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46" t="s">
        <v>134</v>
      </c>
      <c r="CJ446" t="s">
        <v>135</v>
      </c>
      <c r="CK446">
        <v>90000</v>
      </c>
      <c r="CL446" s="19">
        <f>IF(Table1[[#This Row],[Type]]="Petroleum",1,IF(ISERROR(Table1[[#This Row],[Well Density]]*Table1[[#This Row],[Single Well Discovery Area]]),"",IF(Table1[[#This Row],[Well Density]]*Table1[[#This Row],[Single Well Discovery Area]]&gt;1,1,Table1[[#This Row],[Well Density]]*Table1[[#This Row],[Single Well Discovery Area]])))</f>
        <v>0.3157894</v>
      </c>
      <c r="CM446" t="s">
        <v>158</v>
      </c>
      <c r="CN446" s="19">
        <f>Table1[[#This Row],[Mid]]</f>
        <v>0</v>
      </c>
      <c r="CO446" s="19">
        <f>Table1[[#This Row],[Mid3]]+Table1[[#This Row],[Mid6]]+Table1[[#This Row],[Mid9]]</f>
        <v>48</v>
      </c>
      <c r="CP446" s="19">
        <f>Table1[[#This Row],[Mid12]]+Table1[[#This Row],[Mid15]]+Table1[[#This Row],[Mid18]]+Table1[[#This Row],[Mid21]]+Table1[[#This Row],[Mid24]]</f>
        <v>0</v>
      </c>
      <c r="CQ446" s="19">
        <f>Table1[[#This Row],[Mid27]]+Table1[[#This Row],[Mid30]]+Table1[[#This Row],[Mid33]]+Table1[[#This Row],[Mid36]]+Table1[[#This Row],[Mid39]]</f>
        <v>102</v>
      </c>
      <c r="CR446" t="s">
        <v>415</v>
      </c>
      <c r="CS446" s="19" t="str">
        <f>IF(AND(Table1[[#This Row],[Low41]]=0, Table1[[#This Row],[High43]]=0),"N","Y")</f>
        <v>N</v>
      </c>
    </row>
    <row r="447" spans="1:97" ht="19.5" customHeight="1" x14ac:dyDescent="0.25">
      <c r="A447">
        <v>10444</v>
      </c>
      <c r="B447" t="s">
        <v>1399</v>
      </c>
      <c r="C447" t="s">
        <v>1449</v>
      </c>
      <c r="D447">
        <v>59.914444439999997</v>
      </c>
      <c r="E447">
        <v>10.750833330000001</v>
      </c>
      <c r="F447" t="s">
        <v>1480</v>
      </c>
      <c r="G447" t="s">
        <v>1451</v>
      </c>
      <c r="I447" t="s">
        <v>1223</v>
      </c>
      <c r="J447" t="s">
        <v>202</v>
      </c>
      <c r="K447" t="s">
        <v>203</v>
      </c>
      <c r="L447" t="s">
        <v>121</v>
      </c>
      <c r="N447" s="6" t="s">
        <v>1403</v>
      </c>
      <c r="P447" t="s">
        <v>1481</v>
      </c>
      <c r="Q447" t="s">
        <v>1482</v>
      </c>
      <c r="R447" t="s">
        <v>1483</v>
      </c>
      <c r="S447">
        <v>2014</v>
      </c>
      <c r="T447" t="s">
        <v>207</v>
      </c>
      <c r="U447" t="s">
        <v>173</v>
      </c>
      <c r="V447"/>
      <c r="AF447">
        <v>200</v>
      </c>
      <c r="AG447">
        <v>0</v>
      </c>
      <c r="AK447">
        <v>0</v>
      </c>
      <c r="AL447">
        <v>0</v>
      </c>
      <c r="AN447" t="s">
        <v>132</v>
      </c>
      <c r="BH447">
        <v>3000</v>
      </c>
      <c r="CE44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47" s="19">
        <f>SUM(Table1[[#This Row],[Mid39]],Table1[[#This Row],[Mid36]],Table1[[#This Row],[Mid33]],Table1[[#This Row],[Mid30]],Table1[[#This Row],[Mid27]],Table1[[#This Row],[Mid24]],Table1[[#This Row],[Mid21]],Table1[[#This Row],[Mid18]],Table1[[#This Row],[Mid15]],Table1[[#This Row],[Mid12]],Table1[[#This Row],[Mid9]],Table1[[#This Row],[Mid6]],Table1[[#This Row],[Mid3]],Table1[[#This Row],[Mid]])</f>
        <v>3000</v>
      </c>
      <c r="CG4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47" t="s">
        <v>135</v>
      </c>
      <c r="CI447" t="s">
        <v>134</v>
      </c>
      <c r="CJ447" t="s">
        <v>158</v>
      </c>
      <c r="CK447">
        <v>90000</v>
      </c>
      <c r="CL447" s="19">
        <f>IF(Table1[[#This Row],[Type]]="Petroleum",1,IF(ISERROR(Table1[[#This Row],[Well Density]]*Table1[[#This Row],[Single Well Discovery Area]]),"",IF(Table1[[#This Row],[Well Density]]*Table1[[#This Row],[Single Well Discovery Area]]&gt;1,1,Table1[[#This Row],[Well Density]]*Table1[[#This Row],[Single Well Discovery Area]])))</f>
        <v>1</v>
      </c>
      <c r="CM447" t="s">
        <v>158</v>
      </c>
      <c r="CN447" s="19">
        <f>Table1[[#This Row],[Mid]]</f>
        <v>0</v>
      </c>
      <c r="CO447" s="19">
        <f>Table1[[#This Row],[Mid3]]+Table1[[#This Row],[Mid6]]+Table1[[#This Row],[Mid9]]</f>
        <v>0</v>
      </c>
      <c r="CP447" s="19">
        <f>Table1[[#This Row],[Mid12]]+Table1[[#This Row],[Mid15]]+Table1[[#This Row],[Mid18]]+Table1[[#This Row],[Mid21]]+Table1[[#This Row],[Mid24]]</f>
        <v>3000</v>
      </c>
      <c r="CQ447" s="19">
        <f>Table1[[#This Row],[Mid27]]+Table1[[#This Row],[Mid30]]+Table1[[#This Row],[Mid33]]+Table1[[#This Row],[Mid36]]+Table1[[#This Row],[Mid39]]</f>
        <v>0</v>
      </c>
      <c r="CR447" t="s">
        <v>415</v>
      </c>
      <c r="CS447" s="19" t="str">
        <f>IF(AND(Table1[[#This Row],[Low41]]=0, Table1[[#This Row],[High43]]=0),"N","Y")</f>
        <v>N</v>
      </c>
    </row>
    <row r="448" spans="1:97" ht="19.5" customHeight="1" x14ac:dyDescent="0.25">
      <c r="A448">
        <v>10445</v>
      </c>
      <c r="B448" t="s">
        <v>1399</v>
      </c>
      <c r="C448" t="s">
        <v>1449</v>
      </c>
      <c r="D448">
        <v>59.914444439999997</v>
      </c>
      <c r="E448">
        <v>10.75361111</v>
      </c>
      <c r="F448" t="s">
        <v>1484</v>
      </c>
      <c r="G448" t="s">
        <v>1451</v>
      </c>
      <c r="I448" t="s">
        <v>1485</v>
      </c>
      <c r="J448" t="s">
        <v>202</v>
      </c>
      <c r="K448" t="s">
        <v>203</v>
      </c>
      <c r="L448" t="s">
        <v>121</v>
      </c>
      <c r="N448" s="6" t="s">
        <v>1403</v>
      </c>
      <c r="P448" t="s">
        <v>170</v>
      </c>
      <c r="Q448" t="s">
        <v>1404</v>
      </c>
      <c r="R448" t="s">
        <v>1486</v>
      </c>
      <c r="S448">
        <v>2014</v>
      </c>
      <c r="T448" t="s">
        <v>207</v>
      </c>
      <c r="U448" t="s">
        <v>173</v>
      </c>
      <c r="V448"/>
      <c r="AF448">
        <v>200</v>
      </c>
      <c r="AG448">
        <v>0</v>
      </c>
      <c r="AK448">
        <v>0</v>
      </c>
      <c r="AL448">
        <v>0</v>
      </c>
      <c r="AN448" t="s">
        <v>132</v>
      </c>
      <c r="BH448">
        <v>4000</v>
      </c>
      <c r="CE44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48" s="19">
        <f>SUM(Table1[[#This Row],[Mid39]],Table1[[#This Row],[Mid36]],Table1[[#This Row],[Mid33]],Table1[[#This Row],[Mid30]],Table1[[#This Row],[Mid27]],Table1[[#This Row],[Mid24]],Table1[[#This Row],[Mid21]],Table1[[#This Row],[Mid18]],Table1[[#This Row],[Mid15]],Table1[[#This Row],[Mid12]],Table1[[#This Row],[Mid9]],Table1[[#This Row],[Mid6]],Table1[[#This Row],[Mid3]],Table1[[#This Row],[Mid]])</f>
        <v>4000</v>
      </c>
      <c r="CG44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48" t="s">
        <v>135</v>
      </c>
      <c r="CI448" t="s">
        <v>134</v>
      </c>
      <c r="CJ448" t="s">
        <v>158</v>
      </c>
      <c r="CL448" s="19">
        <f>IF(Table1[[#This Row],[Type]]="Petroleum",1,IF(ISERROR(Table1[[#This Row],[Well Density]]*Table1[[#This Row],[Single Well Discovery Area]]),"",IF(Table1[[#This Row],[Well Density]]*Table1[[#This Row],[Single Well Discovery Area]]&gt;1,1,Table1[[#This Row],[Well Density]]*Table1[[#This Row],[Single Well Discovery Area]])))</f>
        <v>1</v>
      </c>
      <c r="CM448" t="s">
        <v>1487</v>
      </c>
      <c r="CN448" s="19">
        <f>Table1[[#This Row],[Mid]]</f>
        <v>0</v>
      </c>
      <c r="CO448" s="19">
        <f>Table1[[#This Row],[Mid3]]+Table1[[#This Row],[Mid6]]+Table1[[#This Row],[Mid9]]</f>
        <v>0</v>
      </c>
      <c r="CP448" s="19">
        <f>Table1[[#This Row],[Mid12]]+Table1[[#This Row],[Mid15]]+Table1[[#This Row],[Mid18]]+Table1[[#This Row],[Mid21]]+Table1[[#This Row],[Mid24]]</f>
        <v>4000</v>
      </c>
      <c r="CQ448" s="19">
        <f>Table1[[#This Row],[Mid27]]+Table1[[#This Row],[Mid30]]+Table1[[#This Row],[Mid33]]+Table1[[#This Row],[Mid36]]+Table1[[#This Row],[Mid39]]</f>
        <v>0</v>
      </c>
      <c r="CR448" t="s">
        <v>415</v>
      </c>
      <c r="CS448" s="19" t="str">
        <f>IF(AND(Table1[[#This Row],[Low41]]=0, Table1[[#This Row],[High43]]=0),"N","Y")</f>
        <v>N</v>
      </c>
    </row>
    <row r="449" spans="1:97" ht="19.5" customHeight="1" x14ac:dyDescent="0.25">
      <c r="A449">
        <v>10446</v>
      </c>
      <c r="B449" t="s">
        <v>1399</v>
      </c>
      <c r="C449" t="s">
        <v>1449</v>
      </c>
      <c r="D449">
        <v>59.914444439999997</v>
      </c>
      <c r="E449">
        <v>10.75638889</v>
      </c>
      <c r="F449" t="s">
        <v>1488</v>
      </c>
      <c r="G449" t="s">
        <v>1451</v>
      </c>
      <c r="I449" t="s">
        <v>201</v>
      </c>
      <c r="J449" t="s">
        <v>202</v>
      </c>
      <c r="K449" t="s">
        <v>203</v>
      </c>
      <c r="L449" t="s">
        <v>121</v>
      </c>
      <c r="N449" s="6" t="s">
        <v>1403</v>
      </c>
      <c r="P449" t="s">
        <v>170</v>
      </c>
      <c r="Q449" t="s">
        <v>1404</v>
      </c>
      <c r="R449" t="s">
        <v>1486</v>
      </c>
      <c r="S449">
        <v>2014</v>
      </c>
      <c r="T449" t="s">
        <v>207</v>
      </c>
      <c r="U449" t="s">
        <v>173</v>
      </c>
      <c r="V449"/>
      <c r="AF449">
        <v>200</v>
      </c>
      <c r="AG449">
        <v>0</v>
      </c>
      <c r="AK449">
        <v>0</v>
      </c>
      <c r="AL449">
        <v>0</v>
      </c>
      <c r="AN449" t="s">
        <v>132</v>
      </c>
      <c r="BH449">
        <v>6000</v>
      </c>
      <c r="CE44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49" s="19">
        <f>SUM(Table1[[#This Row],[Mid39]],Table1[[#This Row],[Mid36]],Table1[[#This Row],[Mid33]],Table1[[#This Row],[Mid30]],Table1[[#This Row],[Mid27]],Table1[[#This Row],[Mid24]],Table1[[#This Row],[Mid21]],Table1[[#This Row],[Mid18]],Table1[[#This Row],[Mid15]],Table1[[#This Row],[Mid12]],Table1[[#This Row],[Mid9]],Table1[[#This Row],[Mid6]],Table1[[#This Row],[Mid3]],Table1[[#This Row],[Mid]])</f>
        <v>6000</v>
      </c>
      <c r="CG4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49" t="s">
        <v>135</v>
      </c>
      <c r="CI449" t="s">
        <v>134</v>
      </c>
      <c r="CJ449" t="s">
        <v>158</v>
      </c>
      <c r="CL449" s="19">
        <f>IF(Table1[[#This Row],[Type]]="Petroleum",1,IF(ISERROR(Table1[[#This Row],[Well Density]]*Table1[[#This Row],[Single Well Discovery Area]]),"",IF(Table1[[#This Row],[Well Density]]*Table1[[#This Row],[Single Well Discovery Area]]&gt;1,1,Table1[[#This Row],[Well Density]]*Table1[[#This Row],[Single Well Discovery Area]])))</f>
        <v>1</v>
      </c>
      <c r="CM449" t="s">
        <v>158</v>
      </c>
      <c r="CN449" s="19">
        <f>Table1[[#This Row],[Mid]]</f>
        <v>0</v>
      </c>
      <c r="CO449" s="19">
        <f>Table1[[#This Row],[Mid3]]+Table1[[#This Row],[Mid6]]+Table1[[#This Row],[Mid9]]</f>
        <v>0</v>
      </c>
      <c r="CP449" s="19">
        <f>Table1[[#This Row],[Mid12]]+Table1[[#This Row],[Mid15]]+Table1[[#This Row],[Mid18]]+Table1[[#This Row],[Mid21]]+Table1[[#This Row],[Mid24]]</f>
        <v>6000</v>
      </c>
      <c r="CQ449" s="19">
        <f>Table1[[#This Row],[Mid27]]+Table1[[#This Row],[Mid30]]+Table1[[#This Row],[Mid33]]+Table1[[#This Row],[Mid36]]+Table1[[#This Row],[Mid39]]</f>
        <v>0</v>
      </c>
      <c r="CR449" t="s">
        <v>415</v>
      </c>
      <c r="CS449" s="19" t="str">
        <f>IF(AND(Table1[[#This Row],[Low41]]=0, Table1[[#This Row],[High43]]=0),"N","Y")</f>
        <v>N</v>
      </c>
    </row>
    <row r="450" spans="1:97" ht="19.5" customHeight="1" x14ac:dyDescent="0.25">
      <c r="A450">
        <v>10447</v>
      </c>
      <c r="B450" t="s">
        <v>1399</v>
      </c>
      <c r="C450" t="s">
        <v>1449</v>
      </c>
      <c r="D450">
        <v>58.409444440000001</v>
      </c>
      <c r="E450">
        <v>1.781388889</v>
      </c>
      <c r="F450" t="s">
        <v>1489</v>
      </c>
      <c r="G450" t="s">
        <v>1451</v>
      </c>
      <c r="H450" t="s">
        <v>1490</v>
      </c>
      <c r="I450" t="s">
        <v>118</v>
      </c>
      <c r="J450" t="s">
        <v>119</v>
      </c>
      <c r="K450" t="s">
        <v>120</v>
      </c>
      <c r="L450" t="s">
        <v>121</v>
      </c>
      <c r="M450" t="s">
        <v>1177</v>
      </c>
      <c r="N450" s="6" t="s">
        <v>1491</v>
      </c>
      <c r="O450" t="s">
        <v>1492</v>
      </c>
      <c r="P450" t="s">
        <v>1493</v>
      </c>
      <c r="Q450" t="s">
        <v>1494</v>
      </c>
      <c r="R450" t="s">
        <v>1495</v>
      </c>
      <c r="S450">
        <v>2018</v>
      </c>
      <c r="T450" t="s">
        <v>153</v>
      </c>
      <c r="U450" t="s">
        <v>154</v>
      </c>
      <c r="V450">
        <v>6</v>
      </c>
      <c r="AC450">
        <v>675</v>
      </c>
      <c r="AE450">
        <v>0</v>
      </c>
      <c r="AF450">
        <v>200</v>
      </c>
      <c r="AG450">
        <v>0</v>
      </c>
      <c r="AH450" t="s">
        <v>1496</v>
      </c>
      <c r="AI450">
        <v>5.2</v>
      </c>
      <c r="AK450">
        <v>0</v>
      </c>
      <c r="AL450">
        <v>0</v>
      </c>
      <c r="AN450" t="s">
        <v>132</v>
      </c>
      <c r="AP450">
        <v>19</v>
      </c>
      <c r="AS450">
        <v>9</v>
      </c>
      <c r="AV450">
        <v>10</v>
      </c>
      <c r="CE45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50" s="19">
        <f>SUM(Table1[[#This Row],[Mid39]],Table1[[#This Row],[Mid36]],Table1[[#This Row],[Mid33]],Table1[[#This Row],[Mid30]],Table1[[#This Row],[Mid27]],Table1[[#This Row],[Mid24]],Table1[[#This Row],[Mid21]],Table1[[#This Row],[Mid18]],Table1[[#This Row],[Mid15]],Table1[[#This Row],[Mid12]],Table1[[#This Row],[Mid9]],Table1[[#This Row],[Mid6]],Table1[[#This Row],[Mid3]],Table1[[#This Row],[Mid]])</f>
        <v>38</v>
      </c>
      <c r="CG4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50" t="s">
        <v>134</v>
      </c>
      <c r="CJ450" t="s">
        <v>135</v>
      </c>
      <c r="CL450" s="19">
        <f>IF(Table1[[#This Row],[Type]]="Petroleum",1,IF(ISERROR(Table1[[#This Row],[Well Density]]*Table1[[#This Row],[Single Well Discovery Area]]),"",IF(Table1[[#This Row],[Well Density]]*Table1[[#This Row],[Single Well Discovery Area]]&gt;1,1,Table1[[#This Row],[Well Density]]*Table1[[#This Row],[Single Well Discovery Area]])))</f>
        <v>0</v>
      </c>
      <c r="CM450" t="s">
        <v>158</v>
      </c>
      <c r="CN450" s="19">
        <f>Table1[[#This Row],[Mid]]</f>
        <v>19</v>
      </c>
      <c r="CO450" s="19">
        <f>Table1[[#This Row],[Mid3]]+Table1[[#This Row],[Mid6]]+Table1[[#This Row],[Mid9]]</f>
        <v>19</v>
      </c>
      <c r="CP450" s="19">
        <f>Table1[[#This Row],[Mid12]]+Table1[[#This Row],[Mid15]]+Table1[[#This Row],[Mid18]]+Table1[[#This Row],[Mid21]]+Table1[[#This Row],[Mid24]]</f>
        <v>0</v>
      </c>
      <c r="CQ450" s="19">
        <f>Table1[[#This Row],[Mid27]]+Table1[[#This Row],[Mid30]]+Table1[[#This Row],[Mid33]]+Table1[[#This Row],[Mid36]]+Table1[[#This Row],[Mid39]]</f>
        <v>0</v>
      </c>
      <c r="CR450" t="s">
        <v>415</v>
      </c>
      <c r="CS450" s="19" t="str">
        <f>IF(AND(Table1[[#This Row],[Low41]]=0, Table1[[#This Row],[High43]]=0),"N","Y")</f>
        <v>N</v>
      </c>
    </row>
    <row r="451" spans="1:97" ht="19.5" customHeight="1" x14ac:dyDescent="0.25">
      <c r="A451">
        <v>10449</v>
      </c>
      <c r="B451" t="s">
        <v>1399</v>
      </c>
      <c r="C451" t="s">
        <v>1449</v>
      </c>
      <c r="D451">
        <v>60.806388890000001</v>
      </c>
      <c r="E451">
        <v>3.7083333330000001</v>
      </c>
      <c r="F451" t="s">
        <v>1497</v>
      </c>
      <c r="G451" t="s">
        <v>1451</v>
      </c>
      <c r="H451" t="s">
        <v>1498</v>
      </c>
      <c r="I451" t="s">
        <v>118</v>
      </c>
      <c r="J451" t="s">
        <v>119</v>
      </c>
      <c r="K451" t="s">
        <v>120</v>
      </c>
      <c r="L451" t="s">
        <v>121</v>
      </c>
      <c r="M451" t="s">
        <v>1499</v>
      </c>
      <c r="N451" s="6" t="s">
        <v>1403</v>
      </c>
      <c r="Q451"/>
      <c r="R451" t="s">
        <v>1500</v>
      </c>
      <c r="S451">
        <v>2014</v>
      </c>
      <c r="T451" t="s">
        <v>207</v>
      </c>
      <c r="U451" t="s">
        <v>173</v>
      </c>
      <c r="V451">
        <v>11750</v>
      </c>
      <c r="W451">
        <v>1750</v>
      </c>
      <c r="AA451">
        <v>300</v>
      </c>
      <c r="AC451">
        <v>0.69</v>
      </c>
      <c r="AD451">
        <v>66</v>
      </c>
      <c r="AE451">
        <v>5.6170209999999998E-3</v>
      </c>
      <c r="AF451">
        <v>200</v>
      </c>
      <c r="AG451">
        <v>0</v>
      </c>
      <c r="AH451" t="s">
        <v>1410</v>
      </c>
      <c r="AI451">
        <v>4</v>
      </c>
      <c r="AK451">
        <v>0</v>
      </c>
      <c r="AL451">
        <v>0</v>
      </c>
      <c r="AN451" t="s">
        <v>132</v>
      </c>
      <c r="BN451">
        <v>14000</v>
      </c>
      <c r="CE4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51" s="19">
        <f>SUM(Table1[[#This Row],[Mid39]],Table1[[#This Row],[Mid36]],Table1[[#This Row],[Mid33]],Table1[[#This Row],[Mid30]],Table1[[#This Row],[Mid27]],Table1[[#This Row],[Mid24]],Table1[[#This Row],[Mid21]],Table1[[#This Row],[Mid18]],Table1[[#This Row],[Mid15]],Table1[[#This Row],[Mid12]],Table1[[#This Row],[Mid9]],Table1[[#This Row],[Mid6]],Table1[[#This Row],[Mid3]],Table1[[#This Row],[Mid]])</f>
        <v>14000</v>
      </c>
      <c r="CG4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51" t="s">
        <v>134</v>
      </c>
      <c r="CJ451" t="s">
        <v>158</v>
      </c>
      <c r="CK451">
        <v>417000000</v>
      </c>
      <c r="CL451" s="19">
        <f>IF(Table1[[#This Row],[Type]]="Petroleum",1,IF(ISERROR(Table1[[#This Row],[Well Density]]*Table1[[#This Row],[Single Well Discovery Area]]),"",IF(Table1[[#This Row],[Well Density]]*Table1[[#This Row],[Single Well Discovery Area]]&gt;1,1,Table1[[#This Row],[Well Density]]*Table1[[#This Row],[Single Well Discovery Area]])))</f>
        <v>1</v>
      </c>
      <c r="CM451" t="s">
        <v>135</v>
      </c>
      <c r="CN451" s="19">
        <f>Table1[[#This Row],[Mid]]</f>
        <v>0</v>
      </c>
      <c r="CO451" s="19">
        <f>Table1[[#This Row],[Mid3]]+Table1[[#This Row],[Mid6]]+Table1[[#This Row],[Mid9]]</f>
        <v>0</v>
      </c>
      <c r="CP451" s="19">
        <f>Table1[[#This Row],[Mid12]]+Table1[[#This Row],[Mid15]]+Table1[[#This Row],[Mid18]]+Table1[[#This Row],[Mid21]]+Table1[[#This Row],[Mid24]]</f>
        <v>14000</v>
      </c>
      <c r="CQ451" s="19">
        <f>Table1[[#This Row],[Mid27]]+Table1[[#This Row],[Mid30]]+Table1[[#This Row],[Mid33]]+Table1[[#This Row],[Mid36]]+Table1[[#This Row],[Mid39]]</f>
        <v>0</v>
      </c>
      <c r="CR451" t="s">
        <v>415</v>
      </c>
      <c r="CS451" s="19" t="str">
        <f>IF(AND(Table1[[#This Row],[Low41]]=0, Table1[[#This Row],[High43]]=0),"N","Y")</f>
        <v>N</v>
      </c>
    </row>
    <row r="452" spans="1:97" ht="19.5" customHeight="1" x14ac:dyDescent="0.25">
      <c r="A452">
        <v>10450</v>
      </c>
      <c r="B452" t="s">
        <v>1399</v>
      </c>
      <c r="C452" t="s">
        <v>1449</v>
      </c>
      <c r="D452">
        <v>59.313611109999997</v>
      </c>
      <c r="E452">
        <v>3.9372222219999999</v>
      </c>
      <c r="F452" t="s">
        <v>1501</v>
      </c>
      <c r="G452" t="s">
        <v>1451</v>
      </c>
      <c r="H452" t="s">
        <v>1502</v>
      </c>
      <c r="I452" t="s">
        <v>118</v>
      </c>
      <c r="J452" t="s">
        <v>119</v>
      </c>
      <c r="K452" t="s">
        <v>120</v>
      </c>
      <c r="L452" t="s">
        <v>18</v>
      </c>
      <c r="M452" t="s">
        <v>1408</v>
      </c>
      <c r="N452" s="6" t="s">
        <v>1403</v>
      </c>
      <c r="Q452"/>
      <c r="R452" t="s">
        <v>1503</v>
      </c>
      <c r="S452">
        <v>2014</v>
      </c>
      <c r="T452" t="s">
        <v>207</v>
      </c>
      <c r="U452" t="s">
        <v>173</v>
      </c>
      <c r="V452">
        <v>18300</v>
      </c>
      <c r="W452">
        <v>2400</v>
      </c>
      <c r="Y452">
        <v>50</v>
      </c>
      <c r="AA452">
        <v>200</v>
      </c>
      <c r="AC452">
        <v>0.66</v>
      </c>
      <c r="AD452">
        <v>8</v>
      </c>
      <c r="AE452">
        <v>4.3715799999999999E-4</v>
      </c>
      <c r="AF452">
        <v>200</v>
      </c>
      <c r="AG452">
        <v>0</v>
      </c>
      <c r="AH452" t="s">
        <v>1410</v>
      </c>
      <c r="AI452">
        <v>5</v>
      </c>
      <c r="AK452">
        <v>0</v>
      </c>
      <c r="AL452">
        <v>0</v>
      </c>
      <c r="AN452" t="s">
        <v>132</v>
      </c>
      <c r="BW452">
        <v>4000</v>
      </c>
      <c r="CE4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52" s="19">
        <f>SUM(Table1[[#This Row],[Mid39]],Table1[[#This Row],[Mid36]],Table1[[#This Row],[Mid33]],Table1[[#This Row],[Mid30]],Table1[[#This Row],[Mid27]],Table1[[#This Row],[Mid24]],Table1[[#This Row],[Mid21]],Table1[[#This Row],[Mid18]],Table1[[#This Row],[Mid15]],Table1[[#This Row],[Mid12]],Table1[[#This Row],[Mid9]],Table1[[#This Row],[Mid6]],Table1[[#This Row],[Mid3]],Table1[[#This Row],[Mid]])</f>
        <v>4000</v>
      </c>
      <c r="CG4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52" t="s">
        <v>134</v>
      </c>
      <c r="CJ452" t="s">
        <v>158</v>
      </c>
      <c r="CK452">
        <v>110000</v>
      </c>
      <c r="CL452" s="19">
        <f>IF(Table1[[#This Row],[Type]]="Petroleum",1,IF(ISERROR(Table1[[#This Row],[Well Density]]*Table1[[#This Row],[Single Well Discovery Area]]),"",IF(Table1[[#This Row],[Well Density]]*Table1[[#This Row],[Single Well Discovery Area]]&gt;1,1,Table1[[#This Row],[Well Density]]*Table1[[#This Row],[Single Well Discovery Area]])))</f>
        <v>8.7431599999999998E-2</v>
      </c>
      <c r="CM452" t="s">
        <v>158</v>
      </c>
      <c r="CN452" s="19">
        <f>Table1[[#This Row],[Mid]]</f>
        <v>0</v>
      </c>
      <c r="CO452" s="19">
        <f>Table1[[#This Row],[Mid3]]+Table1[[#This Row],[Mid6]]+Table1[[#This Row],[Mid9]]</f>
        <v>0</v>
      </c>
      <c r="CP452" s="19">
        <f>Table1[[#This Row],[Mid12]]+Table1[[#This Row],[Mid15]]+Table1[[#This Row],[Mid18]]+Table1[[#This Row],[Mid21]]+Table1[[#This Row],[Mid24]]</f>
        <v>0</v>
      </c>
      <c r="CQ452" s="19">
        <f>Table1[[#This Row],[Mid27]]+Table1[[#This Row],[Mid30]]+Table1[[#This Row],[Mid33]]+Table1[[#This Row],[Mid36]]+Table1[[#This Row],[Mid39]]</f>
        <v>4000</v>
      </c>
      <c r="CR452" t="s">
        <v>415</v>
      </c>
      <c r="CS452" s="19" t="str">
        <f>IF(AND(Table1[[#This Row],[Low41]]=0, Table1[[#This Row],[High43]]=0),"N","Y")</f>
        <v>N</v>
      </c>
    </row>
    <row r="453" spans="1:97" ht="19.5" customHeight="1" x14ac:dyDescent="0.25">
      <c r="A453">
        <v>10451</v>
      </c>
      <c r="B453" t="s">
        <v>1399</v>
      </c>
      <c r="C453" t="s">
        <v>1449</v>
      </c>
      <c r="D453">
        <v>59.548055560000002</v>
      </c>
      <c r="E453">
        <v>3.855277778</v>
      </c>
      <c r="F453" t="s">
        <v>1504</v>
      </c>
      <c r="G453" t="s">
        <v>1451</v>
      </c>
      <c r="H453" t="s">
        <v>1505</v>
      </c>
      <c r="I453" t="s">
        <v>118</v>
      </c>
      <c r="J453" t="s">
        <v>119</v>
      </c>
      <c r="K453" t="s">
        <v>120</v>
      </c>
      <c r="L453" t="s">
        <v>18</v>
      </c>
      <c r="M453" t="s">
        <v>1499</v>
      </c>
      <c r="N453" s="6" t="s">
        <v>1403</v>
      </c>
      <c r="P453" t="s">
        <v>1506</v>
      </c>
      <c r="Q453" t="s">
        <v>1507</v>
      </c>
      <c r="R453" t="s">
        <v>1508</v>
      </c>
      <c r="S453">
        <v>2014</v>
      </c>
      <c r="T453" t="s">
        <v>207</v>
      </c>
      <c r="U453" t="s">
        <v>173</v>
      </c>
      <c r="V453">
        <v>2700</v>
      </c>
      <c r="W453">
        <v>1450</v>
      </c>
      <c r="AC453">
        <v>0.71</v>
      </c>
      <c r="AD453">
        <v>0</v>
      </c>
      <c r="AE453">
        <v>0</v>
      </c>
      <c r="AF453">
        <v>200</v>
      </c>
      <c r="AG453">
        <v>0</v>
      </c>
      <c r="AH453" t="s">
        <v>1410</v>
      </c>
      <c r="AI453">
        <v>1</v>
      </c>
      <c r="AK453">
        <v>0</v>
      </c>
      <c r="AL453">
        <v>0</v>
      </c>
      <c r="AN453" t="s">
        <v>132</v>
      </c>
      <c r="BW453">
        <v>100</v>
      </c>
      <c r="CE4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53"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4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53" t="s">
        <v>134</v>
      </c>
      <c r="CJ453" t="s">
        <v>135</v>
      </c>
      <c r="CK453">
        <v>480000</v>
      </c>
      <c r="CL453" s="19">
        <f>IF(Table1[[#This Row],[Type]]="Petroleum",1,IF(ISERROR(Table1[[#This Row],[Well Density]]*Table1[[#This Row],[Single Well Discovery Area]]),"",IF(Table1[[#This Row],[Well Density]]*Table1[[#This Row],[Single Well Discovery Area]]&gt;1,1,Table1[[#This Row],[Well Density]]*Table1[[#This Row],[Single Well Discovery Area]])))</f>
        <v>0</v>
      </c>
      <c r="CM453" t="s">
        <v>158</v>
      </c>
      <c r="CN453" s="19">
        <f>Table1[[#This Row],[Mid]]</f>
        <v>0</v>
      </c>
      <c r="CO453" s="19">
        <f>Table1[[#This Row],[Mid3]]+Table1[[#This Row],[Mid6]]+Table1[[#This Row],[Mid9]]</f>
        <v>0</v>
      </c>
      <c r="CP453" s="19">
        <f>Table1[[#This Row],[Mid12]]+Table1[[#This Row],[Mid15]]+Table1[[#This Row],[Mid18]]+Table1[[#This Row],[Mid21]]+Table1[[#This Row],[Mid24]]</f>
        <v>0</v>
      </c>
      <c r="CQ453" s="19">
        <f>Table1[[#This Row],[Mid27]]+Table1[[#This Row],[Mid30]]+Table1[[#This Row],[Mid33]]+Table1[[#This Row],[Mid36]]+Table1[[#This Row],[Mid39]]</f>
        <v>100</v>
      </c>
      <c r="CR453" t="s">
        <v>415</v>
      </c>
      <c r="CS453" s="19" t="str">
        <f>IF(AND(Table1[[#This Row],[Low41]]=0, Table1[[#This Row],[High43]]=0),"N","Y")</f>
        <v>N</v>
      </c>
    </row>
    <row r="454" spans="1:97" ht="19.5" customHeight="1" x14ac:dyDescent="0.25">
      <c r="A454">
        <v>10452</v>
      </c>
      <c r="B454" t="s">
        <v>1399</v>
      </c>
      <c r="C454" t="s">
        <v>1449</v>
      </c>
      <c r="D454">
        <v>59.64833333</v>
      </c>
      <c r="E454">
        <v>3.471388889</v>
      </c>
      <c r="F454" t="s">
        <v>1509</v>
      </c>
      <c r="G454" t="s">
        <v>1451</v>
      </c>
      <c r="I454" t="s">
        <v>118</v>
      </c>
      <c r="J454" t="s">
        <v>119</v>
      </c>
      <c r="K454" t="s">
        <v>1435</v>
      </c>
      <c r="L454" t="s">
        <v>18</v>
      </c>
      <c r="M454" t="s">
        <v>1465</v>
      </c>
      <c r="N454" s="6" t="s">
        <v>1403</v>
      </c>
      <c r="Q454" t="s">
        <v>1510</v>
      </c>
      <c r="R454" t="s">
        <v>1511</v>
      </c>
      <c r="S454">
        <v>2014</v>
      </c>
      <c r="T454" t="s">
        <v>153</v>
      </c>
      <c r="U454" t="s">
        <v>154</v>
      </c>
      <c r="V454">
        <v>690</v>
      </c>
      <c r="W454">
        <v>1900</v>
      </c>
      <c r="Y454">
        <v>80</v>
      </c>
      <c r="Z454">
        <v>28</v>
      </c>
      <c r="AA454">
        <v>1000</v>
      </c>
      <c r="AC454">
        <v>0.69</v>
      </c>
      <c r="AD454">
        <v>0</v>
      </c>
      <c r="AE454">
        <v>0</v>
      </c>
      <c r="AF454">
        <v>200</v>
      </c>
      <c r="AG454">
        <v>0</v>
      </c>
      <c r="AH454" t="s">
        <v>1410</v>
      </c>
      <c r="AI454">
        <v>1</v>
      </c>
      <c r="AK454">
        <v>0</v>
      </c>
      <c r="AL454">
        <v>0</v>
      </c>
      <c r="AN454" t="s">
        <v>132</v>
      </c>
      <c r="BT454">
        <v>50</v>
      </c>
      <c r="CE45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54" s="19">
        <f>SUM(Table1[[#This Row],[Mid39]],Table1[[#This Row],[Mid36]],Table1[[#This Row],[Mid33]],Table1[[#This Row],[Mid30]],Table1[[#This Row],[Mid27]],Table1[[#This Row],[Mid24]],Table1[[#This Row],[Mid21]],Table1[[#This Row],[Mid18]],Table1[[#This Row],[Mid15]],Table1[[#This Row],[Mid12]],Table1[[#This Row],[Mid9]],Table1[[#This Row],[Mid6]],Table1[[#This Row],[Mid3]],Table1[[#This Row],[Mid]])</f>
        <v>50</v>
      </c>
      <c r="CG45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54" t="s">
        <v>134</v>
      </c>
      <c r="CJ454" t="s">
        <v>135</v>
      </c>
      <c r="CK454">
        <v>120000</v>
      </c>
      <c r="CL454" s="19">
        <f>IF(Table1[[#This Row],[Type]]="Petroleum",1,IF(ISERROR(Table1[[#This Row],[Well Density]]*Table1[[#This Row],[Single Well Discovery Area]]),"",IF(Table1[[#This Row],[Well Density]]*Table1[[#This Row],[Single Well Discovery Area]]&gt;1,1,Table1[[#This Row],[Well Density]]*Table1[[#This Row],[Single Well Discovery Area]])))</f>
        <v>0</v>
      </c>
      <c r="CM454" t="s">
        <v>158</v>
      </c>
      <c r="CN454" s="19">
        <f>Table1[[#This Row],[Mid]]</f>
        <v>0</v>
      </c>
      <c r="CO454" s="19">
        <f>Table1[[#This Row],[Mid3]]+Table1[[#This Row],[Mid6]]+Table1[[#This Row],[Mid9]]</f>
        <v>0</v>
      </c>
      <c r="CP454" s="19">
        <f>Table1[[#This Row],[Mid12]]+Table1[[#This Row],[Mid15]]+Table1[[#This Row],[Mid18]]+Table1[[#This Row],[Mid21]]+Table1[[#This Row],[Mid24]]</f>
        <v>0</v>
      </c>
      <c r="CQ454" s="19">
        <f>Table1[[#This Row],[Mid27]]+Table1[[#This Row],[Mid30]]+Table1[[#This Row],[Mid33]]+Table1[[#This Row],[Mid36]]+Table1[[#This Row],[Mid39]]</f>
        <v>50</v>
      </c>
      <c r="CR454" t="s">
        <v>415</v>
      </c>
      <c r="CS454" s="19" t="str">
        <f>IF(AND(Table1[[#This Row],[Low41]]=0, Table1[[#This Row],[High43]]=0),"N","Y")</f>
        <v>N</v>
      </c>
    </row>
    <row r="455" spans="1:97" ht="19.5" customHeight="1" x14ac:dyDescent="0.25">
      <c r="A455">
        <v>10453</v>
      </c>
      <c r="B455" t="s">
        <v>1399</v>
      </c>
      <c r="C455" t="s">
        <v>1449</v>
      </c>
      <c r="D455">
        <v>64.810555559999997</v>
      </c>
      <c r="E455">
        <v>9.1163888889999996</v>
      </c>
      <c r="F455" t="s">
        <v>1512</v>
      </c>
      <c r="G455" t="s">
        <v>1513</v>
      </c>
      <c r="H455" t="s">
        <v>1514</v>
      </c>
      <c r="I455" t="s">
        <v>118</v>
      </c>
      <c r="J455" t="s">
        <v>119</v>
      </c>
      <c r="K455" t="s">
        <v>203</v>
      </c>
      <c r="L455" t="s">
        <v>18</v>
      </c>
      <c r="M455" t="s">
        <v>1465</v>
      </c>
      <c r="N455" s="6" t="s">
        <v>1515</v>
      </c>
      <c r="O455" t="s">
        <v>1516</v>
      </c>
      <c r="P455" t="s">
        <v>1517</v>
      </c>
      <c r="Q455" t="s">
        <v>1518</v>
      </c>
      <c r="R455" t="s">
        <v>1519</v>
      </c>
      <c r="S455">
        <v>2014</v>
      </c>
      <c r="T455" t="s">
        <v>153</v>
      </c>
      <c r="U455" t="s">
        <v>154</v>
      </c>
      <c r="V455">
        <v>50000</v>
      </c>
      <c r="AE455">
        <v>0</v>
      </c>
      <c r="AF455">
        <v>200</v>
      </c>
      <c r="AG455">
        <v>0</v>
      </c>
      <c r="AK455">
        <v>0</v>
      </c>
      <c r="AL455">
        <v>0</v>
      </c>
      <c r="AN455" t="s">
        <v>132</v>
      </c>
      <c r="BW455">
        <v>2000</v>
      </c>
      <c r="BX455">
        <v>5200</v>
      </c>
      <c r="CE45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55" s="19">
        <f>SUM(Table1[[#This Row],[Mid39]],Table1[[#This Row],[Mid36]],Table1[[#This Row],[Mid33]],Table1[[#This Row],[Mid30]],Table1[[#This Row],[Mid27]],Table1[[#This Row],[Mid24]],Table1[[#This Row],[Mid21]],Table1[[#This Row],[Mid18]],Table1[[#This Row],[Mid15]],Table1[[#This Row],[Mid12]],Table1[[#This Row],[Mid9]],Table1[[#This Row],[Mid6]],Table1[[#This Row],[Mid3]],Table1[[#This Row],[Mid]])</f>
        <v>2000</v>
      </c>
      <c r="CG45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5200</v>
      </c>
      <c r="CH455" t="s">
        <v>158</v>
      </c>
      <c r="CI455" t="s">
        <v>134</v>
      </c>
      <c r="CJ455" t="s">
        <v>135</v>
      </c>
      <c r="CK455">
        <v>16000</v>
      </c>
      <c r="CL455" s="19">
        <f>IF(Table1[[#This Row],[Type]]="Petroleum",1,IF(ISERROR(Table1[[#This Row],[Well Density]]*Table1[[#This Row],[Single Well Discovery Area]]),"",IF(Table1[[#This Row],[Well Density]]*Table1[[#This Row],[Single Well Discovery Area]]&gt;1,1,Table1[[#This Row],[Well Density]]*Table1[[#This Row],[Single Well Discovery Area]])))</f>
        <v>0</v>
      </c>
      <c r="CM455" t="s">
        <v>135</v>
      </c>
      <c r="CN455" s="19">
        <f>Table1[[#This Row],[Mid]]</f>
        <v>0</v>
      </c>
      <c r="CO455" s="19">
        <f>Table1[[#This Row],[Mid3]]+Table1[[#This Row],[Mid6]]+Table1[[#This Row],[Mid9]]</f>
        <v>0</v>
      </c>
      <c r="CP455" s="19">
        <f>Table1[[#This Row],[Mid12]]+Table1[[#This Row],[Mid15]]+Table1[[#This Row],[Mid18]]+Table1[[#This Row],[Mid21]]+Table1[[#This Row],[Mid24]]</f>
        <v>0</v>
      </c>
      <c r="CQ455" s="19">
        <f>Table1[[#This Row],[Mid27]]+Table1[[#This Row],[Mid30]]+Table1[[#This Row],[Mid33]]+Table1[[#This Row],[Mid36]]+Table1[[#This Row],[Mid39]]</f>
        <v>2000</v>
      </c>
      <c r="CR455" t="s">
        <v>415</v>
      </c>
      <c r="CS455" s="19" t="str">
        <f>IF(AND(Table1[[#This Row],[Low41]]=0, Table1[[#This Row],[High43]]=0),"N","Y")</f>
        <v>Y</v>
      </c>
    </row>
    <row r="456" spans="1:97" ht="19.5" customHeight="1" x14ac:dyDescent="0.25">
      <c r="A456">
        <v>10454</v>
      </c>
      <c r="B456" t="s">
        <v>1399</v>
      </c>
      <c r="C456" t="s">
        <v>1449</v>
      </c>
      <c r="D456">
        <v>59.81</v>
      </c>
      <c r="E456">
        <v>3.0491666670000002</v>
      </c>
      <c r="F456" t="s">
        <v>1520</v>
      </c>
      <c r="G456" t="s">
        <v>1451</v>
      </c>
      <c r="H456" t="s">
        <v>1490</v>
      </c>
      <c r="I456" t="s">
        <v>118</v>
      </c>
      <c r="J456" t="s">
        <v>119</v>
      </c>
      <c r="K456" t="s">
        <v>120</v>
      </c>
      <c r="L456" t="s">
        <v>121</v>
      </c>
      <c r="M456" t="s">
        <v>1177</v>
      </c>
      <c r="N456" s="6" t="s">
        <v>1403</v>
      </c>
      <c r="Q456"/>
      <c r="R456" t="s">
        <v>1521</v>
      </c>
      <c r="S456">
        <v>2014</v>
      </c>
      <c r="T456" t="s">
        <v>207</v>
      </c>
      <c r="U456" t="s">
        <v>173</v>
      </c>
      <c r="V456">
        <v>14166</v>
      </c>
      <c r="W456">
        <v>1000</v>
      </c>
      <c r="AA456">
        <v>1000</v>
      </c>
      <c r="AC456">
        <v>0.75</v>
      </c>
      <c r="AD456">
        <v>132</v>
      </c>
      <c r="AE456">
        <v>9.3180859999999997E-3</v>
      </c>
      <c r="AF456">
        <v>200</v>
      </c>
      <c r="AG456">
        <v>0</v>
      </c>
      <c r="AI456">
        <v>4</v>
      </c>
      <c r="AK456">
        <v>0</v>
      </c>
      <c r="AL456">
        <v>0</v>
      </c>
      <c r="AN456" t="s">
        <v>132</v>
      </c>
      <c r="BH456">
        <v>16000</v>
      </c>
      <c r="CE45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56" s="19">
        <f>SUM(Table1[[#This Row],[Mid39]],Table1[[#This Row],[Mid36]],Table1[[#This Row],[Mid33]],Table1[[#This Row],[Mid30]],Table1[[#This Row],[Mid27]],Table1[[#This Row],[Mid24]],Table1[[#This Row],[Mid21]],Table1[[#This Row],[Mid18]],Table1[[#This Row],[Mid15]],Table1[[#This Row],[Mid12]],Table1[[#This Row],[Mid9]],Table1[[#This Row],[Mid6]],Table1[[#This Row],[Mid3]],Table1[[#This Row],[Mid]])</f>
        <v>16000</v>
      </c>
      <c r="CG45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56" t="s">
        <v>134</v>
      </c>
      <c r="CJ456" t="s">
        <v>158</v>
      </c>
      <c r="CK456">
        <v>9700</v>
      </c>
      <c r="CL456" s="19">
        <f>IF(Table1[[#This Row],[Type]]="Petroleum",1,IF(ISERROR(Table1[[#This Row],[Well Density]]*Table1[[#This Row],[Single Well Discovery Area]]),"",IF(Table1[[#This Row],[Well Density]]*Table1[[#This Row],[Single Well Discovery Area]]&gt;1,1,Table1[[#This Row],[Well Density]]*Table1[[#This Row],[Single Well Discovery Area]])))</f>
        <v>1</v>
      </c>
      <c r="CM456" t="s">
        <v>135</v>
      </c>
      <c r="CN456" s="19">
        <f>Table1[[#This Row],[Mid]]</f>
        <v>0</v>
      </c>
      <c r="CO456" s="19">
        <f>Table1[[#This Row],[Mid3]]+Table1[[#This Row],[Mid6]]+Table1[[#This Row],[Mid9]]</f>
        <v>0</v>
      </c>
      <c r="CP456" s="19">
        <f>Table1[[#This Row],[Mid12]]+Table1[[#This Row],[Mid15]]+Table1[[#This Row],[Mid18]]+Table1[[#This Row],[Mid21]]+Table1[[#This Row],[Mid24]]</f>
        <v>16000</v>
      </c>
      <c r="CQ456" s="19">
        <f>Table1[[#This Row],[Mid27]]+Table1[[#This Row],[Mid30]]+Table1[[#This Row],[Mid33]]+Table1[[#This Row],[Mid36]]+Table1[[#This Row],[Mid39]]</f>
        <v>0</v>
      </c>
      <c r="CR456" t="s">
        <v>415</v>
      </c>
      <c r="CS456" s="19" t="str">
        <f>IF(AND(Table1[[#This Row],[Low41]]=0, Table1[[#This Row],[High43]]=0),"N","Y")</f>
        <v>N</v>
      </c>
    </row>
    <row r="457" spans="1:97" ht="19.5" customHeight="1" x14ac:dyDescent="0.25">
      <c r="A457">
        <v>10455</v>
      </c>
      <c r="B457" t="s">
        <v>1399</v>
      </c>
      <c r="C457" t="s">
        <v>1449</v>
      </c>
      <c r="D457">
        <v>58.748888890000003</v>
      </c>
      <c r="E457">
        <v>2.1630555560000002</v>
      </c>
      <c r="F457" t="s">
        <v>1522</v>
      </c>
      <c r="G457" t="s">
        <v>1451</v>
      </c>
      <c r="H457" t="s">
        <v>1490</v>
      </c>
      <c r="I457" t="s">
        <v>118</v>
      </c>
      <c r="J457" t="s">
        <v>119</v>
      </c>
      <c r="K457" t="s">
        <v>120</v>
      </c>
      <c r="L457" t="s">
        <v>121</v>
      </c>
      <c r="M457" t="s">
        <v>1177</v>
      </c>
      <c r="N457" s="6" t="s">
        <v>1403</v>
      </c>
      <c r="P457" t="s">
        <v>1523</v>
      </c>
      <c r="Q457" t="s">
        <v>1524</v>
      </c>
      <c r="R457" t="s">
        <v>1525</v>
      </c>
      <c r="S457">
        <v>2014</v>
      </c>
      <c r="T457" t="s">
        <v>207</v>
      </c>
      <c r="U457" t="s">
        <v>173</v>
      </c>
      <c r="V457">
        <v>1600</v>
      </c>
      <c r="AD457">
        <v>13</v>
      </c>
      <c r="AE457">
        <v>8.1250000000000003E-3</v>
      </c>
      <c r="AF457">
        <v>200</v>
      </c>
      <c r="AG457">
        <v>0</v>
      </c>
      <c r="AH457" t="s">
        <v>1526</v>
      </c>
      <c r="AI457">
        <v>5.2</v>
      </c>
      <c r="AK457">
        <v>0</v>
      </c>
      <c r="AL457">
        <v>0</v>
      </c>
      <c r="AN457" t="s">
        <v>132</v>
      </c>
      <c r="BG457">
        <v>500</v>
      </c>
      <c r="BH457">
        <v>1000</v>
      </c>
      <c r="BI457">
        <v>1500</v>
      </c>
      <c r="CE457" s="19">
        <f>SUM(Table1[[#This Row],[Low38]],Table1[[#This Row],[Low35]],Table1[[#This Row],[Low32]],Table1[[#This Row],[Low29]],Table1[[#This Row],[Low26]],Table1[[#This Row],[Low23]],Table1[[#This Row],[Low20]],Table1[[#This Row],[Low17]],Table1[[#This Row],[Low14]],Table1[[#This Row],[Low11]],Table1[[#This Row],[Low8]],Table1[[#This Row],[Low5]],Table1[[#This Row],[Low2]],Table1[[#This Row],[Low]])</f>
        <v>500</v>
      </c>
      <c r="CF457" s="19">
        <f>SUM(Table1[[#This Row],[Mid39]],Table1[[#This Row],[Mid36]],Table1[[#This Row],[Mid33]],Table1[[#This Row],[Mid30]],Table1[[#This Row],[Mid27]],Table1[[#This Row],[Mid24]],Table1[[#This Row],[Mid21]],Table1[[#This Row],[Mid18]],Table1[[#This Row],[Mid15]],Table1[[#This Row],[Mid12]],Table1[[#This Row],[Mid9]],Table1[[#This Row],[Mid6]],Table1[[#This Row],[Mid3]],Table1[[#This Row],[Mid]])</f>
        <v>1000</v>
      </c>
      <c r="CG45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1500</v>
      </c>
      <c r="CI457" t="s">
        <v>134</v>
      </c>
      <c r="CJ457" t="s">
        <v>135</v>
      </c>
      <c r="CL457" s="19">
        <f>IF(Table1[[#This Row],[Type]]="Petroleum",1,IF(ISERROR(Table1[[#This Row],[Well Density]]*Table1[[#This Row],[Single Well Discovery Area]]),"",IF(Table1[[#This Row],[Well Density]]*Table1[[#This Row],[Single Well Discovery Area]]&gt;1,1,Table1[[#This Row],[Well Density]]*Table1[[#This Row],[Single Well Discovery Area]])))</f>
        <v>1</v>
      </c>
      <c r="CM457" t="s">
        <v>135</v>
      </c>
      <c r="CN457" s="19">
        <f>Table1[[#This Row],[Mid]]</f>
        <v>0</v>
      </c>
      <c r="CO457" s="19">
        <f>Table1[[#This Row],[Mid3]]+Table1[[#This Row],[Mid6]]+Table1[[#This Row],[Mid9]]</f>
        <v>0</v>
      </c>
      <c r="CP457" s="19">
        <f>Table1[[#This Row],[Mid12]]+Table1[[#This Row],[Mid15]]+Table1[[#This Row],[Mid18]]+Table1[[#This Row],[Mid21]]+Table1[[#This Row],[Mid24]]</f>
        <v>1000</v>
      </c>
      <c r="CQ457" s="19">
        <f>Table1[[#This Row],[Mid27]]+Table1[[#This Row],[Mid30]]+Table1[[#This Row],[Mid33]]+Table1[[#This Row],[Mid36]]+Table1[[#This Row],[Mid39]]</f>
        <v>0</v>
      </c>
      <c r="CR457" t="s">
        <v>415</v>
      </c>
      <c r="CS457" s="19" t="str">
        <f>IF(AND(Table1[[#This Row],[Low41]]=0, Table1[[#This Row],[High43]]=0),"N","Y")</f>
        <v>Y</v>
      </c>
    </row>
    <row r="458" spans="1:97" ht="19.5" customHeight="1" x14ac:dyDescent="0.25">
      <c r="A458">
        <v>10456</v>
      </c>
      <c r="B458" t="s">
        <v>1399</v>
      </c>
      <c r="C458" t="s">
        <v>1449</v>
      </c>
      <c r="D458">
        <v>59.81</v>
      </c>
      <c r="E458">
        <v>3.0491666670000002</v>
      </c>
      <c r="F458" t="s">
        <v>1527</v>
      </c>
      <c r="G458" t="s">
        <v>1451</v>
      </c>
      <c r="H458" t="s">
        <v>1528</v>
      </c>
      <c r="I458" t="s">
        <v>118</v>
      </c>
      <c r="J458" t="s">
        <v>119</v>
      </c>
      <c r="K458" t="s">
        <v>203</v>
      </c>
      <c r="L458" t="s">
        <v>261</v>
      </c>
      <c r="M458" t="s">
        <v>1529</v>
      </c>
      <c r="N458" s="6" t="s">
        <v>1530</v>
      </c>
      <c r="O458" t="s">
        <v>1531</v>
      </c>
      <c r="P458" t="s">
        <v>1532</v>
      </c>
      <c r="Q458" t="s">
        <v>1533</v>
      </c>
      <c r="R458" t="s">
        <v>1534</v>
      </c>
      <c r="S458">
        <v>2015</v>
      </c>
      <c r="T458" t="s">
        <v>153</v>
      </c>
      <c r="U458" t="s">
        <v>154</v>
      </c>
      <c r="V458"/>
      <c r="Z458">
        <v>21.1</v>
      </c>
      <c r="AF458">
        <v>200</v>
      </c>
      <c r="AG458">
        <v>0</v>
      </c>
      <c r="AJ458">
        <v>10</v>
      </c>
      <c r="AK458">
        <v>0</v>
      </c>
      <c r="AL458">
        <v>0</v>
      </c>
      <c r="AN458" t="s">
        <v>132</v>
      </c>
      <c r="BT458">
        <v>887</v>
      </c>
      <c r="BU458">
        <v>1520</v>
      </c>
      <c r="CE45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58" s="19">
        <f>SUM(Table1[[#This Row],[Mid39]],Table1[[#This Row],[Mid36]],Table1[[#This Row],[Mid33]],Table1[[#This Row],[Mid30]],Table1[[#This Row],[Mid27]],Table1[[#This Row],[Mid24]],Table1[[#This Row],[Mid21]],Table1[[#This Row],[Mid18]],Table1[[#This Row],[Mid15]],Table1[[#This Row],[Mid12]],Table1[[#This Row],[Mid9]],Table1[[#This Row],[Mid6]],Table1[[#This Row],[Mid3]],Table1[[#This Row],[Mid]])</f>
        <v>887</v>
      </c>
      <c r="CG45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1520</v>
      </c>
      <c r="CH458" t="s">
        <v>158</v>
      </c>
      <c r="CI458" t="s">
        <v>134</v>
      </c>
      <c r="CJ458" t="s">
        <v>135</v>
      </c>
      <c r="CK458">
        <v>526000</v>
      </c>
      <c r="CL458" s="19">
        <f>IF(Table1[[#This Row],[Type]]="Petroleum",1,IF(ISERROR(Table1[[#This Row],[Well Density]]*Table1[[#This Row],[Single Well Discovery Area]]),"",IF(Table1[[#This Row],[Well Density]]*Table1[[#This Row],[Single Well Discovery Area]]&gt;1,1,Table1[[#This Row],[Well Density]]*Table1[[#This Row],[Single Well Discovery Area]])))</f>
        <v>0</v>
      </c>
      <c r="CM458" t="s">
        <v>158</v>
      </c>
      <c r="CN458" s="19">
        <f>Table1[[#This Row],[Mid]]</f>
        <v>0</v>
      </c>
      <c r="CO458" s="19">
        <f>Table1[[#This Row],[Mid3]]+Table1[[#This Row],[Mid6]]+Table1[[#This Row],[Mid9]]</f>
        <v>0</v>
      </c>
      <c r="CP458" s="19">
        <f>Table1[[#This Row],[Mid12]]+Table1[[#This Row],[Mid15]]+Table1[[#This Row],[Mid18]]+Table1[[#This Row],[Mid21]]+Table1[[#This Row],[Mid24]]</f>
        <v>0</v>
      </c>
      <c r="CQ458" s="19">
        <f>Table1[[#This Row],[Mid27]]+Table1[[#This Row],[Mid30]]+Table1[[#This Row],[Mid33]]+Table1[[#This Row],[Mid36]]+Table1[[#This Row],[Mid39]]</f>
        <v>887</v>
      </c>
      <c r="CR458" t="s">
        <v>415</v>
      </c>
      <c r="CS458" s="19" t="str">
        <f>IF(AND(Table1[[#This Row],[Low41]]=0, Table1[[#This Row],[High43]]=0),"N","Y")</f>
        <v>Y</v>
      </c>
    </row>
    <row r="459" spans="1:97" ht="19.5" customHeight="1" x14ac:dyDescent="0.25">
      <c r="A459">
        <v>10457</v>
      </c>
      <c r="B459" t="s">
        <v>1399</v>
      </c>
      <c r="C459" t="s">
        <v>1535</v>
      </c>
      <c r="D459">
        <v>65.202500000000001</v>
      </c>
      <c r="E459">
        <v>8.3222222220000006</v>
      </c>
      <c r="F459" t="s">
        <v>1536</v>
      </c>
      <c r="G459" t="s">
        <v>1513</v>
      </c>
      <c r="H459" t="s">
        <v>1537</v>
      </c>
      <c r="I459" t="s">
        <v>118</v>
      </c>
      <c r="J459" t="s">
        <v>119</v>
      </c>
      <c r="K459" t="s">
        <v>203</v>
      </c>
      <c r="L459" t="s">
        <v>18</v>
      </c>
      <c r="M459" t="s">
        <v>1408</v>
      </c>
      <c r="N459" s="6" t="s">
        <v>1403</v>
      </c>
      <c r="Q459"/>
      <c r="R459" t="s">
        <v>1538</v>
      </c>
      <c r="S459">
        <v>2014</v>
      </c>
      <c r="T459" t="s">
        <v>207</v>
      </c>
      <c r="U459" t="s">
        <v>173</v>
      </c>
      <c r="V459">
        <v>72</v>
      </c>
      <c r="W459">
        <v>2200</v>
      </c>
      <c r="AA459">
        <v>300</v>
      </c>
      <c r="AC459">
        <v>0.7</v>
      </c>
      <c r="AD459">
        <v>0</v>
      </c>
      <c r="AE459">
        <v>0</v>
      </c>
      <c r="AF459">
        <v>200</v>
      </c>
      <c r="AG459">
        <v>0</v>
      </c>
      <c r="AH459" t="s">
        <v>1410</v>
      </c>
      <c r="AI459">
        <v>10</v>
      </c>
      <c r="AK459">
        <v>0</v>
      </c>
      <c r="AL459">
        <v>0</v>
      </c>
      <c r="AN459" t="s">
        <v>132</v>
      </c>
      <c r="BT459">
        <v>70</v>
      </c>
      <c r="CE45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59" s="19">
        <f>SUM(Table1[[#This Row],[Mid39]],Table1[[#This Row],[Mid36]],Table1[[#This Row],[Mid33]],Table1[[#This Row],[Mid30]],Table1[[#This Row],[Mid27]],Table1[[#This Row],[Mid24]],Table1[[#This Row],[Mid21]],Table1[[#This Row],[Mid18]],Table1[[#This Row],[Mid15]],Table1[[#This Row],[Mid12]],Table1[[#This Row],[Mid9]],Table1[[#This Row],[Mid6]],Table1[[#This Row],[Mid3]],Table1[[#This Row],[Mid]])</f>
        <v>70</v>
      </c>
      <c r="CG45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59" t="s">
        <v>134</v>
      </c>
      <c r="CJ459" t="s">
        <v>158</v>
      </c>
      <c r="CL459" s="19">
        <f>IF(Table1[[#This Row],[Type]]="Petroleum",1,IF(ISERROR(Table1[[#This Row],[Well Density]]*Table1[[#This Row],[Single Well Discovery Area]]),"",IF(Table1[[#This Row],[Well Density]]*Table1[[#This Row],[Single Well Discovery Area]]&gt;1,1,Table1[[#This Row],[Well Density]]*Table1[[#This Row],[Single Well Discovery Area]])))</f>
        <v>0</v>
      </c>
      <c r="CM459" t="s">
        <v>135</v>
      </c>
      <c r="CN459" s="19">
        <f>Table1[[#This Row],[Mid]]</f>
        <v>0</v>
      </c>
      <c r="CO459" s="19">
        <f>Table1[[#This Row],[Mid3]]+Table1[[#This Row],[Mid6]]+Table1[[#This Row],[Mid9]]</f>
        <v>0</v>
      </c>
      <c r="CP459" s="19">
        <f>Table1[[#This Row],[Mid12]]+Table1[[#This Row],[Mid15]]+Table1[[#This Row],[Mid18]]+Table1[[#This Row],[Mid21]]+Table1[[#This Row],[Mid24]]</f>
        <v>0</v>
      </c>
      <c r="CQ459" s="19">
        <f>Table1[[#This Row],[Mid27]]+Table1[[#This Row],[Mid30]]+Table1[[#This Row],[Mid33]]+Table1[[#This Row],[Mid36]]+Table1[[#This Row],[Mid39]]</f>
        <v>70</v>
      </c>
      <c r="CR459" t="s">
        <v>415</v>
      </c>
      <c r="CS459" s="19" t="str">
        <f>IF(AND(Table1[[#This Row],[Low41]]=0, Table1[[#This Row],[High43]]=0),"N","Y")</f>
        <v>N</v>
      </c>
    </row>
    <row r="460" spans="1:97" ht="19.5" customHeight="1" x14ac:dyDescent="0.25">
      <c r="A460">
        <v>10458</v>
      </c>
      <c r="B460" t="s">
        <v>1399</v>
      </c>
      <c r="C460" t="s">
        <v>1535</v>
      </c>
      <c r="D460">
        <v>64.666666669999998</v>
      </c>
      <c r="E460">
        <v>8.5</v>
      </c>
      <c r="F460" t="s">
        <v>1539</v>
      </c>
      <c r="G460" t="s">
        <v>1513</v>
      </c>
      <c r="H460" t="s">
        <v>1540</v>
      </c>
      <c r="I460" t="s">
        <v>118</v>
      </c>
      <c r="J460" t="s">
        <v>119</v>
      </c>
      <c r="K460" t="s">
        <v>1435</v>
      </c>
      <c r="L460" t="s">
        <v>261</v>
      </c>
      <c r="M460" t="s">
        <v>1444</v>
      </c>
      <c r="N460" s="6" t="s">
        <v>1403</v>
      </c>
      <c r="P460" t="s">
        <v>1541</v>
      </c>
      <c r="Q460" t="s">
        <v>1542</v>
      </c>
      <c r="R460" t="s">
        <v>1543</v>
      </c>
      <c r="S460">
        <v>2014</v>
      </c>
      <c r="T460" t="s">
        <v>207</v>
      </c>
      <c r="U460" t="s">
        <v>173</v>
      </c>
      <c r="V460">
        <v>23380</v>
      </c>
      <c r="W460">
        <v>1675</v>
      </c>
      <c r="Y460">
        <v>25</v>
      </c>
      <c r="Z460">
        <v>27</v>
      </c>
      <c r="AA460">
        <v>580</v>
      </c>
      <c r="AC460">
        <v>0.69</v>
      </c>
      <c r="AD460">
        <v>52</v>
      </c>
      <c r="AE460">
        <v>2.2241230000000002E-3</v>
      </c>
      <c r="AF460">
        <v>200</v>
      </c>
      <c r="AG460">
        <v>0</v>
      </c>
      <c r="AH460" t="s">
        <v>1410</v>
      </c>
      <c r="AI460">
        <v>1.9323669999999999E-3</v>
      </c>
      <c r="AK460">
        <v>0</v>
      </c>
      <c r="AL460">
        <v>0</v>
      </c>
      <c r="AN460" t="s">
        <v>132</v>
      </c>
      <c r="BH460">
        <v>176</v>
      </c>
      <c r="BW460">
        <v>224</v>
      </c>
      <c r="CE46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60" s="19">
        <f>SUM(Table1[[#This Row],[Mid39]],Table1[[#This Row],[Mid36]],Table1[[#This Row],[Mid33]],Table1[[#This Row],[Mid30]],Table1[[#This Row],[Mid27]],Table1[[#This Row],[Mid24]],Table1[[#This Row],[Mid21]],Table1[[#This Row],[Mid18]],Table1[[#This Row],[Mid15]],Table1[[#This Row],[Mid12]],Table1[[#This Row],[Mid9]],Table1[[#This Row],[Mid6]],Table1[[#This Row],[Mid3]],Table1[[#This Row],[Mid]])</f>
        <v>400</v>
      </c>
      <c r="CG46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60" t="s">
        <v>134</v>
      </c>
      <c r="CJ460" t="s">
        <v>135</v>
      </c>
      <c r="CL460" s="19">
        <f>IF(Table1[[#This Row],[Type]]="Petroleum",1,IF(ISERROR(Table1[[#This Row],[Well Density]]*Table1[[#This Row],[Single Well Discovery Area]]),"",IF(Table1[[#This Row],[Well Density]]*Table1[[#This Row],[Single Well Discovery Area]]&gt;1,1,Table1[[#This Row],[Well Density]]*Table1[[#This Row],[Single Well Discovery Area]])))</f>
        <v>0.44482460000000001</v>
      </c>
      <c r="CM460" t="s">
        <v>135</v>
      </c>
      <c r="CN460" s="19">
        <f>Table1[[#This Row],[Mid]]</f>
        <v>0</v>
      </c>
      <c r="CO460" s="19">
        <f>Table1[[#This Row],[Mid3]]+Table1[[#This Row],[Mid6]]+Table1[[#This Row],[Mid9]]</f>
        <v>0</v>
      </c>
      <c r="CP460" s="19">
        <f>Table1[[#This Row],[Mid12]]+Table1[[#This Row],[Mid15]]+Table1[[#This Row],[Mid18]]+Table1[[#This Row],[Mid21]]+Table1[[#This Row],[Mid24]]</f>
        <v>176</v>
      </c>
      <c r="CQ460" s="19">
        <f>Table1[[#This Row],[Mid27]]+Table1[[#This Row],[Mid30]]+Table1[[#This Row],[Mid33]]+Table1[[#This Row],[Mid36]]+Table1[[#This Row],[Mid39]]</f>
        <v>224</v>
      </c>
      <c r="CR460" t="s">
        <v>415</v>
      </c>
      <c r="CS460" s="19" t="str">
        <f>IF(AND(Table1[[#This Row],[Low41]]=0, Table1[[#This Row],[High43]]=0),"N","Y")</f>
        <v>N</v>
      </c>
    </row>
    <row r="461" spans="1:97" ht="19.5" customHeight="1" x14ac:dyDescent="0.25">
      <c r="A461">
        <v>10459</v>
      </c>
      <c r="B461" t="s">
        <v>1399</v>
      </c>
      <c r="C461" t="s">
        <v>1535</v>
      </c>
      <c r="D461">
        <v>65</v>
      </c>
      <c r="E461">
        <v>9</v>
      </c>
      <c r="F461" t="s">
        <v>1544</v>
      </c>
      <c r="G461" t="s">
        <v>1513</v>
      </c>
      <c r="H461" t="s">
        <v>1545</v>
      </c>
      <c r="I461" t="s">
        <v>118</v>
      </c>
      <c r="J461" t="s">
        <v>119</v>
      </c>
      <c r="K461" t="s">
        <v>1435</v>
      </c>
      <c r="L461" t="s">
        <v>147</v>
      </c>
      <c r="M461" t="s">
        <v>1408</v>
      </c>
      <c r="N461" s="6" t="s">
        <v>1403</v>
      </c>
      <c r="Q461" t="s">
        <v>1546</v>
      </c>
      <c r="R461" t="s">
        <v>1547</v>
      </c>
      <c r="S461">
        <v>2014</v>
      </c>
      <c r="T461" t="s">
        <v>207</v>
      </c>
      <c r="U461" t="s">
        <v>173</v>
      </c>
      <c r="V461">
        <v>39100</v>
      </c>
      <c r="W461">
        <v>1940</v>
      </c>
      <c r="Y461">
        <v>30</v>
      </c>
      <c r="Z461">
        <v>21</v>
      </c>
      <c r="AA461">
        <v>140</v>
      </c>
      <c r="AC461">
        <v>0.7</v>
      </c>
      <c r="AD461">
        <v>85</v>
      </c>
      <c r="AE461">
        <v>2.173913E-3</v>
      </c>
      <c r="AF461">
        <v>200</v>
      </c>
      <c r="AG461">
        <v>0</v>
      </c>
      <c r="AH461" t="s">
        <v>1410</v>
      </c>
      <c r="AI461">
        <v>1</v>
      </c>
      <c r="AK461">
        <v>0</v>
      </c>
      <c r="AL461">
        <v>0</v>
      </c>
      <c r="AN461" t="s">
        <v>132</v>
      </c>
      <c r="BH461">
        <v>1720</v>
      </c>
      <c r="BW461">
        <v>2280</v>
      </c>
      <c r="CE46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61" s="19">
        <f>SUM(Table1[[#This Row],[Mid39]],Table1[[#This Row],[Mid36]],Table1[[#This Row],[Mid33]],Table1[[#This Row],[Mid30]],Table1[[#This Row],[Mid27]],Table1[[#This Row],[Mid24]],Table1[[#This Row],[Mid21]],Table1[[#This Row],[Mid18]],Table1[[#This Row],[Mid15]],Table1[[#This Row],[Mid12]],Table1[[#This Row],[Mid9]],Table1[[#This Row],[Mid6]],Table1[[#This Row],[Mid3]],Table1[[#This Row],[Mid]])</f>
        <v>4000</v>
      </c>
      <c r="CG46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61" t="s">
        <v>134</v>
      </c>
      <c r="CJ461" t="s">
        <v>158</v>
      </c>
      <c r="CK461">
        <v>1000</v>
      </c>
      <c r="CL461" s="19">
        <f>IF(Table1[[#This Row],[Type]]="Petroleum",1,IF(ISERROR(Table1[[#This Row],[Well Density]]*Table1[[#This Row],[Single Well Discovery Area]]),"",IF(Table1[[#This Row],[Well Density]]*Table1[[#This Row],[Single Well Discovery Area]]&gt;1,1,Table1[[#This Row],[Well Density]]*Table1[[#This Row],[Single Well Discovery Area]])))</f>
        <v>0.43478260000000002</v>
      </c>
      <c r="CM461" t="s">
        <v>158</v>
      </c>
      <c r="CN461" s="19">
        <f>Table1[[#This Row],[Mid]]</f>
        <v>0</v>
      </c>
      <c r="CO461" s="19">
        <f>Table1[[#This Row],[Mid3]]+Table1[[#This Row],[Mid6]]+Table1[[#This Row],[Mid9]]</f>
        <v>0</v>
      </c>
      <c r="CP461" s="19">
        <f>Table1[[#This Row],[Mid12]]+Table1[[#This Row],[Mid15]]+Table1[[#This Row],[Mid18]]+Table1[[#This Row],[Mid21]]+Table1[[#This Row],[Mid24]]</f>
        <v>1720</v>
      </c>
      <c r="CQ461" s="19">
        <f>Table1[[#This Row],[Mid27]]+Table1[[#This Row],[Mid30]]+Table1[[#This Row],[Mid33]]+Table1[[#This Row],[Mid36]]+Table1[[#This Row],[Mid39]]</f>
        <v>2280</v>
      </c>
      <c r="CR461" t="s">
        <v>415</v>
      </c>
      <c r="CS461" s="19" t="str">
        <f>IF(AND(Table1[[#This Row],[Low41]]=0, Table1[[#This Row],[High43]]=0),"N","Y")</f>
        <v>N</v>
      </c>
    </row>
    <row r="462" spans="1:97" ht="19.5" customHeight="1" x14ac:dyDescent="0.25">
      <c r="A462">
        <v>10460</v>
      </c>
      <c r="B462" t="s">
        <v>1399</v>
      </c>
      <c r="C462" t="s">
        <v>1535</v>
      </c>
      <c r="D462">
        <v>65.733333329999994</v>
      </c>
      <c r="E462">
        <v>8.4911111110000004</v>
      </c>
      <c r="F462" t="s">
        <v>1548</v>
      </c>
      <c r="G462" t="s">
        <v>1513</v>
      </c>
      <c r="H462" t="s">
        <v>1549</v>
      </c>
      <c r="I462" t="s">
        <v>118</v>
      </c>
      <c r="J462" t="s">
        <v>119</v>
      </c>
      <c r="K462" t="s">
        <v>203</v>
      </c>
      <c r="L462" t="s">
        <v>261</v>
      </c>
      <c r="M462" t="s">
        <v>1408</v>
      </c>
      <c r="N462" s="6" t="s">
        <v>1403</v>
      </c>
      <c r="P462" t="s">
        <v>1550</v>
      </c>
      <c r="Q462" t="s">
        <v>1551</v>
      </c>
      <c r="R462" t="s">
        <v>1552</v>
      </c>
      <c r="S462">
        <v>2014</v>
      </c>
      <c r="T462" t="s">
        <v>207</v>
      </c>
      <c r="U462" t="s">
        <v>173</v>
      </c>
      <c r="V462">
        <v>600</v>
      </c>
      <c r="W462">
        <v>1300</v>
      </c>
      <c r="X462">
        <v>400</v>
      </c>
      <c r="AA462">
        <v>140</v>
      </c>
      <c r="AC462">
        <v>0.7</v>
      </c>
      <c r="AD462">
        <v>1</v>
      </c>
      <c r="AE462">
        <v>1.6666669999999999E-3</v>
      </c>
      <c r="AF462">
        <v>200</v>
      </c>
      <c r="AG462">
        <v>0</v>
      </c>
      <c r="AH462" t="s">
        <v>1410</v>
      </c>
      <c r="AI462">
        <v>1</v>
      </c>
      <c r="AK462">
        <v>0</v>
      </c>
      <c r="AL462">
        <v>0</v>
      </c>
      <c r="AN462" t="s">
        <v>132</v>
      </c>
      <c r="BH462">
        <v>33</v>
      </c>
      <c r="BT462">
        <v>67</v>
      </c>
      <c r="CE46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62"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46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62" t="s">
        <v>134</v>
      </c>
      <c r="CJ462" t="s">
        <v>135</v>
      </c>
      <c r="CK462">
        <v>300000</v>
      </c>
      <c r="CL462" s="19">
        <f>IF(Table1[[#This Row],[Type]]="Petroleum",1,IF(ISERROR(Table1[[#This Row],[Well Density]]*Table1[[#This Row],[Single Well Discovery Area]]),"",IF(Table1[[#This Row],[Well Density]]*Table1[[#This Row],[Single Well Discovery Area]]&gt;1,1,Table1[[#This Row],[Well Density]]*Table1[[#This Row],[Single Well Discovery Area]])))</f>
        <v>0.3333334</v>
      </c>
      <c r="CM462" t="s">
        <v>135</v>
      </c>
      <c r="CN462" s="19">
        <f>Table1[[#This Row],[Mid]]</f>
        <v>0</v>
      </c>
      <c r="CO462" s="19">
        <f>Table1[[#This Row],[Mid3]]+Table1[[#This Row],[Mid6]]+Table1[[#This Row],[Mid9]]</f>
        <v>0</v>
      </c>
      <c r="CP462" s="19">
        <f>Table1[[#This Row],[Mid12]]+Table1[[#This Row],[Mid15]]+Table1[[#This Row],[Mid18]]+Table1[[#This Row],[Mid21]]+Table1[[#This Row],[Mid24]]</f>
        <v>33</v>
      </c>
      <c r="CQ462" s="19">
        <f>Table1[[#This Row],[Mid27]]+Table1[[#This Row],[Mid30]]+Table1[[#This Row],[Mid33]]+Table1[[#This Row],[Mid36]]+Table1[[#This Row],[Mid39]]</f>
        <v>67</v>
      </c>
      <c r="CR462" t="s">
        <v>415</v>
      </c>
      <c r="CS462" s="19" t="str">
        <f>IF(AND(Table1[[#This Row],[Low41]]=0, Table1[[#This Row],[High43]]=0),"N","Y")</f>
        <v>N</v>
      </c>
    </row>
    <row r="463" spans="1:97" ht="19.5" customHeight="1" x14ac:dyDescent="0.25">
      <c r="A463">
        <v>10461</v>
      </c>
      <c r="B463" t="s">
        <v>1399</v>
      </c>
      <c r="C463" t="s">
        <v>1535</v>
      </c>
      <c r="D463">
        <v>59.914444439999997</v>
      </c>
      <c r="E463">
        <v>10.759166670000001</v>
      </c>
      <c r="F463" t="s">
        <v>1553</v>
      </c>
      <c r="G463" t="s">
        <v>1513</v>
      </c>
      <c r="I463" t="s">
        <v>1485</v>
      </c>
      <c r="J463" t="s">
        <v>202</v>
      </c>
      <c r="K463" t="s">
        <v>203</v>
      </c>
      <c r="L463" t="s">
        <v>121</v>
      </c>
      <c r="N463" s="6" t="s">
        <v>1403</v>
      </c>
      <c r="P463" t="s">
        <v>170</v>
      </c>
      <c r="Q463" t="s">
        <v>1404</v>
      </c>
      <c r="R463" t="s">
        <v>1554</v>
      </c>
      <c r="S463">
        <v>2014</v>
      </c>
      <c r="T463" t="s">
        <v>207</v>
      </c>
      <c r="U463" t="s">
        <v>173</v>
      </c>
      <c r="V463"/>
      <c r="AF463">
        <v>200</v>
      </c>
      <c r="AG463">
        <v>0</v>
      </c>
      <c r="AK463">
        <v>0</v>
      </c>
      <c r="AL463">
        <v>0</v>
      </c>
      <c r="AN463" t="s">
        <v>132</v>
      </c>
      <c r="BH463">
        <v>900</v>
      </c>
      <c r="CE46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63" s="19">
        <f>SUM(Table1[[#This Row],[Mid39]],Table1[[#This Row],[Mid36]],Table1[[#This Row],[Mid33]],Table1[[#This Row],[Mid30]],Table1[[#This Row],[Mid27]],Table1[[#This Row],[Mid24]],Table1[[#This Row],[Mid21]],Table1[[#This Row],[Mid18]],Table1[[#This Row],[Mid15]],Table1[[#This Row],[Mid12]],Table1[[#This Row],[Mid9]],Table1[[#This Row],[Mid6]],Table1[[#This Row],[Mid3]],Table1[[#This Row],[Mid]])</f>
        <v>900</v>
      </c>
      <c r="CG46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63" t="s">
        <v>135</v>
      </c>
      <c r="CI463" t="s">
        <v>134</v>
      </c>
      <c r="CJ463" t="s">
        <v>158</v>
      </c>
      <c r="CK463">
        <v>900000</v>
      </c>
      <c r="CL463" s="19">
        <f>IF(Table1[[#This Row],[Type]]="Petroleum",1,IF(ISERROR(Table1[[#This Row],[Well Density]]*Table1[[#This Row],[Single Well Discovery Area]]),"",IF(Table1[[#This Row],[Well Density]]*Table1[[#This Row],[Single Well Discovery Area]]&gt;1,1,Table1[[#This Row],[Well Density]]*Table1[[#This Row],[Single Well Discovery Area]])))</f>
        <v>1</v>
      </c>
      <c r="CM463" t="s">
        <v>158</v>
      </c>
      <c r="CN463" s="19">
        <f>Table1[[#This Row],[Mid]]</f>
        <v>0</v>
      </c>
      <c r="CO463" s="19">
        <f>Table1[[#This Row],[Mid3]]+Table1[[#This Row],[Mid6]]+Table1[[#This Row],[Mid9]]</f>
        <v>0</v>
      </c>
      <c r="CP463" s="19">
        <f>Table1[[#This Row],[Mid12]]+Table1[[#This Row],[Mid15]]+Table1[[#This Row],[Mid18]]+Table1[[#This Row],[Mid21]]+Table1[[#This Row],[Mid24]]</f>
        <v>900</v>
      </c>
      <c r="CQ463" s="19">
        <f>Table1[[#This Row],[Mid27]]+Table1[[#This Row],[Mid30]]+Table1[[#This Row],[Mid33]]+Table1[[#This Row],[Mid36]]+Table1[[#This Row],[Mid39]]</f>
        <v>0</v>
      </c>
      <c r="CR463" t="s">
        <v>415</v>
      </c>
      <c r="CS463" s="19" t="str">
        <f>IF(AND(Table1[[#This Row],[Low41]]=0, Table1[[#This Row],[High43]]=0),"N","Y")</f>
        <v>N</v>
      </c>
    </row>
    <row r="464" spans="1:97" ht="19.5" customHeight="1" x14ac:dyDescent="0.25">
      <c r="A464">
        <v>10462</v>
      </c>
      <c r="B464" t="s">
        <v>1399</v>
      </c>
      <c r="C464" t="s">
        <v>1535</v>
      </c>
      <c r="D464">
        <v>59.914444439999997</v>
      </c>
      <c r="E464">
        <v>10.761944440000001</v>
      </c>
      <c r="F464" t="s">
        <v>1555</v>
      </c>
      <c r="G464" t="s">
        <v>1513</v>
      </c>
      <c r="I464" t="s">
        <v>201</v>
      </c>
      <c r="J464" t="s">
        <v>202</v>
      </c>
      <c r="K464" t="s">
        <v>203</v>
      </c>
      <c r="L464" t="s">
        <v>121</v>
      </c>
      <c r="N464" s="6" t="s">
        <v>1403</v>
      </c>
      <c r="P464" t="s">
        <v>170</v>
      </c>
      <c r="Q464" t="s">
        <v>1404</v>
      </c>
      <c r="R464" t="s">
        <v>1554</v>
      </c>
      <c r="S464">
        <v>2014</v>
      </c>
      <c r="T464" t="s">
        <v>207</v>
      </c>
      <c r="U464" t="s">
        <v>173</v>
      </c>
      <c r="V464"/>
      <c r="AF464">
        <v>200</v>
      </c>
      <c r="AG464">
        <v>0</v>
      </c>
      <c r="AK464">
        <v>0</v>
      </c>
      <c r="AL464">
        <v>0</v>
      </c>
      <c r="AN464" t="s">
        <v>132</v>
      </c>
      <c r="BH464">
        <v>200</v>
      </c>
      <c r="CE46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64" s="19">
        <f>SUM(Table1[[#This Row],[Mid39]],Table1[[#This Row],[Mid36]],Table1[[#This Row],[Mid33]],Table1[[#This Row],[Mid30]],Table1[[#This Row],[Mid27]],Table1[[#This Row],[Mid24]],Table1[[#This Row],[Mid21]],Table1[[#This Row],[Mid18]],Table1[[#This Row],[Mid15]],Table1[[#This Row],[Mid12]],Table1[[#This Row],[Mid9]],Table1[[#This Row],[Mid6]],Table1[[#This Row],[Mid3]],Table1[[#This Row],[Mid]])</f>
        <v>200</v>
      </c>
      <c r="CG46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64" t="s">
        <v>135</v>
      </c>
      <c r="CI464" t="s">
        <v>134</v>
      </c>
      <c r="CJ464" t="s">
        <v>158</v>
      </c>
      <c r="CK464">
        <v>14000</v>
      </c>
      <c r="CL464" s="19">
        <f>IF(Table1[[#This Row],[Type]]="Petroleum",1,IF(ISERROR(Table1[[#This Row],[Well Density]]*Table1[[#This Row],[Single Well Discovery Area]]),"",IF(Table1[[#This Row],[Well Density]]*Table1[[#This Row],[Single Well Discovery Area]]&gt;1,1,Table1[[#This Row],[Well Density]]*Table1[[#This Row],[Single Well Discovery Area]])))</f>
        <v>1</v>
      </c>
      <c r="CM464" t="s">
        <v>135</v>
      </c>
      <c r="CN464" s="19">
        <f>Table1[[#This Row],[Mid]]</f>
        <v>0</v>
      </c>
      <c r="CO464" s="19">
        <f>Table1[[#This Row],[Mid3]]+Table1[[#This Row],[Mid6]]+Table1[[#This Row],[Mid9]]</f>
        <v>0</v>
      </c>
      <c r="CP464" s="19">
        <f>Table1[[#This Row],[Mid12]]+Table1[[#This Row],[Mid15]]+Table1[[#This Row],[Mid18]]+Table1[[#This Row],[Mid21]]+Table1[[#This Row],[Mid24]]</f>
        <v>200</v>
      </c>
      <c r="CQ464" s="19">
        <f>Table1[[#This Row],[Mid27]]+Table1[[#This Row],[Mid30]]+Table1[[#This Row],[Mid33]]+Table1[[#This Row],[Mid36]]+Table1[[#This Row],[Mid39]]</f>
        <v>0</v>
      </c>
      <c r="CR464" t="s">
        <v>415</v>
      </c>
      <c r="CS464" s="19" t="str">
        <f>IF(AND(Table1[[#This Row],[Low41]]=0, Table1[[#This Row],[High43]]=0),"N","Y")</f>
        <v>N</v>
      </c>
    </row>
    <row r="465" spans="1:97" ht="19.5" customHeight="1" x14ac:dyDescent="0.25">
      <c r="A465">
        <v>10463</v>
      </c>
      <c r="B465" t="s">
        <v>1556</v>
      </c>
      <c r="C465" t="s">
        <v>430</v>
      </c>
      <c r="D465">
        <v>33.729444440000002</v>
      </c>
      <c r="E465">
        <v>73.326388890000004</v>
      </c>
      <c r="F465" t="s">
        <v>1557</v>
      </c>
      <c r="G465" t="s">
        <v>1017</v>
      </c>
      <c r="I465" t="s">
        <v>433</v>
      </c>
      <c r="J465" t="s">
        <v>202</v>
      </c>
      <c r="K465" t="s">
        <v>203</v>
      </c>
      <c r="L465" t="s">
        <v>121</v>
      </c>
      <c r="N465" s="6" t="s">
        <v>434</v>
      </c>
      <c r="O465" t="s">
        <v>435</v>
      </c>
      <c r="P465" t="s">
        <v>436</v>
      </c>
      <c r="Q465" t="s">
        <v>437</v>
      </c>
      <c r="R465" t="s">
        <v>438</v>
      </c>
      <c r="S465">
        <v>2008</v>
      </c>
      <c r="T465" t="s">
        <v>207</v>
      </c>
      <c r="U465" t="s">
        <v>173</v>
      </c>
      <c r="V465"/>
      <c r="AF465">
        <v>200</v>
      </c>
      <c r="AG465">
        <v>0</v>
      </c>
      <c r="AK465">
        <v>0</v>
      </c>
      <c r="AL465">
        <v>0</v>
      </c>
      <c r="AN465" t="s">
        <v>132</v>
      </c>
      <c r="BN465">
        <v>63.3</v>
      </c>
      <c r="CE46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65" s="19">
        <f>SUM(Table1[[#This Row],[Mid39]],Table1[[#This Row],[Mid36]],Table1[[#This Row],[Mid33]],Table1[[#This Row],[Mid30]],Table1[[#This Row],[Mid27]],Table1[[#This Row],[Mid24]],Table1[[#This Row],[Mid21]],Table1[[#This Row],[Mid18]],Table1[[#This Row],[Mid15]],Table1[[#This Row],[Mid12]],Table1[[#This Row],[Mid9]],Table1[[#This Row],[Mid6]],Table1[[#This Row],[Mid3]],Table1[[#This Row],[Mid]])</f>
        <v>63.3</v>
      </c>
      <c r="CG46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65" t="s">
        <v>135</v>
      </c>
      <c r="CI465" t="s">
        <v>189</v>
      </c>
      <c r="CJ465" t="s">
        <v>158</v>
      </c>
      <c r="CL465" s="19">
        <f>IF(Table1[[#This Row],[Type]]="Petroleum",1,IF(ISERROR(Table1[[#This Row],[Well Density]]*Table1[[#This Row],[Single Well Discovery Area]]),"",IF(Table1[[#This Row],[Well Density]]*Table1[[#This Row],[Single Well Discovery Area]]&gt;1,1,Table1[[#This Row],[Well Density]]*Table1[[#This Row],[Single Well Discovery Area]])))</f>
        <v>1</v>
      </c>
      <c r="CM465" t="s">
        <v>158</v>
      </c>
      <c r="CN465" s="19">
        <f>Table1[[#This Row],[Mid]]</f>
        <v>0</v>
      </c>
      <c r="CO465" s="19">
        <f>Table1[[#This Row],[Mid3]]+Table1[[#This Row],[Mid6]]+Table1[[#This Row],[Mid9]]</f>
        <v>0</v>
      </c>
      <c r="CP465" s="19">
        <f>Table1[[#This Row],[Mid12]]+Table1[[#This Row],[Mid15]]+Table1[[#This Row],[Mid18]]+Table1[[#This Row],[Mid21]]+Table1[[#This Row],[Mid24]]</f>
        <v>63.3</v>
      </c>
      <c r="CQ465" s="19">
        <f>Table1[[#This Row],[Mid27]]+Table1[[#This Row],[Mid30]]+Table1[[#This Row],[Mid33]]+Table1[[#This Row],[Mid36]]+Table1[[#This Row],[Mid39]]</f>
        <v>0</v>
      </c>
      <c r="CR465" t="s">
        <v>439</v>
      </c>
      <c r="CS465" s="19" t="str">
        <f>IF(AND(Table1[[#This Row],[Low41]]=0, Table1[[#This Row],[High43]]=0),"N","Y")</f>
        <v>N</v>
      </c>
    </row>
    <row r="466" spans="1:97" ht="19.5" customHeight="1" x14ac:dyDescent="0.25">
      <c r="A466">
        <v>10464</v>
      </c>
      <c r="B466" t="s">
        <v>1556</v>
      </c>
      <c r="C466" t="s">
        <v>430</v>
      </c>
      <c r="D466">
        <v>33.729444440000002</v>
      </c>
      <c r="E466">
        <v>73.093055559999996</v>
      </c>
      <c r="F466" t="s">
        <v>1558</v>
      </c>
      <c r="G466" t="s">
        <v>1017</v>
      </c>
      <c r="I466" t="s">
        <v>582</v>
      </c>
      <c r="J466" t="s">
        <v>202</v>
      </c>
      <c r="K466" t="s">
        <v>203</v>
      </c>
      <c r="L466" t="s">
        <v>121</v>
      </c>
      <c r="N466" s="6" t="s">
        <v>434</v>
      </c>
      <c r="O466" t="s">
        <v>435</v>
      </c>
      <c r="P466" t="s">
        <v>436</v>
      </c>
      <c r="Q466" t="s">
        <v>437</v>
      </c>
      <c r="R466" t="s">
        <v>438</v>
      </c>
      <c r="S466">
        <v>2008</v>
      </c>
      <c r="T466" t="s">
        <v>207</v>
      </c>
      <c r="U466" t="s">
        <v>173</v>
      </c>
      <c r="V466"/>
      <c r="AF466">
        <v>200</v>
      </c>
      <c r="AG466">
        <v>0</v>
      </c>
      <c r="AK466">
        <v>0</v>
      </c>
      <c r="AL466">
        <v>0</v>
      </c>
      <c r="AN466" t="s">
        <v>132</v>
      </c>
      <c r="BN466">
        <v>35.729999999999997</v>
      </c>
      <c r="CE46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66" s="19">
        <f>SUM(Table1[[#This Row],[Mid39]],Table1[[#This Row],[Mid36]],Table1[[#This Row],[Mid33]],Table1[[#This Row],[Mid30]],Table1[[#This Row],[Mid27]],Table1[[#This Row],[Mid24]],Table1[[#This Row],[Mid21]],Table1[[#This Row],[Mid18]],Table1[[#This Row],[Mid15]],Table1[[#This Row],[Mid12]],Table1[[#This Row],[Mid9]],Table1[[#This Row],[Mid6]],Table1[[#This Row],[Mid3]],Table1[[#This Row],[Mid]])</f>
        <v>35.729999999999997</v>
      </c>
      <c r="CG46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66" t="s">
        <v>135</v>
      </c>
      <c r="CI466" t="s">
        <v>189</v>
      </c>
      <c r="CJ466" t="s">
        <v>158</v>
      </c>
      <c r="CL466" s="19">
        <f>IF(Table1[[#This Row],[Type]]="Petroleum",1,IF(ISERROR(Table1[[#This Row],[Well Density]]*Table1[[#This Row],[Single Well Discovery Area]]),"",IF(Table1[[#This Row],[Well Density]]*Table1[[#This Row],[Single Well Discovery Area]]&gt;1,1,Table1[[#This Row],[Well Density]]*Table1[[#This Row],[Single Well Discovery Area]])))</f>
        <v>1</v>
      </c>
      <c r="CM466" t="s">
        <v>158</v>
      </c>
      <c r="CN466" s="19">
        <f>Table1[[#This Row],[Mid]]</f>
        <v>0</v>
      </c>
      <c r="CO466" s="19">
        <f>Table1[[#This Row],[Mid3]]+Table1[[#This Row],[Mid6]]+Table1[[#This Row],[Mid9]]</f>
        <v>0</v>
      </c>
      <c r="CP466" s="19">
        <f>Table1[[#This Row],[Mid12]]+Table1[[#This Row],[Mid15]]+Table1[[#This Row],[Mid18]]+Table1[[#This Row],[Mid21]]+Table1[[#This Row],[Mid24]]</f>
        <v>35.729999999999997</v>
      </c>
      <c r="CQ466" s="19">
        <f>Table1[[#This Row],[Mid27]]+Table1[[#This Row],[Mid30]]+Table1[[#This Row],[Mid33]]+Table1[[#This Row],[Mid36]]+Table1[[#This Row],[Mid39]]</f>
        <v>0</v>
      </c>
      <c r="CR466" t="s">
        <v>439</v>
      </c>
      <c r="CS466" s="19" t="str">
        <f>IF(AND(Table1[[#This Row],[Low41]]=0, Table1[[#This Row],[High43]]=0),"N","Y")</f>
        <v>N</v>
      </c>
    </row>
    <row r="467" spans="1:97" ht="19.5" customHeight="1" x14ac:dyDescent="0.25">
      <c r="A467">
        <v>10465</v>
      </c>
      <c r="B467" t="s">
        <v>1556</v>
      </c>
      <c r="C467" t="s">
        <v>430</v>
      </c>
      <c r="D467">
        <v>27.67777778</v>
      </c>
      <c r="E467">
        <v>64.799444440000002</v>
      </c>
      <c r="F467" t="s">
        <v>1559</v>
      </c>
      <c r="G467" t="s">
        <v>1560</v>
      </c>
      <c r="I467" t="s">
        <v>118</v>
      </c>
      <c r="J467" t="s">
        <v>119</v>
      </c>
      <c r="K467" t="s">
        <v>167</v>
      </c>
      <c r="L467" t="s">
        <v>18</v>
      </c>
      <c r="N467" s="6" t="s">
        <v>434</v>
      </c>
      <c r="O467" t="s">
        <v>435</v>
      </c>
      <c r="P467" t="s">
        <v>436</v>
      </c>
      <c r="Q467" t="s">
        <v>443</v>
      </c>
      <c r="R467" t="s">
        <v>444</v>
      </c>
      <c r="S467">
        <v>2008</v>
      </c>
      <c r="T467" t="s">
        <v>207</v>
      </c>
      <c r="U467" t="s">
        <v>173</v>
      </c>
      <c r="V467">
        <v>300000</v>
      </c>
      <c r="AE467">
        <v>0</v>
      </c>
      <c r="AF467">
        <v>200</v>
      </c>
      <c r="AG467">
        <v>0</v>
      </c>
      <c r="AK467">
        <v>0</v>
      </c>
      <c r="AL467">
        <v>0</v>
      </c>
      <c r="AN467" t="s">
        <v>132</v>
      </c>
      <c r="CC467">
        <v>30000</v>
      </c>
      <c r="CE46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67" s="19">
        <f>SUM(Table1[[#This Row],[Mid39]],Table1[[#This Row],[Mid36]],Table1[[#This Row],[Mid33]],Table1[[#This Row],[Mid30]],Table1[[#This Row],[Mid27]],Table1[[#This Row],[Mid24]],Table1[[#This Row],[Mid21]],Table1[[#This Row],[Mid18]],Table1[[#This Row],[Mid15]],Table1[[#This Row],[Mid12]],Table1[[#This Row],[Mid9]],Table1[[#This Row],[Mid6]],Table1[[#This Row],[Mid3]],Table1[[#This Row],[Mid]])</f>
        <v>30000</v>
      </c>
      <c r="CG46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67" t="s">
        <v>189</v>
      </c>
      <c r="CJ467" t="s">
        <v>158</v>
      </c>
      <c r="CL467" s="19">
        <f>IF(Table1[[#This Row],[Type]]="Petroleum",1,IF(ISERROR(Table1[[#This Row],[Well Density]]*Table1[[#This Row],[Single Well Discovery Area]]),"",IF(Table1[[#This Row],[Well Density]]*Table1[[#This Row],[Single Well Discovery Area]]&gt;1,1,Table1[[#This Row],[Well Density]]*Table1[[#This Row],[Single Well Discovery Area]])))</f>
        <v>0</v>
      </c>
      <c r="CM467" t="s">
        <v>158</v>
      </c>
      <c r="CN467" s="19">
        <f>Table1[[#This Row],[Mid]]</f>
        <v>0</v>
      </c>
      <c r="CO467" s="19">
        <f>Table1[[#This Row],[Mid3]]+Table1[[#This Row],[Mid6]]+Table1[[#This Row],[Mid9]]</f>
        <v>0</v>
      </c>
      <c r="CP467" s="19">
        <f>Table1[[#This Row],[Mid12]]+Table1[[#This Row],[Mid15]]+Table1[[#This Row],[Mid18]]+Table1[[#This Row],[Mid21]]+Table1[[#This Row],[Mid24]]</f>
        <v>0</v>
      </c>
      <c r="CQ467" s="19">
        <f>Table1[[#This Row],[Mid27]]+Table1[[#This Row],[Mid30]]+Table1[[#This Row],[Mid33]]+Table1[[#This Row],[Mid36]]+Table1[[#This Row],[Mid39]]</f>
        <v>30000</v>
      </c>
      <c r="CR467" t="s">
        <v>439</v>
      </c>
      <c r="CS467" s="19" t="str">
        <f>IF(AND(Table1[[#This Row],[Low41]]=0, Table1[[#This Row],[High43]]=0),"N","Y")</f>
        <v>N</v>
      </c>
    </row>
    <row r="468" spans="1:97" ht="19.5" customHeight="1" x14ac:dyDescent="0.25">
      <c r="A468">
        <v>10466</v>
      </c>
      <c r="B468" t="s">
        <v>1556</v>
      </c>
      <c r="C468" t="s">
        <v>430</v>
      </c>
      <c r="D468">
        <v>33.729444440000002</v>
      </c>
      <c r="E468">
        <v>73.309722219999998</v>
      </c>
      <c r="F468" t="s">
        <v>1561</v>
      </c>
      <c r="G468" t="s">
        <v>1017</v>
      </c>
      <c r="I468" t="s">
        <v>433</v>
      </c>
      <c r="J468" t="s">
        <v>202</v>
      </c>
      <c r="K468" t="s">
        <v>203</v>
      </c>
      <c r="L468" t="s">
        <v>121</v>
      </c>
      <c r="N468" s="6" t="s">
        <v>434</v>
      </c>
      <c r="O468" t="s">
        <v>435</v>
      </c>
      <c r="P468" t="s">
        <v>436</v>
      </c>
      <c r="Q468" t="s">
        <v>437</v>
      </c>
      <c r="R468" t="s">
        <v>438</v>
      </c>
      <c r="S468">
        <v>2008</v>
      </c>
      <c r="T468" t="s">
        <v>207</v>
      </c>
      <c r="U468" t="s">
        <v>173</v>
      </c>
      <c r="V468"/>
      <c r="AF468">
        <v>200</v>
      </c>
      <c r="AG468">
        <v>0</v>
      </c>
      <c r="AK468">
        <v>0</v>
      </c>
      <c r="AL468">
        <v>0</v>
      </c>
      <c r="AN468" t="s">
        <v>132</v>
      </c>
      <c r="BN468">
        <v>14.1</v>
      </c>
      <c r="CE46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68" s="19">
        <f>SUM(Table1[[#This Row],[Mid39]],Table1[[#This Row],[Mid36]],Table1[[#This Row],[Mid33]],Table1[[#This Row],[Mid30]],Table1[[#This Row],[Mid27]],Table1[[#This Row],[Mid24]],Table1[[#This Row],[Mid21]],Table1[[#This Row],[Mid18]],Table1[[#This Row],[Mid15]],Table1[[#This Row],[Mid12]],Table1[[#This Row],[Mid9]],Table1[[#This Row],[Mid6]],Table1[[#This Row],[Mid3]],Table1[[#This Row],[Mid]])</f>
        <v>14.1</v>
      </c>
      <c r="CG46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68" t="s">
        <v>135</v>
      </c>
      <c r="CI468" t="s">
        <v>189</v>
      </c>
      <c r="CJ468" t="s">
        <v>158</v>
      </c>
      <c r="CL468" s="19">
        <f>IF(Table1[[#This Row],[Type]]="Petroleum",1,IF(ISERROR(Table1[[#This Row],[Well Density]]*Table1[[#This Row],[Single Well Discovery Area]]),"",IF(Table1[[#This Row],[Well Density]]*Table1[[#This Row],[Single Well Discovery Area]]&gt;1,1,Table1[[#This Row],[Well Density]]*Table1[[#This Row],[Single Well Discovery Area]])))</f>
        <v>1</v>
      </c>
      <c r="CM468" t="s">
        <v>158</v>
      </c>
      <c r="CN468" s="19">
        <f>Table1[[#This Row],[Mid]]</f>
        <v>0</v>
      </c>
      <c r="CO468" s="19">
        <f>Table1[[#This Row],[Mid3]]+Table1[[#This Row],[Mid6]]+Table1[[#This Row],[Mid9]]</f>
        <v>0</v>
      </c>
      <c r="CP468" s="19">
        <f>Table1[[#This Row],[Mid12]]+Table1[[#This Row],[Mid15]]+Table1[[#This Row],[Mid18]]+Table1[[#This Row],[Mid21]]+Table1[[#This Row],[Mid24]]</f>
        <v>14.1</v>
      </c>
      <c r="CQ468" s="19">
        <f>Table1[[#This Row],[Mid27]]+Table1[[#This Row],[Mid30]]+Table1[[#This Row],[Mid33]]+Table1[[#This Row],[Mid36]]+Table1[[#This Row],[Mid39]]</f>
        <v>0</v>
      </c>
      <c r="CR468" t="s">
        <v>439</v>
      </c>
      <c r="CS468" s="19" t="str">
        <f>IF(AND(Table1[[#This Row],[Low41]]=0, Table1[[#This Row],[High43]]=0),"N","Y")</f>
        <v>N</v>
      </c>
    </row>
    <row r="469" spans="1:97" ht="19.5" customHeight="1" x14ac:dyDescent="0.25">
      <c r="A469">
        <v>10467</v>
      </c>
      <c r="B469" t="s">
        <v>1556</v>
      </c>
      <c r="C469" t="s">
        <v>430</v>
      </c>
      <c r="D469">
        <v>33.729444440000002</v>
      </c>
      <c r="E469">
        <v>73.243055560000002</v>
      </c>
      <c r="F469" t="s">
        <v>1562</v>
      </c>
      <c r="G469" t="s">
        <v>1017</v>
      </c>
      <c r="I469" t="s">
        <v>433</v>
      </c>
      <c r="J469" t="s">
        <v>202</v>
      </c>
      <c r="K469" t="s">
        <v>203</v>
      </c>
      <c r="L469" t="s">
        <v>121</v>
      </c>
      <c r="N469" s="6" t="s">
        <v>434</v>
      </c>
      <c r="O469" t="s">
        <v>435</v>
      </c>
      <c r="P469" t="s">
        <v>436</v>
      </c>
      <c r="Q469" t="s">
        <v>437</v>
      </c>
      <c r="R469" t="s">
        <v>438</v>
      </c>
      <c r="S469">
        <v>2008</v>
      </c>
      <c r="T469" t="s">
        <v>207</v>
      </c>
      <c r="U469" t="s">
        <v>173</v>
      </c>
      <c r="V469"/>
      <c r="AF469">
        <v>200</v>
      </c>
      <c r="AG469">
        <v>0</v>
      </c>
      <c r="AK469">
        <v>0</v>
      </c>
      <c r="AL469">
        <v>0</v>
      </c>
      <c r="AN469" t="s">
        <v>132</v>
      </c>
      <c r="BN469">
        <v>32.1</v>
      </c>
      <c r="CE46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69" s="19">
        <f>SUM(Table1[[#This Row],[Mid39]],Table1[[#This Row],[Mid36]],Table1[[#This Row],[Mid33]],Table1[[#This Row],[Mid30]],Table1[[#This Row],[Mid27]],Table1[[#This Row],[Mid24]],Table1[[#This Row],[Mid21]],Table1[[#This Row],[Mid18]],Table1[[#This Row],[Mid15]],Table1[[#This Row],[Mid12]],Table1[[#This Row],[Mid9]],Table1[[#This Row],[Mid6]],Table1[[#This Row],[Mid3]],Table1[[#This Row],[Mid]])</f>
        <v>32.1</v>
      </c>
      <c r="CG46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69" t="s">
        <v>135</v>
      </c>
      <c r="CI469" t="s">
        <v>189</v>
      </c>
      <c r="CJ469" t="s">
        <v>158</v>
      </c>
      <c r="CL469" s="19">
        <f>IF(Table1[[#This Row],[Type]]="Petroleum",1,IF(ISERROR(Table1[[#This Row],[Well Density]]*Table1[[#This Row],[Single Well Discovery Area]]),"",IF(Table1[[#This Row],[Well Density]]*Table1[[#This Row],[Single Well Discovery Area]]&gt;1,1,Table1[[#This Row],[Well Density]]*Table1[[#This Row],[Single Well Discovery Area]])))</f>
        <v>1</v>
      </c>
      <c r="CM469" t="s">
        <v>158</v>
      </c>
      <c r="CN469" s="19">
        <f>Table1[[#This Row],[Mid]]</f>
        <v>0</v>
      </c>
      <c r="CO469" s="19">
        <f>Table1[[#This Row],[Mid3]]+Table1[[#This Row],[Mid6]]+Table1[[#This Row],[Mid9]]</f>
        <v>0</v>
      </c>
      <c r="CP469" s="19">
        <f>Table1[[#This Row],[Mid12]]+Table1[[#This Row],[Mid15]]+Table1[[#This Row],[Mid18]]+Table1[[#This Row],[Mid21]]+Table1[[#This Row],[Mid24]]</f>
        <v>32.1</v>
      </c>
      <c r="CQ469" s="19">
        <f>Table1[[#This Row],[Mid27]]+Table1[[#This Row],[Mid30]]+Table1[[#This Row],[Mid33]]+Table1[[#This Row],[Mid36]]+Table1[[#This Row],[Mid39]]</f>
        <v>0</v>
      </c>
      <c r="CR469" t="s">
        <v>439</v>
      </c>
      <c r="CS469" s="19" t="str">
        <f>IF(AND(Table1[[#This Row],[Low41]]=0, Table1[[#This Row],[High43]]=0),"N","Y")</f>
        <v>N</v>
      </c>
    </row>
    <row r="470" spans="1:97" ht="19.5" customHeight="1" x14ac:dyDescent="0.25">
      <c r="A470">
        <v>10468</v>
      </c>
      <c r="B470" t="s">
        <v>1556</v>
      </c>
      <c r="C470" t="s">
        <v>430</v>
      </c>
      <c r="D470">
        <v>28.588333330000001</v>
      </c>
      <c r="E470">
        <v>69.074722219999998</v>
      </c>
      <c r="F470" t="s">
        <v>1563</v>
      </c>
      <c r="G470" t="s">
        <v>1017</v>
      </c>
      <c r="I470" t="s">
        <v>118</v>
      </c>
      <c r="J470" t="s">
        <v>119</v>
      </c>
      <c r="K470" t="s">
        <v>167</v>
      </c>
      <c r="L470" t="s">
        <v>18</v>
      </c>
      <c r="N470" s="6" t="s">
        <v>434</v>
      </c>
      <c r="O470" t="s">
        <v>435</v>
      </c>
      <c r="P470" t="s">
        <v>436</v>
      </c>
      <c r="Q470" t="s">
        <v>443</v>
      </c>
      <c r="R470" t="s">
        <v>1564</v>
      </c>
      <c r="S470">
        <v>2008</v>
      </c>
      <c r="T470" t="s">
        <v>207</v>
      </c>
      <c r="U470" t="s">
        <v>173</v>
      </c>
      <c r="V470">
        <v>400000</v>
      </c>
      <c r="AE470">
        <v>0</v>
      </c>
      <c r="AF470">
        <v>200</v>
      </c>
      <c r="AG470">
        <v>0</v>
      </c>
      <c r="AK470">
        <v>0</v>
      </c>
      <c r="AL470">
        <v>0</v>
      </c>
      <c r="AN470" t="s">
        <v>132</v>
      </c>
      <c r="CE47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7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47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470" t="s">
        <v>189</v>
      </c>
      <c r="CJ470" t="s">
        <v>158</v>
      </c>
      <c r="CL470" s="19">
        <f>IF(Table1[[#This Row],[Type]]="Petroleum",1,IF(ISERROR(Table1[[#This Row],[Well Density]]*Table1[[#This Row],[Single Well Discovery Area]]),"",IF(Table1[[#This Row],[Well Density]]*Table1[[#This Row],[Single Well Discovery Area]]&gt;1,1,Table1[[#This Row],[Well Density]]*Table1[[#This Row],[Single Well Discovery Area]])))</f>
        <v>0</v>
      </c>
      <c r="CM470" t="s">
        <v>158</v>
      </c>
      <c r="CN470" s="19">
        <f>Table1[[#This Row],[Mid]]</f>
        <v>0</v>
      </c>
      <c r="CO470" s="19">
        <f>Table1[[#This Row],[Mid3]]+Table1[[#This Row],[Mid6]]+Table1[[#This Row],[Mid9]]</f>
        <v>0</v>
      </c>
      <c r="CP470" s="19">
        <f>Table1[[#This Row],[Mid12]]+Table1[[#This Row],[Mid15]]+Table1[[#This Row],[Mid18]]+Table1[[#This Row],[Mid21]]+Table1[[#This Row],[Mid24]]</f>
        <v>0</v>
      </c>
      <c r="CQ470" s="19">
        <f>Table1[[#This Row],[Mid27]]+Table1[[#This Row],[Mid30]]+Table1[[#This Row],[Mid33]]+Table1[[#This Row],[Mid36]]+Table1[[#This Row],[Mid39]]</f>
        <v>0</v>
      </c>
      <c r="CR470" t="s">
        <v>439</v>
      </c>
      <c r="CS470" s="19" t="str">
        <f>IF(AND(Table1[[#This Row],[Low41]]=0, Table1[[#This Row],[High43]]=0),"N","Y")</f>
        <v>N</v>
      </c>
    </row>
    <row r="471" spans="1:97" ht="19.5" customHeight="1" x14ac:dyDescent="0.25">
      <c r="A471">
        <v>10469</v>
      </c>
      <c r="B471" t="s">
        <v>1556</v>
      </c>
      <c r="C471" t="s">
        <v>430</v>
      </c>
      <c r="D471">
        <v>33.729444440000002</v>
      </c>
      <c r="E471">
        <v>73.226388889999996</v>
      </c>
      <c r="F471" t="s">
        <v>1565</v>
      </c>
      <c r="G471" t="s">
        <v>1017</v>
      </c>
      <c r="I471" t="s">
        <v>433</v>
      </c>
      <c r="J471" t="s">
        <v>202</v>
      </c>
      <c r="K471" t="s">
        <v>203</v>
      </c>
      <c r="L471" t="s">
        <v>121</v>
      </c>
      <c r="N471" s="6" t="s">
        <v>434</v>
      </c>
      <c r="O471" t="s">
        <v>435</v>
      </c>
      <c r="P471" t="s">
        <v>436</v>
      </c>
      <c r="Q471" t="s">
        <v>437</v>
      </c>
      <c r="R471" t="s">
        <v>438</v>
      </c>
      <c r="S471">
        <v>2008</v>
      </c>
      <c r="T471" t="s">
        <v>207</v>
      </c>
      <c r="U471" t="s">
        <v>173</v>
      </c>
      <c r="V471"/>
      <c r="AF471">
        <v>200</v>
      </c>
      <c r="AG471">
        <v>0</v>
      </c>
      <c r="AK471">
        <v>0</v>
      </c>
      <c r="AL471">
        <v>0</v>
      </c>
      <c r="AN471" t="s">
        <v>132</v>
      </c>
      <c r="BN471">
        <v>40.200000000000003</v>
      </c>
      <c r="CE47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71" s="19">
        <f>SUM(Table1[[#This Row],[Mid39]],Table1[[#This Row],[Mid36]],Table1[[#This Row],[Mid33]],Table1[[#This Row],[Mid30]],Table1[[#This Row],[Mid27]],Table1[[#This Row],[Mid24]],Table1[[#This Row],[Mid21]],Table1[[#This Row],[Mid18]],Table1[[#This Row],[Mid15]],Table1[[#This Row],[Mid12]],Table1[[#This Row],[Mid9]],Table1[[#This Row],[Mid6]],Table1[[#This Row],[Mid3]],Table1[[#This Row],[Mid]])</f>
        <v>40.200000000000003</v>
      </c>
      <c r="CG47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71" t="s">
        <v>135</v>
      </c>
      <c r="CI471" t="s">
        <v>189</v>
      </c>
      <c r="CJ471" t="s">
        <v>158</v>
      </c>
      <c r="CL471" s="19">
        <f>IF(Table1[[#This Row],[Type]]="Petroleum",1,IF(ISERROR(Table1[[#This Row],[Well Density]]*Table1[[#This Row],[Single Well Discovery Area]]),"",IF(Table1[[#This Row],[Well Density]]*Table1[[#This Row],[Single Well Discovery Area]]&gt;1,1,Table1[[#This Row],[Well Density]]*Table1[[#This Row],[Single Well Discovery Area]])))</f>
        <v>1</v>
      </c>
      <c r="CM471" t="s">
        <v>158</v>
      </c>
      <c r="CN471" s="19">
        <f>Table1[[#This Row],[Mid]]</f>
        <v>0</v>
      </c>
      <c r="CO471" s="19">
        <f>Table1[[#This Row],[Mid3]]+Table1[[#This Row],[Mid6]]+Table1[[#This Row],[Mid9]]</f>
        <v>0</v>
      </c>
      <c r="CP471" s="19">
        <f>Table1[[#This Row],[Mid12]]+Table1[[#This Row],[Mid15]]+Table1[[#This Row],[Mid18]]+Table1[[#This Row],[Mid21]]+Table1[[#This Row],[Mid24]]</f>
        <v>40.200000000000003</v>
      </c>
      <c r="CQ471" s="19">
        <f>Table1[[#This Row],[Mid27]]+Table1[[#This Row],[Mid30]]+Table1[[#This Row],[Mid33]]+Table1[[#This Row],[Mid36]]+Table1[[#This Row],[Mid39]]</f>
        <v>0</v>
      </c>
      <c r="CR471" t="s">
        <v>439</v>
      </c>
      <c r="CS471" s="19" t="str">
        <f>IF(AND(Table1[[#This Row],[Low41]]=0, Table1[[#This Row],[High43]]=0),"N","Y")</f>
        <v>N</v>
      </c>
    </row>
    <row r="472" spans="1:97" ht="19.5" customHeight="1" x14ac:dyDescent="0.25">
      <c r="A472">
        <v>10470</v>
      </c>
      <c r="B472" t="s">
        <v>1556</v>
      </c>
      <c r="C472" t="s">
        <v>430</v>
      </c>
      <c r="D472">
        <v>33.729444440000002</v>
      </c>
      <c r="E472">
        <v>73.209722220000003</v>
      </c>
      <c r="F472" t="s">
        <v>1566</v>
      </c>
      <c r="G472" t="s">
        <v>1017</v>
      </c>
      <c r="I472" t="s">
        <v>433</v>
      </c>
      <c r="J472" t="s">
        <v>202</v>
      </c>
      <c r="K472" t="s">
        <v>203</v>
      </c>
      <c r="L472" t="s">
        <v>121</v>
      </c>
      <c r="N472" s="6" t="s">
        <v>434</v>
      </c>
      <c r="O472" t="s">
        <v>435</v>
      </c>
      <c r="P472" t="s">
        <v>436</v>
      </c>
      <c r="Q472" t="s">
        <v>437</v>
      </c>
      <c r="R472" t="s">
        <v>438</v>
      </c>
      <c r="S472">
        <v>2008</v>
      </c>
      <c r="T472" t="s">
        <v>207</v>
      </c>
      <c r="U472" t="s">
        <v>173</v>
      </c>
      <c r="V472"/>
      <c r="AF472">
        <v>200</v>
      </c>
      <c r="AG472">
        <v>0</v>
      </c>
      <c r="AK472">
        <v>0</v>
      </c>
      <c r="AL472">
        <v>0</v>
      </c>
      <c r="AN472" t="s">
        <v>132</v>
      </c>
      <c r="BN472">
        <v>43.2</v>
      </c>
      <c r="CE47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72" s="19">
        <f>SUM(Table1[[#This Row],[Mid39]],Table1[[#This Row],[Mid36]],Table1[[#This Row],[Mid33]],Table1[[#This Row],[Mid30]],Table1[[#This Row],[Mid27]],Table1[[#This Row],[Mid24]],Table1[[#This Row],[Mid21]],Table1[[#This Row],[Mid18]],Table1[[#This Row],[Mid15]],Table1[[#This Row],[Mid12]],Table1[[#This Row],[Mid9]],Table1[[#This Row],[Mid6]],Table1[[#This Row],[Mid3]],Table1[[#This Row],[Mid]])</f>
        <v>43.2</v>
      </c>
      <c r="CG47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72" t="s">
        <v>135</v>
      </c>
      <c r="CI472" t="s">
        <v>189</v>
      </c>
      <c r="CJ472" t="s">
        <v>158</v>
      </c>
      <c r="CL472" s="19">
        <f>IF(Table1[[#This Row],[Type]]="Petroleum",1,IF(ISERROR(Table1[[#This Row],[Well Density]]*Table1[[#This Row],[Single Well Discovery Area]]),"",IF(Table1[[#This Row],[Well Density]]*Table1[[#This Row],[Single Well Discovery Area]]&gt;1,1,Table1[[#This Row],[Well Density]]*Table1[[#This Row],[Single Well Discovery Area]])))</f>
        <v>1</v>
      </c>
      <c r="CM472" t="s">
        <v>158</v>
      </c>
      <c r="CN472" s="19">
        <f>Table1[[#This Row],[Mid]]</f>
        <v>0</v>
      </c>
      <c r="CO472" s="19">
        <f>Table1[[#This Row],[Mid3]]+Table1[[#This Row],[Mid6]]+Table1[[#This Row],[Mid9]]</f>
        <v>0</v>
      </c>
      <c r="CP472" s="19">
        <f>Table1[[#This Row],[Mid12]]+Table1[[#This Row],[Mid15]]+Table1[[#This Row],[Mid18]]+Table1[[#This Row],[Mid21]]+Table1[[#This Row],[Mid24]]</f>
        <v>43.2</v>
      </c>
      <c r="CQ472" s="19">
        <f>Table1[[#This Row],[Mid27]]+Table1[[#This Row],[Mid30]]+Table1[[#This Row],[Mid33]]+Table1[[#This Row],[Mid36]]+Table1[[#This Row],[Mid39]]</f>
        <v>0</v>
      </c>
      <c r="CR472" t="s">
        <v>439</v>
      </c>
      <c r="CS472" s="19" t="str">
        <f>IF(AND(Table1[[#This Row],[Low41]]=0, Table1[[#This Row],[High43]]=0),"N","Y")</f>
        <v>N</v>
      </c>
    </row>
    <row r="473" spans="1:97" ht="19.5" customHeight="1" x14ac:dyDescent="0.25">
      <c r="A473">
        <v>10471</v>
      </c>
      <c r="B473" t="s">
        <v>1556</v>
      </c>
      <c r="C473" t="s">
        <v>430</v>
      </c>
      <c r="D473">
        <v>33.729444440000002</v>
      </c>
      <c r="E473">
        <v>73.193055560000005</v>
      </c>
      <c r="F473" t="s">
        <v>1567</v>
      </c>
      <c r="G473" t="s">
        <v>1017</v>
      </c>
      <c r="I473" t="s">
        <v>433</v>
      </c>
      <c r="J473" t="s">
        <v>202</v>
      </c>
      <c r="K473" t="s">
        <v>203</v>
      </c>
      <c r="L473" t="s">
        <v>121</v>
      </c>
      <c r="N473" s="6" t="s">
        <v>434</v>
      </c>
      <c r="O473" t="s">
        <v>435</v>
      </c>
      <c r="P473" t="s">
        <v>436</v>
      </c>
      <c r="Q473" t="s">
        <v>437</v>
      </c>
      <c r="R473" t="s">
        <v>438</v>
      </c>
      <c r="S473">
        <v>2008</v>
      </c>
      <c r="T473" t="s">
        <v>207</v>
      </c>
      <c r="U473" t="s">
        <v>173</v>
      </c>
      <c r="V473"/>
      <c r="AF473">
        <v>200</v>
      </c>
      <c r="AG473">
        <v>0</v>
      </c>
      <c r="AK473">
        <v>0</v>
      </c>
      <c r="AL473">
        <v>0</v>
      </c>
      <c r="AN473" t="s">
        <v>132</v>
      </c>
      <c r="BN473">
        <v>55.2</v>
      </c>
      <c r="CE47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73" s="19">
        <f>SUM(Table1[[#This Row],[Mid39]],Table1[[#This Row],[Mid36]],Table1[[#This Row],[Mid33]],Table1[[#This Row],[Mid30]],Table1[[#This Row],[Mid27]],Table1[[#This Row],[Mid24]],Table1[[#This Row],[Mid21]],Table1[[#This Row],[Mid18]],Table1[[#This Row],[Mid15]],Table1[[#This Row],[Mid12]],Table1[[#This Row],[Mid9]],Table1[[#This Row],[Mid6]],Table1[[#This Row],[Mid3]],Table1[[#This Row],[Mid]])</f>
        <v>55.2</v>
      </c>
      <c r="CG47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73" t="s">
        <v>135</v>
      </c>
      <c r="CI473" t="s">
        <v>189</v>
      </c>
      <c r="CJ473" t="s">
        <v>158</v>
      </c>
      <c r="CL473" s="19">
        <f>IF(Table1[[#This Row],[Type]]="Petroleum",1,IF(ISERROR(Table1[[#This Row],[Well Density]]*Table1[[#This Row],[Single Well Discovery Area]]),"",IF(Table1[[#This Row],[Well Density]]*Table1[[#This Row],[Single Well Discovery Area]]&gt;1,1,Table1[[#This Row],[Well Density]]*Table1[[#This Row],[Single Well Discovery Area]])))</f>
        <v>1</v>
      </c>
      <c r="CM473" t="s">
        <v>158</v>
      </c>
      <c r="CN473" s="19">
        <f>Table1[[#This Row],[Mid]]</f>
        <v>0</v>
      </c>
      <c r="CO473" s="19">
        <f>Table1[[#This Row],[Mid3]]+Table1[[#This Row],[Mid6]]+Table1[[#This Row],[Mid9]]</f>
        <v>0</v>
      </c>
      <c r="CP473" s="19">
        <f>Table1[[#This Row],[Mid12]]+Table1[[#This Row],[Mid15]]+Table1[[#This Row],[Mid18]]+Table1[[#This Row],[Mid21]]+Table1[[#This Row],[Mid24]]</f>
        <v>55.2</v>
      </c>
      <c r="CQ473" s="19">
        <f>Table1[[#This Row],[Mid27]]+Table1[[#This Row],[Mid30]]+Table1[[#This Row],[Mid33]]+Table1[[#This Row],[Mid36]]+Table1[[#This Row],[Mid39]]</f>
        <v>0</v>
      </c>
      <c r="CR473" t="s">
        <v>439</v>
      </c>
      <c r="CS473" s="19" t="str">
        <f>IF(AND(Table1[[#This Row],[Low41]]=0, Table1[[#This Row],[High43]]=0),"N","Y")</f>
        <v>N</v>
      </c>
    </row>
    <row r="474" spans="1:97" ht="19.5" customHeight="1" x14ac:dyDescent="0.25">
      <c r="A474">
        <v>10472</v>
      </c>
      <c r="B474" t="s">
        <v>1556</v>
      </c>
      <c r="C474" t="s">
        <v>430</v>
      </c>
      <c r="D474">
        <v>33.729444440000002</v>
      </c>
      <c r="E474">
        <v>73.293055559999999</v>
      </c>
      <c r="F474" t="s">
        <v>1568</v>
      </c>
      <c r="G474" t="s">
        <v>1017</v>
      </c>
      <c r="I474" t="s">
        <v>433</v>
      </c>
      <c r="J474" t="s">
        <v>202</v>
      </c>
      <c r="K474" t="s">
        <v>203</v>
      </c>
      <c r="L474" t="s">
        <v>121</v>
      </c>
      <c r="N474" s="6" t="s">
        <v>434</v>
      </c>
      <c r="O474" t="s">
        <v>435</v>
      </c>
      <c r="P474" t="s">
        <v>436</v>
      </c>
      <c r="Q474" t="s">
        <v>437</v>
      </c>
      <c r="R474" t="s">
        <v>438</v>
      </c>
      <c r="S474">
        <v>2008</v>
      </c>
      <c r="T474" t="s">
        <v>207</v>
      </c>
      <c r="U474" t="s">
        <v>173</v>
      </c>
      <c r="V474"/>
      <c r="AF474">
        <v>200</v>
      </c>
      <c r="AG474">
        <v>0</v>
      </c>
      <c r="AK474">
        <v>0</v>
      </c>
      <c r="AL474">
        <v>0</v>
      </c>
      <c r="AN474" t="s">
        <v>132</v>
      </c>
      <c r="BN474">
        <v>15.3</v>
      </c>
      <c r="CE47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74" s="19">
        <f>SUM(Table1[[#This Row],[Mid39]],Table1[[#This Row],[Mid36]],Table1[[#This Row],[Mid33]],Table1[[#This Row],[Mid30]],Table1[[#This Row],[Mid27]],Table1[[#This Row],[Mid24]],Table1[[#This Row],[Mid21]],Table1[[#This Row],[Mid18]],Table1[[#This Row],[Mid15]],Table1[[#This Row],[Mid12]],Table1[[#This Row],[Mid9]],Table1[[#This Row],[Mid6]],Table1[[#This Row],[Mid3]],Table1[[#This Row],[Mid]])</f>
        <v>15.3</v>
      </c>
      <c r="CG47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74" t="s">
        <v>135</v>
      </c>
      <c r="CI474" t="s">
        <v>189</v>
      </c>
      <c r="CJ474" t="s">
        <v>158</v>
      </c>
      <c r="CL474" s="19">
        <f>IF(Table1[[#This Row],[Type]]="Petroleum",1,IF(ISERROR(Table1[[#This Row],[Well Density]]*Table1[[#This Row],[Single Well Discovery Area]]),"",IF(Table1[[#This Row],[Well Density]]*Table1[[#This Row],[Single Well Discovery Area]]&gt;1,1,Table1[[#This Row],[Well Density]]*Table1[[#This Row],[Single Well Discovery Area]])))</f>
        <v>1</v>
      </c>
      <c r="CM474" t="s">
        <v>158</v>
      </c>
      <c r="CN474" s="19">
        <f>Table1[[#This Row],[Mid]]</f>
        <v>0</v>
      </c>
      <c r="CO474" s="19">
        <f>Table1[[#This Row],[Mid3]]+Table1[[#This Row],[Mid6]]+Table1[[#This Row],[Mid9]]</f>
        <v>0</v>
      </c>
      <c r="CP474" s="19">
        <f>Table1[[#This Row],[Mid12]]+Table1[[#This Row],[Mid15]]+Table1[[#This Row],[Mid18]]+Table1[[#This Row],[Mid21]]+Table1[[#This Row],[Mid24]]</f>
        <v>15.3</v>
      </c>
      <c r="CQ474" s="19">
        <f>Table1[[#This Row],[Mid27]]+Table1[[#This Row],[Mid30]]+Table1[[#This Row],[Mid33]]+Table1[[#This Row],[Mid36]]+Table1[[#This Row],[Mid39]]</f>
        <v>0</v>
      </c>
      <c r="CR474" t="s">
        <v>439</v>
      </c>
      <c r="CS474" s="19" t="str">
        <f>IF(AND(Table1[[#This Row],[Low41]]=0, Table1[[#This Row],[High43]]=0),"N","Y")</f>
        <v>N</v>
      </c>
    </row>
    <row r="475" spans="1:97" ht="19.5" customHeight="1" x14ac:dyDescent="0.25">
      <c r="A475">
        <v>10473</v>
      </c>
      <c r="B475" t="s">
        <v>1556</v>
      </c>
      <c r="C475" t="s">
        <v>430</v>
      </c>
      <c r="D475">
        <v>33.729444440000002</v>
      </c>
      <c r="E475">
        <v>73.126388890000001</v>
      </c>
      <c r="F475" t="s">
        <v>1569</v>
      </c>
      <c r="G475" t="s">
        <v>1017</v>
      </c>
      <c r="I475" t="s">
        <v>433</v>
      </c>
      <c r="J475" t="s">
        <v>202</v>
      </c>
      <c r="K475" t="s">
        <v>203</v>
      </c>
      <c r="L475" t="s">
        <v>121</v>
      </c>
      <c r="N475" s="6" t="s">
        <v>434</v>
      </c>
      <c r="O475" t="s">
        <v>435</v>
      </c>
      <c r="P475" t="s">
        <v>436</v>
      </c>
      <c r="Q475" t="s">
        <v>437</v>
      </c>
      <c r="R475" t="s">
        <v>438</v>
      </c>
      <c r="S475">
        <v>2008</v>
      </c>
      <c r="T475" t="s">
        <v>207</v>
      </c>
      <c r="U475" t="s">
        <v>173</v>
      </c>
      <c r="V475"/>
      <c r="AF475">
        <v>200</v>
      </c>
      <c r="AG475">
        <v>0</v>
      </c>
      <c r="AK475">
        <v>0</v>
      </c>
      <c r="AL475">
        <v>0</v>
      </c>
      <c r="AN475" t="s">
        <v>132</v>
      </c>
      <c r="BN475">
        <v>347.9</v>
      </c>
      <c r="CE47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75" s="19">
        <f>SUM(Table1[[#This Row],[Mid39]],Table1[[#This Row],[Mid36]],Table1[[#This Row],[Mid33]],Table1[[#This Row],[Mid30]],Table1[[#This Row],[Mid27]],Table1[[#This Row],[Mid24]],Table1[[#This Row],[Mid21]],Table1[[#This Row],[Mid18]],Table1[[#This Row],[Mid15]],Table1[[#This Row],[Mid12]],Table1[[#This Row],[Mid9]],Table1[[#This Row],[Mid6]],Table1[[#This Row],[Mid3]],Table1[[#This Row],[Mid]])</f>
        <v>347.9</v>
      </c>
      <c r="CG47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75" t="s">
        <v>135</v>
      </c>
      <c r="CI475" t="s">
        <v>189</v>
      </c>
      <c r="CJ475" t="s">
        <v>158</v>
      </c>
      <c r="CL475" s="19">
        <f>IF(Table1[[#This Row],[Type]]="Petroleum",1,IF(ISERROR(Table1[[#This Row],[Well Density]]*Table1[[#This Row],[Single Well Discovery Area]]),"",IF(Table1[[#This Row],[Well Density]]*Table1[[#This Row],[Single Well Discovery Area]]&gt;1,1,Table1[[#This Row],[Well Density]]*Table1[[#This Row],[Single Well Discovery Area]])))</f>
        <v>1</v>
      </c>
      <c r="CM475" t="s">
        <v>158</v>
      </c>
      <c r="CN475" s="19">
        <f>Table1[[#This Row],[Mid]]</f>
        <v>0</v>
      </c>
      <c r="CO475" s="19">
        <f>Table1[[#This Row],[Mid3]]+Table1[[#This Row],[Mid6]]+Table1[[#This Row],[Mid9]]</f>
        <v>0</v>
      </c>
      <c r="CP475" s="19">
        <f>Table1[[#This Row],[Mid12]]+Table1[[#This Row],[Mid15]]+Table1[[#This Row],[Mid18]]+Table1[[#This Row],[Mid21]]+Table1[[#This Row],[Mid24]]</f>
        <v>347.9</v>
      </c>
      <c r="CQ475" s="19">
        <f>Table1[[#This Row],[Mid27]]+Table1[[#This Row],[Mid30]]+Table1[[#This Row],[Mid33]]+Table1[[#This Row],[Mid36]]+Table1[[#This Row],[Mid39]]</f>
        <v>0</v>
      </c>
      <c r="CR475" t="s">
        <v>439</v>
      </c>
      <c r="CS475" s="19" t="str">
        <f>IF(AND(Table1[[#This Row],[Low41]]=0, Table1[[#This Row],[High43]]=0),"N","Y")</f>
        <v>N</v>
      </c>
    </row>
    <row r="476" spans="1:97" ht="19.5" customHeight="1" x14ac:dyDescent="0.25">
      <c r="A476">
        <v>10474</v>
      </c>
      <c r="B476" t="s">
        <v>1556</v>
      </c>
      <c r="C476" t="s">
        <v>430</v>
      </c>
      <c r="D476">
        <v>33.729444440000002</v>
      </c>
      <c r="E476">
        <v>73.276388890000007</v>
      </c>
      <c r="F476" t="s">
        <v>1570</v>
      </c>
      <c r="G476" t="s">
        <v>1017</v>
      </c>
      <c r="I476" t="s">
        <v>433</v>
      </c>
      <c r="J476" t="s">
        <v>202</v>
      </c>
      <c r="K476" t="s">
        <v>203</v>
      </c>
      <c r="L476" t="s">
        <v>121</v>
      </c>
      <c r="N476" s="6" t="s">
        <v>434</v>
      </c>
      <c r="O476" t="s">
        <v>435</v>
      </c>
      <c r="P476" t="s">
        <v>436</v>
      </c>
      <c r="Q476" t="s">
        <v>437</v>
      </c>
      <c r="R476" t="s">
        <v>438</v>
      </c>
      <c r="S476">
        <v>2008</v>
      </c>
      <c r="T476" t="s">
        <v>207</v>
      </c>
      <c r="U476" t="s">
        <v>173</v>
      </c>
      <c r="V476"/>
      <c r="AF476">
        <v>200</v>
      </c>
      <c r="AG476">
        <v>0</v>
      </c>
      <c r="AK476">
        <v>0</v>
      </c>
      <c r="AL476">
        <v>0</v>
      </c>
      <c r="AN476" t="s">
        <v>132</v>
      </c>
      <c r="BN476">
        <v>16.3</v>
      </c>
      <c r="CE47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76" s="19">
        <f>SUM(Table1[[#This Row],[Mid39]],Table1[[#This Row],[Mid36]],Table1[[#This Row],[Mid33]],Table1[[#This Row],[Mid30]],Table1[[#This Row],[Mid27]],Table1[[#This Row],[Mid24]],Table1[[#This Row],[Mid21]],Table1[[#This Row],[Mid18]],Table1[[#This Row],[Mid15]],Table1[[#This Row],[Mid12]],Table1[[#This Row],[Mid9]],Table1[[#This Row],[Mid6]],Table1[[#This Row],[Mid3]],Table1[[#This Row],[Mid]])</f>
        <v>16.3</v>
      </c>
      <c r="CG47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76" t="s">
        <v>135</v>
      </c>
      <c r="CI476" t="s">
        <v>189</v>
      </c>
      <c r="CJ476" t="s">
        <v>158</v>
      </c>
      <c r="CL476" s="19">
        <f>IF(Table1[[#This Row],[Type]]="Petroleum",1,IF(ISERROR(Table1[[#This Row],[Well Density]]*Table1[[#This Row],[Single Well Discovery Area]]),"",IF(Table1[[#This Row],[Well Density]]*Table1[[#This Row],[Single Well Discovery Area]]&gt;1,1,Table1[[#This Row],[Well Density]]*Table1[[#This Row],[Single Well Discovery Area]])))</f>
        <v>1</v>
      </c>
      <c r="CM476" t="s">
        <v>158</v>
      </c>
      <c r="CN476" s="19">
        <f>Table1[[#This Row],[Mid]]</f>
        <v>0</v>
      </c>
      <c r="CO476" s="19">
        <f>Table1[[#This Row],[Mid3]]+Table1[[#This Row],[Mid6]]+Table1[[#This Row],[Mid9]]</f>
        <v>0</v>
      </c>
      <c r="CP476" s="19">
        <f>Table1[[#This Row],[Mid12]]+Table1[[#This Row],[Mid15]]+Table1[[#This Row],[Mid18]]+Table1[[#This Row],[Mid21]]+Table1[[#This Row],[Mid24]]</f>
        <v>16.3</v>
      </c>
      <c r="CQ476" s="19">
        <f>Table1[[#This Row],[Mid27]]+Table1[[#This Row],[Mid30]]+Table1[[#This Row],[Mid33]]+Table1[[#This Row],[Mid36]]+Table1[[#This Row],[Mid39]]</f>
        <v>0</v>
      </c>
      <c r="CR476" t="s">
        <v>439</v>
      </c>
      <c r="CS476" s="19" t="str">
        <f>IF(AND(Table1[[#This Row],[Low41]]=0, Table1[[#This Row],[High43]]=0),"N","Y")</f>
        <v>N</v>
      </c>
    </row>
    <row r="477" spans="1:97" ht="19.5" customHeight="1" x14ac:dyDescent="0.25">
      <c r="A477">
        <v>10475</v>
      </c>
      <c r="B477" t="s">
        <v>1556</v>
      </c>
      <c r="C477" t="s">
        <v>430</v>
      </c>
      <c r="D477">
        <v>33.729444440000002</v>
      </c>
      <c r="E477">
        <v>73.176388889999998</v>
      </c>
      <c r="F477" t="s">
        <v>1571</v>
      </c>
      <c r="G477" t="s">
        <v>1017</v>
      </c>
      <c r="I477" t="s">
        <v>433</v>
      </c>
      <c r="J477" t="s">
        <v>202</v>
      </c>
      <c r="K477" t="s">
        <v>203</v>
      </c>
      <c r="L477" t="s">
        <v>121</v>
      </c>
      <c r="N477" s="6" t="s">
        <v>434</v>
      </c>
      <c r="O477" t="s">
        <v>435</v>
      </c>
      <c r="P477" t="s">
        <v>436</v>
      </c>
      <c r="Q477" t="s">
        <v>437</v>
      </c>
      <c r="R477" t="s">
        <v>438</v>
      </c>
      <c r="S477">
        <v>2008</v>
      </c>
      <c r="T477" t="s">
        <v>207</v>
      </c>
      <c r="U477" t="s">
        <v>173</v>
      </c>
      <c r="V477"/>
      <c r="AF477">
        <v>200</v>
      </c>
      <c r="AG477">
        <v>0</v>
      </c>
      <c r="AK477">
        <v>0</v>
      </c>
      <c r="AL477">
        <v>0</v>
      </c>
      <c r="AN477" t="s">
        <v>132</v>
      </c>
      <c r="BN477">
        <v>99.4</v>
      </c>
      <c r="CE47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77" s="19">
        <f>SUM(Table1[[#This Row],[Mid39]],Table1[[#This Row],[Mid36]],Table1[[#This Row],[Mid33]],Table1[[#This Row],[Mid30]],Table1[[#This Row],[Mid27]],Table1[[#This Row],[Mid24]],Table1[[#This Row],[Mid21]],Table1[[#This Row],[Mid18]],Table1[[#This Row],[Mid15]],Table1[[#This Row],[Mid12]],Table1[[#This Row],[Mid9]],Table1[[#This Row],[Mid6]],Table1[[#This Row],[Mid3]],Table1[[#This Row],[Mid]])</f>
        <v>99.4</v>
      </c>
      <c r="CG47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77" t="s">
        <v>135</v>
      </c>
      <c r="CI477" t="s">
        <v>189</v>
      </c>
      <c r="CJ477" t="s">
        <v>158</v>
      </c>
      <c r="CL477" s="19">
        <f>IF(Table1[[#This Row],[Type]]="Petroleum",1,IF(ISERROR(Table1[[#This Row],[Well Density]]*Table1[[#This Row],[Single Well Discovery Area]]),"",IF(Table1[[#This Row],[Well Density]]*Table1[[#This Row],[Single Well Discovery Area]]&gt;1,1,Table1[[#This Row],[Well Density]]*Table1[[#This Row],[Single Well Discovery Area]])))</f>
        <v>1</v>
      </c>
      <c r="CM477" t="s">
        <v>158</v>
      </c>
      <c r="CN477" s="19">
        <f>Table1[[#This Row],[Mid]]</f>
        <v>0</v>
      </c>
      <c r="CO477" s="19">
        <f>Table1[[#This Row],[Mid3]]+Table1[[#This Row],[Mid6]]+Table1[[#This Row],[Mid9]]</f>
        <v>0</v>
      </c>
      <c r="CP477" s="19">
        <f>Table1[[#This Row],[Mid12]]+Table1[[#This Row],[Mid15]]+Table1[[#This Row],[Mid18]]+Table1[[#This Row],[Mid21]]+Table1[[#This Row],[Mid24]]</f>
        <v>99.4</v>
      </c>
      <c r="CQ477" s="19">
        <f>Table1[[#This Row],[Mid27]]+Table1[[#This Row],[Mid30]]+Table1[[#This Row],[Mid33]]+Table1[[#This Row],[Mid36]]+Table1[[#This Row],[Mid39]]</f>
        <v>0</v>
      </c>
      <c r="CR477" t="s">
        <v>439</v>
      </c>
      <c r="CS477" s="19" t="str">
        <f>IF(AND(Table1[[#This Row],[Low41]]=0, Table1[[#This Row],[High43]]=0),"N","Y")</f>
        <v>N</v>
      </c>
    </row>
    <row r="478" spans="1:97" ht="19.5" customHeight="1" x14ac:dyDescent="0.25">
      <c r="A478">
        <v>10476</v>
      </c>
      <c r="B478" t="s">
        <v>1556</v>
      </c>
      <c r="C478" t="s">
        <v>430</v>
      </c>
      <c r="D478">
        <v>33.729444440000002</v>
      </c>
      <c r="E478">
        <v>73.159722220000006</v>
      </c>
      <c r="F478" t="s">
        <v>1572</v>
      </c>
      <c r="G478" t="s">
        <v>1017</v>
      </c>
      <c r="I478" t="s">
        <v>433</v>
      </c>
      <c r="J478" t="s">
        <v>202</v>
      </c>
      <c r="K478" t="s">
        <v>203</v>
      </c>
      <c r="L478" t="s">
        <v>121</v>
      </c>
      <c r="N478" s="6" t="s">
        <v>434</v>
      </c>
      <c r="O478" t="s">
        <v>435</v>
      </c>
      <c r="P478" t="s">
        <v>436</v>
      </c>
      <c r="Q478" t="s">
        <v>437</v>
      </c>
      <c r="R478" t="s">
        <v>438</v>
      </c>
      <c r="S478">
        <v>2008</v>
      </c>
      <c r="T478" t="s">
        <v>207</v>
      </c>
      <c r="U478" t="s">
        <v>173</v>
      </c>
      <c r="V478"/>
      <c r="AF478">
        <v>200</v>
      </c>
      <c r="AG478">
        <v>0</v>
      </c>
      <c r="AK478">
        <v>0</v>
      </c>
      <c r="AL478">
        <v>0</v>
      </c>
      <c r="AN478" t="s">
        <v>132</v>
      </c>
      <c r="BN478">
        <v>219.7</v>
      </c>
      <c r="CE47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78" s="19">
        <f>SUM(Table1[[#This Row],[Mid39]],Table1[[#This Row],[Mid36]],Table1[[#This Row],[Mid33]],Table1[[#This Row],[Mid30]],Table1[[#This Row],[Mid27]],Table1[[#This Row],[Mid24]],Table1[[#This Row],[Mid21]],Table1[[#This Row],[Mid18]],Table1[[#This Row],[Mid15]],Table1[[#This Row],[Mid12]],Table1[[#This Row],[Mid9]],Table1[[#This Row],[Mid6]],Table1[[#This Row],[Mid3]],Table1[[#This Row],[Mid]])</f>
        <v>219.7</v>
      </c>
      <c r="CG47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78" t="s">
        <v>135</v>
      </c>
      <c r="CI478" t="s">
        <v>189</v>
      </c>
      <c r="CJ478" t="s">
        <v>158</v>
      </c>
      <c r="CL478" s="19">
        <f>IF(Table1[[#This Row],[Type]]="Petroleum",1,IF(ISERROR(Table1[[#This Row],[Well Density]]*Table1[[#This Row],[Single Well Discovery Area]]),"",IF(Table1[[#This Row],[Well Density]]*Table1[[#This Row],[Single Well Discovery Area]]&gt;1,1,Table1[[#This Row],[Well Density]]*Table1[[#This Row],[Single Well Discovery Area]])))</f>
        <v>1</v>
      </c>
      <c r="CM478" t="s">
        <v>158</v>
      </c>
      <c r="CN478" s="19">
        <f>Table1[[#This Row],[Mid]]</f>
        <v>0</v>
      </c>
      <c r="CO478" s="19">
        <f>Table1[[#This Row],[Mid3]]+Table1[[#This Row],[Mid6]]+Table1[[#This Row],[Mid9]]</f>
        <v>0</v>
      </c>
      <c r="CP478" s="19">
        <f>Table1[[#This Row],[Mid12]]+Table1[[#This Row],[Mid15]]+Table1[[#This Row],[Mid18]]+Table1[[#This Row],[Mid21]]+Table1[[#This Row],[Mid24]]</f>
        <v>219.7</v>
      </c>
      <c r="CQ478" s="19">
        <f>Table1[[#This Row],[Mid27]]+Table1[[#This Row],[Mid30]]+Table1[[#This Row],[Mid33]]+Table1[[#This Row],[Mid36]]+Table1[[#This Row],[Mid39]]</f>
        <v>0</v>
      </c>
      <c r="CR478" t="s">
        <v>439</v>
      </c>
      <c r="CS478" s="19" t="str">
        <f>IF(AND(Table1[[#This Row],[Low41]]=0, Table1[[#This Row],[High43]]=0),"N","Y")</f>
        <v>N</v>
      </c>
    </row>
    <row r="479" spans="1:97" ht="19.5" customHeight="1" x14ac:dyDescent="0.25">
      <c r="A479">
        <v>10477</v>
      </c>
      <c r="B479" t="s">
        <v>1556</v>
      </c>
      <c r="C479" t="s">
        <v>430</v>
      </c>
      <c r="D479">
        <v>33.729444440000002</v>
      </c>
      <c r="E479">
        <v>73.25972222</v>
      </c>
      <c r="F479" t="s">
        <v>1573</v>
      </c>
      <c r="G479" t="s">
        <v>1017</v>
      </c>
      <c r="I479" t="s">
        <v>433</v>
      </c>
      <c r="J479" t="s">
        <v>202</v>
      </c>
      <c r="K479" t="s">
        <v>203</v>
      </c>
      <c r="L479" t="s">
        <v>121</v>
      </c>
      <c r="N479" s="6" t="s">
        <v>434</v>
      </c>
      <c r="O479" t="s">
        <v>435</v>
      </c>
      <c r="P479" t="s">
        <v>436</v>
      </c>
      <c r="Q479" t="s">
        <v>437</v>
      </c>
      <c r="R479" t="s">
        <v>438</v>
      </c>
      <c r="S479">
        <v>2008</v>
      </c>
      <c r="T479" t="s">
        <v>207</v>
      </c>
      <c r="U479" t="s">
        <v>173</v>
      </c>
      <c r="V479"/>
      <c r="AF479">
        <v>200</v>
      </c>
      <c r="AG479">
        <v>0</v>
      </c>
      <c r="AK479">
        <v>0</v>
      </c>
      <c r="AL479">
        <v>0</v>
      </c>
      <c r="AN479" t="s">
        <v>132</v>
      </c>
      <c r="BN479">
        <v>19.3</v>
      </c>
      <c r="CE47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79" s="19">
        <f>SUM(Table1[[#This Row],[Mid39]],Table1[[#This Row],[Mid36]],Table1[[#This Row],[Mid33]],Table1[[#This Row],[Mid30]],Table1[[#This Row],[Mid27]],Table1[[#This Row],[Mid24]],Table1[[#This Row],[Mid21]],Table1[[#This Row],[Mid18]],Table1[[#This Row],[Mid15]],Table1[[#This Row],[Mid12]],Table1[[#This Row],[Mid9]],Table1[[#This Row],[Mid6]],Table1[[#This Row],[Mid3]],Table1[[#This Row],[Mid]])</f>
        <v>19.3</v>
      </c>
      <c r="CG47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79" t="s">
        <v>135</v>
      </c>
      <c r="CI479" t="s">
        <v>189</v>
      </c>
      <c r="CJ479" t="s">
        <v>158</v>
      </c>
      <c r="CL479" s="19">
        <f>IF(Table1[[#This Row],[Type]]="Petroleum",1,IF(ISERROR(Table1[[#This Row],[Well Density]]*Table1[[#This Row],[Single Well Discovery Area]]),"",IF(Table1[[#This Row],[Well Density]]*Table1[[#This Row],[Single Well Discovery Area]]&gt;1,1,Table1[[#This Row],[Well Density]]*Table1[[#This Row],[Single Well Discovery Area]])))</f>
        <v>1</v>
      </c>
      <c r="CM479" t="s">
        <v>158</v>
      </c>
      <c r="CN479" s="19">
        <f>Table1[[#This Row],[Mid]]</f>
        <v>0</v>
      </c>
      <c r="CO479" s="19">
        <f>Table1[[#This Row],[Mid3]]+Table1[[#This Row],[Mid6]]+Table1[[#This Row],[Mid9]]</f>
        <v>0</v>
      </c>
      <c r="CP479" s="19">
        <f>Table1[[#This Row],[Mid12]]+Table1[[#This Row],[Mid15]]+Table1[[#This Row],[Mid18]]+Table1[[#This Row],[Mid21]]+Table1[[#This Row],[Mid24]]</f>
        <v>19.3</v>
      </c>
      <c r="CQ479" s="19">
        <f>Table1[[#This Row],[Mid27]]+Table1[[#This Row],[Mid30]]+Table1[[#This Row],[Mid33]]+Table1[[#This Row],[Mid36]]+Table1[[#This Row],[Mid39]]</f>
        <v>0</v>
      </c>
      <c r="CR479" t="s">
        <v>439</v>
      </c>
      <c r="CS479" s="19" t="str">
        <f>IF(AND(Table1[[#This Row],[Low41]]=0, Table1[[#This Row],[High43]]=0),"N","Y")</f>
        <v>N</v>
      </c>
    </row>
    <row r="480" spans="1:97" ht="19.5" customHeight="1" x14ac:dyDescent="0.25">
      <c r="A480">
        <v>10478</v>
      </c>
      <c r="B480" t="s">
        <v>1556</v>
      </c>
      <c r="C480" t="s">
        <v>430</v>
      </c>
      <c r="D480">
        <v>33.729444440000002</v>
      </c>
      <c r="E480">
        <v>73.109722219999995</v>
      </c>
      <c r="F480" t="s">
        <v>1574</v>
      </c>
      <c r="G480" t="s">
        <v>1017</v>
      </c>
      <c r="I480" t="s">
        <v>433</v>
      </c>
      <c r="J480" t="s">
        <v>202</v>
      </c>
      <c r="K480" t="s">
        <v>203</v>
      </c>
      <c r="L480" t="s">
        <v>121</v>
      </c>
      <c r="N480" s="6" t="s">
        <v>434</v>
      </c>
      <c r="O480" t="s">
        <v>435</v>
      </c>
      <c r="P480" t="s">
        <v>436</v>
      </c>
      <c r="Q480" t="s">
        <v>437</v>
      </c>
      <c r="R480" t="s">
        <v>438</v>
      </c>
      <c r="S480">
        <v>2008</v>
      </c>
      <c r="T480" t="s">
        <v>207</v>
      </c>
      <c r="U480" t="s">
        <v>173</v>
      </c>
      <c r="V480"/>
      <c r="AF480">
        <v>200</v>
      </c>
      <c r="AG480">
        <v>0</v>
      </c>
      <c r="AK480">
        <v>0</v>
      </c>
      <c r="AL480">
        <v>0</v>
      </c>
      <c r="AN480" t="s">
        <v>132</v>
      </c>
      <c r="BN480">
        <v>476.3</v>
      </c>
      <c r="CE48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80" s="19">
        <f>SUM(Table1[[#This Row],[Mid39]],Table1[[#This Row],[Mid36]],Table1[[#This Row],[Mid33]],Table1[[#This Row],[Mid30]],Table1[[#This Row],[Mid27]],Table1[[#This Row],[Mid24]],Table1[[#This Row],[Mid21]],Table1[[#This Row],[Mid18]],Table1[[#This Row],[Mid15]],Table1[[#This Row],[Mid12]],Table1[[#This Row],[Mid9]],Table1[[#This Row],[Mid6]],Table1[[#This Row],[Mid3]],Table1[[#This Row],[Mid]])</f>
        <v>476.3</v>
      </c>
      <c r="CG48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80" t="s">
        <v>135</v>
      </c>
      <c r="CI480" t="s">
        <v>189</v>
      </c>
      <c r="CJ480" t="s">
        <v>158</v>
      </c>
      <c r="CL480" s="19">
        <f>IF(Table1[[#This Row],[Type]]="Petroleum",1,IF(ISERROR(Table1[[#This Row],[Well Density]]*Table1[[#This Row],[Single Well Discovery Area]]),"",IF(Table1[[#This Row],[Well Density]]*Table1[[#This Row],[Single Well Discovery Area]]&gt;1,1,Table1[[#This Row],[Well Density]]*Table1[[#This Row],[Single Well Discovery Area]])))</f>
        <v>1</v>
      </c>
      <c r="CM480" t="s">
        <v>158</v>
      </c>
      <c r="CN480" s="19">
        <f>Table1[[#This Row],[Mid]]</f>
        <v>0</v>
      </c>
      <c r="CO480" s="19">
        <f>Table1[[#This Row],[Mid3]]+Table1[[#This Row],[Mid6]]+Table1[[#This Row],[Mid9]]</f>
        <v>0</v>
      </c>
      <c r="CP480" s="19">
        <f>Table1[[#This Row],[Mid12]]+Table1[[#This Row],[Mid15]]+Table1[[#This Row],[Mid18]]+Table1[[#This Row],[Mid21]]+Table1[[#This Row],[Mid24]]</f>
        <v>476.3</v>
      </c>
      <c r="CQ480" s="19">
        <f>Table1[[#This Row],[Mid27]]+Table1[[#This Row],[Mid30]]+Table1[[#This Row],[Mid33]]+Table1[[#This Row],[Mid36]]+Table1[[#This Row],[Mid39]]</f>
        <v>0</v>
      </c>
      <c r="CR480" t="s">
        <v>439</v>
      </c>
      <c r="CS480" s="19" t="str">
        <f>IF(AND(Table1[[#This Row],[Low41]]=0, Table1[[#This Row],[High43]]=0),"N","Y")</f>
        <v>N</v>
      </c>
    </row>
    <row r="481" spans="1:97" ht="19.5" customHeight="1" x14ac:dyDescent="0.25">
      <c r="A481">
        <v>10479</v>
      </c>
      <c r="B481" t="s">
        <v>1556</v>
      </c>
      <c r="C481" t="s">
        <v>430</v>
      </c>
      <c r="D481">
        <v>33.729444440000002</v>
      </c>
      <c r="E481">
        <v>73.143055559999993</v>
      </c>
      <c r="F481" t="s">
        <v>1575</v>
      </c>
      <c r="G481" t="s">
        <v>1017</v>
      </c>
      <c r="I481" t="s">
        <v>433</v>
      </c>
      <c r="J481" t="s">
        <v>202</v>
      </c>
      <c r="K481" t="s">
        <v>203</v>
      </c>
      <c r="L481" t="s">
        <v>204</v>
      </c>
      <c r="N481" s="6" t="s">
        <v>434</v>
      </c>
      <c r="O481" t="s">
        <v>435</v>
      </c>
      <c r="P481" t="s">
        <v>436</v>
      </c>
      <c r="Q481" t="s">
        <v>437</v>
      </c>
      <c r="R481" t="s">
        <v>438</v>
      </c>
      <c r="S481">
        <v>2008</v>
      </c>
      <c r="T481" t="s">
        <v>207</v>
      </c>
      <c r="U481" t="s">
        <v>173</v>
      </c>
      <c r="V481">
        <v>0</v>
      </c>
      <c r="W481">
        <v>0</v>
      </c>
      <c r="X481">
        <v>0</v>
      </c>
      <c r="Y481">
        <v>0</v>
      </c>
      <c r="Z481">
        <v>0</v>
      </c>
      <c r="AA481">
        <v>0</v>
      </c>
      <c r="AB481">
        <v>0</v>
      </c>
      <c r="AC481">
        <v>0</v>
      </c>
      <c r="AD481">
        <v>0</v>
      </c>
      <c r="AF481">
        <v>200</v>
      </c>
      <c r="AG481">
        <v>0</v>
      </c>
      <c r="AI481">
        <v>0</v>
      </c>
      <c r="AJ481">
        <v>0</v>
      </c>
      <c r="AK481">
        <v>0</v>
      </c>
      <c r="AL481">
        <v>0</v>
      </c>
      <c r="AN481" t="s">
        <v>132</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223.7</v>
      </c>
      <c r="BO481">
        <v>0</v>
      </c>
      <c r="BP481">
        <v>0</v>
      </c>
      <c r="BQ481">
        <v>0</v>
      </c>
      <c r="BR481">
        <v>0</v>
      </c>
      <c r="BS481">
        <v>0</v>
      </c>
      <c r="BT481">
        <v>0</v>
      </c>
      <c r="BU481">
        <v>0</v>
      </c>
      <c r="BV481">
        <v>0</v>
      </c>
      <c r="BW481">
        <v>0</v>
      </c>
      <c r="BX481">
        <v>0</v>
      </c>
      <c r="BY481">
        <v>0</v>
      </c>
      <c r="BZ481">
        <v>0</v>
      </c>
      <c r="CA481">
        <v>0</v>
      </c>
      <c r="CB481">
        <v>0</v>
      </c>
      <c r="CC481">
        <v>0</v>
      </c>
      <c r="CD481">
        <v>0</v>
      </c>
      <c r="CE48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81" s="19">
        <f>SUM(Table1[[#This Row],[Mid39]],Table1[[#This Row],[Mid36]],Table1[[#This Row],[Mid33]],Table1[[#This Row],[Mid30]],Table1[[#This Row],[Mid27]],Table1[[#This Row],[Mid24]],Table1[[#This Row],[Mid21]],Table1[[#This Row],[Mid18]],Table1[[#This Row],[Mid15]],Table1[[#This Row],[Mid12]],Table1[[#This Row],[Mid9]],Table1[[#This Row],[Mid6]],Table1[[#This Row],[Mid3]],Table1[[#This Row],[Mid]])</f>
        <v>223.7</v>
      </c>
      <c r="CG48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81" t="s">
        <v>157</v>
      </c>
      <c r="CI481" t="s">
        <v>176</v>
      </c>
      <c r="CJ481" t="s">
        <v>158</v>
      </c>
      <c r="CL481" s="19">
        <f>IF(Table1[[#This Row],[Type]]="Petroleum",1,IF(ISERROR(Table1[[#This Row],[Well Density]]*Table1[[#This Row],[Single Well Discovery Area]]),"",IF(Table1[[#This Row],[Well Density]]*Table1[[#This Row],[Single Well Discovery Area]]&gt;1,1,Table1[[#This Row],[Well Density]]*Table1[[#This Row],[Single Well Discovery Area]])))</f>
        <v>1</v>
      </c>
      <c r="CM481" t="s">
        <v>158</v>
      </c>
      <c r="CN481" s="19">
        <f>Table1[[#This Row],[Mid]]</f>
        <v>0</v>
      </c>
      <c r="CO481" s="19">
        <f>Table1[[#This Row],[Mid3]]+Table1[[#This Row],[Mid6]]+Table1[[#This Row],[Mid9]]</f>
        <v>0</v>
      </c>
      <c r="CP481" s="19">
        <f>Table1[[#This Row],[Mid12]]+Table1[[#This Row],[Mid15]]+Table1[[#This Row],[Mid18]]+Table1[[#This Row],[Mid21]]+Table1[[#This Row],[Mid24]]</f>
        <v>223.7</v>
      </c>
      <c r="CQ481" s="19">
        <f>Table1[[#This Row],[Mid27]]+Table1[[#This Row],[Mid30]]+Table1[[#This Row],[Mid33]]+Table1[[#This Row],[Mid36]]+Table1[[#This Row],[Mid39]]</f>
        <v>0</v>
      </c>
      <c r="CR481" t="s">
        <v>439</v>
      </c>
      <c r="CS481" s="19" t="str">
        <f>IF(AND(Table1[[#This Row],[Low41]]=0, Table1[[#This Row],[High43]]=0),"N","Y")</f>
        <v>N</v>
      </c>
    </row>
    <row r="482" spans="1:97" ht="19.5" customHeight="1" x14ac:dyDescent="0.25">
      <c r="A482">
        <v>10480</v>
      </c>
      <c r="B482" t="s">
        <v>1576</v>
      </c>
      <c r="C482" t="s">
        <v>1577</v>
      </c>
      <c r="D482">
        <v>37.47888889</v>
      </c>
      <c r="E482">
        <v>129.14861110000001</v>
      </c>
      <c r="F482" t="s">
        <v>1578</v>
      </c>
      <c r="H482" t="s">
        <v>255</v>
      </c>
      <c r="I482" t="s">
        <v>118</v>
      </c>
      <c r="J482" t="s">
        <v>119</v>
      </c>
      <c r="K482" t="s">
        <v>190</v>
      </c>
      <c r="L482" t="s">
        <v>18</v>
      </c>
      <c r="M482" t="s">
        <v>535</v>
      </c>
      <c r="N482" s="6" t="s">
        <v>1579</v>
      </c>
      <c r="O482" t="s">
        <v>1580</v>
      </c>
      <c r="P482" t="s">
        <v>436</v>
      </c>
      <c r="Q482" t="s">
        <v>1581</v>
      </c>
      <c r="R482" t="s">
        <v>1582</v>
      </c>
      <c r="T482" t="s">
        <v>128</v>
      </c>
      <c r="U482" t="s">
        <v>129</v>
      </c>
      <c r="V482">
        <v>0</v>
      </c>
      <c r="W482">
        <v>0</v>
      </c>
      <c r="X482">
        <v>0</v>
      </c>
      <c r="Y482">
        <v>0</v>
      </c>
      <c r="Z482">
        <v>0</v>
      </c>
      <c r="AA482">
        <v>0</v>
      </c>
      <c r="AB482">
        <v>0</v>
      </c>
      <c r="AC482">
        <v>0</v>
      </c>
      <c r="AD482">
        <v>0</v>
      </c>
      <c r="AF482">
        <v>200</v>
      </c>
      <c r="AG482">
        <v>0</v>
      </c>
      <c r="AI482">
        <v>0</v>
      </c>
      <c r="AJ482">
        <v>0</v>
      </c>
      <c r="AK482">
        <v>0</v>
      </c>
      <c r="AL482">
        <v>0</v>
      </c>
      <c r="AM482" t="s">
        <v>1583</v>
      </c>
      <c r="AN482" t="s">
        <v>132</v>
      </c>
      <c r="CC482">
        <v>141</v>
      </c>
      <c r="CE48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82" s="19">
        <f>SUM(Table1[[#This Row],[Mid39]],Table1[[#This Row],[Mid36]],Table1[[#This Row],[Mid33]],Table1[[#This Row],[Mid30]],Table1[[#This Row],[Mid27]],Table1[[#This Row],[Mid24]],Table1[[#This Row],[Mid21]],Table1[[#This Row],[Mid18]],Table1[[#This Row],[Mid15]],Table1[[#This Row],[Mid12]],Table1[[#This Row],[Mid9]],Table1[[#This Row],[Mid6]],Table1[[#This Row],[Mid3]],Table1[[#This Row],[Mid]])</f>
        <v>141</v>
      </c>
      <c r="CG48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82" t="s">
        <v>157</v>
      </c>
      <c r="CI482" t="s">
        <v>134</v>
      </c>
      <c r="CJ482" t="s">
        <v>158</v>
      </c>
      <c r="CL482" s="19">
        <f>IF(Table1[[#This Row],[Type]]="Petroleum",1,IF(ISERROR(Table1[[#This Row],[Well Density]]*Table1[[#This Row],[Single Well Discovery Area]]),"",IF(Table1[[#This Row],[Well Density]]*Table1[[#This Row],[Single Well Discovery Area]]&gt;1,1,Table1[[#This Row],[Well Density]]*Table1[[#This Row],[Single Well Discovery Area]])))</f>
        <v>0</v>
      </c>
      <c r="CM482" t="s">
        <v>158</v>
      </c>
      <c r="CN482" s="19">
        <f>Table1[[#This Row],[Mid]]</f>
        <v>0</v>
      </c>
      <c r="CO482" s="19">
        <f>Table1[[#This Row],[Mid3]]+Table1[[#This Row],[Mid6]]+Table1[[#This Row],[Mid9]]</f>
        <v>0</v>
      </c>
      <c r="CP482" s="19">
        <f>Table1[[#This Row],[Mid12]]+Table1[[#This Row],[Mid15]]+Table1[[#This Row],[Mid18]]+Table1[[#This Row],[Mid21]]+Table1[[#This Row],[Mid24]]</f>
        <v>0</v>
      </c>
      <c r="CQ482" s="19">
        <f>Table1[[#This Row],[Mid27]]+Table1[[#This Row],[Mid30]]+Table1[[#This Row],[Mid33]]+Table1[[#This Row],[Mid36]]+Table1[[#This Row],[Mid39]]</f>
        <v>141</v>
      </c>
      <c r="CR482" t="s">
        <v>439</v>
      </c>
      <c r="CS482" s="19" t="str">
        <f>IF(AND(Table1[[#This Row],[Low41]]=0, Table1[[#This Row],[High43]]=0),"N","Y")</f>
        <v>N</v>
      </c>
    </row>
    <row r="483" spans="1:97" ht="19.5" customHeight="1" x14ac:dyDescent="0.25">
      <c r="A483">
        <v>10481</v>
      </c>
      <c r="B483" t="s">
        <v>1576</v>
      </c>
      <c r="C483" t="s">
        <v>1584</v>
      </c>
      <c r="D483">
        <v>35.744444440000002</v>
      </c>
      <c r="E483">
        <v>128.2694444</v>
      </c>
      <c r="F483" t="s">
        <v>1585</v>
      </c>
      <c r="H483" t="s">
        <v>1586</v>
      </c>
      <c r="I483" t="s">
        <v>118</v>
      </c>
      <c r="J483" t="s">
        <v>119</v>
      </c>
      <c r="K483" t="s">
        <v>190</v>
      </c>
      <c r="L483" t="s">
        <v>18</v>
      </c>
      <c r="M483" t="s">
        <v>148</v>
      </c>
      <c r="N483" s="6" t="s">
        <v>1587</v>
      </c>
      <c r="O483" t="s">
        <v>1588</v>
      </c>
      <c r="P483" t="s">
        <v>170</v>
      </c>
      <c r="Q483" t="s">
        <v>1589</v>
      </c>
      <c r="R483" t="s">
        <v>1590</v>
      </c>
      <c r="S483">
        <v>2009</v>
      </c>
      <c r="T483" t="s">
        <v>128</v>
      </c>
      <c r="U483" t="s">
        <v>129</v>
      </c>
      <c r="V483">
        <v>300</v>
      </c>
      <c r="W483">
        <v>1450</v>
      </c>
      <c r="X483">
        <v>0</v>
      </c>
      <c r="Y483">
        <v>0</v>
      </c>
      <c r="Z483">
        <v>4.9000000000000004</v>
      </c>
      <c r="AA483">
        <v>0</v>
      </c>
      <c r="AB483">
        <v>0</v>
      </c>
      <c r="AC483">
        <v>0</v>
      </c>
      <c r="AD483">
        <v>0</v>
      </c>
      <c r="AE483">
        <v>0</v>
      </c>
      <c r="AF483">
        <v>200</v>
      </c>
      <c r="AG483">
        <v>0</v>
      </c>
      <c r="AH483" t="s">
        <v>1591</v>
      </c>
      <c r="AI483">
        <v>0</v>
      </c>
      <c r="AJ483">
        <v>0</v>
      </c>
      <c r="AK483">
        <v>0</v>
      </c>
      <c r="AL483">
        <v>0</v>
      </c>
      <c r="AM483" t="s">
        <v>1592</v>
      </c>
      <c r="AN483" t="s">
        <v>132</v>
      </c>
      <c r="CB483">
        <v>63</v>
      </c>
      <c r="CC483">
        <v>356</v>
      </c>
      <c r="CD483">
        <v>1134</v>
      </c>
      <c r="CE483" s="19">
        <f>SUM(Table1[[#This Row],[Low38]],Table1[[#This Row],[Low35]],Table1[[#This Row],[Low32]],Table1[[#This Row],[Low29]],Table1[[#This Row],[Low26]],Table1[[#This Row],[Low23]],Table1[[#This Row],[Low20]],Table1[[#This Row],[Low17]],Table1[[#This Row],[Low14]],Table1[[#This Row],[Low11]],Table1[[#This Row],[Low8]],Table1[[#This Row],[Low5]],Table1[[#This Row],[Low2]],Table1[[#This Row],[Low]])</f>
        <v>63</v>
      </c>
      <c r="CF483" s="19">
        <f>SUM(Table1[[#This Row],[Mid39]],Table1[[#This Row],[Mid36]],Table1[[#This Row],[Mid33]],Table1[[#This Row],[Mid30]],Table1[[#This Row],[Mid27]],Table1[[#This Row],[Mid24]],Table1[[#This Row],[Mid21]],Table1[[#This Row],[Mid18]],Table1[[#This Row],[Mid15]],Table1[[#This Row],[Mid12]],Table1[[#This Row],[Mid9]],Table1[[#This Row],[Mid6]],Table1[[#This Row],[Mid3]],Table1[[#This Row],[Mid]])</f>
        <v>356</v>
      </c>
      <c r="CG48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1134</v>
      </c>
      <c r="CH483" t="s">
        <v>133</v>
      </c>
      <c r="CI483" t="s">
        <v>134</v>
      </c>
      <c r="CJ483" t="s">
        <v>158</v>
      </c>
      <c r="CL483" s="19">
        <f>IF(Table1[[#This Row],[Type]]="Petroleum",1,IF(ISERROR(Table1[[#This Row],[Well Density]]*Table1[[#This Row],[Single Well Discovery Area]]),"",IF(Table1[[#This Row],[Well Density]]*Table1[[#This Row],[Single Well Discovery Area]]&gt;1,1,Table1[[#This Row],[Well Density]]*Table1[[#This Row],[Single Well Discovery Area]])))</f>
        <v>0</v>
      </c>
      <c r="CM483" t="s">
        <v>158</v>
      </c>
      <c r="CN483" s="19">
        <f>Table1[[#This Row],[Mid]]</f>
        <v>0</v>
      </c>
      <c r="CO483" s="19">
        <f>Table1[[#This Row],[Mid3]]+Table1[[#This Row],[Mid6]]+Table1[[#This Row],[Mid9]]</f>
        <v>0</v>
      </c>
      <c r="CP483" s="19">
        <f>Table1[[#This Row],[Mid12]]+Table1[[#This Row],[Mid15]]+Table1[[#This Row],[Mid18]]+Table1[[#This Row],[Mid21]]+Table1[[#This Row],[Mid24]]</f>
        <v>0</v>
      </c>
      <c r="CQ483" s="19">
        <f>Table1[[#This Row],[Mid27]]+Table1[[#This Row],[Mid30]]+Table1[[#This Row],[Mid33]]+Table1[[#This Row],[Mid36]]+Table1[[#This Row],[Mid39]]</f>
        <v>356</v>
      </c>
      <c r="CR483" t="s">
        <v>439</v>
      </c>
      <c r="CS483" s="19" t="str">
        <f>IF(AND(Table1[[#This Row],[Low41]]=0, Table1[[#This Row],[High43]]=0),"N","Y")</f>
        <v>Y</v>
      </c>
    </row>
    <row r="484" spans="1:97" ht="19.5" customHeight="1" x14ac:dyDescent="0.25">
      <c r="A484">
        <v>10482</v>
      </c>
      <c r="B484" t="s">
        <v>1576</v>
      </c>
      <c r="C484" t="s">
        <v>1584</v>
      </c>
      <c r="D484">
        <v>35.75</v>
      </c>
      <c r="E484">
        <v>128.2777778</v>
      </c>
      <c r="F484" t="s">
        <v>1593</v>
      </c>
      <c r="H484" t="s">
        <v>1594</v>
      </c>
      <c r="I484" t="s">
        <v>118</v>
      </c>
      <c r="J484" t="s">
        <v>119</v>
      </c>
      <c r="K484" t="s">
        <v>190</v>
      </c>
      <c r="L484" t="s">
        <v>18</v>
      </c>
      <c r="M484" t="s">
        <v>148</v>
      </c>
      <c r="N484" s="6" t="s">
        <v>1587</v>
      </c>
      <c r="O484" t="s">
        <v>1588</v>
      </c>
      <c r="P484" t="s">
        <v>170</v>
      </c>
      <c r="Q484" t="s">
        <v>1589</v>
      </c>
      <c r="R484" t="s">
        <v>1595</v>
      </c>
      <c r="S484">
        <v>2009</v>
      </c>
      <c r="T484" t="s">
        <v>128</v>
      </c>
      <c r="U484" t="s">
        <v>129</v>
      </c>
      <c r="V484">
        <v>300</v>
      </c>
      <c r="W484">
        <v>1450</v>
      </c>
      <c r="X484">
        <v>0</v>
      </c>
      <c r="Y484">
        <v>0</v>
      </c>
      <c r="Z484">
        <v>5.4</v>
      </c>
      <c r="AA484">
        <v>0</v>
      </c>
      <c r="AB484">
        <v>0</v>
      </c>
      <c r="AC484">
        <v>0</v>
      </c>
      <c r="AD484">
        <v>0</v>
      </c>
      <c r="AE484">
        <v>0</v>
      </c>
      <c r="AF484">
        <v>200</v>
      </c>
      <c r="AG484">
        <v>0</v>
      </c>
      <c r="AH484" t="s">
        <v>1591</v>
      </c>
      <c r="AI484">
        <v>0</v>
      </c>
      <c r="AJ484">
        <v>0</v>
      </c>
      <c r="AK484">
        <v>0</v>
      </c>
      <c r="AL484">
        <v>0</v>
      </c>
      <c r="AM484" t="s">
        <v>1596</v>
      </c>
      <c r="AN484" t="s">
        <v>132</v>
      </c>
      <c r="CB484">
        <v>68</v>
      </c>
      <c r="CC484">
        <v>301</v>
      </c>
      <c r="CD484">
        <v>834</v>
      </c>
      <c r="CE484" s="19">
        <f>SUM(Table1[[#This Row],[Low38]],Table1[[#This Row],[Low35]],Table1[[#This Row],[Low32]],Table1[[#This Row],[Low29]],Table1[[#This Row],[Low26]],Table1[[#This Row],[Low23]],Table1[[#This Row],[Low20]],Table1[[#This Row],[Low17]],Table1[[#This Row],[Low14]],Table1[[#This Row],[Low11]],Table1[[#This Row],[Low8]],Table1[[#This Row],[Low5]],Table1[[#This Row],[Low2]],Table1[[#This Row],[Low]])</f>
        <v>68</v>
      </c>
      <c r="CF484" s="19">
        <f>SUM(Table1[[#This Row],[Mid39]],Table1[[#This Row],[Mid36]],Table1[[#This Row],[Mid33]],Table1[[#This Row],[Mid30]],Table1[[#This Row],[Mid27]],Table1[[#This Row],[Mid24]],Table1[[#This Row],[Mid21]],Table1[[#This Row],[Mid18]],Table1[[#This Row],[Mid15]],Table1[[#This Row],[Mid12]],Table1[[#This Row],[Mid9]],Table1[[#This Row],[Mid6]],Table1[[#This Row],[Mid3]],Table1[[#This Row],[Mid]])</f>
        <v>301</v>
      </c>
      <c r="CG48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834</v>
      </c>
      <c r="CH484" t="s">
        <v>133</v>
      </c>
      <c r="CI484" t="s">
        <v>134</v>
      </c>
      <c r="CJ484" t="s">
        <v>158</v>
      </c>
      <c r="CL484" s="19">
        <f>IF(Table1[[#This Row],[Type]]="Petroleum",1,IF(ISERROR(Table1[[#This Row],[Well Density]]*Table1[[#This Row],[Single Well Discovery Area]]),"",IF(Table1[[#This Row],[Well Density]]*Table1[[#This Row],[Single Well Discovery Area]]&gt;1,1,Table1[[#This Row],[Well Density]]*Table1[[#This Row],[Single Well Discovery Area]])))</f>
        <v>0</v>
      </c>
      <c r="CM484" t="s">
        <v>158</v>
      </c>
      <c r="CN484" s="19">
        <f>Table1[[#This Row],[Mid]]</f>
        <v>0</v>
      </c>
      <c r="CO484" s="19">
        <f>Table1[[#This Row],[Mid3]]+Table1[[#This Row],[Mid6]]+Table1[[#This Row],[Mid9]]</f>
        <v>0</v>
      </c>
      <c r="CP484" s="19">
        <f>Table1[[#This Row],[Mid12]]+Table1[[#This Row],[Mid15]]+Table1[[#This Row],[Mid18]]+Table1[[#This Row],[Mid21]]+Table1[[#This Row],[Mid24]]</f>
        <v>0</v>
      </c>
      <c r="CQ484" s="19">
        <f>Table1[[#This Row],[Mid27]]+Table1[[#This Row],[Mid30]]+Table1[[#This Row],[Mid33]]+Table1[[#This Row],[Mid36]]+Table1[[#This Row],[Mid39]]</f>
        <v>301</v>
      </c>
      <c r="CR484" t="s">
        <v>439</v>
      </c>
      <c r="CS484" s="19" t="str">
        <f>IF(AND(Table1[[#This Row],[Low41]]=0, Table1[[#This Row],[High43]]=0),"N","Y")</f>
        <v>Y</v>
      </c>
    </row>
    <row r="485" spans="1:97" ht="19.5" customHeight="1" x14ac:dyDescent="0.25">
      <c r="A485">
        <v>10483</v>
      </c>
      <c r="B485" t="s">
        <v>1576</v>
      </c>
      <c r="C485" t="s">
        <v>1584</v>
      </c>
      <c r="D485">
        <v>35.730555559999999</v>
      </c>
      <c r="E485">
        <v>128.26166670000001</v>
      </c>
      <c r="F485" t="s">
        <v>1597</v>
      </c>
      <c r="H485" t="s">
        <v>1598</v>
      </c>
      <c r="I485" t="s">
        <v>118</v>
      </c>
      <c r="J485" t="s">
        <v>119</v>
      </c>
      <c r="K485" t="s">
        <v>190</v>
      </c>
      <c r="L485" t="s">
        <v>18</v>
      </c>
      <c r="M485" t="s">
        <v>148</v>
      </c>
      <c r="N485" s="6" t="s">
        <v>1587</v>
      </c>
      <c r="O485" t="s">
        <v>1599</v>
      </c>
      <c r="P485" t="s">
        <v>170</v>
      </c>
      <c r="Q485" t="s">
        <v>1589</v>
      </c>
      <c r="R485" t="s">
        <v>1600</v>
      </c>
      <c r="S485">
        <v>2009</v>
      </c>
      <c r="T485" t="s">
        <v>128</v>
      </c>
      <c r="U485" t="s">
        <v>129</v>
      </c>
      <c r="V485">
        <v>300</v>
      </c>
      <c r="W485">
        <v>1450</v>
      </c>
      <c r="X485">
        <v>0</v>
      </c>
      <c r="Y485">
        <v>0</v>
      </c>
      <c r="Z485">
        <v>3.9</v>
      </c>
      <c r="AA485">
        <v>0</v>
      </c>
      <c r="AB485">
        <v>0</v>
      </c>
      <c r="AC485">
        <v>0</v>
      </c>
      <c r="AD485">
        <v>0</v>
      </c>
      <c r="AE485">
        <v>0</v>
      </c>
      <c r="AF485">
        <v>200</v>
      </c>
      <c r="AG485">
        <v>0</v>
      </c>
      <c r="AH485" t="s">
        <v>291</v>
      </c>
      <c r="AI485">
        <v>0</v>
      </c>
      <c r="AJ485">
        <v>0</v>
      </c>
      <c r="AK485">
        <v>0</v>
      </c>
      <c r="AL485">
        <v>0</v>
      </c>
      <c r="AM485" t="s">
        <v>1596</v>
      </c>
      <c r="AN485" t="s">
        <v>132</v>
      </c>
      <c r="CB485">
        <v>123</v>
      </c>
      <c r="CC485">
        <v>347</v>
      </c>
      <c r="CD485">
        <v>615</v>
      </c>
      <c r="CE485" s="19">
        <f>SUM(Table1[[#This Row],[Low38]],Table1[[#This Row],[Low35]],Table1[[#This Row],[Low32]],Table1[[#This Row],[Low29]],Table1[[#This Row],[Low26]],Table1[[#This Row],[Low23]],Table1[[#This Row],[Low20]],Table1[[#This Row],[Low17]],Table1[[#This Row],[Low14]],Table1[[#This Row],[Low11]],Table1[[#This Row],[Low8]],Table1[[#This Row],[Low5]],Table1[[#This Row],[Low2]],Table1[[#This Row],[Low]])</f>
        <v>123</v>
      </c>
      <c r="CF485" s="19">
        <f>SUM(Table1[[#This Row],[Mid39]],Table1[[#This Row],[Mid36]],Table1[[#This Row],[Mid33]],Table1[[#This Row],[Mid30]],Table1[[#This Row],[Mid27]],Table1[[#This Row],[Mid24]],Table1[[#This Row],[Mid21]],Table1[[#This Row],[Mid18]],Table1[[#This Row],[Mid15]],Table1[[#This Row],[Mid12]],Table1[[#This Row],[Mid9]],Table1[[#This Row],[Mid6]],Table1[[#This Row],[Mid3]],Table1[[#This Row],[Mid]])</f>
        <v>347</v>
      </c>
      <c r="CG48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615</v>
      </c>
      <c r="CH485" t="s">
        <v>157</v>
      </c>
      <c r="CI485" t="s">
        <v>134</v>
      </c>
      <c r="CJ485" t="s">
        <v>158</v>
      </c>
      <c r="CL485" s="19">
        <f>IF(Table1[[#This Row],[Type]]="Petroleum",1,IF(ISERROR(Table1[[#This Row],[Well Density]]*Table1[[#This Row],[Single Well Discovery Area]]),"",IF(Table1[[#This Row],[Well Density]]*Table1[[#This Row],[Single Well Discovery Area]]&gt;1,1,Table1[[#This Row],[Well Density]]*Table1[[#This Row],[Single Well Discovery Area]])))</f>
        <v>0</v>
      </c>
      <c r="CM485" t="s">
        <v>158</v>
      </c>
      <c r="CN485" s="19">
        <f>Table1[[#This Row],[Mid]]</f>
        <v>0</v>
      </c>
      <c r="CO485" s="19">
        <f>Table1[[#This Row],[Mid3]]+Table1[[#This Row],[Mid6]]+Table1[[#This Row],[Mid9]]</f>
        <v>0</v>
      </c>
      <c r="CP485" s="19">
        <f>Table1[[#This Row],[Mid12]]+Table1[[#This Row],[Mid15]]+Table1[[#This Row],[Mid18]]+Table1[[#This Row],[Mid21]]+Table1[[#This Row],[Mid24]]</f>
        <v>0</v>
      </c>
      <c r="CQ485" s="19">
        <f>Table1[[#This Row],[Mid27]]+Table1[[#This Row],[Mid30]]+Table1[[#This Row],[Mid33]]+Table1[[#This Row],[Mid36]]+Table1[[#This Row],[Mid39]]</f>
        <v>347</v>
      </c>
      <c r="CR485" t="s">
        <v>439</v>
      </c>
      <c r="CS485" s="19" t="str">
        <f>IF(AND(Table1[[#This Row],[Low41]]=0, Table1[[#This Row],[High43]]=0),"N","Y")</f>
        <v>Y</v>
      </c>
    </row>
    <row r="486" spans="1:97" ht="19.5" customHeight="1" x14ac:dyDescent="0.25">
      <c r="A486">
        <v>10484</v>
      </c>
      <c r="B486" t="s">
        <v>1576</v>
      </c>
      <c r="C486" t="s">
        <v>165</v>
      </c>
      <c r="D486">
        <v>37.472222219999999</v>
      </c>
      <c r="E486">
        <v>129.19638889999999</v>
      </c>
      <c r="F486" t="s">
        <v>1601</v>
      </c>
      <c r="H486" t="s">
        <v>252</v>
      </c>
      <c r="I486" t="s">
        <v>118</v>
      </c>
      <c r="J486" t="s">
        <v>119</v>
      </c>
      <c r="K486" t="s">
        <v>190</v>
      </c>
      <c r="L486" t="s">
        <v>18</v>
      </c>
      <c r="M486" t="s">
        <v>252</v>
      </c>
      <c r="N486" s="6" t="s">
        <v>1579</v>
      </c>
      <c r="O486" t="s">
        <v>1602</v>
      </c>
      <c r="P486" t="s">
        <v>170</v>
      </c>
      <c r="Q486" t="s">
        <v>1150</v>
      </c>
      <c r="R486" t="s">
        <v>1582</v>
      </c>
      <c r="T486" t="s">
        <v>128</v>
      </c>
      <c r="U486" t="s">
        <v>129</v>
      </c>
      <c r="V486">
        <v>0</v>
      </c>
      <c r="W486">
        <v>0</v>
      </c>
      <c r="X486">
        <v>0</v>
      </c>
      <c r="Y486">
        <v>0</v>
      </c>
      <c r="Z486">
        <v>0</v>
      </c>
      <c r="AA486">
        <v>0</v>
      </c>
      <c r="AB486">
        <v>0</v>
      </c>
      <c r="AC486">
        <v>0</v>
      </c>
      <c r="AD486">
        <v>0</v>
      </c>
      <c r="AF486">
        <v>200</v>
      </c>
      <c r="AG486">
        <v>0</v>
      </c>
      <c r="AH486" t="s">
        <v>1121</v>
      </c>
      <c r="AI486">
        <v>0</v>
      </c>
      <c r="AJ486">
        <v>0</v>
      </c>
      <c r="AK486">
        <v>0</v>
      </c>
      <c r="AL486">
        <v>0</v>
      </c>
      <c r="AM486" t="s">
        <v>1603</v>
      </c>
      <c r="AN486" t="s">
        <v>132</v>
      </c>
      <c r="CC486">
        <v>877</v>
      </c>
      <c r="CE48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86" s="19">
        <f>SUM(Table1[[#This Row],[Mid39]],Table1[[#This Row],[Mid36]],Table1[[#This Row],[Mid33]],Table1[[#This Row],[Mid30]],Table1[[#This Row],[Mid27]],Table1[[#This Row],[Mid24]],Table1[[#This Row],[Mid21]],Table1[[#This Row],[Mid18]],Table1[[#This Row],[Mid15]],Table1[[#This Row],[Mid12]],Table1[[#This Row],[Mid9]],Table1[[#This Row],[Mid6]],Table1[[#This Row],[Mid3]],Table1[[#This Row],[Mid]])</f>
        <v>877</v>
      </c>
      <c r="CG48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86" t="s">
        <v>133</v>
      </c>
      <c r="CI486" t="s">
        <v>134</v>
      </c>
      <c r="CJ486" t="s">
        <v>158</v>
      </c>
      <c r="CL486" s="19">
        <f>IF(Table1[[#This Row],[Type]]="Petroleum",1,IF(ISERROR(Table1[[#This Row],[Well Density]]*Table1[[#This Row],[Single Well Discovery Area]]),"",IF(Table1[[#This Row],[Well Density]]*Table1[[#This Row],[Single Well Discovery Area]]&gt;1,1,Table1[[#This Row],[Well Density]]*Table1[[#This Row],[Single Well Discovery Area]])))</f>
        <v>0</v>
      </c>
      <c r="CM486" t="s">
        <v>158</v>
      </c>
      <c r="CN486" s="19">
        <f>Table1[[#This Row],[Mid]]</f>
        <v>0</v>
      </c>
      <c r="CO486" s="19">
        <f>Table1[[#This Row],[Mid3]]+Table1[[#This Row],[Mid6]]+Table1[[#This Row],[Mid9]]</f>
        <v>0</v>
      </c>
      <c r="CP486" s="19">
        <f>Table1[[#This Row],[Mid12]]+Table1[[#This Row],[Mid15]]+Table1[[#This Row],[Mid18]]+Table1[[#This Row],[Mid21]]+Table1[[#This Row],[Mid24]]</f>
        <v>0</v>
      </c>
      <c r="CQ486" s="19">
        <f>Table1[[#This Row],[Mid27]]+Table1[[#This Row],[Mid30]]+Table1[[#This Row],[Mid33]]+Table1[[#This Row],[Mid36]]+Table1[[#This Row],[Mid39]]</f>
        <v>877</v>
      </c>
      <c r="CR486" t="s">
        <v>439</v>
      </c>
      <c r="CS486" s="19" t="str">
        <f>IF(AND(Table1[[#This Row],[Low41]]=0, Table1[[#This Row],[High43]]=0),"N","Y")</f>
        <v>N</v>
      </c>
    </row>
    <row r="487" spans="1:97" ht="19.5" customHeight="1" x14ac:dyDescent="0.25">
      <c r="A487">
        <v>10485</v>
      </c>
      <c r="B487" t="s">
        <v>1576</v>
      </c>
      <c r="C487" t="s">
        <v>165</v>
      </c>
      <c r="D487">
        <v>35.207777780000001</v>
      </c>
      <c r="E487">
        <v>129.56777779999999</v>
      </c>
      <c r="F487" t="s">
        <v>1604</v>
      </c>
      <c r="H487" t="s">
        <v>1605</v>
      </c>
      <c r="I487" t="s">
        <v>1606</v>
      </c>
      <c r="J487" t="s">
        <v>202</v>
      </c>
      <c r="K487" t="s">
        <v>203</v>
      </c>
      <c r="L487" t="s">
        <v>121</v>
      </c>
      <c r="N487" s="6" t="s">
        <v>1607</v>
      </c>
      <c r="O487" t="s">
        <v>1608</v>
      </c>
      <c r="P487" t="s">
        <v>1609</v>
      </c>
      <c r="Q487" t="s">
        <v>1610</v>
      </c>
      <c r="R487" t="s">
        <v>1611</v>
      </c>
      <c r="S487">
        <v>2018</v>
      </c>
      <c r="T487" t="s">
        <v>128</v>
      </c>
      <c r="U487" t="s">
        <v>129</v>
      </c>
      <c r="V487">
        <v>0</v>
      </c>
      <c r="W487">
        <v>2650</v>
      </c>
      <c r="X487">
        <v>100</v>
      </c>
      <c r="Y487">
        <v>0</v>
      </c>
      <c r="Z487">
        <v>25</v>
      </c>
      <c r="AA487">
        <v>0</v>
      </c>
      <c r="AB487">
        <v>0</v>
      </c>
      <c r="AC487">
        <v>0</v>
      </c>
      <c r="AD487">
        <v>0</v>
      </c>
      <c r="AF487">
        <v>200</v>
      </c>
      <c r="AG487">
        <v>1.7305847599999999</v>
      </c>
      <c r="AH487" t="s">
        <v>130</v>
      </c>
      <c r="AI487">
        <v>0</v>
      </c>
      <c r="AJ487">
        <v>0</v>
      </c>
      <c r="AK487">
        <v>0</v>
      </c>
      <c r="AL487">
        <v>0</v>
      </c>
      <c r="AM487" t="s">
        <v>1612</v>
      </c>
      <c r="AN487" t="s">
        <v>132</v>
      </c>
      <c r="BN487">
        <v>20.9</v>
      </c>
      <c r="CE48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87" s="19">
        <f>SUM(Table1[[#This Row],[Mid39]],Table1[[#This Row],[Mid36]],Table1[[#This Row],[Mid33]],Table1[[#This Row],[Mid30]],Table1[[#This Row],[Mid27]],Table1[[#This Row],[Mid24]],Table1[[#This Row],[Mid21]],Table1[[#This Row],[Mid18]],Table1[[#This Row],[Mid15]],Table1[[#This Row],[Mid12]],Table1[[#This Row],[Mid9]],Table1[[#This Row],[Mid6]],Table1[[#This Row],[Mid3]],Table1[[#This Row],[Mid]])</f>
        <v>20.9</v>
      </c>
      <c r="CG48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87" t="s">
        <v>133</v>
      </c>
      <c r="CI487" t="s">
        <v>134</v>
      </c>
      <c r="CJ487" t="s">
        <v>135</v>
      </c>
      <c r="CL487" s="19">
        <f>IF(Table1[[#This Row],[Type]]="Petroleum",1,IF(ISERROR(Table1[[#This Row],[Well Density]]*Table1[[#This Row],[Single Well Discovery Area]]),"",IF(Table1[[#This Row],[Well Density]]*Table1[[#This Row],[Single Well Discovery Area]]&gt;1,1,Table1[[#This Row],[Well Density]]*Table1[[#This Row],[Single Well Discovery Area]])))</f>
        <v>1</v>
      </c>
      <c r="CM487" t="s">
        <v>158</v>
      </c>
      <c r="CN487" s="19">
        <f>Table1[[#This Row],[Mid]]</f>
        <v>0</v>
      </c>
      <c r="CO487" s="19">
        <f>Table1[[#This Row],[Mid3]]+Table1[[#This Row],[Mid6]]+Table1[[#This Row],[Mid9]]</f>
        <v>0</v>
      </c>
      <c r="CP487" s="19">
        <f>Table1[[#This Row],[Mid12]]+Table1[[#This Row],[Mid15]]+Table1[[#This Row],[Mid18]]+Table1[[#This Row],[Mid21]]+Table1[[#This Row],[Mid24]]</f>
        <v>20.9</v>
      </c>
      <c r="CQ487" s="19">
        <f>Table1[[#This Row],[Mid27]]+Table1[[#This Row],[Mid30]]+Table1[[#This Row],[Mid33]]+Table1[[#This Row],[Mid36]]+Table1[[#This Row],[Mid39]]</f>
        <v>0</v>
      </c>
      <c r="CR487" t="s">
        <v>439</v>
      </c>
      <c r="CS487" s="19" t="str">
        <f>IF(AND(Table1[[#This Row],[Low41]]=0, Table1[[#This Row],[High43]]=0),"N","Y")</f>
        <v>N</v>
      </c>
    </row>
    <row r="488" spans="1:97" ht="19.5" customHeight="1" x14ac:dyDescent="0.25">
      <c r="A488">
        <v>10486</v>
      </c>
      <c r="B488" t="s">
        <v>1576</v>
      </c>
      <c r="C488" t="s">
        <v>165</v>
      </c>
      <c r="D488">
        <v>31.65138889</v>
      </c>
      <c r="E488">
        <v>126.99777779999999</v>
      </c>
      <c r="F488" t="s">
        <v>1613</v>
      </c>
      <c r="G488" t="s">
        <v>903</v>
      </c>
      <c r="H488" t="s">
        <v>255</v>
      </c>
      <c r="I488" t="s">
        <v>118</v>
      </c>
      <c r="J488" t="s">
        <v>119</v>
      </c>
      <c r="K488" t="s">
        <v>190</v>
      </c>
      <c r="L488" t="s">
        <v>18</v>
      </c>
      <c r="M488" t="s">
        <v>1614</v>
      </c>
      <c r="N488" s="6" t="s">
        <v>1615</v>
      </c>
      <c r="O488" t="s">
        <v>1616</v>
      </c>
      <c r="P488" t="s">
        <v>1617</v>
      </c>
      <c r="Q488" t="s">
        <v>1618</v>
      </c>
      <c r="R488" t="s">
        <v>1619</v>
      </c>
      <c r="S488">
        <v>2014</v>
      </c>
      <c r="T488" t="s">
        <v>128</v>
      </c>
      <c r="U488" t="s">
        <v>129</v>
      </c>
      <c r="V488">
        <v>39320</v>
      </c>
      <c r="W488">
        <v>2565</v>
      </c>
      <c r="X488">
        <v>2650</v>
      </c>
      <c r="Y488">
        <v>35</v>
      </c>
      <c r="Z488">
        <v>17</v>
      </c>
      <c r="AC488">
        <v>688</v>
      </c>
      <c r="AD488">
        <v>8</v>
      </c>
      <c r="AE488">
        <v>2.0345899999999999E-4</v>
      </c>
      <c r="AF488">
        <v>200</v>
      </c>
      <c r="AG488">
        <v>1.8271113999999999</v>
      </c>
      <c r="AH488" t="s">
        <v>1620</v>
      </c>
      <c r="AK488">
        <v>0</v>
      </c>
      <c r="AL488">
        <v>0</v>
      </c>
      <c r="AM488" t="s">
        <v>1621</v>
      </c>
      <c r="AN488" t="s">
        <v>132</v>
      </c>
      <c r="BY488">
        <v>23470</v>
      </c>
      <c r="BZ488">
        <v>196150</v>
      </c>
      <c r="CA488">
        <v>687080</v>
      </c>
      <c r="CE488" s="19">
        <f>SUM(Table1[[#This Row],[Low38]],Table1[[#This Row],[Low35]],Table1[[#This Row],[Low32]],Table1[[#This Row],[Low29]],Table1[[#This Row],[Low26]],Table1[[#This Row],[Low23]],Table1[[#This Row],[Low20]],Table1[[#This Row],[Low17]],Table1[[#This Row],[Low14]],Table1[[#This Row],[Low11]],Table1[[#This Row],[Low8]],Table1[[#This Row],[Low5]],Table1[[#This Row],[Low2]],Table1[[#This Row],[Low]])</f>
        <v>23470</v>
      </c>
      <c r="CF488" s="19">
        <f>SUM(Table1[[#This Row],[Mid39]],Table1[[#This Row],[Mid36]],Table1[[#This Row],[Mid33]],Table1[[#This Row],[Mid30]],Table1[[#This Row],[Mid27]],Table1[[#This Row],[Mid24]],Table1[[#This Row],[Mid21]],Table1[[#This Row],[Mid18]],Table1[[#This Row],[Mid15]],Table1[[#This Row],[Mid12]],Table1[[#This Row],[Mid9]],Table1[[#This Row],[Mid6]],Table1[[#This Row],[Mid3]],Table1[[#This Row],[Mid]])</f>
        <v>196150</v>
      </c>
      <c r="CG48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687080</v>
      </c>
      <c r="CH488" t="s">
        <v>157</v>
      </c>
      <c r="CI488" t="s">
        <v>134</v>
      </c>
      <c r="CJ488" t="s">
        <v>158</v>
      </c>
      <c r="CL488" s="19">
        <f>IF(Table1[[#This Row],[Type]]="Petroleum",1,IF(ISERROR(Table1[[#This Row],[Well Density]]*Table1[[#This Row],[Single Well Discovery Area]]),"",IF(Table1[[#This Row],[Well Density]]*Table1[[#This Row],[Single Well Discovery Area]]&gt;1,1,Table1[[#This Row],[Well Density]]*Table1[[#This Row],[Single Well Discovery Area]])))</f>
        <v>4.06918E-2</v>
      </c>
      <c r="CM488" t="s">
        <v>158</v>
      </c>
      <c r="CN488" s="19">
        <f>Table1[[#This Row],[Mid]]</f>
        <v>0</v>
      </c>
      <c r="CO488" s="19">
        <f>Table1[[#This Row],[Mid3]]+Table1[[#This Row],[Mid6]]+Table1[[#This Row],[Mid9]]</f>
        <v>0</v>
      </c>
      <c r="CP488" s="19">
        <f>Table1[[#This Row],[Mid12]]+Table1[[#This Row],[Mid15]]+Table1[[#This Row],[Mid18]]+Table1[[#This Row],[Mid21]]+Table1[[#This Row],[Mid24]]</f>
        <v>0</v>
      </c>
      <c r="CQ488" s="19">
        <f>Table1[[#This Row],[Mid27]]+Table1[[#This Row],[Mid30]]+Table1[[#This Row],[Mid33]]+Table1[[#This Row],[Mid36]]+Table1[[#This Row],[Mid39]]</f>
        <v>196150</v>
      </c>
      <c r="CR488" t="s">
        <v>439</v>
      </c>
      <c r="CS488" s="19" t="str">
        <f>IF(AND(Table1[[#This Row],[Low41]]=0, Table1[[#This Row],[High43]]=0),"N","Y")</f>
        <v>Y</v>
      </c>
    </row>
    <row r="489" spans="1:97" ht="19.5" customHeight="1" x14ac:dyDescent="0.25">
      <c r="A489">
        <v>10487</v>
      </c>
      <c r="B489" t="s">
        <v>1576</v>
      </c>
      <c r="C489" t="s">
        <v>165</v>
      </c>
      <c r="D489">
        <v>36.046388890000003</v>
      </c>
      <c r="E489">
        <v>129.42277780000001</v>
      </c>
      <c r="F489" t="s">
        <v>1622</v>
      </c>
      <c r="I489" t="s">
        <v>118</v>
      </c>
      <c r="J489" t="s">
        <v>119</v>
      </c>
      <c r="K489" t="s">
        <v>190</v>
      </c>
      <c r="L489" t="s">
        <v>18</v>
      </c>
      <c r="M489" t="s">
        <v>1177</v>
      </c>
      <c r="N489" s="6" t="s">
        <v>1579</v>
      </c>
      <c r="O489" t="s">
        <v>1623</v>
      </c>
      <c r="Q489" t="s">
        <v>1624</v>
      </c>
      <c r="R489" t="s">
        <v>1625</v>
      </c>
      <c r="T489" t="s">
        <v>128</v>
      </c>
      <c r="U489" t="s">
        <v>129</v>
      </c>
      <c r="V489"/>
      <c r="AD489">
        <v>0</v>
      </c>
      <c r="AF489">
        <v>200</v>
      </c>
      <c r="AG489">
        <v>0</v>
      </c>
      <c r="AK489">
        <v>0</v>
      </c>
      <c r="AL489">
        <v>0</v>
      </c>
      <c r="AM489" t="s">
        <v>436</v>
      </c>
      <c r="AN489" t="s">
        <v>132</v>
      </c>
      <c r="CC489">
        <v>38</v>
      </c>
      <c r="CE48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89" s="19">
        <f>SUM(Table1[[#This Row],[Mid39]],Table1[[#This Row],[Mid36]],Table1[[#This Row],[Mid33]],Table1[[#This Row],[Mid30]],Table1[[#This Row],[Mid27]],Table1[[#This Row],[Mid24]],Table1[[#This Row],[Mid21]],Table1[[#This Row],[Mid18]],Table1[[#This Row],[Mid15]],Table1[[#This Row],[Mid12]],Table1[[#This Row],[Mid9]],Table1[[#This Row],[Mid6]],Table1[[#This Row],[Mid3]],Table1[[#This Row],[Mid]])</f>
        <v>38</v>
      </c>
      <c r="CG48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89" t="s">
        <v>157</v>
      </c>
      <c r="CI489" t="s">
        <v>134</v>
      </c>
      <c r="CJ489" t="s">
        <v>158</v>
      </c>
      <c r="CL489" s="19">
        <f>IF(Table1[[#This Row],[Type]]="Petroleum",1,IF(ISERROR(Table1[[#This Row],[Well Density]]*Table1[[#This Row],[Single Well Discovery Area]]),"",IF(Table1[[#This Row],[Well Density]]*Table1[[#This Row],[Single Well Discovery Area]]&gt;1,1,Table1[[#This Row],[Well Density]]*Table1[[#This Row],[Single Well Discovery Area]])))</f>
        <v>0</v>
      </c>
      <c r="CM489" t="s">
        <v>135</v>
      </c>
      <c r="CN489" s="19">
        <f>Table1[[#This Row],[Mid]]</f>
        <v>0</v>
      </c>
      <c r="CO489" s="19">
        <f>Table1[[#This Row],[Mid3]]+Table1[[#This Row],[Mid6]]+Table1[[#This Row],[Mid9]]</f>
        <v>0</v>
      </c>
      <c r="CP489" s="19">
        <f>Table1[[#This Row],[Mid12]]+Table1[[#This Row],[Mid15]]+Table1[[#This Row],[Mid18]]+Table1[[#This Row],[Mid21]]+Table1[[#This Row],[Mid24]]</f>
        <v>0</v>
      </c>
      <c r="CQ489" s="19">
        <f>Table1[[#This Row],[Mid27]]+Table1[[#This Row],[Mid30]]+Table1[[#This Row],[Mid33]]+Table1[[#This Row],[Mid36]]+Table1[[#This Row],[Mid39]]</f>
        <v>38</v>
      </c>
      <c r="CR489" t="s">
        <v>439</v>
      </c>
      <c r="CS489" s="19" t="str">
        <f>IF(AND(Table1[[#This Row],[Low41]]=0, Table1[[#This Row],[High43]]=0),"N","Y")</f>
        <v>N</v>
      </c>
    </row>
    <row r="490" spans="1:97" ht="19.5" customHeight="1" x14ac:dyDescent="0.25">
      <c r="A490">
        <v>10488</v>
      </c>
      <c r="B490" t="s">
        <v>1576</v>
      </c>
      <c r="C490" t="s">
        <v>165</v>
      </c>
      <c r="D490">
        <v>35.186944439999998</v>
      </c>
      <c r="E490">
        <v>129.65472220000001</v>
      </c>
      <c r="F490" t="s">
        <v>1626</v>
      </c>
      <c r="H490" t="s">
        <v>255</v>
      </c>
      <c r="I490" t="s">
        <v>118</v>
      </c>
      <c r="J490" t="s">
        <v>119</v>
      </c>
      <c r="K490" t="s">
        <v>190</v>
      </c>
      <c r="L490" t="s">
        <v>18</v>
      </c>
      <c r="M490" t="s">
        <v>1614</v>
      </c>
      <c r="N490" s="6" t="s">
        <v>1627</v>
      </c>
      <c r="O490" t="s">
        <v>1628</v>
      </c>
      <c r="P490" t="s">
        <v>170</v>
      </c>
      <c r="Q490" t="s">
        <v>1629</v>
      </c>
      <c r="R490" t="s">
        <v>1630</v>
      </c>
      <c r="S490">
        <v>2013</v>
      </c>
      <c r="T490" t="s">
        <v>128</v>
      </c>
      <c r="U490" t="s">
        <v>129</v>
      </c>
      <c r="V490">
        <v>13000</v>
      </c>
      <c r="W490">
        <v>2000</v>
      </c>
      <c r="X490">
        <v>2200</v>
      </c>
      <c r="AD490">
        <v>23</v>
      </c>
      <c r="AE490">
        <v>1.769231E-3</v>
      </c>
      <c r="AF490">
        <v>200</v>
      </c>
      <c r="AG490">
        <v>0</v>
      </c>
      <c r="AH490" t="s">
        <v>1620</v>
      </c>
      <c r="AI490">
        <v>5.5</v>
      </c>
      <c r="AK490">
        <v>0</v>
      </c>
      <c r="AL490">
        <v>0</v>
      </c>
      <c r="AM490" t="s">
        <v>1631</v>
      </c>
      <c r="AN490" t="s">
        <v>132</v>
      </c>
      <c r="BY490">
        <v>2053</v>
      </c>
      <c r="BZ490">
        <v>5131</v>
      </c>
      <c r="CA490">
        <v>12782</v>
      </c>
      <c r="CE490" s="19">
        <f>SUM(Table1[[#This Row],[Low38]],Table1[[#This Row],[Low35]],Table1[[#This Row],[Low32]],Table1[[#This Row],[Low29]],Table1[[#This Row],[Low26]],Table1[[#This Row],[Low23]],Table1[[#This Row],[Low20]],Table1[[#This Row],[Low17]],Table1[[#This Row],[Low14]],Table1[[#This Row],[Low11]],Table1[[#This Row],[Low8]],Table1[[#This Row],[Low5]],Table1[[#This Row],[Low2]],Table1[[#This Row],[Low]])</f>
        <v>2053</v>
      </c>
      <c r="CF490" s="19">
        <f>SUM(Table1[[#This Row],[Mid39]],Table1[[#This Row],[Mid36]],Table1[[#This Row],[Mid33]],Table1[[#This Row],[Mid30]],Table1[[#This Row],[Mid27]],Table1[[#This Row],[Mid24]],Table1[[#This Row],[Mid21]],Table1[[#This Row],[Mid18]],Table1[[#This Row],[Mid15]],Table1[[#This Row],[Mid12]],Table1[[#This Row],[Mid9]],Table1[[#This Row],[Mid6]],Table1[[#This Row],[Mid3]],Table1[[#This Row],[Mid]])</f>
        <v>5131</v>
      </c>
      <c r="CG49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12782</v>
      </c>
      <c r="CH490" t="s">
        <v>157</v>
      </c>
      <c r="CI490" t="s">
        <v>134</v>
      </c>
      <c r="CJ490" t="s">
        <v>158</v>
      </c>
      <c r="CL490" s="19">
        <f>IF(Table1[[#This Row],[Type]]="Petroleum",1,IF(ISERROR(Table1[[#This Row],[Well Density]]*Table1[[#This Row],[Single Well Discovery Area]]),"",IF(Table1[[#This Row],[Well Density]]*Table1[[#This Row],[Single Well Discovery Area]]&gt;1,1,Table1[[#This Row],[Well Density]]*Table1[[#This Row],[Single Well Discovery Area]])))</f>
        <v>0.3538462</v>
      </c>
      <c r="CM490" t="s">
        <v>158</v>
      </c>
      <c r="CN490" s="19">
        <f>Table1[[#This Row],[Mid]]</f>
        <v>0</v>
      </c>
      <c r="CO490" s="19">
        <f>Table1[[#This Row],[Mid3]]+Table1[[#This Row],[Mid6]]+Table1[[#This Row],[Mid9]]</f>
        <v>0</v>
      </c>
      <c r="CP490" s="19">
        <f>Table1[[#This Row],[Mid12]]+Table1[[#This Row],[Mid15]]+Table1[[#This Row],[Mid18]]+Table1[[#This Row],[Mid21]]+Table1[[#This Row],[Mid24]]</f>
        <v>0</v>
      </c>
      <c r="CQ490" s="19">
        <f>Table1[[#This Row],[Mid27]]+Table1[[#This Row],[Mid30]]+Table1[[#This Row],[Mid33]]+Table1[[#This Row],[Mid36]]+Table1[[#This Row],[Mid39]]</f>
        <v>5131</v>
      </c>
      <c r="CR490" t="s">
        <v>439</v>
      </c>
      <c r="CS490" s="19" t="str">
        <f>IF(AND(Table1[[#This Row],[Low41]]=0, Table1[[#This Row],[High43]]=0),"N","Y")</f>
        <v>Y</v>
      </c>
    </row>
    <row r="491" spans="1:97" ht="19.5" customHeight="1" x14ac:dyDescent="0.25">
      <c r="A491">
        <v>10489</v>
      </c>
      <c r="B491" t="s">
        <v>1632</v>
      </c>
      <c r="C491" t="s">
        <v>430</v>
      </c>
      <c r="D491">
        <v>6.9308333329999998</v>
      </c>
      <c r="E491">
        <v>79.861666670000005</v>
      </c>
      <c r="F491" t="s">
        <v>1633</v>
      </c>
      <c r="I491" t="s">
        <v>582</v>
      </c>
      <c r="J491" t="s">
        <v>202</v>
      </c>
      <c r="K491" t="s">
        <v>203</v>
      </c>
      <c r="L491" t="s">
        <v>121</v>
      </c>
      <c r="N491" s="6" t="s">
        <v>434</v>
      </c>
      <c r="O491" t="s">
        <v>435</v>
      </c>
      <c r="P491" t="s">
        <v>436</v>
      </c>
      <c r="Q491" t="s">
        <v>437</v>
      </c>
      <c r="R491" t="s">
        <v>1634</v>
      </c>
      <c r="S491">
        <v>2008</v>
      </c>
      <c r="T491" t="s">
        <v>207</v>
      </c>
      <c r="U491" t="s">
        <v>173</v>
      </c>
      <c r="V491"/>
      <c r="AF491">
        <v>200</v>
      </c>
      <c r="AG491">
        <v>0</v>
      </c>
      <c r="AK491">
        <v>0</v>
      </c>
      <c r="AL491">
        <v>0</v>
      </c>
      <c r="AN491" t="s">
        <v>132</v>
      </c>
      <c r="CE49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9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49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91" t="s">
        <v>157</v>
      </c>
      <c r="CI491" t="s">
        <v>176</v>
      </c>
      <c r="CJ491" t="s">
        <v>158</v>
      </c>
      <c r="CL491" s="19">
        <f>IF(Table1[[#This Row],[Type]]="Petroleum",1,IF(ISERROR(Table1[[#This Row],[Well Density]]*Table1[[#This Row],[Single Well Discovery Area]]),"",IF(Table1[[#This Row],[Well Density]]*Table1[[#This Row],[Single Well Discovery Area]]&gt;1,1,Table1[[#This Row],[Well Density]]*Table1[[#This Row],[Single Well Discovery Area]])))</f>
        <v>1</v>
      </c>
      <c r="CM491" t="s">
        <v>158</v>
      </c>
      <c r="CN491" s="19">
        <f>Table1[[#This Row],[Mid]]</f>
        <v>0</v>
      </c>
      <c r="CO491" s="19">
        <f>Table1[[#This Row],[Mid3]]+Table1[[#This Row],[Mid6]]+Table1[[#This Row],[Mid9]]</f>
        <v>0</v>
      </c>
      <c r="CP491" s="19">
        <f>Table1[[#This Row],[Mid12]]+Table1[[#This Row],[Mid15]]+Table1[[#This Row],[Mid18]]+Table1[[#This Row],[Mid21]]+Table1[[#This Row],[Mid24]]</f>
        <v>0</v>
      </c>
      <c r="CQ491" s="19">
        <f>Table1[[#This Row],[Mid27]]+Table1[[#This Row],[Mid30]]+Table1[[#This Row],[Mid33]]+Table1[[#This Row],[Mid36]]+Table1[[#This Row],[Mid39]]</f>
        <v>0</v>
      </c>
      <c r="CR491" t="s">
        <v>439</v>
      </c>
      <c r="CS491" s="19" t="str">
        <f>IF(AND(Table1[[#This Row],[Low41]]=0, Table1[[#This Row],[High43]]=0),"N","Y")</f>
        <v>N</v>
      </c>
    </row>
    <row r="492" spans="1:97" ht="19.5" customHeight="1" x14ac:dyDescent="0.25">
      <c r="A492">
        <v>10490</v>
      </c>
      <c r="B492" t="s">
        <v>1635</v>
      </c>
      <c r="C492" t="s">
        <v>1636</v>
      </c>
      <c r="D492">
        <v>53.876666669999999</v>
      </c>
      <c r="E492">
        <v>-3.4622222219999998</v>
      </c>
      <c r="F492" t="s">
        <v>1637</v>
      </c>
      <c r="G492" t="s">
        <v>1636</v>
      </c>
      <c r="H492" t="s">
        <v>1638</v>
      </c>
      <c r="I492" t="s">
        <v>1606</v>
      </c>
      <c r="J492" t="s">
        <v>202</v>
      </c>
      <c r="K492" t="s">
        <v>203</v>
      </c>
      <c r="L492" t="s">
        <v>121</v>
      </c>
      <c r="M492" t="s">
        <v>412</v>
      </c>
      <c r="N492" s="6" t="s">
        <v>1639</v>
      </c>
      <c r="O492" t="s">
        <v>1640</v>
      </c>
      <c r="P492" t="s">
        <v>436</v>
      </c>
      <c r="Q492" t="s">
        <v>1641</v>
      </c>
      <c r="R492" t="s">
        <v>1642</v>
      </c>
      <c r="S492">
        <v>2015</v>
      </c>
      <c r="T492" t="s">
        <v>771</v>
      </c>
      <c r="U492" t="s">
        <v>1479</v>
      </c>
      <c r="V492"/>
      <c r="AF492">
        <v>200</v>
      </c>
      <c r="AG492">
        <v>0</v>
      </c>
      <c r="AK492">
        <v>0</v>
      </c>
      <c r="AL492">
        <v>0</v>
      </c>
      <c r="AN492" t="s">
        <v>132</v>
      </c>
      <c r="BH492">
        <v>9</v>
      </c>
      <c r="CE49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92" s="19">
        <f>SUM(Table1[[#This Row],[Mid39]],Table1[[#This Row],[Mid36]],Table1[[#This Row],[Mid33]],Table1[[#This Row],[Mid30]],Table1[[#This Row],[Mid27]],Table1[[#This Row],[Mid24]],Table1[[#This Row],[Mid21]],Table1[[#This Row],[Mid18]],Table1[[#This Row],[Mid15]],Table1[[#This Row],[Mid12]],Table1[[#This Row],[Mid9]],Table1[[#This Row],[Mid6]],Table1[[#This Row],[Mid3]],Table1[[#This Row],[Mid]])</f>
        <v>9</v>
      </c>
      <c r="CG49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92" t="s">
        <v>133</v>
      </c>
      <c r="CI492" t="s">
        <v>134</v>
      </c>
      <c r="CJ492" t="s">
        <v>158</v>
      </c>
      <c r="CL492" s="19">
        <f>IF(Table1[[#This Row],[Type]]="Petroleum",1,IF(ISERROR(Table1[[#This Row],[Well Density]]*Table1[[#This Row],[Single Well Discovery Area]]),"",IF(Table1[[#This Row],[Well Density]]*Table1[[#This Row],[Single Well Discovery Area]]&gt;1,1,Table1[[#This Row],[Well Density]]*Table1[[#This Row],[Single Well Discovery Area]])))</f>
        <v>1</v>
      </c>
      <c r="CM492" t="s">
        <v>158</v>
      </c>
      <c r="CN492" s="19">
        <f>Table1[[#This Row],[Mid]]</f>
        <v>0</v>
      </c>
      <c r="CO492" s="19">
        <f>Table1[[#This Row],[Mid3]]+Table1[[#This Row],[Mid6]]+Table1[[#This Row],[Mid9]]</f>
        <v>0</v>
      </c>
      <c r="CP492" s="19">
        <f>Table1[[#This Row],[Mid12]]+Table1[[#This Row],[Mid15]]+Table1[[#This Row],[Mid18]]+Table1[[#This Row],[Mid21]]+Table1[[#This Row],[Mid24]]</f>
        <v>9</v>
      </c>
      <c r="CQ492" s="19">
        <f>Table1[[#This Row],[Mid27]]+Table1[[#This Row],[Mid30]]+Table1[[#This Row],[Mid33]]+Table1[[#This Row],[Mid36]]+Table1[[#This Row],[Mid39]]</f>
        <v>0</v>
      </c>
      <c r="CR492" t="s">
        <v>415</v>
      </c>
      <c r="CS492" s="19" t="str">
        <f>IF(AND(Table1[[#This Row],[Low41]]=0, Table1[[#This Row],[High43]]=0),"N","Y")</f>
        <v>N</v>
      </c>
    </row>
    <row r="493" spans="1:97" ht="19.5" customHeight="1" x14ac:dyDescent="0.25">
      <c r="A493">
        <v>10491</v>
      </c>
      <c r="B493" t="s">
        <v>1635</v>
      </c>
      <c r="C493" t="s">
        <v>1636</v>
      </c>
      <c r="D493">
        <v>53.793055559999999</v>
      </c>
      <c r="E493">
        <v>-3.664722222</v>
      </c>
      <c r="F493" t="s">
        <v>1643</v>
      </c>
      <c r="G493" t="s">
        <v>1636</v>
      </c>
      <c r="H493" t="s">
        <v>1638</v>
      </c>
      <c r="I493" t="s">
        <v>1606</v>
      </c>
      <c r="J493" t="s">
        <v>202</v>
      </c>
      <c r="K493" t="s">
        <v>203</v>
      </c>
      <c r="L493" t="s">
        <v>121</v>
      </c>
      <c r="M493" t="s">
        <v>412</v>
      </c>
      <c r="N493" s="6" t="s">
        <v>1639</v>
      </c>
      <c r="O493" t="s">
        <v>1644</v>
      </c>
      <c r="P493" t="s">
        <v>436</v>
      </c>
      <c r="Q493" t="s">
        <v>1641</v>
      </c>
      <c r="R493" t="s">
        <v>1642</v>
      </c>
      <c r="S493">
        <v>2015</v>
      </c>
      <c r="T493" t="s">
        <v>153</v>
      </c>
      <c r="U493" t="s">
        <v>173</v>
      </c>
      <c r="V493"/>
      <c r="AF493">
        <v>200</v>
      </c>
      <c r="AG493">
        <v>0</v>
      </c>
      <c r="AK493">
        <v>0</v>
      </c>
      <c r="AL493">
        <v>0</v>
      </c>
      <c r="AN493" t="s">
        <v>132</v>
      </c>
      <c r="BH493">
        <v>3</v>
      </c>
      <c r="CE49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93" s="19">
        <f>SUM(Table1[[#This Row],[Mid39]],Table1[[#This Row],[Mid36]],Table1[[#This Row],[Mid33]],Table1[[#This Row],[Mid30]],Table1[[#This Row],[Mid27]],Table1[[#This Row],[Mid24]],Table1[[#This Row],[Mid21]],Table1[[#This Row],[Mid18]],Table1[[#This Row],[Mid15]],Table1[[#This Row],[Mid12]],Table1[[#This Row],[Mid9]],Table1[[#This Row],[Mid6]],Table1[[#This Row],[Mid3]],Table1[[#This Row],[Mid]])</f>
        <v>3</v>
      </c>
      <c r="CG49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93" t="s">
        <v>133</v>
      </c>
      <c r="CI493" t="s">
        <v>134</v>
      </c>
      <c r="CJ493" t="s">
        <v>158</v>
      </c>
      <c r="CL493" s="19">
        <f>IF(Table1[[#This Row],[Type]]="Petroleum",1,IF(ISERROR(Table1[[#This Row],[Well Density]]*Table1[[#This Row],[Single Well Discovery Area]]),"",IF(Table1[[#This Row],[Well Density]]*Table1[[#This Row],[Single Well Discovery Area]]&gt;1,1,Table1[[#This Row],[Well Density]]*Table1[[#This Row],[Single Well Discovery Area]])))</f>
        <v>1</v>
      </c>
      <c r="CM493" t="s">
        <v>158</v>
      </c>
      <c r="CN493" s="19">
        <f>Table1[[#This Row],[Mid]]</f>
        <v>0</v>
      </c>
      <c r="CO493" s="19">
        <f>Table1[[#This Row],[Mid3]]+Table1[[#This Row],[Mid6]]+Table1[[#This Row],[Mid9]]</f>
        <v>0</v>
      </c>
      <c r="CP493" s="19">
        <f>Table1[[#This Row],[Mid12]]+Table1[[#This Row],[Mid15]]+Table1[[#This Row],[Mid18]]+Table1[[#This Row],[Mid21]]+Table1[[#This Row],[Mid24]]</f>
        <v>3</v>
      </c>
      <c r="CQ493" s="19">
        <f>Table1[[#This Row],[Mid27]]+Table1[[#This Row],[Mid30]]+Table1[[#This Row],[Mid33]]+Table1[[#This Row],[Mid36]]+Table1[[#This Row],[Mid39]]</f>
        <v>0</v>
      </c>
      <c r="CR493" t="s">
        <v>415</v>
      </c>
      <c r="CS493" s="19" t="str">
        <f>IF(AND(Table1[[#This Row],[Low41]]=0, Table1[[#This Row],[High43]]=0),"N","Y")</f>
        <v>N</v>
      </c>
    </row>
    <row r="494" spans="1:97" ht="19.5" customHeight="1" x14ac:dyDescent="0.25">
      <c r="A494">
        <v>10492</v>
      </c>
      <c r="B494" t="s">
        <v>1635</v>
      </c>
      <c r="C494" t="s">
        <v>1636</v>
      </c>
      <c r="D494">
        <v>53.89</v>
      </c>
      <c r="E494">
        <v>-3.7291666669999999</v>
      </c>
      <c r="F494" t="s">
        <v>1645</v>
      </c>
      <c r="G494" t="s">
        <v>1636</v>
      </c>
      <c r="H494" t="s">
        <v>1638</v>
      </c>
      <c r="I494" t="s">
        <v>1606</v>
      </c>
      <c r="J494" t="s">
        <v>202</v>
      </c>
      <c r="K494" t="s">
        <v>203</v>
      </c>
      <c r="L494" t="s">
        <v>121</v>
      </c>
      <c r="M494" t="s">
        <v>412</v>
      </c>
      <c r="N494" s="6" t="s">
        <v>1639</v>
      </c>
      <c r="O494" t="s">
        <v>1644</v>
      </c>
      <c r="P494" t="s">
        <v>436</v>
      </c>
      <c r="Q494" t="s">
        <v>1641</v>
      </c>
      <c r="R494" t="s">
        <v>1642</v>
      </c>
      <c r="S494">
        <v>2015</v>
      </c>
      <c r="T494" t="s">
        <v>153</v>
      </c>
      <c r="U494" t="s">
        <v>173</v>
      </c>
      <c r="V494"/>
      <c r="AF494">
        <v>200</v>
      </c>
      <c r="AG494">
        <v>0</v>
      </c>
      <c r="AK494">
        <v>0</v>
      </c>
      <c r="AL494">
        <v>0</v>
      </c>
      <c r="AN494" t="s">
        <v>132</v>
      </c>
      <c r="BH494">
        <v>7</v>
      </c>
      <c r="CE49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94" s="19">
        <f>SUM(Table1[[#This Row],[Mid39]],Table1[[#This Row],[Mid36]],Table1[[#This Row],[Mid33]],Table1[[#This Row],[Mid30]],Table1[[#This Row],[Mid27]],Table1[[#This Row],[Mid24]],Table1[[#This Row],[Mid21]],Table1[[#This Row],[Mid18]],Table1[[#This Row],[Mid15]],Table1[[#This Row],[Mid12]],Table1[[#This Row],[Mid9]],Table1[[#This Row],[Mid6]],Table1[[#This Row],[Mid3]],Table1[[#This Row],[Mid]])</f>
        <v>7</v>
      </c>
      <c r="CG49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94" t="s">
        <v>133</v>
      </c>
      <c r="CI494" t="s">
        <v>134</v>
      </c>
      <c r="CJ494" t="s">
        <v>158</v>
      </c>
      <c r="CL494" s="19">
        <f>IF(Table1[[#This Row],[Type]]="Petroleum",1,IF(ISERROR(Table1[[#This Row],[Well Density]]*Table1[[#This Row],[Single Well Discovery Area]]),"",IF(Table1[[#This Row],[Well Density]]*Table1[[#This Row],[Single Well Discovery Area]]&gt;1,1,Table1[[#This Row],[Well Density]]*Table1[[#This Row],[Single Well Discovery Area]])))</f>
        <v>1</v>
      </c>
      <c r="CM494" t="s">
        <v>158</v>
      </c>
      <c r="CN494" s="19">
        <f>Table1[[#This Row],[Mid]]</f>
        <v>0</v>
      </c>
      <c r="CO494" s="19">
        <f>Table1[[#This Row],[Mid3]]+Table1[[#This Row],[Mid6]]+Table1[[#This Row],[Mid9]]</f>
        <v>0</v>
      </c>
      <c r="CP494" s="19">
        <f>Table1[[#This Row],[Mid12]]+Table1[[#This Row],[Mid15]]+Table1[[#This Row],[Mid18]]+Table1[[#This Row],[Mid21]]+Table1[[#This Row],[Mid24]]</f>
        <v>7</v>
      </c>
      <c r="CQ494" s="19">
        <f>Table1[[#This Row],[Mid27]]+Table1[[#This Row],[Mid30]]+Table1[[#This Row],[Mid33]]+Table1[[#This Row],[Mid36]]+Table1[[#This Row],[Mid39]]</f>
        <v>0</v>
      </c>
      <c r="CR494" t="s">
        <v>415</v>
      </c>
      <c r="CS494" s="19" t="str">
        <f>IF(AND(Table1[[#This Row],[Low41]]=0, Table1[[#This Row],[High43]]=0),"N","Y")</f>
        <v>N</v>
      </c>
    </row>
    <row r="495" spans="1:97" ht="19.5" customHeight="1" x14ac:dyDescent="0.25">
      <c r="A495">
        <v>10493</v>
      </c>
      <c r="B495" t="s">
        <v>1635</v>
      </c>
      <c r="C495" t="s">
        <v>1636</v>
      </c>
      <c r="D495">
        <v>53.595277780000004</v>
      </c>
      <c r="E495">
        <v>-3.4080555559999999</v>
      </c>
      <c r="F495" t="s">
        <v>1646</v>
      </c>
      <c r="G495" t="s">
        <v>1636</v>
      </c>
      <c r="H495" t="s">
        <v>1638</v>
      </c>
      <c r="I495" t="s">
        <v>1606</v>
      </c>
      <c r="J495" t="s">
        <v>202</v>
      </c>
      <c r="K495" t="s">
        <v>203</v>
      </c>
      <c r="L495" t="s">
        <v>121</v>
      </c>
      <c r="M495" t="s">
        <v>412</v>
      </c>
      <c r="N495" s="6" t="s">
        <v>1639</v>
      </c>
      <c r="O495" t="s">
        <v>1644</v>
      </c>
      <c r="P495" t="s">
        <v>436</v>
      </c>
      <c r="Q495" t="s">
        <v>1641</v>
      </c>
      <c r="R495" t="s">
        <v>1642</v>
      </c>
      <c r="S495">
        <v>2015</v>
      </c>
      <c r="T495" t="s">
        <v>153</v>
      </c>
      <c r="U495" t="s">
        <v>1479</v>
      </c>
      <c r="V495">
        <v>0</v>
      </c>
      <c r="W495">
        <v>0</v>
      </c>
      <c r="X495">
        <v>0</v>
      </c>
      <c r="Y495">
        <v>0</v>
      </c>
      <c r="Z495">
        <v>0</v>
      </c>
      <c r="AA495">
        <v>0</v>
      </c>
      <c r="AB495">
        <v>0</v>
      </c>
      <c r="AC495">
        <v>0</v>
      </c>
      <c r="AD495">
        <v>0</v>
      </c>
      <c r="AF495">
        <v>200</v>
      </c>
      <c r="AG495">
        <v>0</v>
      </c>
      <c r="AI495">
        <v>0</v>
      </c>
      <c r="AJ495">
        <v>0</v>
      </c>
      <c r="AK495">
        <v>0</v>
      </c>
      <c r="AL495">
        <v>0</v>
      </c>
      <c r="AN495" t="s">
        <v>132</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10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95"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49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95" t="s">
        <v>133</v>
      </c>
      <c r="CI495" t="s">
        <v>134</v>
      </c>
      <c r="CJ495" t="s">
        <v>158</v>
      </c>
      <c r="CL495" s="19">
        <f>IF(Table1[[#This Row],[Type]]="Petroleum",1,IF(ISERROR(Table1[[#This Row],[Well Density]]*Table1[[#This Row],[Single Well Discovery Area]]),"",IF(Table1[[#This Row],[Well Density]]*Table1[[#This Row],[Single Well Discovery Area]]&gt;1,1,Table1[[#This Row],[Well Density]]*Table1[[#This Row],[Single Well Discovery Area]])))</f>
        <v>1</v>
      </c>
      <c r="CM495" t="s">
        <v>158</v>
      </c>
      <c r="CN495" s="19">
        <f>Table1[[#This Row],[Mid]]</f>
        <v>0</v>
      </c>
      <c r="CO495" s="19">
        <f>Table1[[#This Row],[Mid3]]+Table1[[#This Row],[Mid6]]+Table1[[#This Row],[Mid9]]</f>
        <v>0</v>
      </c>
      <c r="CP495" s="19">
        <f>Table1[[#This Row],[Mid12]]+Table1[[#This Row],[Mid15]]+Table1[[#This Row],[Mid18]]+Table1[[#This Row],[Mid21]]+Table1[[#This Row],[Mid24]]</f>
        <v>10</v>
      </c>
      <c r="CQ495" s="19">
        <f>Table1[[#This Row],[Mid27]]+Table1[[#This Row],[Mid30]]+Table1[[#This Row],[Mid33]]+Table1[[#This Row],[Mid36]]+Table1[[#This Row],[Mid39]]</f>
        <v>0</v>
      </c>
      <c r="CR495" t="s">
        <v>415</v>
      </c>
      <c r="CS495" s="19" t="str">
        <f>IF(AND(Table1[[#This Row],[Low41]]=0, Table1[[#This Row],[High43]]=0),"N","Y")</f>
        <v>N</v>
      </c>
    </row>
    <row r="496" spans="1:97" ht="19.5" customHeight="1" x14ac:dyDescent="0.25">
      <c r="A496">
        <v>10494</v>
      </c>
      <c r="B496" t="s">
        <v>1635</v>
      </c>
      <c r="C496" t="s">
        <v>1636</v>
      </c>
      <c r="D496">
        <v>53.566666669999996</v>
      </c>
      <c r="E496">
        <v>-3.4808333330000001</v>
      </c>
      <c r="F496" t="s">
        <v>1647</v>
      </c>
      <c r="G496" t="s">
        <v>1636</v>
      </c>
      <c r="H496" t="s">
        <v>1638</v>
      </c>
      <c r="I496" t="s">
        <v>1648</v>
      </c>
      <c r="J496" t="s">
        <v>202</v>
      </c>
      <c r="K496" t="s">
        <v>203</v>
      </c>
      <c r="L496" t="s">
        <v>121</v>
      </c>
      <c r="M496" t="s">
        <v>412</v>
      </c>
      <c r="N496" s="6" t="s">
        <v>1649</v>
      </c>
      <c r="O496" s="21" t="s">
        <v>1650</v>
      </c>
      <c r="P496" t="s">
        <v>1651</v>
      </c>
      <c r="Q496" s="21" t="s">
        <v>1652</v>
      </c>
      <c r="R496" t="s">
        <v>1653</v>
      </c>
      <c r="S496">
        <v>2015</v>
      </c>
      <c r="T496" t="s">
        <v>771</v>
      </c>
      <c r="U496" t="s">
        <v>1479</v>
      </c>
      <c r="V496">
        <v>45</v>
      </c>
      <c r="W496">
        <v>746</v>
      </c>
      <c r="X496">
        <v>154</v>
      </c>
      <c r="Y496">
        <v>80</v>
      </c>
      <c r="Z496">
        <v>19</v>
      </c>
      <c r="AA496">
        <v>1350</v>
      </c>
      <c r="AB496">
        <v>300000</v>
      </c>
      <c r="AC496">
        <v>820</v>
      </c>
      <c r="AD496">
        <v>11</v>
      </c>
      <c r="AE496">
        <v>0.24444444400000001</v>
      </c>
      <c r="AF496">
        <v>200</v>
      </c>
      <c r="AG496">
        <v>0.50862644499999998</v>
      </c>
      <c r="AI496">
        <v>70</v>
      </c>
      <c r="AJ496">
        <v>0</v>
      </c>
      <c r="AK496">
        <v>0.44471201999999999</v>
      </c>
      <c r="AL496">
        <v>6.7568647999999995E-2</v>
      </c>
      <c r="AM496" t="s">
        <v>1654</v>
      </c>
      <c r="AN496" t="s">
        <v>132</v>
      </c>
      <c r="AO496">
        <v>0</v>
      </c>
      <c r="AP496">
        <v>0</v>
      </c>
      <c r="AQ496">
        <v>0</v>
      </c>
      <c r="AR496">
        <v>0</v>
      </c>
      <c r="AS496">
        <v>0</v>
      </c>
      <c r="AT496">
        <v>0</v>
      </c>
      <c r="AU496">
        <v>0</v>
      </c>
      <c r="AV496">
        <v>0</v>
      </c>
      <c r="AW496">
        <v>0</v>
      </c>
      <c r="AX496">
        <v>0</v>
      </c>
      <c r="AY496">
        <v>70</v>
      </c>
      <c r="AZ496">
        <v>0</v>
      </c>
      <c r="BA496">
        <v>0</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BX496">
        <v>0</v>
      </c>
      <c r="BY496">
        <v>0</v>
      </c>
      <c r="BZ496">
        <v>0</v>
      </c>
      <c r="CA496">
        <v>0</v>
      </c>
      <c r="CB496">
        <v>0</v>
      </c>
      <c r="CC496">
        <v>0</v>
      </c>
      <c r="CD496">
        <v>0</v>
      </c>
      <c r="CE49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96" s="19">
        <f>SUM(Table1[[#This Row],[Mid39]],Table1[[#This Row],[Mid36]],Table1[[#This Row],[Mid33]],Table1[[#This Row],[Mid30]],Table1[[#This Row],[Mid27]],Table1[[#This Row],[Mid24]],Table1[[#This Row],[Mid21]],Table1[[#This Row],[Mid18]],Table1[[#This Row],[Mid15]],Table1[[#This Row],[Mid12]],Table1[[#This Row],[Mid9]],Table1[[#This Row],[Mid6]],Table1[[#This Row],[Mid3]],Table1[[#This Row],[Mid]])</f>
        <v>70</v>
      </c>
      <c r="CG49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96" t="s">
        <v>133</v>
      </c>
      <c r="CI496" t="s">
        <v>134</v>
      </c>
      <c r="CJ496" t="s">
        <v>135</v>
      </c>
      <c r="CL496" s="19">
        <f>IF(Table1[[#This Row],[Type]]="Petroleum",1,IF(ISERROR(Table1[[#This Row],[Well Density]]*Table1[[#This Row],[Single Well Discovery Area]]),"",IF(Table1[[#This Row],[Well Density]]*Table1[[#This Row],[Single Well Discovery Area]]&gt;1,1,Table1[[#This Row],[Well Density]]*Table1[[#This Row],[Single Well Discovery Area]])))</f>
        <v>1</v>
      </c>
      <c r="CM496" t="s">
        <v>158</v>
      </c>
      <c r="CN496" s="19">
        <f>Table1[[#This Row],[Mid]]</f>
        <v>0</v>
      </c>
      <c r="CO496" s="19">
        <f>Table1[[#This Row],[Mid3]]+Table1[[#This Row],[Mid6]]+Table1[[#This Row],[Mid9]]</f>
        <v>70</v>
      </c>
      <c r="CP496" s="19">
        <f>Table1[[#This Row],[Mid12]]+Table1[[#This Row],[Mid15]]+Table1[[#This Row],[Mid18]]+Table1[[#This Row],[Mid21]]+Table1[[#This Row],[Mid24]]</f>
        <v>0</v>
      </c>
      <c r="CQ496" s="19">
        <f>Table1[[#This Row],[Mid27]]+Table1[[#This Row],[Mid30]]+Table1[[#This Row],[Mid33]]+Table1[[#This Row],[Mid36]]+Table1[[#This Row],[Mid39]]</f>
        <v>0</v>
      </c>
      <c r="CR496" t="s">
        <v>415</v>
      </c>
      <c r="CS496" s="19" t="str">
        <f>IF(AND(Table1[[#This Row],[Low41]]=0, Table1[[#This Row],[High43]]=0),"N","Y")</f>
        <v>N</v>
      </c>
    </row>
    <row r="497" spans="1:97" ht="19.5" customHeight="1" x14ac:dyDescent="0.25">
      <c r="A497">
        <v>10495</v>
      </c>
      <c r="B497" t="s">
        <v>1635</v>
      </c>
      <c r="C497" t="s">
        <v>1636</v>
      </c>
      <c r="D497">
        <v>53.63777778</v>
      </c>
      <c r="E497">
        <v>-3.4733333329999998</v>
      </c>
      <c r="F497" t="s">
        <v>1655</v>
      </c>
      <c r="G497" t="s">
        <v>1636</v>
      </c>
      <c r="H497" t="s">
        <v>1638</v>
      </c>
      <c r="I497" t="s">
        <v>1606</v>
      </c>
      <c r="J497" t="s">
        <v>202</v>
      </c>
      <c r="K497" t="s">
        <v>203</v>
      </c>
      <c r="L497" t="s">
        <v>121</v>
      </c>
      <c r="M497" t="s">
        <v>412</v>
      </c>
      <c r="N497" s="6" t="s">
        <v>1639</v>
      </c>
      <c r="O497" s="21" t="s">
        <v>1656</v>
      </c>
      <c r="P497" t="s">
        <v>1657</v>
      </c>
      <c r="Q497" t="s">
        <v>1641</v>
      </c>
      <c r="R497" t="s">
        <v>1658</v>
      </c>
      <c r="S497">
        <v>2015</v>
      </c>
      <c r="T497" t="s">
        <v>771</v>
      </c>
      <c r="U497" t="s">
        <v>1479</v>
      </c>
      <c r="V497">
        <v>0</v>
      </c>
      <c r="W497">
        <v>0</v>
      </c>
      <c r="X497">
        <v>0</v>
      </c>
      <c r="Y497">
        <v>0</v>
      </c>
      <c r="Z497">
        <v>0</v>
      </c>
      <c r="AA497">
        <v>0</v>
      </c>
      <c r="AB497">
        <v>0</v>
      </c>
      <c r="AC497">
        <v>0</v>
      </c>
      <c r="AD497">
        <v>0</v>
      </c>
      <c r="AF497">
        <v>200</v>
      </c>
      <c r="AG497">
        <v>0</v>
      </c>
      <c r="AI497">
        <v>0</v>
      </c>
      <c r="AJ497">
        <v>0</v>
      </c>
      <c r="AK497">
        <v>0</v>
      </c>
      <c r="AL497">
        <v>0</v>
      </c>
      <c r="AN497" t="s">
        <v>132</v>
      </c>
      <c r="AO497">
        <v>0</v>
      </c>
      <c r="AP497">
        <v>0</v>
      </c>
      <c r="AQ497">
        <v>0</v>
      </c>
      <c r="AR497">
        <v>0</v>
      </c>
      <c r="AS497">
        <v>0</v>
      </c>
      <c r="AT497">
        <v>0</v>
      </c>
      <c r="AU497">
        <v>0</v>
      </c>
      <c r="AV497">
        <v>0</v>
      </c>
      <c r="AW497">
        <v>0</v>
      </c>
      <c r="AX497">
        <v>0</v>
      </c>
      <c r="AY497">
        <v>39</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97" s="19">
        <f>SUM(Table1[[#This Row],[Mid39]],Table1[[#This Row],[Mid36]],Table1[[#This Row],[Mid33]],Table1[[#This Row],[Mid30]],Table1[[#This Row],[Mid27]],Table1[[#This Row],[Mid24]],Table1[[#This Row],[Mid21]],Table1[[#This Row],[Mid18]],Table1[[#This Row],[Mid15]],Table1[[#This Row],[Mid12]],Table1[[#This Row],[Mid9]],Table1[[#This Row],[Mid6]],Table1[[#This Row],[Mid3]],Table1[[#This Row],[Mid]])</f>
        <v>39</v>
      </c>
      <c r="CG49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97" t="s">
        <v>133</v>
      </c>
      <c r="CI497" t="s">
        <v>134</v>
      </c>
      <c r="CJ497" t="s">
        <v>135</v>
      </c>
      <c r="CL497" s="19">
        <f>IF(Table1[[#This Row],[Type]]="Petroleum",1,IF(ISERROR(Table1[[#This Row],[Well Density]]*Table1[[#This Row],[Single Well Discovery Area]]),"",IF(Table1[[#This Row],[Well Density]]*Table1[[#This Row],[Single Well Discovery Area]]&gt;1,1,Table1[[#This Row],[Well Density]]*Table1[[#This Row],[Single Well Discovery Area]])))</f>
        <v>1</v>
      </c>
      <c r="CM497" t="s">
        <v>158</v>
      </c>
      <c r="CN497" s="19">
        <f>Table1[[#This Row],[Mid]]</f>
        <v>0</v>
      </c>
      <c r="CO497" s="19">
        <f>Table1[[#This Row],[Mid3]]+Table1[[#This Row],[Mid6]]+Table1[[#This Row],[Mid9]]</f>
        <v>39</v>
      </c>
      <c r="CP497" s="19">
        <f>Table1[[#This Row],[Mid12]]+Table1[[#This Row],[Mid15]]+Table1[[#This Row],[Mid18]]+Table1[[#This Row],[Mid21]]+Table1[[#This Row],[Mid24]]</f>
        <v>0</v>
      </c>
      <c r="CQ497" s="19">
        <f>Table1[[#This Row],[Mid27]]+Table1[[#This Row],[Mid30]]+Table1[[#This Row],[Mid33]]+Table1[[#This Row],[Mid36]]+Table1[[#This Row],[Mid39]]</f>
        <v>0</v>
      </c>
      <c r="CR497" t="s">
        <v>415</v>
      </c>
      <c r="CS497" s="19" t="str">
        <f>IF(AND(Table1[[#This Row],[Low41]]=0, Table1[[#This Row],[High43]]=0),"N","Y")</f>
        <v>N</v>
      </c>
    </row>
    <row r="498" spans="1:97" ht="19.5" customHeight="1" x14ac:dyDescent="0.25">
      <c r="A498">
        <v>10496</v>
      </c>
      <c r="B498" t="s">
        <v>1635</v>
      </c>
      <c r="C498" t="s">
        <v>1636</v>
      </c>
      <c r="D498">
        <v>53.62944444</v>
      </c>
      <c r="E498">
        <v>-3.173611111</v>
      </c>
      <c r="F498" t="s">
        <v>1659</v>
      </c>
      <c r="G498" t="s">
        <v>1636</v>
      </c>
      <c r="H498" t="s">
        <v>1638</v>
      </c>
      <c r="I498" t="s">
        <v>1648</v>
      </c>
      <c r="J498" t="s">
        <v>202</v>
      </c>
      <c r="K498" t="s">
        <v>203</v>
      </c>
      <c r="L498" t="s">
        <v>121</v>
      </c>
      <c r="M498" t="s">
        <v>412</v>
      </c>
      <c r="N498" s="6" t="s">
        <v>1639</v>
      </c>
      <c r="O498" s="21" t="s">
        <v>1656</v>
      </c>
      <c r="P498" t="s">
        <v>1657</v>
      </c>
      <c r="Q498" t="s">
        <v>1641</v>
      </c>
      <c r="R498" t="s">
        <v>1660</v>
      </c>
      <c r="S498">
        <v>2020</v>
      </c>
      <c r="T498" t="s">
        <v>771</v>
      </c>
      <c r="U498" t="s">
        <v>1479</v>
      </c>
      <c r="V498">
        <v>0</v>
      </c>
      <c r="W498">
        <v>0</v>
      </c>
      <c r="X498">
        <v>0</v>
      </c>
      <c r="Y498">
        <v>0</v>
      </c>
      <c r="Z498">
        <v>0</v>
      </c>
      <c r="AA498">
        <v>0</v>
      </c>
      <c r="AB498">
        <v>0</v>
      </c>
      <c r="AC498">
        <v>0</v>
      </c>
      <c r="AD498">
        <v>0</v>
      </c>
      <c r="AF498">
        <v>200</v>
      </c>
      <c r="AG498">
        <v>0</v>
      </c>
      <c r="AI498">
        <v>0</v>
      </c>
      <c r="AJ498">
        <v>0</v>
      </c>
      <c r="AK498">
        <v>0</v>
      </c>
      <c r="AL498">
        <v>0</v>
      </c>
      <c r="AN498" t="s">
        <v>132</v>
      </c>
      <c r="AO498">
        <v>0</v>
      </c>
      <c r="AP498">
        <v>0</v>
      </c>
      <c r="AQ498">
        <v>0</v>
      </c>
      <c r="AR498">
        <v>0</v>
      </c>
      <c r="AS498">
        <v>0</v>
      </c>
      <c r="AT498">
        <v>0</v>
      </c>
      <c r="AU498">
        <v>0</v>
      </c>
      <c r="AV498">
        <v>0</v>
      </c>
      <c r="AW498">
        <v>0</v>
      </c>
      <c r="AX498">
        <v>0</v>
      </c>
      <c r="AY498">
        <v>72</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98" s="19">
        <f>SUM(Table1[[#This Row],[Mid39]],Table1[[#This Row],[Mid36]],Table1[[#This Row],[Mid33]],Table1[[#This Row],[Mid30]],Table1[[#This Row],[Mid27]],Table1[[#This Row],[Mid24]],Table1[[#This Row],[Mid21]],Table1[[#This Row],[Mid18]],Table1[[#This Row],[Mid15]],Table1[[#This Row],[Mid12]],Table1[[#This Row],[Mid9]],Table1[[#This Row],[Mid6]],Table1[[#This Row],[Mid3]],Table1[[#This Row],[Mid]])</f>
        <v>72</v>
      </c>
      <c r="CG49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98" t="s">
        <v>133</v>
      </c>
      <c r="CI498" t="s">
        <v>134</v>
      </c>
      <c r="CJ498" t="s">
        <v>135</v>
      </c>
      <c r="CL498" s="19">
        <f>IF(Table1[[#This Row],[Type]]="Petroleum",1,IF(ISERROR(Table1[[#This Row],[Well Density]]*Table1[[#This Row],[Single Well Discovery Area]]),"",IF(Table1[[#This Row],[Well Density]]*Table1[[#This Row],[Single Well Discovery Area]]&gt;1,1,Table1[[#This Row],[Well Density]]*Table1[[#This Row],[Single Well Discovery Area]])))</f>
        <v>1</v>
      </c>
      <c r="CM498" t="s">
        <v>135</v>
      </c>
      <c r="CN498" s="19">
        <f>Table1[[#This Row],[Mid]]</f>
        <v>0</v>
      </c>
      <c r="CO498" s="19">
        <f>Table1[[#This Row],[Mid3]]+Table1[[#This Row],[Mid6]]+Table1[[#This Row],[Mid9]]</f>
        <v>72</v>
      </c>
      <c r="CP498" s="19">
        <f>Table1[[#This Row],[Mid12]]+Table1[[#This Row],[Mid15]]+Table1[[#This Row],[Mid18]]+Table1[[#This Row],[Mid21]]+Table1[[#This Row],[Mid24]]</f>
        <v>0</v>
      </c>
      <c r="CQ498" s="19">
        <f>Table1[[#This Row],[Mid27]]+Table1[[#This Row],[Mid30]]+Table1[[#This Row],[Mid33]]+Table1[[#This Row],[Mid36]]+Table1[[#This Row],[Mid39]]</f>
        <v>0</v>
      </c>
      <c r="CR498" t="s">
        <v>415</v>
      </c>
      <c r="CS498" s="19" t="str">
        <f>IF(AND(Table1[[#This Row],[Low41]]=0, Table1[[#This Row],[High43]]=0),"N","Y")</f>
        <v>N</v>
      </c>
    </row>
    <row r="499" spans="1:97" ht="19.5" customHeight="1" x14ac:dyDescent="0.25">
      <c r="A499">
        <v>10497</v>
      </c>
      <c r="B499" t="s">
        <v>1635</v>
      </c>
      <c r="C499" t="s">
        <v>1636</v>
      </c>
      <c r="D499">
        <v>53.961944440000003</v>
      </c>
      <c r="E499">
        <v>-3.6766666670000001</v>
      </c>
      <c r="F499" t="s">
        <v>1661</v>
      </c>
      <c r="G499" t="s">
        <v>1636</v>
      </c>
      <c r="H499" t="s">
        <v>1638</v>
      </c>
      <c r="I499" t="s">
        <v>1662</v>
      </c>
      <c r="J499" t="s">
        <v>202</v>
      </c>
      <c r="K499" t="s">
        <v>203</v>
      </c>
      <c r="L499" t="s">
        <v>121</v>
      </c>
      <c r="M499" t="s">
        <v>412</v>
      </c>
      <c r="N499" s="6" t="s">
        <v>1663</v>
      </c>
      <c r="O499" t="s">
        <v>1664</v>
      </c>
      <c r="P499" t="s">
        <v>1665</v>
      </c>
      <c r="Q499" t="s">
        <v>1666</v>
      </c>
      <c r="R499" t="s">
        <v>1667</v>
      </c>
      <c r="S499">
        <v>2015</v>
      </c>
      <c r="T499" t="s">
        <v>771</v>
      </c>
      <c r="U499" t="s">
        <v>1479</v>
      </c>
      <c r="V499">
        <v>116</v>
      </c>
      <c r="W499">
        <v>900</v>
      </c>
      <c r="X499">
        <v>1219</v>
      </c>
      <c r="Y499">
        <v>76</v>
      </c>
      <c r="Z499">
        <v>12</v>
      </c>
      <c r="AA499">
        <v>48</v>
      </c>
      <c r="AB499">
        <v>0</v>
      </c>
      <c r="AC499">
        <v>0</v>
      </c>
      <c r="AD499">
        <v>14</v>
      </c>
      <c r="AE499">
        <v>0.12068965500000001</v>
      </c>
      <c r="AF499">
        <v>200</v>
      </c>
      <c r="AG499">
        <v>0</v>
      </c>
      <c r="AI499">
        <v>0</v>
      </c>
      <c r="AJ499">
        <v>0</v>
      </c>
      <c r="AK499">
        <v>0</v>
      </c>
      <c r="AL499">
        <v>0</v>
      </c>
      <c r="AM499" t="s">
        <v>1668</v>
      </c>
      <c r="AN499" t="s">
        <v>132</v>
      </c>
      <c r="AO499">
        <v>0</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186</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0</v>
      </c>
      <c r="CB499">
        <v>0</v>
      </c>
      <c r="CC499">
        <v>0</v>
      </c>
      <c r="CD499">
        <v>0</v>
      </c>
      <c r="CE49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499" s="19">
        <f>SUM(Table1[[#This Row],[Mid39]],Table1[[#This Row],[Mid36]],Table1[[#This Row],[Mid33]],Table1[[#This Row],[Mid30]],Table1[[#This Row],[Mid27]],Table1[[#This Row],[Mid24]],Table1[[#This Row],[Mid21]],Table1[[#This Row],[Mid18]],Table1[[#This Row],[Mid15]],Table1[[#This Row],[Mid12]],Table1[[#This Row],[Mid9]],Table1[[#This Row],[Mid6]],Table1[[#This Row],[Mid3]],Table1[[#This Row],[Mid]])</f>
        <v>186</v>
      </c>
      <c r="CG49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499" t="s">
        <v>133</v>
      </c>
      <c r="CI499" t="s">
        <v>134</v>
      </c>
      <c r="CJ499" t="s">
        <v>158</v>
      </c>
      <c r="CL499" s="19">
        <f>IF(Table1[[#This Row],[Type]]="Petroleum",1,IF(ISERROR(Table1[[#This Row],[Well Density]]*Table1[[#This Row],[Single Well Discovery Area]]),"",IF(Table1[[#This Row],[Well Density]]*Table1[[#This Row],[Single Well Discovery Area]]&gt;1,1,Table1[[#This Row],[Well Density]]*Table1[[#This Row],[Single Well Discovery Area]])))</f>
        <v>1</v>
      </c>
      <c r="CM499" t="s">
        <v>158</v>
      </c>
      <c r="CN499" s="19">
        <f>Table1[[#This Row],[Mid]]</f>
        <v>0</v>
      </c>
      <c r="CO499" s="19">
        <f>Table1[[#This Row],[Mid3]]+Table1[[#This Row],[Mid6]]+Table1[[#This Row],[Mid9]]</f>
        <v>0</v>
      </c>
      <c r="CP499" s="19">
        <f>Table1[[#This Row],[Mid12]]+Table1[[#This Row],[Mid15]]+Table1[[#This Row],[Mid18]]+Table1[[#This Row],[Mid21]]+Table1[[#This Row],[Mid24]]</f>
        <v>186</v>
      </c>
      <c r="CQ499" s="19">
        <f>Table1[[#This Row],[Mid27]]+Table1[[#This Row],[Mid30]]+Table1[[#This Row],[Mid33]]+Table1[[#This Row],[Mid36]]+Table1[[#This Row],[Mid39]]</f>
        <v>0</v>
      </c>
      <c r="CR499" t="s">
        <v>415</v>
      </c>
      <c r="CS499" s="19" t="str">
        <f>IF(AND(Table1[[#This Row],[Low41]]=0, Table1[[#This Row],[High43]]=0),"N","Y")</f>
        <v>N</v>
      </c>
    </row>
    <row r="500" spans="1:97" ht="19.5" customHeight="1" x14ac:dyDescent="0.25">
      <c r="A500">
        <v>10498</v>
      </c>
      <c r="B500" t="s">
        <v>1635</v>
      </c>
      <c r="C500" t="s">
        <v>1636</v>
      </c>
      <c r="D500">
        <v>54.282499999999999</v>
      </c>
      <c r="E500">
        <v>-3.7661111109999998</v>
      </c>
      <c r="F500" t="s">
        <v>1669</v>
      </c>
      <c r="G500" t="s">
        <v>1636</v>
      </c>
      <c r="H500" t="s">
        <v>1638</v>
      </c>
      <c r="I500" t="s">
        <v>118</v>
      </c>
      <c r="J500" t="s">
        <v>119</v>
      </c>
      <c r="K500" t="s">
        <v>203</v>
      </c>
      <c r="L500" t="s">
        <v>121</v>
      </c>
      <c r="M500" t="s">
        <v>412</v>
      </c>
      <c r="N500" s="6" t="s">
        <v>1639</v>
      </c>
      <c r="O500" t="s">
        <v>1644</v>
      </c>
      <c r="P500" t="s">
        <v>1670</v>
      </c>
      <c r="Q500" t="s">
        <v>1641</v>
      </c>
      <c r="R500" t="s">
        <v>1642</v>
      </c>
      <c r="S500">
        <v>2015</v>
      </c>
      <c r="T500" t="s">
        <v>153</v>
      </c>
      <c r="U500" t="s">
        <v>1479</v>
      </c>
      <c r="V500">
        <v>0</v>
      </c>
      <c r="W500">
        <v>0</v>
      </c>
      <c r="X500">
        <v>0</v>
      </c>
      <c r="Y500">
        <v>0</v>
      </c>
      <c r="Z500">
        <v>0</v>
      </c>
      <c r="AA500">
        <v>0</v>
      </c>
      <c r="AB500">
        <v>0</v>
      </c>
      <c r="AC500">
        <v>0</v>
      </c>
      <c r="AD500">
        <v>0</v>
      </c>
      <c r="AF500">
        <v>200</v>
      </c>
      <c r="AG500">
        <v>0</v>
      </c>
      <c r="AI500">
        <v>0</v>
      </c>
      <c r="AJ500">
        <v>0</v>
      </c>
      <c r="AK500">
        <v>0</v>
      </c>
      <c r="AL500">
        <v>0</v>
      </c>
      <c r="AN500" t="s">
        <v>132</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146</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00" s="19">
        <f>SUM(Table1[[#This Row],[Mid39]],Table1[[#This Row],[Mid36]],Table1[[#This Row],[Mid33]],Table1[[#This Row],[Mid30]],Table1[[#This Row],[Mid27]],Table1[[#This Row],[Mid24]],Table1[[#This Row],[Mid21]],Table1[[#This Row],[Mid18]],Table1[[#This Row],[Mid15]],Table1[[#This Row],[Mid12]],Table1[[#This Row],[Mid9]],Table1[[#This Row],[Mid6]],Table1[[#This Row],[Mid3]],Table1[[#This Row],[Mid]])</f>
        <v>146</v>
      </c>
      <c r="CG50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00" t="s">
        <v>133</v>
      </c>
      <c r="CI500" t="s">
        <v>134</v>
      </c>
      <c r="CJ500" t="s">
        <v>158</v>
      </c>
      <c r="CL500" s="19">
        <f>IF(Table1[[#This Row],[Type]]="Petroleum",1,IF(ISERROR(Table1[[#This Row],[Well Density]]*Table1[[#This Row],[Single Well Discovery Area]]),"",IF(Table1[[#This Row],[Well Density]]*Table1[[#This Row],[Single Well Discovery Area]]&gt;1,1,Table1[[#This Row],[Well Density]]*Table1[[#This Row],[Single Well Discovery Area]])))</f>
        <v>0</v>
      </c>
      <c r="CM500" t="s">
        <v>158</v>
      </c>
      <c r="CN500" s="19">
        <f>Table1[[#This Row],[Mid]]</f>
        <v>0</v>
      </c>
      <c r="CO500" s="19">
        <f>Table1[[#This Row],[Mid3]]+Table1[[#This Row],[Mid6]]+Table1[[#This Row],[Mid9]]</f>
        <v>0</v>
      </c>
      <c r="CP500" s="19">
        <f>Table1[[#This Row],[Mid12]]+Table1[[#This Row],[Mid15]]+Table1[[#This Row],[Mid18]]+Table1[[#This Row],[Mid21]]+Table1[[#This Row],[Mid24]]</f>
        <v>146</v>
      </c>
      <c r="CQ500" s="19">
        <f>Table1[[#This Row],[Mid27]]+Table1[[#This Row],[Mid30]]+Table1[[#This Row],[Mid33]]+Table1[[#This Row],[Mid36]]+Table1[[#This Row],[Mid39]]</f>
        <v>0</v>
      </c>
      <c r="CR500" t="s">
        <v>415</v>
      </c>
      <c r="CS500" s="19" t="str">
        <f>IF(AND(Table1[[#This Row],[Low41]]=0, Table1[[#This Row],[High43]]=0),"N","Y")</f>
        <v>N</v>
      </c>
    </row>
    <row r="501" spans="1:97" ht="19.5" customHeight="1" x14ac:dyDescent="0.25">
      <c r="A501">
        <v>10499</v>
      </c>
      <c r="B501" t="s">
        <v>1635</v>
      </c>
      <c r="C501" t="s">
        <v>1636</v>
      </c>
      <c r="D501">
        <v>53.4375</v>
      </c>
      <c r="E501">
        <v>-3.590555556</v>
      </c>
      <c r="F501" t="s">
        <v>1671</v>
      </c>
      <c r="G501" t="s">
        <v>1636</v>
      </c>
      <c r="H501" t="s">
        <v>1638</v>
      </c>
      <c r="I501" t="s">
        <v>118</v>
      </c>
      <c r="J501" t="s">
        <v>119</v>
      </c>
      <c r="K501" t="s">
        <v>203</v>
      </c>
      <c r="L501" t="s">
        <v>121</v>
      </c>
      <c r="M501" t="s">
        <v>412</v>
      </c>
      <c r="N501" s="6" t="s">
        <v>1639</v>
      </c>
      <c r="O501" t="s">
        <v>1644</v>
      </c>
      <c r="P501" t="s">
        <v>1670</v>
      </c>
      <c r="Q501" t="s">
        <v>1641</v>
      </c>
      <c r="R501" t="s">
        <v>1642</v>
      </c>
      <c r="S501">
        <v>2015</v>
      </c>
      <c r="T501" t="s">
        <v>153</v>
      </c>
      <c r="U501" t="s">
        <v>173</v>
      </c>
      <c r="V501"/>
      <c r="AF501">
        <v>200</v>
      </c>
      <c r="AG501">
        <v>0</v>
      </c>
      <c r="AK501">
        <v>0</v>
      </c>
      <c r="AL501">
        <v>0</v>
      </c>
      <c r="AN501" t="s">
        <v>132</v>
      </c>
      <c r="BH501">
        <v>86</v>
      </c>
      <c r="CE50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01" s="19">
        <f>SUM(Table1[[#This Row],[Mid39]],Table1[[#This Row],[Mid36]],Table1[[#This Row],[Mid33]],Table1[[#This Row],[Mid30]],Table1[[#This Row],[Mid27]],Table1[[#This Row],[Mid24]],Table1[[#This Row],[Mid21]],Table1[[#This Row],[Mid18]],Table1[[#This Row],[Mid15]],Table1[[#This Row],[Mid12]],Table1[[#This Row],[Mid9]],Table1[[#This Row],[Mid6]],Table1[[#This Row],[Mid3]],Table1[[#This Row],[Mid]])</f>
        <v>86</v>
      </c>
      <c r="CG50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01" t="s">
        <v>133</v>
      </c>
      <c r="CI501" t="s">
        <v>134</v>
      </c>
      <c r="CJ501" t="s">
        <v>158</v>
      </c>
      <c r="CL501" s="19">
        <f>IF(Table1[[#This Row],[Type]]="Petroleum",1,IF(ISERROR(Table1[[#This Row],[Well Density]]*Table1[[#This Row],[Single Well Discovery Area]]),"",IF(Table1[[#This Row],[Well Density]]*Table1[[#This Row],[Single Well Discovery Area]]&gt;1,1,Table1[[#This Row],[Well Density]]*Table1[[#This Row],[Single Well Discovery Area]])))</f>
        <v>0</v>
      </c>
      <c r="CM501" t="s">
        <v>158</v>
      </c>
      <c r="CN501" s="19">
        <f>Table1[[#This Row],[Mid]]</f>
        <v>0</v>
      </c>
      <c r="CO501" s="19">
        <f>Table1[[#This Row],[Mid3]]+Table1[[#This Row],[Mid6]]+Table1[[#This Row],[Mid9]]</f>
        <v>0</v>
      </c>
      <c r="CP501" s="19">
        <f>Table1[[#This Row],[Mid12]]+Table1[[#This Row],[Mid15]]+Table1[[#This Row],[Mid18]]+Table1[[#This Row],[Mid21]]+Table1[[#This Row],[Mid24]]</f>
        <v>86</v>
      </c>
      <c r="CQ501" s="19">
        <f>Table1[[#This Row],[Mid27]]+Table1[[#This Row],[Mid30]]+Table1[[#This Row],[Mid33]]+Table1[[#This Row],[Mid36]]+Table1[[#This Row],[Mid39]]</f>
        <v>0</v>
      </c>
      <c r="CR501" t="s">
        <v>415</v>
      </c>
      <c r="CS501" s="19" t="str">
        <f>IF(AND(Table1[[#This Row],[Low41]]=0, Table1[[#This Row],[High43]]=0),"N","Y")</f>
        <v>N</v>
      </c>
    </row>
    <row r="502" spans="1:97" ht="19.5" customHeight="1" x14ac:dyDescent="0.25">
      <c r="A502">
        <v>10500</v>
      </c>
      <c r="B502" t="s">
        <v>1635</v>
      </c>
      <c r="C502" t="s">
        <v>1636</v>
      </c>
      <c r="D502">
        <v>53.730833330000003</v>
      </c>
      <c r="E502">
        <v>-3.1980555559999999</v>
      </c>
      <c r="F502" t="s">
        <v>1672</v>
      </c>
      <c r="G502" t="s">
        <v>1636</v>
      </c>
      <c r="H502" t="s">
        <v>1638</v>
      </c>
      <c r="I502" t="s">
        <v>118</v>
      </c>
      <c r="J502" t="s">
        <v>119</v>
      </c>
      <c r="K502" t="s">
        <v>203</v>
      </c>
      <c r="L502" t="s">
        <v>121</v>
      </c>
      <c r="M502" t="s">
        <v>412</v>
      </c>
      <c r="N502" s="6" t="s">
        <v>1639</v>
      </c>
      <c r="O502" t="s">
        <v>1644</v>
      </c>
      <c r="P502" t="s">
        <v>1670</v>
      </c>
      <c r="Q502" t="s">
        <v>1641</v>
      </c>
      <c r="R502" t="s">
        <v>1642</v>
      </c>
      <c r="S502">
        <v>2015</v>
      </c>
      <c r="T502" t="s">
        <v>153</v>
      </c>
      <c r="U502" t="s">
        <v>173</v>
      </c>
      <c r="V502"/>
      <c r="AF502">
        <v>200</v>
      </c>
      <c r="AG502">
        <v>0</v>
      </c>
      <c r="AK502">
        <v>0</v>
      </c>
      <c r="AL502">
        <v>0</v>
      </c>
      <c r="AN502" t="s">
        <v>132</v>
      </c>
      <c r="BH502">
        <v>67</v>
      </c>
      <c r="CE50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02" s="19">
        <f>SUM(Table1[[#This Row],[Mid39]],Table1[[#This Row],[Mid36]],Table1[[#This Row],[Mid33]],Table1[[#This Row],[Mid30]],Table1[[#This Row],[Mid27]],Table1[[#This Row],[Mid24]],Table1[[#This Row],[Mid21]],Table1[[#This Row],[Mid18]],Table1[[#This Row],[Mid15]],Table1[[#This Row],[Mid12]],Table1[[#This Row],[Mid9]],Table1[[#This Row],[Mid6]],Table1[[#This Row],[Mid3]],Table1[[#This Row],[Mid]])</f>
        <v>67</v>
      </c>
      <c r="CG50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02" t="s">
        <v>133</v>
      </c>
      <c r="CI502" t="s">
        <v>134</v>
      </c>
      <c r="CJ502" t="s">
        <v>158</v>
      </c>
      <c r="CL502" s="19">
        <f>IF(Table1[[#This Row],[Type]]="Petroleum",1,IF(ISERROR(Table1[[#This Row],[Well Density]]*Table1[[#This Row],[Single Well Discovery Area]]),"",IF(Table1[[#This Row],[Well Density]]*Table1[[#This Row],[Single Well Discovery Area]]&gt;1,1,Table1[[#This Row],[Well Density]]*Table1[[#This Row],[Single Well Discovery Area]])))</f>
        <v>0</v>
      </c>
      <c r="CM502" t="s">
        <v>158</v>
      </c>
      <c r="CN502" s="19">
        <f>Table1[[#This Row],[Mid]]</f>
        <v>0</v>
      </c>
      <c r="CO502" s="19">
        <f>Table1[[#This Row],[Mid3]]+Table1[[#This Row],[Mid6]]+Table1[[#This Row],[Mid9]]</f>
        <v>0</v>
      </c>
      <c r="CP502" s="19">
        <f>Table1[[#This Row],[Mid12]]+Table1[[#This Row],[Mid15]]+Table1[[#This Row],[Mid18]]+Table1[[#This Row],[Mid21]]+Table1[[#This Row],[Mid24]]</f>
        <v>67</v>
      </c>
      <c r="CQ502" s="19">
        <f>Table1[[#This Row],[Mid27]]+Table1[[#This Row],[Mid30]]+Table1[[#This Row],[Mid33]]+Table1[[#This Row],[Mid36]]+Table1[[#This Row],[Mid39]]</f>
        <v>0</v>
      </c>
      <c r="CR502" t="s">
        <v>415</v>
      </c>
      <c r="CS502" s="19" t="str">
        <f>IF(AND(Table1[[#This Row],[Low41]]=0, Table1[[#This Row],[High43]]=0),"N","Y")</f>
        <v>N</v>
      </c>
    </row>
    <row r="503" spans="1:97" ht="19.5" customHeight="1" x14ac:dyDescent="0.25">
      <c r="A503">
        <v>10501</v>
      </c>
      <c r="B503" t="s">
        <v>1635</v>
      </c>
      <c r="C503" t="s">
        <v>1636</v>
      </c>
      <c r="D503">
        <v>53.859444439999997</v>
      </c>
      <c r="E503">
        <v>-3.5555555559999998</v>
      </c>
      <c r="F503" t="s">
        <v>1673</v>
      </c>
      <c r="G503" t="s">
        <v>1636</v>
      </c>
      <c r="H503" t="s">
        <v>1638</v>
      </c>
      <c r="I503" t="s">
        <v>1662</v>
      </c>
      <c r="J503" t="s">
        <v>202</v>
      </c>
      <c r="K503" t="s">
        <v>203</v>
      </c>
      <c r="L503" t="s">
        <v>121</v>
      </c>
      <c r="M503" t="s">
        <v>412</v>
      </c>
      <c r="N503" s="6" t="s">
        <v>1663</v>
      </c>
      <c r="O503" t="s">
        <v>1674</v>
      </c>
      <c r="P503" t="s">
        <v>1675</v>
      </c>
      <c r="Q503" t="s">
        <v>1676</v>
      </c>
      <c r="R503" t="s">
        <v>1677</v>
      </c>
      <c r="S503">
        <v>2015</v>
      </c>
      <c r="T503" t="s">
        <v>771</v>
      </c>
      <c r="U503" t="s">
        <v>1479</v>
      </c>
      <c r="V503">
        <v>100</v>
      </c>
      <c r="W503">
        <v>914</v>
      </c>
      <c r="X503">
        <v>264</v>
      </c>
      <c r="Y503">
        <v>79</v>
      </c>
      <c r="Z503">
        <v>14</v>
      </c>
      <c r="AA503">
        <v>150</v>
      </c>
      <c r="AB503">
        <v>0</v>
      </c>
      <c r="AC503">
        <v>0</v>
      </c>
      <c r="AD503">
        <v>44</v>
      </c>
      <c r="AE503">
        <v>0.44</v>
      </c>
      <c r="AF503">
        <v>200</v>
      </c>
      <c r="AG503">
        <v>0</v>
      </c>
      <c r="AI503">
        <v>0</v>
      </c>
      <c r="AJ503">
        <v>0</v>
      </c>
      <c r="AK503">
        <v>1.5513209999999999</v>
      </c>
      <c r="AL503">
        <v>0</v>
      </c>
      <c r="AM503" t="s">
        <v>1668</v>
      </c>
      <c r="AN503" t="s">
        <v>132</v>
      </c>
      <c r="AO503">
        <v>0</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855</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0</v>
      </c>
      <c r="CB503">
        <v>0</v>
      </c>
      <c r="CC503">
        <v>0</v>
      </c>
      <c r="CD503">
        <v>0</v>
      </c>
      <c r="CE50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03" s="19">
        <f>SUM(Table1[[#This Row],[Mid39]],Table1[[#This Row],[Mid36]],Table1[[#This Row],[Mid33]],Table1[[#This Row],[Mid30]],Table1[[#This Row],[Mid27]],Table1[[#This Row],[Mid24]],Table1[[#This Row],[Mid21]],Table1[[#This Row],[Mid18]],Table1[[#This Row],[Mid15]],Table1[[#This Row],[Mid12]],Table1[[#This Row],[Mid9]],Table1[[#This Row],[Mid6]],Table1[[#This Row],[Mid3]],Table1[[#This Row],[Mid]])</f>
        <v>855</v>
      </c>
      <c r="CG50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03" t="s">
        <v>133</v>
      </c>
      <c r="CI503" t="s">
        <v>134</v>
      </c>
      <c r="CJ503" t="s">
        <v>158</v>
      </c>
      <c r="CL503" s="19">
        <f>IF(Table1[[#This Row],[Type]]="Petroleum",1,IF(ISERROR(Table1[[#This Row],[Well Density]]*Table1[[#This Row],[Single Well Discovery Area]]),"",IF(Table1[[#This Row],[Well Density]]*Table1[[#This Row],[Single Well Discovery Area]]&gt;1,1,Table1[[#This Row],[Well Density]]*Table1[[#This Row],[Single Well Discovery Area]])))</f>
        <v>1</v>
      </c>
      <c r="CM503" t="s">
        <v>158</v>
      </c>
      <c r="CN503" s="19">
        <f>Table1[[#This Row],[Mid]]</f>
        <v>0</v>
      </c>
      <c r="CO503" s="19">
        <f>Table1[[#This Row],[Mid3]]+Table1[[#This Row],[Mid6]]+Table1[[#This Row],[Mid9]]</f>
        <v>0</v>
      </c>
      <c r="CP503" s="19">
        <f>Table1[[#This Row],[Mid12]]+Table1[[#This Row],[Mid15]]+Table1[[#This Row],[Mid18]]+Table1[[#This Row],[Mid21]]+Table1[[#This Row],[Mid24]]</f>
        <v>855</v>
      </c>
      <c r="CQ503" s="19">
        <f>Table1[[#This Row],[Mid27]]+Table1[[#This Row],[Mid30]]+Table1[[#This Row],[Mid33]]+Table1[[#This Row],[Mid36]]+Table1[[#This Row],[Mid39]]</f>
        <v>0</v>
      </c>
      <c r="CR503" t="s">
        <v>415</v>
      </c>
      <c r="CS503" s="19" t="str">
        <f>IF(AND(Table1[[#This Row],[Low41]]=0, Table1[[#This Row],[High43]]=0),"N","Y")</f>
        <v>N</v>
      </c>
    </row>
    <row r="504" spans="1:97" ht="19.5" customHeight="1" x14ac:dyDescent="0.25">
      <c r="A504">
        <v>10502</v>
      </c>
      <c r="B504" t="s">
        <v>1635</v>
      </c>
      <c r="C504" t="s">
        <v>1449</v>
      </c>
      <c r="D504">
        <v>57.981111110000001</v>
      </c>
      <c r="E504">
        <v>-0.87055555600000001</v>
      </c>
      <c r="F504" t="s">
        <v>1678</v>
      </c>
      <c r="G504" t="s">
        <v>1679</v>
      </c>
      <c r="H504" t="s">
        <v>1680</v>
      </c>
      <c r="I504" t="s">
        <v>118</v>
      </c>
      <c r="J504" t="s">
        <v>119</v>
      </c>
      <c r="K504" t="s">
        <v>190</v>
      </c>
      <c r="L504" t="s">
        <v>121</v>
      </c>
      <c r="M504" t="s">
        <v>148</v>
      </c>
      <c r="N504" s="6" t="s">
        <v>1681</v>
      </c>
      <c r="O504" t="s">
        <v>1682</v>
      </c>
      <c r="P504" t="s">
        <v>1683</v>
      </c>
      <c r="Q504" t="s">
        <v>1684</v>
      </c>
      <c r="R504" t="s">
        <v>1685</v>
      </c>
      <c r="S504">
        <v>2015</v>
      </c>
      <c r="T504" t="s">
        <v>771</v>
      </c>
      <c r="U504" t="s">
        <v>1479</v>
      </c>
      <c r="V504">
        <v>1000</v>
      </c>
      <c r="W504">
        <v>746</v>
      </c>
      <c r="X504">
        <v>154</v>
      </c>
      <c r="Y504">
        <v>80</v>
      </c>
      <c r="Z504">
        <v>27</v>
      </c>
      <c r="AA504">
        <v>1400</v>
      </c>
      <c r="AB504">
        <v>300000</v>
      </c>
      <c r="AC504">
        <v>820</v>
      </c>
      <c r="AD504">
        <v>11</v>
      </c>
      <c r="AE504">
        <v>1.0999999999999999E-2</v>
      </c>
      <c r="AF504">
        <v>200</v>
      </c>
      <c r="AG504">
        <v>1.42032056</v>
      </c>
      <c r="AI504">
        <v>3</v>
      </c>
      <c r="AJ504">
        <v>0</v>
      </c>
      <c r="AK504">
        <v>1.9512170799999999</v>
      </c>
      <c r="AL504">
        <v>0</v>
      </c>
      <c r="AM504" t="s">
        <v>1654</v>
      </c>
      <c r="AN504" t="s">
        <v>132</v>
      </c>
      <c r="AO504">
        <v>0</v>
      </c>
      <c r="AP504">
        <v>0</v>
      </c>
      <c r="AQ504">
        <v>0</v>
      </c>
      <c r="AR504">
        <v>0</v>
      </c>
      <c r="AS504">
        <v>0</v>
      </c>
      <c r="AT504">
        <v>0</v>
      </c>
      <c r="AU504">
        <v>0</v>
      </c>
      <c r="AV504">
        <v>0</v>
      </c>
      <c r="AW504">
        <v>0</v>
      </c>
      <c r="AX504">
        <v>64</v>
      </c>
      <c r="AY504">
        <v>87</v>
      </c>
      <c r="AZ504">
        <v>152</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s="19">
        <f>SUM(Table1[[#This Row],[Low38]],Table1[[#This Row],[Low35]],Table1[[#This Row],[Low32]],Table1[[#This Row],[Low29]],Table1[[#This Row],[Low26]],Table1[[#This Row],[Low23]],Table1[[#This Row],[Low20]],Table1[[#This Row],[Low17]],Table1[[#This Row],[Low14]],Table1[[#This Row],[Low11]],Table1[[#This Row],[Low8]],Table1[[#This Row],[Low5]],Table1[[#This Row],[Low2]],Table1[[#This Row],[Low]])</f>
        <v>64</v>
      </c>
      <c r="CF504" s="19">
        <f>SUM(Table1[[#This Row],[Mid39]],Table1[[#This Row],[Mid36]],Table1[[#This Row],[Mid33]],Table1[[#This Row],[Mid30]],Table1[[#This Row],[Mid27]],Table1[[#This Row],[Mid24]],Table1[[#This Row],[Mid21]],Table1[[#This Row],[Mid18]],Table1[[#This Row],[Mid15]],Table1[[#This Row],[Mid12]],Table1[[#This Row],[Mid9]],Table1[[#This Row],[Mid6]],Table1[[#This Row],[Mid3]],Table1[[#This Row],[Mid]])</f>
        <v>87</v>
      </c>
      <c r="CG50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152</v>
      </c>
      <c r="CH504" t="s">
        <v>133</v>
      </c>
      <c r="CI504" t="s">
        <v>134</v>
      </c>
      <c r="CJ504" t="s">
        <v>135</v>
      </c>
      <c r="CL504" s="19">
        <f>IF(Table1[[#This Row],[Type]]="Petroleum",1,IF(ISERROR(Table1[[#This Row],[Well Density]]*Table1[[#This Row],[Single Well Discovery Area]]),"",IF(Table1[[#This Row],[Well Density]]*Table1[[#This Row],[Single Well Discovery Area]]&gt;1,1,Table1[[#This Row],[Well Density]]*Table1[[#This Row],[Single Well Discovery Area]])))</f>
        <v>1</v>
      </c>
      <c r="CM504" t="s">
        <v>158</v>
      </c>
      <c r="CN504" s="19">
        <f>Table1[[#This Row],[Mid]]</f>
        <v>0</v>
      </c>
      <c r="CO504" s="19">
        <f>Table1[[#This Row],[Mid3]]+Table1[[#This Row],[Mid6]]+Table1[[#This Row],[Mid9]]</f>
        <v>87</v>
      </c>
      <c r="CP504" s="19">
        <f>Table1[[#This Row],[Mid12]]+Table1[[#This Row],[Mid15]]+Table1[[#This Row],[Mid18]]+Table1[[#This Row],[Mid21]]+Table1[[#This Row],[Mid24]]</f>
        <v>0</v>
      </c>
      <c r="CQ504" s="19">
        <f>Table1[[#This Row],[Mid27]]+Table1[[#This Row],[Mid30]]+Table1[[#This Row],[Mid33]]+Table1[[#This Row],[Mid36]]+Table1[[#This Row],[Mid39]]</f>
        <v>0</v>
      </c>
      <c r="CR504" t="s">
        <v>415</v>
      </c>
      <c r="CS504" s="19" t="str">
        <f>IF(AND(Table1[[#This Row],[Low41]]=0, Table1[[#This Row],[High43]]=0),"N","Y")</f>
        <v>Y</v>
      </c>
    </row>
    <row r="505" spans="1:97" ht="19.5" customHeight="1" x14ac:dyDescent="0.25">
      <c r="A505">
        <v>10503</v>
      </c>
      <c r="B505" t="s">
        <v>1635</v>
      </c>
      <c r="C505" t="s">
        <v>1449</v>
      </c>
      <c r="D505">
        <v>53.496388889999999</v>
      </c>
      <c r="E505">
        <v>2.1752777779999999</v>
      </c>
      <c r="F505" t="s">
        <v>1686</v>
      </c>
      <c r="G505" t="s">
        <v>1687</v>
      </c>
      <c r="H505" t="s">
        <v>1688</v>
      </c>
      <c r="I505" t="s">
        <v>1606</v>
      </c>
      <c r="J505" t="s">
        <v>202</v>
      </c>
      <c r="K505" t="s">
        <v>203</v>
      </c>
      <c r="L505" t="s">
        <v>121</v>
      </c>
      <c r="M505" t="s">
        <v>1689</v>
      </c>
      <c r="N505" s="6" t="s">
        <v>1639</v>
      </c>
      <c r="O505" t="s">
        <v>1690</v>
      </c>
      <c r="P505" t="s">
        <v>436</v>
      </c>
      <c r="Q505" t="s">
        <v>1641</v>
      </c>
      <c r="R505" t="s">
        <v>1642</v>
      </c>
      <c r="S505">
        <v>2015</v>
      </c>
      <c r="T505" t="s">
        <v>771</v>
      </c>
      <c r="U505" t="s">
        <v>1479</v>
      </c>
      <c r="V505"/>
      <c r="AF505">
        <v>200</v>
      </c>
      <c r="AG505">
        <v>0</v>
      </c>
      <c r="AK505">
        <v>0</v>
      </c>
      <c r="AL505">
        <v>0</v>
      </c>
      <c r="AN505" t="s">
        <v>132</v>
      </c>
      <c r="BH505">
        <v>3</v>
      </c>
      <c r="CE50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05" s="19">
        <f>SUM(Table1[[#This Row],[Mid39]],Table1[[#This Row],[Mid36]],Table1[[#This Row],[Mid33]],Table1[[#This Row],[Mid30]],Table1[[#This Row],[Mid27]],Table1[[#This Row],[Mid24]],Table1[[#This Row],[Mid21]],Table1[[#This Row],[Mid18]],Table1[[#This Row],[Mid15]],Table1[[#This Row],[Mid12]],Table1[[#This Row],[Mid9]],Table1[[#This Row],[Mid6]],Table1[[#This Row],[Mid3]],Table1[[#This Row],[Mid]])</f>
        <v>3</v>
      </c>
      <c r="CG50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05" t="s">
        <v>133</v>
      </c>
      <c r="CI505" t="s">
        <v>134</v>
      </c>
      <c r="CJ505" t="s">
        <v>158</v>
      </c>
      <c r="CL505" s="19">
        <f>IF(Table1[[#This Row],[Type]]="Petroleum",1,IF(ISERROR(Table1[[#This Row],[Well Density]]*Table1[[#This Row],[Single Well Discovery Area]]),"",IF(Table1[[#This Row],[Well Density]]*Table1[[#This Row],[Single Well Discovery Area]]&gt;1,1,Table1[[#This Row],[Well Density]]*Table1[[#This Row],[Single Well Discovery Area]])))</f>
        <v>1</v>
      </c>
      <c r="CM505" t="s">
        <v>158</v>
      </c>
      <c r="CN505" s="19">
        <f>Table1[[#This Row],[Mid]]</f>
        <v>0</v>
      </c>
      <c r="CO505" s="19">
        <f>Table1[[#This Row],[Mid3]]+Table1[[#This Row],[Mid6]]+Table1[[#This Row],[Mid9]]</f>
        <v>0</v>
      </c>
      <c r="CP505" s="19">
        <f>Table1[[#This Row],[Mid12]]+Table1[[#This Row],[Mid15]]+Table1[[#This Row],[Mid18]]+Table1[[#This Row],[Mid21]]+Table1[[#This Row],[Mid24]]</f>
        <v>3</v>
      </c>
      <c r="CQ505" s="19">
        <f>Table1[[#This Row],[Mid27]]+Table1[[#This Row],[Mid30]]+Table1[[#This Row],[Mid33]]+Table1[[#This Row],[Mid36]]+Table1[[#This Row],[Mid39]]</f>
        <v>0</v>
      </c>
      <c r="CR505" t="s">
        <v>415</v>
      </c>
      <c r="CS505" s="19" t="str">
        <f>IF(AND(Table1[[#This Row],[Low41]]=0, Table1[[#This Row],[High43]]=0),"N","Y")</f>
        <v>N</v>
      </c>
    </row>
    <row r="506" spans="1:97" ht="19.5" customHeight="1" x14ac:dyDescent="0.25">
      <c r="A506">
        <v>10504</v>
      </c>
      <c r="B506" t="s">
        <v>1635</v>
      </c>
      <c r="C506" t="s">
        <v>1449</v>
      </c>
      <c r="D506">
        <v>53.720833329999998</v>
      </c>
      <c r="E506">
        <v>2.0325000000000002</v>
      </c>
      <c r="F506" t="s">
        <v>1691</v>
      </c>
      <c r="G506" t="s">
        <v>1687</v>
      </c>
      <c r="H506" t="s">
        <v>1688</v>
      </c>
      <c r="I506" t="s">
        <v>1606</v>
      </c>
      <c r="J506" t="s">
        <v>202</v>
      </c>
      <c r="K506" t="s">
        <v>203</v>
      </c>
      <c r="L506" t="s">
        <v>121</v>
      </c>
      <c r="M506" t="s">
        <v>1689</v>
      </c>
      <c r="N506" s="6" t="s">
        <v>1639</v>
      </c>
      <c r="O506" t="s">
        <v>1644</v>
      </c>
      <c r="P506" t="s">
        <v>436</v>
      </c>
      <c r="Q506" t="s">
        <v>1641</v>
      </c>
      <c r="R506" t="s">
        <v>1642</v>
      </c>
      <c r="S506">
        <v>2015</v>
      </c>
      <c r="T506" t="s">
        <v>153</v>
      </c>
      <c r="U506" t="s">
        <v>173</v>
      </c>
      <c r="V506"/>
      <c r="AF506">
        <v>200</v>
      </c>
      <c r="AG506">
        <v>0</v>
      </c>
      <c r="AK506">
        <v>0</v>
      </c>
      <c r="AL506">
        <v>0</v>
      </c>
      <c r="AN506" t="s">
        <v>132</v>
      </c>
      <c r="BH506">
        <v>9</v>
      </c>
      <c r="CE50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06" s="19">
        <f>SUM(Table1[[#This Row],[Mid39]],Table1[[#This Row],[Mid36]],Table1[[#This Row],[Mid33]],Table1[[#This Row],[Mid30]],Table1[[#This Row],[Mid27]],Table1[[#This Row],[Mid24]],Table1[[#This Row],[Mid21]],Table1[[#This Row],[Mid18]],Table1[[#This Row],[Mid15]],Table1[[#This Row],[Mid12]],Table1[[#This Row],[Mid9]],Table1[[#This Row],[Mid6]],Table1[[#This Row],[Mid3]],Table1[[#This Row],[Mid]])</f>
        <v>9</v>
      </c>
      <c r="CG50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06" t="s">
        <v>133</v>
      </c>
      <c r="CI506" t="s">
        <v>134</v>
      </c>
      <c r="CJ506" t="s">
        <v>158</v>
      </c>
      <c r="CL506" s="19">
        <f>IF(Table1[[#This Row],[Type]]="Petroleum",1,IF(ISERROR(Table1[[#This Row],[Well Density]]*Table1[[#This Row],[Single Well Discovery Area]]),"",IF(Table1[[#This Row],[Well Density]]*Table1[[#This Row],[Single Well Discovery Area]]&gt;1,1,Table1[[#This Row],[Well Density]]*Table1[[#This Row],[Single Well Discovery Area]])))</f>
        <v>1</v>
      </c>
      <c r="CM506" t="s">
        <v>135</v>
      </c>
      <c r="CN506" s="19">
        <f>Table1[[#This Row],[Mid]]</f>
        <v>0</v>
      </c>
      <c r="CO506" s="19">
        <f>Table1[[#This Row],[Mid3]]+Table1[[#This Row],[Mid6]]+Table1[[#This Row],[Mid9]]</f>
        <v>0</v>
      </c>
      <c r="CP506" s="19">
        <f>Table1[[#This Row],[Mid12]]+Table1[[#This Row],[Mid15]]+Table1[[#This Row],[Mid18]]+Table1[[#This Row],[Mid21]]+Table1[[#This Row],[Mid24]]</f>
        <v>9</v>
      </c>
      <c r="CQ506" s="19">
        <f>Table1[[#This Row],[Mid27]]+Table1[[#This Row],[Mid30]]+Table1[[#This Row],[Mid33]]+Table1[[#This Row],[Mid36]]+Table1[[#This Row],[Mid39]]</f>
        <v>0</v>
      </c>
      <c r="CR506" t="s">
        <v>415</v>
      </c>
      <c r="CS506" s="19" t="str">
        <f>IF(AND(Table1[[#This Row],[Low41]]=0, Table1[[#This Row],[High43]]=0),"N","Y")</f>
        <v>N</v>
      </c>
    </row>
    <row r="507" spans="1:97" ht="19.5" customHeight="1" x14ac:dyDescent="0.25">
      <c r="A507">
        <v>10505</v>
      </c>
      <c r="B507" t="s">
        <v>1635</v>
      </c>
      <c r="C507" t="s">
        <v>1449</v>
      </c>
      <c r="D507">
        <v>53.543333330000003</v>
      </c>
      <c r="E507">
        <v>1.9952777779999999</v>
      </c>
      <c r="F507" t="s">
        <v>1692</v>
      </c>
      <c r="G507" t="s">
        <v>1687</v>
      </c>
      <c r="H507" t="s">
        <v>1688</v>
      </c>
      <c r="I507" t="s">
        <v>1606</v>
      </c>
      <c r="J507" t="s">
        <v>202</v>
      </c>
      <c r="K507" t="s">
        <v>203</v>
      </c>
      <c r="L507" t="s">
        <v>121</v>
      </c>
      <c r="M507" t="s">
        <v>1689</v>
      </c>
      <c r="N507" s="6" t="s">
        <v>1639</v>
      </c>
      <c r="O507" t="s">
        <v>1693</v>
      </c>
      <c r="P507" t="s">
        <v>436</v>
      </c>
      <c r="Q507" t="s">
        <v>1641</v>
      </c>
      <c r="R507" t="s">
        <v>1642</v>
      </c>
      <c r="S507">
        <v>2015</v>
      </c>
      <c r="T507" t="s">
        <v>771</v>
      </c>
      <c r="U507" t="s">
        <v>1479</v>
      </c>
      <c r="V507">
        <v>0</v>
      </c>
      <c r="W507">
        <v>0</v>
      </c>
      <c r="X507">
        <v>0</v>
      </c>
      <c r="Y507">
        <v>0</v>
      </c>
      <c r="Z507">
        <v>0</v>
      </c>
      <c r="AA507">
        <v>0</v>
      </c>
      <c r="AB507">
        <v>0</v>
      </c>
      <c r="AC507">
        <v>0</v>
      </c>
      <c r="AD507">
        <v>0</v>
      </c>
      <c r="AF507">
        <v>200</v>
      </c>
      <c r="AG507">
        <v>0</v>
      </c>
      <c r="AI507">
        <v>0</v>
      </c>
      <c r="AJ507">
        <v>0</v>
      </c>
      <c r="AK507">
        <v>0</v>
      </c>
      <c r="AL507">
        <v>0</v>
      </c>
      <c r="AN507" t="s">
        <v>132</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62</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07" s="19">
        <f>SUM(Table1[[#This Row],[Mid39]],Table1[[#This Row],[Mid36]],Table1[[#This Row],[Mid33]],Table1[[#This Row],[Mid30]],Table1[[#This Row],[Mid27]],Table1[[#This Row],[Mid24]],Table1[[#This Row],[Mid21]],Table1[[#This Row],[Mid18]],Table1[[#This Row],[Mid15]],Table1[[#This Row],[Mid12]],Table1[[#This Row],[Mid9]],Table1[[#This Row],[Mid6]],Table1[[#This Row],[Mid3]],Table1[[#This Row],[Mid]])</f>
        <v>62</v>
      </c>
      <c r="CG50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07" t="s">
        <v>133</v>
      </c>
      <c r="CI507" t="s">
        <v>134</v>
      </c>
      <c r="CJ507" t="s">
        <v>158</v>
      </c>
      <c r="CL507" s="19">
        <f>IF(Table1[[#This Row],[Type]]="Petroleum",1,IF(ISERROR(Table1[[#This Row],[Well Density]]*Table1[[#This Row],[Single Well Discovery Area]]),"",IF(Table1[[#This Row],[Well Density]]*Table1[[#This Row],[Single Well Discovery Area]]&gt;1,1,Table1[[#This Row],[Well Density]]*Table1[[#This Row],[Single Well Discovery Area]])))</f>
        <v>1</v>
      </c>
      <c r="CM507" t="s">
        <v>158</v>
      </c>
      <c r="CN507" s="19">
        <f>Table1[[#This Row],[Mid]]</f>
        <v>0</v>
      </c>
      <c r="CO507" s="19">
        <f>Table1[[#This Row],[Mid3]]+Table1[[#This Row],[Mid6]]+Table1[[#This Row],[Mid9]]</f>
        <v>0</v>
      </c>
      <c r="CP507" s="19">
        <f>Table1[[#This Row],[Mid12]]+Table1[[#This Row],[Mid15]]+Table1[[#This Row],[Mid18]]+Table1[[#This Row],[Mid21]]+Table1[[#This Row],[Mid24]]</f>
        <v>62</v>
      </c>
      <c r="CQ507" s="19">
        <f>Table1[[#This Row],[Mid27]]+Table1[[#This Row],[Mid30]]+Table1[[#This Row],[Mid33]]+Table1[[#This Row],[Mid36]]+Table1[[#This Row],[Mid39]]</f>
        <v>0</v>
      </c>
      <c r="CR507" t="s">
        <v>415</v>
      </c>
      <c r="CS507" s="19" t="str">
        <f>IF(AND(Table1[[#This Row],[Low41]]=0, Table1[[#This Row],[High43]]=0),"N","Y")</f>
        <v>N</v>
      </c>
    </row>
    <row r="508" spans="1:97" ht="19.5" customHeight="1" x14ac:dyDescent="0.25">
      <c r="A508">
        <v>10506</v>
      </c>
      <c r="B508" t="s">
        <v>1635</v>
      </c>
      <c r="C508" t="s">
        <v>1449</v>
      </c>
      <c r="D508">
        <v>53.58666667</v>
      </c>
      <c r="E508">
        <v>1.6127777780000001</v>
      </c>
      <c r="F508" t="s">
        <v>1694</v>
      </c>
      <c r="G508" t="s">
        <v>1687</v>
      </c>
      <c r="H508" t="s">
        <v>1688</v>
      </c>
      <c r="I508" t="s">
        <v>1606</v>
      </c>
      <c r="J508" t="s">
        <v>202</v>
      </c>
      <c r="K508" t="s">
        <v>203</v>
      </c>
      <c r="L508" t="s">
        <v>121</v>
      </c>
      <c r="M508" t="s">
        <v>1689</v>
      </c>
      <c r="N508" s="6" t="s">
        <v>1663</v>
      </c>
      <c r="O508" t="s">
        <v>1695</v>
      </c>
      <c r="P508" t="s">
        <v>1696</v>
      </c>
      <c r="Q508" t="s">
        <v>1697</v>
      </c>
      <c r="R508" t="s">
        <v>1698</v>
      </c>
      <c r="S508">
        <v>2015</v>
      </c>
      <c r="T508" t="s">
        <v>153</v>
      </c>
      <c r="U508" t="s">
        <v>173</v>
      </c>
      <c r="V508">
        <v>162</v>
      </c>
      <c r="W508">
        <v>2133</v>
      </c>
      <c r="X508">
        <v>208</v>
      </c>
      <c r="Y508">
        <v>73</v>
      </c>
      <c r="Z508">
        <v>13</v>
      </c>
      <c r="AA508">
        <v>17</v>
      </c>
      <c r="AD508">
        <v>47</v>
      </c>
      <c r="AE508">
        <v>0.29012345699999997</v>
      </c>
      <c r="AF508">
        <v>200</v>
      </c>
      <c r="AG508">
        <v>0</v>
      </c>
      <c r="AK508">
        <v>0</v>
      </c>
      <c r="AL508">
        <v>0</v>
      </c>
      <c r="AM508" t="s">
        <v>1699</v>
      </c>
      <c r="AN508" t="s">
        <v>132</v>
      </c>
      <c r="BH508">
        <v>91</v>
      </c>
      <c r="CE50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08" s="19">
        <f>SUM(Table1[[#This Row],[Mid39]],Table1[[#This Row],[Mid36]],Table1[[#This Row],[Mid33]],Table1[[#This Row],[Mid30]],Table1[[#This Row],[Mid27]],Table1[[#This Row],[Mid24]],Table1[[#This Row],[Mid21]],Table1[[#This Row],[Mid18]],Table1[[#This Row],[Mid15]],Table1[[#This Row],[Mid12]],Table1[[#This Row],[Mid9]],Table1[[#This Row],[Mid6]],Table1[[#This Row],[Mid3]],Table1[[#This Row],[Mid]])</f>
        <v>91</v>
      </c>
      <c r="CG50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08" t="s">
        <v>133</v>
      </c>
      <c r="CI508" t="s">
        <v>134</v>
      </c>
      <c r="CJ508" t="s">
        <v>158</v>
      </c>
      <c r="CL508" s="19">
        <f>IF(Table1[[#This Row],[Type]]="Petroleum",1,IF(ISERROR(Table1[[#This Row],[Well Density]]*Table1[[#This Row],[Single Well Discovery Area]]),"",IF(Table1[[#This Row],[Well Density]]*Table1[[#This Row],[Single Well Discovery Area]]&gt;1,1,Table1[[#This Row],[Well Density]]*Table1[[#This Row],[Single Well Discovery Area]])))</f>
        <v>1</v>
      </c>
      <c r="CM508" t="s">
        <v>158</v>
      </c>
      <c r="CN508" s="19">
        <f>Table1[[#This Row],[Mid]]</f>
        <v>0</v>
      </c>
      <c r="CO508" s="19">
        <f>Table1[[#This Row],[Mid3]]+Table1[[#This Row],[Mid6]]+Table1[[#This Row],[Mid9]]</f>
        <v>0</v>
      </c>
      <c r="CP508" s="19">
        <f>Table1[[#This Row],[Mid12]]+Table1[[#This Row],[Mid15]]+Table1[[#This Row],[Mid18]]+Table1[[#This Row],[Mid21]]+Table1[[#This Row],[Mid24]]</f>
        <v>91</v>
      </c>
      <c r="CQ508" s="19">
        <f>Table1[[#This Row],[Mid27]]+Table1[[#This Row],[Mid30]]+Table1[[#This Row],[Mid33]]+Table1[[#This Row],[Mid36]]+Table1[[#This Row],[Mid39]]</f>
        <v>0</v>
      </c>
      <c r="CR508" t="s">
        <v>415</v>
      </c>
      <c r="CS508" s="19" t="str">
        <f>IF(AND(Table1[[#This Row],[Low41]]=0, Table1[[#This Row],[High43]]=0),"N","Y")</f>
        <v>N</v>
      </c>
    </row>
    <row r="509" spans="1:97" ht="19.5" customHeight="1" x14ac:dyDescent="0.25">
      <c r="A509">
        <v>10507</v>
      </c>
      <c r="B509" t="s">
        <v>1635</v>
      </c>
      <c r="C509" t="s">
        <v>1449</v>
      </c>
      <c r="D509">
        <v>54.212499999999999</v>
      </c>
      <c r="E509">
        <v>2.145</v>
      </c>
      <c r="F509" t="s">
        <v>1700</v>
      </c>
      <c r="G509" t="s">
        <v>1687</v>
      </c>
      <c r="H509" t="s">
        <v>1701</v>
      </c>
      <c r="I509" t="s">
        <v>1606</v>
      </c>
      <c r="J509" t="s">
        <v>202</v>
      </c>
      <c r="K509" t="s">
        <v>203</v>
      </c>
      <c r="L509" t="s">
        <v>121</v>
      </c>
      <c r="M509" t="s">
        <v>606</v>
      </c>
      <c r="N509" s="6" t="s">
        <v>1639</v>
      </c>
      <c r="O509" t="s">
        <v>1702</v>
      </c>
      <c r="P509" t="s">
        <v>436</v>
      </c>
      <c r="Q509" t="s">
        <v>1641</v>
      </c>
      <c r="R509" t="s">
        <v>1642</v>
      </c>
      <c r="S509">
        <v>2015</v>
      </c>
      <c r="T509" t="s">
        <v>153</v>
      </c>
      <c r="U509" t="s">
        <v>1479</v>
      </c>
      <c r="V509">
        <v>0</v>
      </c>
      <c r="W509">
        <v>0</v>
      </c>
      <c r="X509">
        <v>0</v>
      </c>
      <c r="Y509">
        <v>0</v>
      </c>
      <c r="Z509">
        <v>0</v>
      </c>
      <c r="AA509">
        <v>0</v>
      </c>
      <c r="AB509">
        <v>0</v>
      </c>
      <c r="AC509">
        <v>0</v>
      </c>
      <c r="AD509">
        <v>0</v>
      </c>
      <c r="AF509">
        <v>200</v>
      </c>
      <c r="AG509">
        <v>0</v>
      </c>
      <c r="AI509">
        <v>0</v>
      </c>
      <c r="AJ509">
        <v>0</v>
      </c>
      <c r="AK509">
        <v>0</v>
      </c>
      <c r="AL509">
        <v>0</v>
      </c>
      <c r="AN509" t="s">
        <v>132</v>
      </c>
      <c r="AO509">
        <v>0</v>
      </c>
      <c r="AP509">
        <v>0</v>
      </c>
      <c r="AQ509">
        <v>0</v>
      </c>
      <c r="AR509">
        <v>0</v>
      </c>
      <c r="AS509">
        <v>0</v>
      </c>
      <c r="AT509">
        <v>0</v>
      </c>
      <c r="AU509">
        <v>0</v>
      </c>
      <c r="AV509">
        <v>0</v>
      </c>
      <c r="AW509">
        <v>0</v>
      </c>
      <c r="AX509">
        <v>0</v>
      </c>
      <c r="AY509">
        <v>0</v>
      </c>
      <c r="AZ509">
        <v>0</v>
      </c>
      <c r="BA509">
        <v>0</v>
      </c>
      <c r="BB509">
        <v>0</v>
      </c>
      <c r="BC509">
        <v>0</v>
      </c>
      <c r="BD509">
        <v>0</v>
      </c>
      <c r="BE509">
        <v>19</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09" s="19">
        <f>SUM(Table1[[#This Row],[Mid39]],Table1[[#This Row],[Mid36]],Table1[[#This Row],[Mid33]],Table1[[#This Row],[Mid30]],Table1[[#This Row],[Mid27]],Table1[[#This Row],[Mid24]],Table1[[#This Row],[Mid21]],Table1[[#This Row],[Mid18]],Table1[[#This Row],[Mid15]],Table1[[#This Row],[Mid12]],Table1[[#This Row],[Mid9]],Table1[[#This Row],[Mid6]],Table1[[#This Row],[Mid3]],Table1[[#This Row],[Mid]])</f>
        <v>19</v>
      </c>
      <c r="CG50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09" t="s">
        <v>133</v>
      </c>
      <c r="CI509" t="s">
        <v>134</v>
      </c>
      <c r="CJ509" t="s">
        <v>158</v>
      </c>
      <c r="CL509" s="19">
        <f>IF(Table1[[#This Row],[Type]]="Petroleum",1,IF(ISERROR(Table1[[#This Row],[Well Density]]*Table1[[#This Row],[Single Well Discovery Area]]),"",IF(Table1[[#This Row],[Well Density]]*Table1[[#This Row],[Single Well Discovery Area]]&gt;1,1,Table1[[#This Row],[Well Density]]*Table1[[#This Row],[Single Well Discovery Area]])))</f>
        <v>1</v>
      </c>
      <c r="CM509" t="s">
        <v>158</v>
      </c>
      <c r="CN509" s="19">
        <f>Table1[[#This Row],[Mid]]</f>
        <v>0</v>
      </c>
      <c r="CO509" s="19">
        <f>Table1[[#This Row],[Mid3]]+Table1[[#This Row],[Mid6]]+Table1[[#This Row],[Mid9]]</f>
        <v>0</v>
      </c>
      <c r="CP509" s="19">
        <f>Table1[[#This Row],[Mid12]]+Table1[[#This Row],[Mid15]]+Table1[[#This Row],[Mid18]]+Table1[[#This Row],[Mid21]]+Table1[[#This Row],[Mid24]]</f>
        <v>19</v>
      </c>
      <c r="CQ509" s="19">
        <f>Table1[[#This Row],[Mid27]]+Table1[[#This Row],[Mid30]]+Table1[[#This Row],[Mid33]]+Table1[[#This Row],[Mid36]]+Table1[[#This Row],[Mid39]]</f>
        <v>0</v>
      </c>
      <c r="CR509" t="s">
        <v>415</v>
      </c>
      <c r="CS509" s="19" t="str">
        <f>IF(AND(Table1[[#This Row],[Low41]]=0, Table1[[#This Row],[High43]]=0),"N","Y")</f>
        <v>N</v>
      </c>
    </row>
    <row r="510" spans="1:97" ht="19.5" customHeight="1" x14ac:dyDescent="0.25">
      <c r="A510">
        <v>10508</v>
      </c>
      <c r="B510" t="s">
        <v>1635</v>
      </c>
      <c r="C510" t="s">
        <v>1449</v>
      </c>
      <c r="D510">
        <v>59.735555560000002</v>
      </c>
      <c r="E510">
        <v>1.639166667</v>
      </c>
      <c r="F510" t="s">
        <v>1703</v>
      </c>
      <c r="G510" t="s">
        <v>1704</v>
      </c>
      <c r="H510" t="s">
        <v>1705</v>
      </c>
      <c r="I510" t="s">
        <v>1606</v>
      </c>
      <c r="J510" t="s">
        <v>202</v>
      </c>
      <c r="K510" t="s">
        <v>203</v>
      </c>
      <c r="L510" t="s">
        <v>121</v>
      </c>
      <c r="M510" t="s">
        <v>1444</v>
      </c>
      <c r="N510" s="6" t="s">
        <v>1663</v>
      </c>
      <c r="O510" t="s">
        <v>1706</v>
      </c>
      <c r="P510" t="s">
        <v>1707</v>
      </c>
      <c r="Q510" t="s">
        <v>1708</v>
      </c>
      <c r="R510" t="s">
        <v>1709</v>
      </c>
      <c r="S510">
        <v>2015</v>
      </c>
      <c r="T510" t="s">
        <v>153</v>
      </c>
      <c r="U510" t="s">
        <v>173</v>
      </c>
      <c r="V510">
        <v>100</v>
      </c>
      <c r="W510">
        <v>3320</v>
      </c>
      <c r="X510">
        <v>315</v>
      </c>
      <c r="Y510">
        <v>0.74</v>
      </c>
      <c r="Z510">
        <v>15.5</v>
      </c>
      <c r="AA510">
        <v>88</v>
      </c>
      <c r="AD510">
        <v>74</v>
      </c>
      <c r="AE510">
        <v>0.74</v>
      </c>
      <c r="AF510">
        <v>200</v>
      </c>
      <c r="AG510">
        <v>0</v>
      </c>
      <c r="AK510">
        <v>0</v>
      </c>
      <c r="AL510">
        <v>0</v>
      </c>
      <c r="AM510" t="s">
        <v>1668</v>
      </c>
      <c r="AN510" t="s">
        <v>132</v>
      </c>
      <c r="BH510">
        <v>188</v>
      </c>
      <c r="CE51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10" s="19">
        <f>SUM(Table1[[#This Row],[Mid39]],Table1[[#This Row],[Mid36]],Table1[[#This Row],[Mid33]],Table1[[#This Row],[Mid30]],Table1[[#This Row],[Mid27]],Table1[[#This Row],[Mid24]],Table1[[#This Row],[Mid21]],Table1[[#This Row],[Mid18]],Table1[[#This Row],[Mid15]],Table1[[#This Row],[Mid12]],Table1[[#This Row],[Mid9]],Table1[[#This Row],[Mid6]],Table1[[#This Row],[Mid3]],Table1[[#This Row],[Mid]])</f>
        <v>188</v>
      </c>
      <c r="CG5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10" t="s">
        <v>133</v>
      </c>
      <c r="CI510" t="s">
        <v>134</v>
      </c>
      <c r="CJ510" t="s">
        <v>158</v>
      </c>
      <c r="CL510" s="19">
        <f>IF(Table1[[#This Row],[Type]]="Petroleum",1,IF(ISERROR(Table1[[#This Row],[Well Density]]*Table1[[#This Row],[Single Well Discovery Area]]),"",IF(Table1[[#This Row],[Well Density]]*Table1[[#This Row],[Single Well Discovery Area]]&gt;1,1,Table1[[#This Row],[Well Density]]*Table1[[#This Row],[Single Well Discovery Area]])))</f>
        <v>1</v>
      </c>
      <c r="CM510" t="s">
        <v>158</v>
      </c>
      <c r="CN510" s="19">
        <f>Table1[[#This Row],[Mid]]</f>
        <v>0</v>
      </c>
      <c r="CO510" s="19">
        <f>Table1[[#This Row],[Mid3]]+Table1[[#This Row],[Mid6]]+Table1[[#This Row],[Mid9]]</f>
        <v>0</v>
      </c>
      <c r="CP510" s="19">
        <f>Table1[[#This Row],[Mid12]]+Table1[[#This Row],[Mid15]]+Table1[[#This Row],[Mid18]]+Table1[[#This Row],[Mid21]]+Table1[[#This Row],[Mid24]]</f>
        <v>188</v>
      </c>
      <c r="CQ510" s="19">
        <f>Table1[[#This Row],[Mid27]]+Table1[[#This Row],[Mid30]]+Table1[[#This Row],[Mid33]]+Table1[[#This Row],[Mid36]]+Table1[[#This Row],[Mid39]]</f>
        <v>0</v>
      </c>
      <c r="CR510" t="s">
        <v>415</v>
      </c>
      <c r="CS510" s="19" t="str">
        <f>IF(AND(Table1[[#This Row],[Low41]]=0, Table1[[#This Row],[High43]]=0),"N","Y")</f>
        <v>N</v>
      </c>
    </row>
    <row r="511" spans="1:97" ht="19.5" customHeight="1" x14ac:dyDescent="0.25">
      <c r="A511">
        <v>10509</v>
      </c>
      <c r="B511" t="s">
        <v>1635</v>
      </c>
      <c r="C511" t="s">
        <v>1449</v>
      </c>
      <c r="D511">
        <v>53.829166669999999</v>
      </c>
      <c r="E511">
        <v>1.6086111110000001</v>
      </c>
      <c r="F511" t="s">
        <v>1710</v>
      </c>
      <c r="G511" t="s">
        <v>1687</v>
      </c>
      <c r="H511" t="s">
        <v>1711</v>
      </c>
      <c r="I511" t="s">
        <v>118</v>
      </c>
      <c r="J511" t="s">
        <v>119</v>
      </c>
      <c r="K511" t="s">
        <v>203</v>
      </c>
      <c r="L511" t="s">
        <v>121</v>
      </c>
      <c r="M511" t="s">
        <v>412</v>
      </c>
      <c r="N511" s="6" t="s">
        <v>1639</v>
      </c>
      <c r="O511" t="s">
        <v>1644</v>
      </c>
      <c r="P511" t="s">
        <v>1670</v>
      </c>
      <c r="Q511" t="s">
        <v>1641</v>
      </c>
      <c r="R511" t="s">
        <v>1642</v>
      </c>
      <c r="S511">
        <v>2015</v>
      </c>
      <c r="T511" t="s">
        <v>153</v>
      </c>
      <c r="U511" t="s">
        <v>173</v>
      </c>
      <c r="V511"/>
      <c r="AF511">
        <v>200</v>
      </c>
      <c r="AG511">
        <v>0</v>
      </c>
      <c r="AK511">
        <v>0</v>
      </c>
      <c r="AL511">
        <v>0</v>
      </c>
      <c r="AN511" t="s">
        <v>132</v>
      </c>
      <c r="BH511">
        <v>140</v>
      </c>
      <c r="CE51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11" s="19">
        <f>SUM(Table1[[#This Row],[Mid39]],Table1[[#This Row],[Mid36]],Table1[[#This Row],[Mid33]],Table1[[#This Row],[Mid30]],Table1[[#This Row],[Mid27]],Table1[[#This Row],[Mid24]],Table1[[#This Row],[Mid21]],Table1[[#This Row],[Mid18]],Table1[[#This Row],[Mid15]],Table1[[#This Row],[Mid12]],Table1[[#This Row],[Mid9]],Table1[[#This Row],[Mid6]],Table1[[#This Row],[Mid3]],Table1[[#This Row],[Mid]])</f>
        <v>140</v>
      </c>
      <c r="CG5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11" t="s">
        <v>133</v>
      </c>
      <c r="CI511" t="s">
        <v>134</v>
      </c>
      <c r="CJ511" t="s">
        <v>158</v>
      </c>
      <c r="CL511" s="19">
        <f>IF(Table1[[#This Row],[Type]]="Petroleum",1,IF(ISERROR(Table1[[#This Row],[Well Density]]*Table1[[#This Row],[Single Well Discovery Area]]),"",IF(Table1[[#This Row],[Well Density]]*Table1[[#This Row],[Single Well Discovery Area]]&gt;1,1,Table1[[#This Row],[Well Density]]*Table1[[#This Row],[Single Well Discovery Area]])))</f>
        <v>0</v>
      </c>
      <c r="CM511" t="s">
        <v>158</v>
      </c>
      <c r="CN511" s="19">
        <f>Table1[[#This Row],[Mid]]</f>
        <v>0</v>
      </c>
      <c r="CO511" s="19">
        <f>Table1[[#This Row],[Mid3]]+Table1[[#This Row],[Mid6]]+Table1[[#This Row],[Mid9]]</f>
        <v>0</v>
      </c>
      <c r="CP511" s="19">
        <f>Table1[[#This Row],[Mid12]]+Table1[[#This Row],[Mid15]]+Table1[[#This Row],[Mid18]]+Table1[[#This Row],[Mid21]]+Table1[[#This Row],[Mid24]]</f>
        <v>140</v>
      </c>
      <c r="CQ511" s="19">
        <f>Table1[[#This Row],[Mid27]]+Table1[[#This Row],[Mid30]]+Table1[[#This Row],[Mid33]]+Table1[[#This Row],[Mid36]]+Table1[[#This Row],[Mid39]]</f>
        <v>0</v>
      </c>
      <c r="CR511" t="s">
        <v>415</v>
      </c>
      <c r="CS511" s="19" t="str">
        <f>IF(AND(Table1[[#This Row],[Low41]]=0, Table1[[#This Row],[High43]]=0),"N","Y")</f>
        <v>N</v>
      </c>
    </row>
    <row r="512" spans="1:97" ht="19.5" customHeight="1" x14ac:dyDescent="0.25">
      <c r="A512">
        <v>10510</v>
      </c>
      <c r="B512" t="s">
        <v>1635</v>
      </c>
      <c r="C512" t="s">
        <v>1449</v>
      </c>
      <c r="D512">
        <v>53.66333333</v>
      </c>
      <c r="E512">
        <v>2.1175000000000002</v>
      </c>
      <c r="F512" t="s">
        <v>1712</v>
      </c>
      <c r="G512" t="s">
        <v>1687</v>
      </c>
      <c r="H512" t="s">
        <v>1711</v>
      </c>
      <c r="I512" t="s">
        <v>118</v>
      </c>
      <c r="J512" t="s">
        <v>119</v>
      </c>
      <c r="K512" t="s">
        <v>203</v>
      </c>
      <c r="L512" t="s">
        <v>121</v>
      </c>
      <c r="M512" t="s">
        <v>412</v>
      </c>
      <c r="N512" s="6" t="s">
        <v>1639</v>
      </c>
      <c r="O512" t="s">
        <v>1644</v>
      </c>
      <c r="P512" t="s">
        <v>1670</v>
      </c>
      <c r="Q512" t="s">
        <v>1641</v>
      </c>
      <c r="R512" t="s">
        <v>1642</v>
      </c>
      <c r="S512">
        <v>2015</v>
      </c>
      <c r="T512" t="s">
        <v>153</v>
      </c>
      <c r="U512" t="s">
        <v>173</v>
      </c>
      <c r="V512"/>
      <c r="AF512">
        <v>200</v>
      </c>
      <c r="AG512">
        <v>0</v>
      </c>
      <c r="AK512">
        <v>0</v>
      </c>
      <c r="AL512">
        <v>0</v>
      </c>
      <c r="AN512" t="s">
        <v>132</v>
      </c>
      <c r="BH512">
        <v>903</v>
      </c>
      <c r="CE51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12" s="19">
        <f>SUM(Table1[[#This Row],[Mid39]],Table1[[#This Row],[Mid36]],Table1[[#This Row],[Mid33]],Table1[[#This Row],[Mid30]],Table1[[#This Row],[Mid27]],Table1[[#This Row],[Mid24]],Table1[[#This Row],[Mid21]],Table1[[#This Row],[Mid18]],Table1[[#This Row],[Mid15]],Table1[[#This Row],[Mid12]],Table1[[#This Row],[Mid9]],Table1[[#This Row],[Mid6]],Table1[[#This Row],[Mid3]],Table1[[#This Row],[Mid]])</f>
        <v>903</v>
      </c>
      <c r="CG5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12" t="s">
        <v>133</v>
      </c>
      <c r="CI512" t="s">
        <v>134</v>
      </c>
      <c r="CJ512" t="s">
        <v>158</v>
      </c>
      <c r="CL512" s="19">
        <f>IF(Table1[[#This Row],[Type]]="Petroleum",1,IF(ISERROR(Table1[[#This Row],[Well Density]]*Table1[[#This Row],[Single Well Discovery Area]]),"",IF(Table1[[#This Row],[Well Density]]*Table1[[#This Row],[Single Well Discovery Area]]&gt;1,1,Table1[[#This Row],[Well Density]]*Table1[[#This Row],[Single Well Discovery Area]])))</f>
        <v>0</v>
      </c>
      <c r="CM512" t="s">
        <v>158</v>
      </c>
      <c r="CN512" s="19">
        <f>Table1[[#This Row],[Mid]]</f>
        <v>0</v>
      </c>
      <c r="CO512" s="19">
        <f>Table1[[#This Row],[Mid3]]+Table1[[#This Row],[Mid6]]+Table1[[#This Row],[Mid9]]</f>
        <v>0</v>
      </c>
      <c r="CP512" s="19">
        <f>Table1[[#This Row],[Mid12]]+Table1[[#This Row],[Mid15]]+Table1[[#This Row],[Mid18]]+Table1[[#This Row],[Mid21]]+Table1[[#This Row],[Mid24]]</f>
        <v>903</v>
      </c>
      <c r="CQ512" s="19">
        <f>Table1[[#This Row],[Mid27]]+Table1[[#This Row],[Mid30]]+Table1[[#This Row],[Mid33]]+Table1[[#This Row],[Mid36]]+Table1[[#This Row],[Mid39]]</f>
        <v>0</v>
      </c>
      <c r="CR512" t="s">
        <v>415</v>
      </c>
      <c r="CS512" s="19" t="str">
        <f>IF(AND(Table1[[#This Row],[Low41]]=0, Table1[[#This Row],[High43]]=0),"N","Y")</f>
        <v>N</v>
      </c>
    </row>
    <row r="513" spans="1:97" ht="19.5" customHeight="1" x14ac:dyDescent="0.25">
      <c r="A513">
        <v>10511</v>
      </c>
      <c r="B513" t="s">
        <v>1635</v>
      </c>
      <c r="C513" t="s">
        <v>1449</v>
      </c>
      <c r="D513">
        <v>53.436944439999998</v>
      </c>
      <c r="E513">
        <v>2.2908333330000001</v>
      </c>
      <c r="F513" t="s">
        <v>1713</v>
      </c>
      <c r="G513" t="s">
        <v>1687</v>
      </c>
      <c r="H513" t="s">
        <v>1711</v>
      </c>
      <c r="I513" t="s">
        <v>118</v>
      </c>
      <c r="J513" t="s">
        <v>119</v>
      </c>
      <c r="K513" t="s">
        <v>203</v>
      </c>
      <c r="L513" t="s">
        <v>121</v>
      </c>
      <c r="M513" t="s">
        <v>412</v>
      </c>
      <c r="N513" s="6" t="s">
        <v>1663</v>
      </c>
      <c r="O513" t="s">
        <v>1690</v>
      </c>
      <c r="P513" t="s">
        <v>1714</v>
      </c>
      <c r="Q513" t="s">
        <v>1715</v>
      </c>
      <c r="R513" t="s">
        <v>1716</v>
      </c>
      <c r="S513">
        <v>2015</v>
      </c>
      <c r="T513" t="s">
        <v>771</v>
      </c>
      <c r="U513" t="s">
        <v>1479</v>
      </c>
      <c r="V513">
        <v>80</v>
      </c>
      <c r="W513">
        <v>1020</v>
      </c>
      <c r="X513">
        <v>240</v>
      </c>
      <c r="Y513">
        <v>95</v>
      </c>
      <c r="Z513">
        <v>21</v>
      </c>
      <c r="AA513">
        <v>350</v>
      </c>
      <c r="AB513">
        <v>0</v>
      </c>
      <c r="AC513">
        <v>780</v>
      </c>
      <c r="AD513">
        <v>20</v>
      </c>
      <c r="AE513">
        <v>0.25</v>
      </c>
      <c r="AF513">
        <v>200</v>
      </c>
      <c r="AG513">
        <v>0</v>
      </c>
      <c r="AH513" t="s">
        <v>1717</v>
      </c>
      <c r="AI513">
        <v>15</v>
      </c>
      <c r="AK513">
        <v>1.5926895599999999</v>
      </c>
      <c r="AL513">
        <v>0</v>
      </c>
      <c r="AM513" t="s">
        <v>1718</v>
      </c>
      <c r="AN513" t="s">
        <v>132</v>
      </c>
      <c r="BH513">
        <v>232</v>
      </c>
      <c r="CE51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13" s="19">
        <f>SUM(Table1[[#This Row],[Mid39]],Table1[[#This Row],[Mid36]],Table1[[#This Row],[Mid33]],Table1[[#This Row],[Mid30]],Table1[[#This Row],[Mid27]],Table1[[#This Row],[Mid24]],Table1[[#This Row],[Mid21]],Table1[[#This Row],[Mid18]],Table1[[#This Row],[Mid15]],Table1[[#This Row],[Mid12]],Table1[[#This Row],[Mid9]],Table1[[#This Row],[Mid6]],Table1[[#This Row],[Mid3]],Table1[[#This Row],[Mid]])</f>
        <v>232</v>
      </c>
      <c r="CG5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13" t="s">
        <v>133</v>
      </c>
      <c r="CI513" t="s">
        <v>134</v>
      </c>
      <c r="CJ513" t="s">
        <v>158</v>
      </c>
      <c r="CL513" s="19">
        <f>IF(Table1[[#This Row],[Type]]="Petroleum",1,IF(ISERROR(Table1[[#This Row],[Well Density]]*Table1[[#This Row],[Single Well Discovery Area]]),"",IF(Table1[[#This Row],[Well Density]]*Table1[[#This Row],[Single Well Discovery Area]]&gt;1,1,Table1[[#This Row],[Well Density]]*Table1[[#This Row],[Single Well Discovery Area]])))</f>
        <v>1</v>
      </c>
      <c r="CM513" t="s">
        <v>158</v>
      </c>
      <c r="CN513" s="19">
        <f>Table1[[#This Row],[Mid]]</f>
        <v>0</v>
      </c>
      <c r="CO513" s="19">
        <f>Table1[[#This Row],[Mid3]]+Table1[[#This Row],[Mid6]]+Table1[[#This Row],[Mid9]]</f>
        <v>0</v>
      </c>
      <c r="CP513" s="19">
        <f>Table1[[#This Row],[Mid12]]+Table1[[#This Row],[Mid15]]+Table1[[#This Row],[Mid18]]+Table1[[#This Row],[Mid21]]+Table1[[#This Row],[Mid24]]</f>
        <v>232</v>
      </c>
      <c r="CQ513" s="19">
        <f>Table1[[#This Row],[Mid27]]+Table1[[#This Row],[Mid30]]+Table1[[#This Row],[Mid33]]+Table1[[#This Row],[Mid36]]+Table1[[#This Row],[Mid39]]</f>
        <v>0</v>
      </c>
      <c r="CR513" t="s">
        <v>415</v>
      </c>
      <c r="CS513" s="19" t="str">
        <f>IF(AND(Table1[[#This Row],[Low41]]=0, Table1[[#This Row],[High43]]=0),"N","Y")</f>
        <v>N</v>
      </c>
    </row>
    <row r="514" spans="1:97" ht="19.5" customHeight="1" x14ac:dyDescent="0.25">
      <c r="A514">
        <v>10512</v>
      </c>
      <c r="B514" t="s">
        <v>1635</v>
      </c>
      <c r="C514" t="s">
        <v>1449</v>
      </c>
      <c r="D514">
        <v>54.044166670000003</v>
      </c>
      <c r="E514">
        <v>2.1252777780000001</v>
      </c>
      <c r="F514" t="s">
        <v>1719</v>
      </c>
      <c r="G514" t="s">
        <v>1687</v>
      </c>
      <c r="H514" t="s">
        <v>1711</v>
      </c>
      <c r="I514" t="s">
        <v>118</v>
      </c>
      <c r="J514" t="s">
        <v>119</v>
      </c>
      <c r="K514" t="s">
        <v>203</v>
      </c>
      <c r="L514" t="s">
        <v>147</v>
      </c>
      <c r="M514" t="s">
        <v>412</v>
      </c>
      <c r="N514" s="6" t="s">
        <v>1720</v>
      </c>
      <c r="O514" t="s">
        <v>1721</v>
      </c>
      <c r="P514" t="s">
        <v>1722</v>
      </c>
      <c r="Q514" s="21" t="s">
        <v>1723</v>
      </c>
      <c r="R514" t="s">
        <v>1724</v>
      </c>
      <c r="S514">
        <v>2022</v>
      </c>
      <c r="T514" t="s">
        <v>771</v>
      </c>
      <c r="U514" t="s">
        <v>1479</v>
      </c>
      <c r="V514">
        <v>60</v>
      </c>
      <c r="W514">
        <v>1170</v>
      </c>
      <c r="X514">
        <v>210</v>
      </c>
      <c r="Y514">
        <v>80</v>
      </c>
      <c r="Z514">
        <v>21</v>
      </c>
      <c r="AA514">
        <v>200</v>
      </c>
      <c r="AB514">
        <v>205000</v>
      </c>
      <c r="AC514">
        <v>780</v>
      </c>
      <c r="AD514">
        <v>4</v>
      </c>
      <c r="AE514">
        <v>6.6666666999999999E-2</v>
      </c>
      <c r="AF514">
        <v>200</v>
      </c>
      <c r="AG514">
        <v>1.0197350039999999</v>
      </c>
      <c r="AI514">
        <v>19</v>
      </c>
      <c r="AJ514">
        <v>0</v>
      </c>
      <c r="AK514">
        <v>2.0091330639999998</v>
      </c>
      <c r="AL514">
        <v>0</v>
      </c>
      <c r="AM514" t="s">
        <v>1654</v>
      </c>
      <c r="AN514" t="s">
        <v>132</v>
      </c>
      <c r="AO514">
        <v>0</v>
      </c>
      <c r="AP514">
        <v>0</v>
      </c>
      <c r="AQ514">
        <v>0</v>
      </c>
      <c r="AR514">
        <v>0</v>
      </c>
      <c r="AS514">
        <v>0</v>
      </c>
      <c r="AT514">
        <v>0</v>
      </c>
      <c r="AU514">
        <v>0</v>
      </c>
      <c r="AV514">
        <v>0</v>
      </c>
      <c r="AW514">
        <v>0</v>
      </c>
      <c r="AX514">
        <v>0</v>
      </c>
      <c r="AY514">
        <v>0</v>
      </c>
      <c r="AZ514">
        <v>0</v>
      </c>
      <c r="BA514">
        <v>0</v>
      </c>
      <c r="BB514">
        <v>0</v>
      </c>
      <c r="BC514">
        <v>0</v>
      </c>
      <c r="BD514">
        <v>0</v>
      </c>
      <c r="BE514">
        <v>78</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14" s="19">
        <f>SUM(Table1[[#This Row],[Mid39]],Table1[[#This Row],[Mid36]],Table1[[#This Row],[Mid33]],Table1[[#This Row],[Mid30]],Table1[[#This Row],[Mid27]],Table1[[#This Row],[Mid24]],Table1[[#This Row],[Mid21]],Table1[[#This Row],[Mid18]],Table1[[#This Row],[Mid15]],Table1[[#This Row],[Mid12]],Table1[[#This Row],[Mid9]],Table1[[#This Row],[Mid6]],Table1[[#This Row],[Mid3]],Table1[[#This Row],[Mid]])</f>
        <v>78</v>
      </c>
      <c r="CG5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14" t="s">
        <v>133</v>
      </c>
      <c r="CI514" t="s">
        <v>134</v>
      </c>
      <c r="CJ514" t="s">
        <v>135</v>
      </c>
      <c r="CL514" s="19">
        <f>IF(Table1[[#This Row],[Type]]="Petroleum",1,IF(ISERROR(Table1[[#This Row],[Well Density]]*Table1[[#This Row],[Single Well Discovery Area]]),"",IF(Table1[[#This Row],[Well Density]]*Table1[[#This Row],[Single Well Discovery Area]]&gt;1,1,Table1[[#This Row],[Well Density]]*Table1[[#This Row],[Single Well Discovery Area]])))</f>
        <v>1</v>
      </c>
      <c r="CM514" t="s">
        <v>158</v>
      </c>
      <c r="CN514" s="19">
        <f>Table1[[#This Row],[Mid]]</f>
        <v>0</v>
      </c>
      <c r="CO514" s="19">
        <f>Table1[[#This Row],[Mid3]]+Table1[[#This Row],[Mid6]]+Table1[[#This Row],[Mid9]]</f>
        <v>0</v>
      </c>
      <c r="CP514" s="19">
        <f>Table1[[#This Row],[Mid12]]+Table1[[#This Row],[Mid15]]+Table1[[#This Row],[Mid18]]+Table1[[#This Row],[Mid21]]+Table1[[#This Row],[Mid24]]</f>
        <v>78</v>
      </c>
      <c r="CQ514" s="19">
        <f>Table1[[#This Row],[Mid27]]+Table1[[#This Row],[Mid30]]+Table1[[#This Row],[Mid33]]+Table1[[#This Row],[Mid36]]+Table1[[#This Row],[Mid39]]</f>
        <v>0</v>
      </c>
      <c r="CR514" t="s">
        <v>415</v>
      </c>
      <c r="CS514" s="19" t="str">
        <f>IF(AND(Table1[[#This Row],[Low41]]=0, Table1[[#This Row],[High43]]=0),"N","Y")</f>
        <v>N</v>
      </c>
    </row>
    <row r="515" spans="1:97" ht="19.5" customHeight="1" x14ac:dyDescent="0.25">
      <c r="A515">
        <v>10513</v>
      </c>
      <c r="B515" t="s">
        <v>1635</v>
      </c>
      <c r="C515" t="s">
        <v>1449</v>
      </c>
      <c r="D515">
        <v>54.112777780000002</v>
      </c>
      <c r="E515">
        <v>2.1436111109999998</v>
      </c>
      <c r="F515" t="s">
        <v>1725</v>
      </c>
      <c r="G515" t="s">
        <v>1687</v>
      </c>
      <c r="H515" t="s">
        <v>1711</v>
      </c>
      <c r="I515" t="s">
        <v>118</v>
      </c>
      <c r="J515" t="s">
        <v>119</v>
      </c>
      <c r="K515" t="s">
        <v>203</v>
      </c>
      <c r="L515" t="s">
        <v>18</v>
      </c>
      <c r="M515" t="s">
        <v>412</v>
      </c>
      <c r="N515" s="6" t="s">
        <v>1720</v>
      </c>
      <c r="O515" t="s">
        <v>1726</v>
      </c>
      <c r="P515" t="s">
        <v>1722</v>
      </c>
      <c r="Q515" t="s">
        <v>1641</v>
      </c>
      <c r="R515" t="s">
        <v>1727</v>
      </c>
      <c r="S515">
        <v>2022</v>
      </c>
      <c r="T515" t="s">
        <v>771</v>
      </c>
      <c r="U515" t="s">
        <v>1479</v>
      </c>
      <c r="V515">
        <v>0</v>
      </c>
      <c r="W515">
        <v>0</v>
      </c>
      <c r="X515">
        <v>0</v>
      </c>
      <c r="Y515">
        <v>0</v>
      </c>
      <c r="Z515">
        <v>0</v>
      </c>
      <c r="AA515">
        <v>0</v>
      </c>
      <c r="AB515">
        <v>0</v>
      </c>
      <c r="AC515">
        <v>0</v>
      </c>
      <c r="AD515">
        <v>0</v>
      </c>
      <c r="AF515">
        <v>200</v>
      </c>
      <c r="AG515">
        <v>0</v>
      </c>
      <c r="AI515">
        <v>0</v>
      </c>
      <c r="AJ515">
        <v>0</v>
      </c>
      <c r="AK515">
        <v>0</v>
      </c>
      <c r="AL515">
        <v>0</v>
      </c>
      <c r="AN515" t="s">
        <v>132</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224</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15" s="19">
        <f>SUM(Table1[[#This Row],[Mid39]],Table1[[#This Row],[Mid36]],Table1[[#This Row],[Mid33]],Table1[[#This Row],[Mid30]],Table1[[#This Row],[Mid27]],Table1[[#This Row],[Mid24]],Table1[[#This Row],[Mid21]],Table1[[#This Row],[Mid18]],Table1[[#This Row],[Mid15]],Table1[[#This Row],[Mid12]],Table1[[#This Row],[Mid9]],Table1[[#This Row],[Mid6]],Table1[[#This Row],[Mid3]],Table1[[#This Row],[Mid]])</f>
        <v>224</v>
      </c>
      <c r="CG5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15" t="s">
        <v>133</v>
      </c>
      <c r="CI515" t="s">
        <v>134</v>
      </c>
      <c r="CJ515" t="s">
        <v>158</v>
      </c>
      <c r="CL515" s="19">
        <f>IF(Table1[[#This Row],[Type]]="Petroleum",1,IF(ISERROR(Table1[[#This Row],[Well Density]]*Table1[[#This Row],[Single Well Discovery Area]]),"",IF(Table1[[#This Row],[Well Density]]*Table1[[#This Row],[Single Well Discovery Area]]&gt;1,1,Table1[[#This Row],[Well Density]]*Table1[[#This Row],[Single Well Discovery Area]])))</f>
        <v>0</v>
      </c>
      <c r="CM515" t="s">
        <v>158</v>
      </c>
      <c r="CN515" s="19">
        <f>Table1[[#This Row],[Mid]]</f>
        <v>0</v>
      </c>
      <c r="CO515" s="19">
        <f>Table1[[#This Row],[Mid3]]+Table1[[#This Row],[Mid6]]+Table1[[#This Row],[Mid9]]</f>
        <v>0</v>
      </c>
      <c r="CP515" s="19">
        <f>Table1[[#This Row],[Mid12]]+Table1[[#This Row],[Mid15]]+Table1[[#This Row],[Mid18]]+Table1[[#This Row],[Mid21]]+Table1[[#This Row],[Mid24]]</f>
        <v>224</v>
      </c>
      <c r="CQ515" s="19">
        <f>Table1[[#This Row],[Mid27]]+Table1[[#This Row],[Mid30]]+Table1[[#This Row],[Mid33]]+Table1[[#This Row],[Mid36]]+Table1[[#This Row],[Mid39]]</f>
        <v>0</v>
      </c>
      <c r="CR515" t="s">
        <v>415</v>
      </c>
      <c r="CS515" s="19" t="str">
        <f>IF(AND(Table1[[#This Row],[Low41]]=0, Table1[[#This Row],[High43]]=0),"N","Y")</f>
        <v>N</v>
      </c>
    </row>
    <row r="516" spans="1:97" ht="19.5" customHeight="1" x14ac:dyDescent="0.25">
      <c r="A516">
        <v>10514</v>
      </c>
      <c r="B516" t="s">
        <v>1635</v>
      </c>
      <c r="C516" t="s">
        <v>1449</v>
      </c>
      <c r="D516">
        <v>54.285277780000001</v>
      </c>
      <c r="E516">
        <v>1.900555556</v>
      </c>
      <c r="F516" t="s">
        <v>1728</v>
      </c>
      <c r="G516" t="s">
        <v>1687</v>
      </c>
      <c r="H516" t="s">
        <v>1711</v>
      </c>
      <c r="I516" t="s">
        <v>118</v>
      </c>
      <c r="J516" t="s">
        <v>119</v>
      </c>
      <c r="K516" t="s">
        <v>203</v>
      </c>
      <c r="L516" t="s">
        <v>18</v>
      </c>
      <c r="M516" t="s">
        <v>412</v>
      </c>
      <c r="N516" s="6" t="s">
        <v>1639</v>
      </c>
      <c r="O516" t="s">
        <v>1729</v>
      </c>
      <c r="P516" t="s">
        <v>1670</v>
      </c>
      <c r="Q516" t="s">
        <v>1641</v>
      </c>
      <c r="R516" t="s">
        <v>1642</v>
      </c>
      <c r="S516">
        <v>2015</v>
      </c>
      <c r="T516" t="s">
        <v>771</v>
      </c>
      <c r="U516" t="s">
        <v>1479</v>
      </c>
      <c r="V516">
        <v>0</v>
      </c>
      <c r="W516">
        <v>0</v>
      </c>
      <c r="X516">
        <v>0</v>
      </c>
      <c r="Y516">
        <v>0</v>
      </c>
      <c r="Z516">
        <v>0</v>
      </c>
      <c r="AA516">
        <v>0</v>
      </c>
      <c r="AB516">
        <v>0</v>
      </c>
      <c r="AC516">
        <v>0</v>
      </c>
      <c r="AD516">
        <v>0</v>
      </c>
      <c r="AF516">
        <v>200</v>
      </c>
      <c r="AG516">
        <v>0</v>
      </c>
      <c r="AI516">
        <v>0</v>
      </c>
      <c r="AJ516">
        <v>0</v>
      </c>
      <c r="AK516">
        <v>0</v>
      </c>
      <c r="AL516">
        <v>0</v>
      </c>
      <c r="AN516" t="s">
        <v>132</v>
      </c>
      <c r="AO516">
        <v>0</v>
      </c>
      <c r="AP516">
        <v>0</v>
      </c>
      <c r="AQ516">
        <v>0</v>
      </c>
      <c r="AR516">
        <v>0</v>
      </c>
      <c r="AS516">
        <v>0</v>
      </c>
      <c r="AT516">
        <v>0</v>
      </c>
      <c r="AU516">
        <v>0</v>
      </c>
      <c r="AV516">
        <v>0</v>
      </c>
      <c r="AW516">
        <v>0</v>
      </c>
      <c r="AX516">
        <v>0</v>
      </c>
      <c r="AY516">
        <v>0</v>
      </c>
      <c r="AZ516">
        <v>0</v>
      </c>
      <c r="BA516">
        <v>0</v>
      </c>
      <c r="BB516">
        <v>0</v>
      </c>
      <c r="BC516">
        <v>0</v>
      </c>
      <c r="BD516">
        <v>0</v>
      </c>
      <c r="BE516">
        <v>37</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16" s="19">
        <f>SUM(Table1[[#This Row],[Mid39]],Table1[[#This Row],[Mid36]],Table1[[#This Row],[Mid33]],Table1[[#This Row],[Mid30]],Table1[[#This Row],[Mid27]],Table1[[#This Row],[Mid24]],Table1[[#This Row],[Mid21]],Table1[[#This Row],[Mid18]],Table1[[#This Row],[Mid15]],Table1[[#This Row],[Mid12]],Table1[[#This Row],[Mid9]],Table1[[#This Row],[Mid6]],Table1[[#This Row],[Mid3]],Table1[[#This Row],[Mid]])</f>
        <v>37</v>
      </c>
      <c r="CG5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16" t="s">
        <v>133</v>
      </c>
      <c r="CI516" t="s">
        <v>134</v>
      </c>
      <c r="CJ516" t="s">
        <v>158</v>
      </c>
      <c r="CL516" s="19">
        <f>IF(Table1[[#This Row],[Type]]="Petroleum",1,IF(ISERROR(Table1[[#This Row],[Well Density]]*Table1[[#This Row],[Single Well Discovery Area]]),"",IF(Table1[[#This Row],[Well Density]]*Table1[[#This Row],[Single Well Discovery Area]]&gt;1,1,Table1[[#This Row],[Well Density]]*Table1[[#This Row],[Single Well Discovery Area]])))</f>
        <v>0</v>
      </c>
      <c r="CM516" t="s">
        <v>158</v>
      </c>
      <c r="CN516" s="19">
        <f>Table1[[#This Row],[Mid]]</f>
        <v>0</v>
      </c>
      <c r="CO516" s="19">
        <f>Table1[[#This Row],[Mid3]]+Table1[[#This Row],[Mid6]]+Table1[[#This Row],[Mid9]]</f>
        <v>0</v>
      </c>
      <c r="CP516" s="19">
        <f>Table1[[#This Row],[Mid12]]+Table1[[#This Row],[Mid15]]+Table1[[#This Row],[Mid18]]+Table1[[#This Row],[Mid21]]+Table1[[#This Row],[Mid24]]</f>
        <v>37</v>
      </c>
      <c r="CQ516" s="19">
        <f>Table1[[#This Row],[Mid27]]+Table1[[#This Row],[Mid30]]+Table1[[#This Row],[Mid33]]+Table1[[#This Row],[Mid36]]+Table1[[#This Row],[Mid39]]</f>
        <v>0</v>
      </c>
      <c r="CR516" t="s">
        <v>415</v>
      </c>
      <c r="CS516" s="19" t="str">
        <f>IF(AND(Table1[[#This Row],[Low41]]=0, Table1[[#This Row],[High43]]=0),"N","Y")</f>
        <v>N</v>
      </c>
    </row>
    <row r="517" spans="1:97" ht="19.5" customHeight="1" x14ac:dyDescent="0.25">
      <c r="A517">
        <v>10515</v>
      </c>
      <c r="B517" t="s">
        <v>1635</v>
      </c>
      <c r="C517" t="s">
        <v>1449</v>
      </c>
      <c r="D517">
        <v>54.36527778</v>
      </c>
      <c r="E517">
        <v>1.6119444439999999</v>
      </c>
      <c r="F517" t="s">
        <v>1730</v>
      </c>
      <c r="G517" t="s">
        <v>1687</v>
      </c>
      <c r="H517" t="s">
        <v>1711</v>
      </c>
      <c r="I517" t="s">
        <v>118</v>
      </c>
      <c r="J517" t="s">
        <v>119</v>
      </c>
      <c r="K517" t="s">
        <v>203</v>
      </c>
      <c r="L517" t="s">
        <v>121</v>
      </c>
      <c r="M517" t="s">
        <v>412</v>
      </c>
      <c r="N517" s="6" t="s">
        <v>1639</v>
      </c>
      <c r="O517" t="s">
        <v>1729</v>
      </c>
      <c r="P517" t="s">
        <v>1670</v>
      </c>
      <c r="Q517" t="s">
        <v>1641</v>
      </c>
      <c r="R517" t="s">
        <v>1642</v>
      </c>
      <c r="S517">
        <v>2015</v>
      </c>
      <c r="T517" t="s">
        <v>771</v>
      </c>
      <c r="U517" t="s">
        <v>1479</v>
      </c>
      <c r="V517">
        <v>0</v>
      </c>
      <c r="W517">
        <v>0</v>
      </c>
      <c r="X517">
        <v>0</v>
      </c>
      <c r="Y517">
        <v>0</v>
      </c>
      <c r="Z517">
        <v>0</v>
      </c>
      <c r="AA517">
        <v>0</v>
      </c>
      <c r="AB517">
        <v>0</v>
      </c>
      <c r="AC517">
        <v>0</v>
      </c>
      <c r="AD517">
        <v>0</v>
      </c>
      <c r="AF517">
        <v>200</v>
      </c>
      <c r="AG517">
        <v>0</v>
      </c>
      <c r="AI517">
        <v>0</v>
      </c>
      <c r="AJ517">
        <v>0</v>
      </c>
      <c r="AK517">
        <v>0</v>
      </c>
      <c r="AL517">
        <v>0</v>
      </c>
      <c r="AN517" t="s">
        <v>132</v>
      </c>
      <c r="AO517">
        <v>0</v>
      </c>
      <c r="AP517">
        <v>0</v>
      </c>
      <c r="AQ517">
        <v>0</v>
      </c>
      <c r="AR517">
        <v>0</v>
      </c>
      <c r="AS517">
        <v>0</v>
      </c>
      <c r="AT517">
        <v>0</v>
      </c>
      <c r="AU517">
        <v>0</v>
      </c>
      <c r="AV517">
        <v>0</v>
      </c>
      <c r="AW517">
        <v>0</v>
      </c>
      <c r="AX517">
        <v>0</v>
      </c>
      <c r="AY517">
        <v>0</v>
      </c>
      <c r="AZ517">
        <v>0</v>
      </c>
      <c r="BA517">
        <v>0</v>
      </c>
      <c r="BB517">
        <v>0</v>
      </c>
      <c r="BC517">
        <v>0</v>
      </c>
      <c r="BD517">
        <v>0</v>
      </c>
      <c r="BE517">
        <v>7</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17" s="19">
        <f>SUM(Table1[[#This Row],[Mid39]],Table1[[#This Row],[Mid36]],Table1[[#This Row],[Mid33]],Table1[[#This Row],[Mid30]],Table1[[#This Row],[Mid27]],Table1[[#This Row],[Mid24]],Table1[[#This Row],[Mid21]],Table1[[#This Row],[Mid18]],Table1[[#This Row],[Mid15]],Table1[[#This Row],[Mid12]],Table1[[#This Row],[Mid9]],Table1[[#This Row],[Mid6]],Table1[[#This Row],[Mid3]],Table1[[#This Row],[Mid]])</f>
        <v>7</v>
      </c>
      <c r="CG5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17" t="s">
        <v>133</v>
      </c>
      <c r="CI517" t="s">
        <v>134</v>
      </c>
      <c r="CJ517" t="s">
        <v>158</v>
      </c>
      <c r="CL517" s="19">
        <f>IF(Table1[[#This Row],[Type]]="Petroleum",1,IF(ISERROR(Table1[[#This Row],[Well Density]]*Table1[[#This Row],[Single Well Discovery Area]]),"",IF(Table1[[#This Row],[Well Density]]*Table1[[#This Row],[Single Well Discovery Area]]&gt;1,1,Table1[[#This Row],[Well Density]]*Table1[[#This Row],[Single Well Discovery Area]])))</f>
        <v>0</v>
      </c>
      <c r="CM517" t="s">
        <v>135</v>
      </c>
      <c r="CN517" s="19">
        <f>Table1[[#This Row],[Mid]]</f>
        <v>0</v>
      </c>
      <c r="CO517" s="19">
        <f>Table1[[#This Row],[Mid3]]+Table1[[#This Row],[Mid6]]+Table1[[#This Row],[Mid9]]</f>
        <v>0</v>
      </c>
      <c r="CP517" s="19">
        <f>Table1[[#This Row],[Mid12]]+Table1[[#This Row],[Mid15]]+Table1[[#This Row],[Mid18]]+Table1[[#This Row],[Mid21]]+Table1[[#This Row],[Mid24]]</f>
        <v>7</v>
      </c>
      <c r="CQ517" s="19">
        <f>Table1[[#This Row],[Mid27]]+Table1[[#This Row],[Mid30]]+Table1[[#This Row],[Mid33]]+Table1[[#This Row],[Mid36]]+Table1[[#This Row],[Mid39]]</f>
        <v>0</v>
      </c>
      <c r="CR517" t="s">
        <v>415</v>
      </c>
      <c r="CS517" s="19" t="str">
        <f>IF(AND(Table1[[#This Row],[Low41]]=0, Table1[[#This Row],[High43]]=0),"N","Y")</f>
        <v>N</v>
      </c>
    </row>
    <row r="518" spans="1:97" ht="19.5" customHeight="1" x14ac:dyDescent="0.25">
      <c r="A518">
        <v>10516</v>
      </c>
      <c r="B518" t="s">
        <v>1635</v>
      </c>
      <c r="C518" t="s">
        <v>1449</v>
      </c>
      <c r="D518">
        <v>54.225000000000001</v>
      </c>
      <c r="E518">
        <v>1.53</v>
      </c>
      <c r="F518" t="s">
        <v>1731</v>
      </c>
      <c r="G518" t="s">
        <v>1687</v>
      </c>
      <c r="H518" t="s">
        <v>1711</v>
      </c>
      <c r="I518" t="s">
        <v>118</v>
      </c>
      <c r="J518" t="s">
        <v>119</v>
      </c>
      <c r="K518" t="s">
        <v>203</v>
      </c>
      <c r="L518" t="s">
        <v>147</v>
      </c>
      <c r="M518" t="s">
        <v>412</v>
      </c>
      <c r="N518" s="6" t="s">
        <v>1720</v>
      </c>
      <c r="O518" t="s">
        <v>1732</v>
      </c>
      <c r="P518" t="s">
        <v>1722</v>
      </c>
      <c r="Q518" t="s">
        <v>1733</v>
      </c>
      <c r="R518" t="s">
        <v>1734</v>
      </c>
      <c r="S518">
        <v>2022</v>
      </c>
      <c r="T518" t="s">
        <v>771</v>
      </c>
      <c r="U518" t="s">
        <v>1479</v>
      </c>
      <c r="V518">
        <v>50</v>
      </c>
      <c r="W518">
        <v>1020</v>
      </c>
      <c r="X518">
        <v>230</v>
      </c>
      <c r="Y518">
        <v>80</v>
      </c>
      <c r="Z518">
        <v>20</v>
      </c>
      <c r="AA518">
        <v>271</v>
      </c>
      <c r="AB518">
        <v>0</v>
      </c>
      <c r="AC518">
        <v>790</v>
      </c>
      <c r="AD518">
        <v>1</v>
      </c>
      <c r="AE518">
        <v>0.02</v>
      </c>
      <c r="AF518">
        <v>200</v>
      </c>
      <c r="AG518">
        <v>0</v>
      </c>
      <c r="AI518">
        <v>11</v>
      </c>
      <c r="AJ518">
        <v>0</v>
      </c>
      <c r="AK518">
        <v>1.9374275599999999</v>
      </c>
      <c r="AL518">
        <v>0</v>
      </c>
      <c r="AM518" t="s">
        <v>1718</v>
      </c>
      <c r="AN518" t="s">
        <v>132</v>
      </c>
      <c r="AO518">
        <v>0</v>
      </c>
      <c r="AP518">
        <v>0</v>
      </c>
      <c r="AQ518">
        <v>0</v>
      </c>
      <c r="AR518">
        <v>0</v>
      </c>
      <c r="AS518">
        <v>0</v>
      </c>
      <c r="AT518">
        <v>0</v>
      </c>
      <c r="AU518">
        <v>0</v>
      </c>
      <c r="AV518">
        <v>0</v>
      </c>
      <c r="AW518">
        <v>0</v>
      </c>
      <c r="AX518">
        <v>0</v>
      </c>
      <c r="AY518">
        <v>0</v>
      </c>
      <c r="AZ518">
        <v>0</v>
      </c>
      <c r="BA518">
        <v>0</v>
      </c>
      <c r="BB518">
        <v>0</v>
      </c>
      <c r="BC518">
        <v>0</v>
      </c>
      <c r="BD518">
        <v>0</v>
      </c>
      <c r="BE518">
        <v>25</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18" s="19">
        <f>SUM(Table1[[#This Row],[Mid39]],Table1[[#This Row],[Mid36]],Table1[[#This Row],[Mid33]],Table1[[#This Row],[Mid30]],Table1[[#This Row],[Mid27]],Table1[[#This Row],[Mid24]],Table1[[#This Row],[Mid21]],Table1[[#This Row],[Mid18]],Table1[[#This Row],[Mid15]],Table1[[#This Row],[Mid12]],Table1[[#This Row],[Mid9]],Table1[[#This Row],[Mid6]],Table1[[#This Row],[Mid3]],Table1[[#This Row],[Mid]])</f>
        <v>25</v>
      </c>
      <c r="CG51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18" t="s">
        <v>133</v>
      </c>
      <c r="CI518" t="s">
        <v>134</v>
      </c>
      <c r="CJ518" t="s">
        <v>135</v>
      </c>
      <c r="CL518" s="19">
        <f>IF(Table1[[#This Row],[Type]]="Petroleum",1,IF(ISERROR(Table1[[#This Row],[Well Density]]*Table1[[#This Row],[Single Well Discovery Area]]),"",IF(Table1[[#This Row],[Well Density]]*Table1[[#This Row],[Single Well Discovery Area]]&gt;1,1,Table1[[#This Row],[Well Density]]*Table1[[#This Row],[Single Well Discovery Area]])))</f>
        <v>1</v>
      </c>
      <c r="CM518" t="s">
        <v>158</v>
      </c>
      <c r="CN518" s="19">
        <f>Table1[[#This Row],[Mid]]</f>
        <v>0</v>
      </c>
      <c r="CO518" s="19">
        <f>Table1[[#This Row],[Mid3]]+Table1[[#This Row],[Mid6]]+Table1[[#This Row],[Mid9]]</f>
        <v>0</v>
      </c>
      <c r="CP518" s="19">
        <f>Table1[[#This Row],[Mid12]]+Table1[[#This Row],[Mid15]]+Table1[[#This Row],[Mid18]]+Table1[[#This Row],[Mid21]]+Table1[[#This Row],[Mid24]]</f>
        <v>25</v>
      </c>
      <c r="CQ518" s="19">
        <f>Table1[[#This Row],[Mid27]]+Table1[[#This Row],[Mid30]]+Table1[[#This Row],[Mid33]]+Table1[[#This Row],[Mid36]]+Table1[[#This Row],[Mid39]]</f>
        <v>0</v>
      </c>
      <c r="CR518" t="s">
        <v>415</v>
      </c>
      <c r="CS518" s="19" t="str">
        <f>IF(AND(Table1[[#This Row],[Low41]]=0, Table1[[#This Row],[High43]]=0),"N","Y")</f>
        <v>N</v>
      </c>
    </row>
    <row r="519" spans="1:97" ht="19.5" customHeight="1" x14ac:dyDescent="0.25">
      <c r="A519">
        <v>10517</v>
      </c>
      <c r="B519" t="s">
        <v>1635</v>
      </c>
      <c r="C519" t="s">
        <v>1449</v>
      </c>
      <c r="D519">
        <v>54.32305556</v>
      </c>
      <c r="E519">
        <v>1.214444444</v>
      </c>
      <c r="F519" t="s">
        <v>1735</v>
      </c>
      <c r="G519" t="s">
        <v>1687</v>
      </c>
      <c r="H519" t="s">
        <v>1711</v>
      </c>
      <c r="I519" t="s">
        <v>118</v>
      </c>
      <c r="J519" t="s">
        <v>119</v>
      </c>
      <c r="K519" t="s">
        <v>203</v>
      </c>
      <c r="L519" t="s">
        <v>121</v>
      </c>
      <c r="M519" t="s">
        <v>412</v>
      </c>
      <c r="N519" s="6" t="s">
        <v>1639</v>
      </c>
      <c r="O519" t="s">
        <v>1736</v>
      </c>
      <c r="P519" t="s">
        <v>1670</v>
      </c>
      <c r="Q519" t="s">
        <v>1641</v>
      </c>
      <c r="R519" t="s">
        <v>1642</v>
      </c>
      <c r="S519">
        <v>2015</v>
      </c>
      <c r="T519" t="s">
        <v>771</v>
      </c>
      <c r="U519" t="s">
        <v>1479</v>
      </c>
      <c r="V519">
        <v>0</v>
      </c>
      <c r="W519">
        <v>0</v>
      </c>
      <c r="X519">
        <v>0</v>
      </c>
      <c r="Y519">
        <v>0</v>
      </c>
      <c r="Z519">
        <v>0</v>
      </c>
      <c r="AA519">
        <v>0</v>
      </c>
      <c r="AB519">
        <v>0</v>
      </c>
      <c r="AC519">
        <v>0</v>
      </c>
      <c r="AD519">
        <v>0</v>
      </c>
      <c r="AF519">
        <v>200</v>
      </c>
      <c r="AG519">
        <v>0</v>
      </c>
      <c r="AI519">
        <v>0</v>
      </c>
      <c r="AJ519">
        <v>0</v>
      </c>
      <c r="AK519">
        <v>0</v>
      </c>
      <c r="AL519">
        <v>0</v>
      </c>
      <c r="AN519" t="s">
        <v>132</v>
      </c>
      <c r="AO519">
        <v>0</v>
      </c>
      <c r="AP519">
        <v>0</v>
      </c>
      <c r="AQ519">
        <v>0</v>
      </c>
      <c r="AR519">
        <v>0</v>
      </c>
      <c r="AS519">
        <v>0</v>
      </c>
      <c r="AT519">
        <v>0</v>
      </c>
      <c r="AU519">
        <v>0</v>
      </c>
      <c r="AV519">
        <v>0</v>
      </c>
      <c r="AW519">
        <v>0</v>
      </c>
      <c r="AX519">
        <v>0</v>
      </c>
      <c r="AY519">
        <v>0</v>
      </c>
      <c r="AZ519">
        <v>0</v>
      </c>
      <c r="BA519">
        <v>0</v>
      </c>
      <c r="BB519">
        <v>0</v>
      </c>
      <c r="BC519">
        <v>0</v>
      </c>
      <c r="BD519">
        <v>0</v>
      </c>
      <c r="BE519">
        <v>92</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19" s="19">
        <f>SUM(Table1[[#This Row],[Mid39]],Table1[[#This Row],[Mid36]],Table1[[#This Row],[Mid33]],Table1[[#This Row],[Mid30]],Table1[[#This Row],[Mid27]],Table1[[#This Row],[Mid24]],Table1[[#This Row],[Mid21]],Table1[[#This Row],[Mid18]],Table1[[#This Row],[Mid15]],Table1[[#This Row],[Mid12]],Table1[[#This Row],[Mid9]],Table1[[#This Row],[Mid6]],Table1[[#This Row],[Mid3]],Table1[[#This Row],[Mid]])</f>
        <v>92</v>
      </c>
      <c r="CG5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19" t="s">
        <v>133</v>
      </c>
      <c r="CI519" t="s">
        <v>134</v>
      </c>
      <c r="CJ519" t="s">
        <v>158</v>
      </c>
      <c r="CL519" s="19">
        <f>IF(Table1[[#This Row],[Type]]="Petroleum",1,IF(ISERROR(Table1[[#This Row],[Well Density]]*Table1[[#This Row],[Single Well Discovery Area]]),"",IF(Table1[[#This Row],[Well Density]]*Table1[[#This Row],[Single Well Discovery Area]]&gt;1,1,Table1[[#This Row],[Well Density]]*Table1[[#This Row],[Single Well Discovery Area]])))</f>
        <v>0</v>
      </c>
      <c r="CM519" t="s">
        <v>158</v>
      </c>
      <c r="CN519" s="19">
        <f>Table1[[#This Row],[Mid]]</f>
        <v>0</v>
      </c>
      <c r="CO519" s="19">
        <f>Table1[[#This Row],[Mid3]]+Table1[[#This Row],[Mid6]]+Table1[[#This Row],[Mid9]]</f>
        <v>0</v>
      </c>
      <c r="CP519" s="19">
        <f>Table1[[#This Row],[Mid12]]+Table1[[#This Row],[Mid15]]+Table1[[#This Row],[Mid18]]+Table1[[#This Row],[Mid21]]+Table1[[#This Row],[Mid24]]</f>
        <v>92</v>
      </c>
      <c r="CQ519" s="19">
        <f>Table1[[#This Row],[Mid27]]+Table1[[#This Row],[Mid30]]+Table1[[#This Row],[Mid33]]+Table1[[#This Row],[Mid36]]+Table1[[#This Row],[Mid39]]</f>
        <v>0</v>
      </c>
      <c r="CR519" t="s">
        <v>415</v>
      </c>
      <c r="CS519" s="19" t="str">
        <f>IF(AND(Table1[[#This Row],[Low41]]=0, Table1[[#This Row],[High43]]=0),"N","Y")</f>
        <v>N</v>
      </c>
    </row>
    <row r="520" spans="1:97" ht="19.5" customHeight="1" x14ac:dyDescent="0.25">
      <c r="A520">
        <v>10518</v>
      </c>
      <c r="B520" t="s">
        <v>1635</v>
      </c>
      <c r="C520" t="s">
        <v>1449</v>
      </c>
      <c r="D520">
        <v>54.386111110000002</v>
      </c>
      <c r="E520">
        <v>1.066388889</v>
      </c>
      <c r="F520" t="s">
        <v>1737</v>
      </c>
      <c r="G520" t="s">
        <v>1687</v>
      </c>
      <c r="H520" t="s">
        <v>1711</v>
      </c>
      <c r="I520" t="s">
        <v>118</v>
      </c>
      <c r="J520" t="s">
        <v>119</v>
      </c>
      <c r="K520" t="s">
        <v>203</v>
      </c>
      <c r="L520" t="s">
        <v>121</v>
      </c>
      <c r="M520" t="s">
        <v>412</v>
      </c>
      <c r="N520" s="6" t="s">
        <v>1639</v>
      </c>
      <c r="O520" t="s">
        <v>1738</v>
      </c>
      <c r="P520" t="s">
        <v>1670</v>
      </c>
      <c r="Q520" t="s">
        <v>1641</v>
      </c>
      <c r="R520" t="s">
        <v>1642</v>
      </c>
      <c r="S520">
        <v>2015</v>
      </c>
      <c r="T520" t="s">
        <v>771</v>
      </c>
      <c r="U520" t="s">
        <v>1479</v>
      </c>
      <c r="V520">
        <v>0</v>
      </c>
      <c r="W520">
        <v>0</v>
      </c>
      <c r="X520">
        <v>0</v>
      </c>
      <c r="Y520">
        <v>0</v>
      </c>
      <c r="Z520">
        <v>0</v>
      </c>
      <c r="AA520">
        <v>0</v>
      </c>
      <c r="AB520">
        <v>0</v>
      </c>
      <c r="AC520">
        <v>0</v>
      </c>
      <c r="AD520">
        <v>0</v>
      </c>
      <c r="AF520">
        <v>200</v>
      </c>
      <c r="AG520">
        <v>0</v>
      </c>
      <c r="AI520">
        <v>0</v>
      </c>
      <c r="AJ520">
        <v>0</v>
      </c>
      <c r="AK520">
        <v>0</v>
      </c>
      <c r="AL520">
        <v>0</v>
      </c>
      <c r="AN520" t="s">
        <v>132</v>
      </c>
      <c r="AO520">
        <v>0</v>
      </c>
      <c r="AP520">
        <v>0</v>
      </c>
      <c r="AQ520">
        <v>0</v>
      </c>
      <c r="AR520">
        <v>0</v>
      </c>
      <c r="AS520">
        <v>0</v>
      </c>
      <c r="AT520">
        <v>0</v>
      </c>
      <c r="AU520">
        <v>0</v>
      </c>
      <c r="AV520">
        <v>0</v>
      </c>
      <c r="AW520">
        <v>0</v>
      </c>
      <c r="AX520">
        <v>0</v>
      </c>
      <c r="AY520">
        <v>0</v>
      </c>
      <c r="AZ520">
        <v>0</v>
      </c>
      <c r="BA520">
        <v>0</v>
      </c>
      <c r="BB520">
        <v>0</v>
      </c>
      <c r="BC520">
        <v>0</v>
      </c>
      <c r="BD520">
        <v>0</v>
      </c>
      <c r="BE520">
        <v>55</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20" s="19">
        <f>SUM(Table1[[#This Row],[Mid39]],Table1[[#This Row],[Mid36]],Table1[[#This Row],[Mid33]],Table1[[#This Row],[Mid30]],Table1[[#This Row],[Mid27]],Table1[[#This Row],[Mid24]],Table1[[#This Row],[Mid21]],Table1[[#This Row],[Mid18]],Table1[[#This Row],[Mid15]],Table1[[#This Row],[Mid12]],Table1[[#This Row],[Mid9]],Table1[[#This Row],[Mid6]],Table1[[#This Row],[Mid3]],Table1[[#This Row],[Mid]])</f>
        <v>55</v>
      </c>
      <c r="CG5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20" t="s">
        <v>133</v>
      </c>
      <c r="CI520" t="s">
        <v>134</v>
      </c>
      <c r="CJ520" t="s">
        <v>158</v>
      </c>
      <c r="CL520" s="19">
        <f>IF(Table1[[#This Row],[Type]]="Petroleum",1,IF(ISERROR(Table1[[#This Row],[Well Density]]*Table1[[#This Row],[Single Well Discovery Area]]),"",IF(Table1[[#This Row],[Well Density]]*Table1[[#This Row],[Single Well Discovery Area]]&gt;1,1,Table1[[#This Row],[Well Density]]*Table1[[#This Row],[Single Well Discovery Area]])))</f>
        <v>0</v>
      </c>
      <c r="CM520" t="s">
        <v>158</v>
      </c>
      <c r="CN520" s="19">
        <f>Table1[[#This Row],[Mid]]</f>
        <v>0</v>
      </c>
      <c r="CO520" s="19">
        <f>Table1[[#This Row],[Mid3]]+Table1[[#This Row],[Mid6]]+Table1[[#This Row],[Mid9]]</f>
        <v>0</v>
      </c>
      <c r="CP520" s="19">
        <f>Table1[[#This Row],[Mid12]]+Table1[[#This Row],[Mid15]]+Table1[[#This Row],[Mid18]]+Table1[[#This Row],[Mid21]]+Table1[[#This Row],[Mid24]]</f>
        <v>55</v>
      </c>
      <c r="CQ520" s="19">
        <f>Table1[[#This Row],[Mid27]]+Table1[[#This Row],[Mid30]]+Table1[[#This Row],[Mid33]]+Table1[[#This Row],[Mid36]]+Table1[[#This Row],[Mid39]]</f>
        <v>0</v>
      </c>
      <c r="CR520" t="s">
        <v>415</v>
      </c>
      <c r="CS520" s="19" t="str">
        <f>IF(AND(Table1[[#This Row],[Low41]]=0, Table1[[#This Row],[High43]]=0),"N","Y")</f>
        <v>N</v>
      </c>
    </row>
    <row r="521" spans="1:97" ht="19.5" customHeight="1" x14ac:dyDescent="0.25">
      <c r="A521">
        <v>10519</v>
      </c>
      <c r="B521" t="s">
        <v>1635</v>
      </c>
      <c r="C521" t="s">
        <v>1449</v>
      </c>
      <c r="D521">
        <v>54.046388890000003</v>
      </c>
      <c r="E521">
        <v>0.70944444399999995</v>
      </c>
      <c r="F521" t="s">
        <v>1739</v>
      </c>
      <c r="G521" t="s">
        <v>1687</v>
      </c>
      <c r="H521" t="s">
        <v>1711</v>
      </c>
      <c r="I521" t="s">
        <v>118</v>
      </c>
      <c r="J521" t="s">
        <v>119</v>
      </c>
      <c r="K521" t="s">
        <v>203</v>
      </c>
      <c r="L521" t="s">
        <v>121</v>
      </c>
      <c r="M521" t="s">
        <v>412</v>
      </c>
      <c r="N521" s="6" t="s">
        <v>1639</v>
      </c>
      <c r="O521" t="s">
        <v>1644</v>
      </c>
      <c r="P521" t="s">
        <v>1670</v>
      </c>
      <c r="Q521" t="s">
        <v>1641</v>
      </c>
      <c r="R521" t="s">
        <v>1642</v>
      </c>
      <c r="S521">
        <v>2015</v>
      </c>
      <c r="T521" t="s">
        <v>153</v>
      </c>
      <c r="U521" t="s">
        <v>173</v>
      </c>
      <c r="V521"/>
      <c r="AF521">
        <v>200</v>
      </c>
      <c r="AG521">
        <v>0</v>
      </c>
      <c r="AK521">
        <v>0</v>
      </c>
      <c r="AL521">
        <v>0</v>
      </c>
      <c r="AN521" t="s">
        <v>132</v>
      </c>
      <c r="BH521">
        <v>108</v>
      </c>
      <c r="CE52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21" s="19">
        <f>SUM(Table1[[#This Row],[Mid39]],Table1[[#This Row],[Mid36]],Table1[[#This Row],[Mid33]],Table1[[#This Row],[Mid30]],Table1[[#This Row],[Mid27]],Table1[[#This Row],[Mid24]],Table1[[#This Row],[Mid21]],Table1[[#This Row],[Mid18]],Table1[[#This Row],[Mid15]],Table1[[#This Row],[Mid12]],Table1[[#This Row],[Mid9]],Table1[[#This Row],[Mid6]],Table1[[#This Row],[Mid3]],Table1[[#This Row],[Mid]])</f>
        <v>108</v>
      </c>
      <c r="CG5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21" t="s">
        <v>133</v>
      </c>
      <c r="CI521" t="s">
        <v>134</v>
      </c>
      <c r="CJ521" t="s">
        <v>158</v>
      </c>
      <c r="CL521" s="19">
        <f>IF(Table1[[#This Row],[Type]]="Petroleum",1,IF(ISERROR(Table1[[#This Row],[Well Density]]*Table1[[#This Row],[Single Well Discovery Area]]),"",IF(Table1[[#This Row],[Well Density]]*Table1[[#This Row],[Single Well Discovery Area]]&gt;1,1,Table1[[#This Row],[Well Density]]*Table1[[#This Row],[Single Well Discovery Area]])))</f>
        <v>0</v>
      </c>
      <c r="CM521" t="s">
        <v>158</v>
      </c>
      <c r="CN521" s="19">
        <f>Table1[[#This Row],[Mid]]</f>
        <v>0</v>
      </c>
      <c r="CO521" s="19">
        <f>Table1[[#This Row],[Mid3]]+Table1[[#This Row],[Mid6]]+Table1[[#This Row],[Mid9]]</f>
        <v>0</v>
      </c>
      <c r="CP521" s="19">
        <f>Table1[[#This Row],[Mid12]]+Table1[[#This Row],[Mid15]]+Table1[[#This Row],[Mid18]]+Table1[[#This Row],[Mid21]]+Table1[[#This Row],[Mid24]]</f>
        <v>108</v>
      </c>
      <c r="CQ521" s="19">
        <f>Table1[[#This Row],[Mid27]]+Table1[[#This Row],[Mid30]]+Table1[[#This Row],[Mid33]]+Table1[[#This Row],[Mid36]]+Table1[[#This Row],[Mid39]]</f>
        <v>0</v>
      </c>
      <c r="CR521" t="s">
        <v>415</v>
      </c>
      <c r="CS521" s="19" t="str">
        <f>IF(AND(Table1[[#This Row],[Low41]]=0, Table1[[#This Row],[High43]]=0),"N","Y")</f>
        <v>N</v>
      </c>
    </row>
    <row r="522" spans="1:97" ht="19.5" customHeight="1" x14ac:dyDescent="0.25">
      <c r="A522">
        <v>10520</v>
      </c>
      <c r="B522" t="s">
        <v>1635</v>
      </c>
      <c r="C522" t="s">
        <v>1449</v>
      </c>
      <c r="D522">
        <v>54.429722220000002</v>
      </c>
      <c r="E522">
        <v>1.411944444</v>
      </c>
      <c r="F522" t="s">
        <v>1740</v>
      </c>
      <c r="G522" t="s">
        <v>1687</v>
      </c>
      <c r="H522" t="s">
        <v>1711</v>
      </c>
      <c r="I522" t="s">
        <v>118</v>
      </c>
      <c r="J522" t="s">
        <v>119</v>
      </c>
      <c r="K522" t="s">
        <v>203</v>
      </c>
      <c r="L522" t="s">
        <v>121</v>
      </c>
      <c r="M522" t="s">
        <v>412</v>
      </c>
      <c r="N522" s="6" t="s">
        <v>1639</v>
      </c>
      <c r="O522" t="s">
        <v>1729</v>
      </c>
      <c r="P522" t="s">
        <v>1670</v>
      </c>
      <c r="Q522" t="s">
        <v>1641</v>
      </c>
      <c r="R522" t="s">
        <v>1642</v>
      </c>
      <c r="S522">
        <v>2015</v>
      </c>
      <c r="T522" t="s">
        <v>771</v>
      </c>
      <c r="U522" t="s">
        <v>1479</v>
      </c>
      <c r="V522">
        <v>0</v>
      </c>
      <c r="W522">
        <v>0</v>
      </c>
      <c r="X522">
        <v>0</v>
      </c>
      <c r="Y522">
        <v>0</v>
      </c>
      <c r="Z522">
        <v>0</v>
      </c>
      <c r="AA522">
        <v>0</v>
      </c>
      <c r="AB522">
        <v>0</v>
      </c>
      <c r="AC522">
        <v>0</v>
      </c>
      <c r="AD522">
        <v>0</v>
      </c>
      <c r="AF522">
        <v>200</v>
      </c>
      <c r="AG522">
        <v>0</v>
      </c>
      <c r="AI522">
        <v>0</v>
      </c>
      <c r="AJ522">
        <v>0</v>
      </c>
      <c r="AK522">
        <v>0</v>
      </c>
      <c r="AL522">
        <v>0</v>
      </c>
      <c r="AN522" t="s">
        <v>132</v>
      </c>
      <c r="AO522">
        <v>0</v>
      </c>
      <c r="AP522">
        <v>0</v>
      </c>
      <c r="AQ522">
        <v>0</v>
      </c>
      <c r="AR522">
        <v>0</v>
      </c>
      <c r="AS522">
        <v>0</v>
      </c>
      <c r="AT522">
        <v>0</v>
      </c>
      <c r="AU522">
        <v>0</v>
      </c>
      <c r="AV522">
        <v>0</v>
      </c>
      <c r="AW522">
        <v>0</v>
      </c>
      <c r="AX522">
        <v>0</v>
      </c>
      <c r="AY522">
        <v>0</v>
      </c>
      <c r="AZ522">
        <v>0</v>
      </c>
      <c r="BA522">
        <v>0</v>
      </c>
      <c r="BB522">
        <v>0</v>
      </c>
      <c r="BC522">
        <v>0</v>
      </c>
      <c r="BD522">
        <v>0</v>
      </c>
      <c r="BE522">
        <v>158</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0</v>
      </c>
      <c r="CD522">
        <v>0</v>
      </c>
      <c r="CE52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22" s="19">
        <f>SUM(Table1[[#This Row],[Mid39]],Table1[[#This Row],[Mid36]],Table1[[#This Row],[Mid33]],Table1[[#This Row],[Mid30]],Table1[[#This Row],[Mid27]],Table1[[#This Row],[Mid24]],Table1[[#This Row],[Mid21]],Table1[[#This Row],[Mid18]],Table1[[#This Row],[Mid15]],Table1[[#This Row],[Mid12]],Table1[[#This Row],[Mid9]],Table1[[#This Row],[Mid6]],Table1[[#This Row],[Mid3]],Table1[[#This Row],[Mid]])</f>
        <v>158</v>
      </c>
      <c r="CG5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22" t="s">
        <v>133</v>
      </c>
      <c r="CI522" t="s">
        <v>134</v>
      </c>
      <c r="CJ522" t="s">
        <v>158</v>
      </c>
      <c r="CL522" s="19">
        <f>IF(Table1[[#This Row],[Type]]="Petroleum",1,IF(ISERROR(Table1[[#This Row],[Well Density]]*Table1[[#This Row],[Single Well Discovery Area]]),"",IF(Table1[[#This Row],[Well Density]]*Table1[[#This Row],[Single Well Discovery Area]]&gt;1,1,Table1[[#This Row],[Well Density]]*Table1[[#This Row],[Single Well Discovery Area]])))</f>
        <v>0</v>
      </c>
      <c r="CM522" t="s">
        <v>158</v>
      </c>
      <c r="CN522" s="19">
        <f>Table1[[#This Row],[Mid]]</f>
        <v>0</v>
      </c>
      <c r="CO522" s="19">
        <f>Table1[[#This Row],[Mid3]]+Table1[[#This Row],[Mid6]]+Table1[[#This Row],[Mid9]]</f>
        <v>0</v>
      </c>
      <c r="CP522" s="19">
        <f>Table1[[#This Row],[Mid12]]+Table1[[#This Row],[Mid15]]+Table1[[#This Row],[Mid18]]+Table1[[#This Row],[Mid21]]+Table1[[#This Row],[Mid24]]</f>
        <v>158</v>
      </c>
      <c r="CQ522" s="19">
        <f>Table1[[#This Row],[Mid27]]+Table1[[#This Row],[Mid30]]+Table1[[#This Row],[Mid33]]+Table1[[#This Row],[Mid36]]+Table1[[#This Row],[Mid39]]</f>
        <v>0</v>
      </c>
      <c r="CR522" t="s">
        <v>415</v>
      </c>
      <c r="CS522" s="19" t="str">
        <f>IF(AND(Table1[[#This Row],[Low41]]=0, Table1[[#This Row],[High43]]=0),"N","Y")</f>
        <v>N</v>
      </c>
    </row>
    <row r="523" spans="1:97" s="23" customFormat="1" ht="19.5" customHeight="1" x14ac:dyDescent="0.25">
      <c r="A523">
        <v>10521</v>
      </c>
      <c r="B523" t="s">
        <v>1635</v>
      </c>
      <c r="C523" t="s">
        <v>1449</v>
      </c>
      <c r="D523">
        <v>54.087222220000001</v>
      </c>
      <c r="E523">
        <v>0.98222222199999998</v>
      </c>
      <c r="F523" t="s">
        <v>1741</v>
      </c>
      <c r="G523" t="s">
        <v>1687</v>
      </c>
      <c r="H523" t="s">
        <v>1711</v>
      </c>
      <c r="I523" t="s">
        <v>118</v>
      </c>
      <c r="J523" t="s">
        <v>119</v>
      </c>
      <c r="K523" t="s">
        <v>203</v>
      </c>
      <c r="L523" t="s">
        <v>121</v>
      </c>
      <c r="M523" t="s">
        <v>412</v>
      </c>
      <c r="N523" s="6" t="s">
        <v>1639</v>
      </c>
      <c r="O523" t="s">
        <v>1644</v>
      </c>
      <c r="P523" t="s">
        <v>1670</v>
      </c>
      <c r="Q523" t="s">
        <v>1641</v>
      </c>
      <c r="R523" t="s">
        <v>1642</v>
      </c>
      <c r="S523">
        <v>2015</v>
      </c>
      <c r="T523" t="s">
        <v>153</v>
      </c>
      <c r="U523" t="s">
        <v>173</v>
      </c>
      <c r="V523"/>
      <c r="W523"/>
      <c r="X523"/>
      <c r="Y523"/>
      <c r="Z523"/>
      <c r="AA523"/>
      <c r="AB523"/>
      <c r="AC523"/>
      <c r="AD523"/>
      <c r="AE523"/>
      <c r="AF523">
        <v>200</v>
      </c>
      <c r="AG523">
        <v>0</v>
      </c>
      <c r="AH523"/>
      <c r="AI523"/>
      <c r="AJ523"/>
      <c r="AK523">
        <v>0</v>
      </c>
      <c r="AL523">
        <v>0</v>
      </c>
      <c r="AM523"/>
      <c r="AN523" t="s">
        <v>132</v>
      </c>
      <c r="AO523"/>
      <c r="AP523"/>
      <c r="AQ523"/>
      <c r="AR523"/>
      <c r="AS523"/>
      <c r="AT523"/>
      <c r="AU523"/>
      <c r="AV523"/>
      <c r="AW523"/>
      <c r="AX523"/>
      <c r="AY523"/>
      <c r="AZ523"/>
      <c r="BA523"/>
      <c r="BB523"/>
      <c r="BC523"/>
      <c r="BD523"/>
      <c r="BE523"/>
      <c r="BF523"/>
      <c r="BG523"/>
      <c r="BH523">
        <v>9</v>
      </c>
      <c r="BI523"/>
      <c r="BJ523"/>
      <c r="BK523"/>
      <c r="BL523"/>
      <c r="BM523"/>
      <c r="BN523"/>
      <c r="BO523"/>
      <c r="BP523"/>
      <c r="BQ523"/>
      <c r="BR523"/>
      <c r="BS523"/>
      <c r="BT523"/>
      <c r="BU523"/>
      <c r="BV523"/>
      <c r="BW523"/>
      <c r="BX523"/>
      <c r="BY523"/>
      <c r="BZ523"/>
      <c r="CA523"/>
      <c r="CB523"/>
      <c r="CC523"/>
      <c r="CD523"/>
      <c r="CE52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23" s="19">
        <f>SUM(Table1[[#This Row],[Mid39]],Table1[[#This Row],[Mid36]],Table1[[#This Row],[Mid33]],Table1[[#This Row],[Mid30]],Table1[[#This Row],[Mid27]],Table1[[#This Row],[Mid24]],Table1[[#This Row],[Mid21]],Table1[[#This Row],[Mid18]],Table1[[#This Row],[Mid15]],Table1[[#This Row],[Mid12]],Table1[[#This Row],[Mid9]],Table1[[#This Row],[Mid6]],Table1[[#This Row],[Mid3]],Table1[[#This Row],[Mid]])</f>
        <v>9</v>
      </c>
      <c r="CG5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23" t="s">
        <v>133</v>
      </c>
      <c r="CI523" t="s">
        <v>134</v>
      </c>
      <c r="CJ523" t="s">
        <v>158</v>
      </c>
      <c r="CK523"/>
      <c r="CL523" s="19">
        <f>IF(Table1[[#This Row],[Type]]="Petroleum",1,IF(ISERROR(Table1[[#This Row],[Well Density]]*Table1[[#This Row],[Single Well Discovery Area]]),"",IF(Table1[[#This Row],[Well Density]]*Table1[[#This Row],[Single Well Discovery Area]]&gt;1,1,Table1[[#This Row],[Well Density]]*Table1[[#This Row],[Single Well Discovery Area]])))</f>
        <v>0</v>
      </c>
      <c r="CM523" t="s">
        <v>158</v>
      </c>
      <c r="CN523" s="19">
        <f>Table1[[#This Row],[Mid]]</f>
        <v>0</v>
      </c>
      <c r="CO523" s="19">
        <f>Table1[[#This Row],[Mid3]]+Table1[[#This Row],[Mid6]]+Table1[[#This Row],[Mid9]]</f>
        <v>0</v>
      </c>
      <c r="CP523" s="19">
        <f>Table1[[#This Row],[Mid12]]+Table1[[#This Row],[Mid15]]+Table1[[#This Row],[Mid18]]+Table1[[#This Row],[Mid21]]+Table1[[#This Row],[Mid24]]</f>
        <v>9</v>
      </c>
      <c r="CQ523" s="19">
        <f>Table1[[#This Row],[Mid27]]+Table1[[#This Row],[Mid30]]+Table1[[#This Row],[Mid33]]+Table1[[#This Row],[Mid36]]+Table1[[#This Row],[Mid39]]</f>
        <v>0</v>
      </c>
      <c r="CR523" t="s">
        <v>415</v>
      </c>
      <c r="CS523" s="22" t="str">
        <f>IF(AND(Table1[[#This Row],[Low41]]=0, Table1[[#This Row],[High43]]=0),"N","Y")</f>
        <v>N</v>
      </c>
    </row>
    <row r="524" spans="1:97" ht="19.5" customHeight="1" x14ac:dyDescent="0.25">
      <c r="A524">
        <v>10522</v>
      </c>
      <c r="B524" t="s">
        <v>1635</v>
      </c>
      <c r="C524" t="s">
        <v>1449</v>
      </c>
      <c r="D524">
        <v>53.064444440000003</v>
      </c>
      <c r="E524">
        <v>2.1319444440000002</v>
      </c>
      <c r="F524" t="s">
        <v>1742</v>
      </c>
      <c r="G524" t="s">
        <v>1687</v>
      </c>
      <c r="H524" t="s">
        <v>1711</v>
      </c>
      <c r="I524" t="s">
        <v>118</v>
      </c>
      <c r="J524" t="s">
        <v>119</v>
      </c>
      <c r="K524" t="s">
        <v>203</v>
      </c>
      <c r="L524" t="s">
        <v>121</v>
      </c>
      <c r="M524" t="s">
        <v>412</v>
      </c>
      <c r="N524" s="6" t="s">
        <v>1663</v>
      </c>
      <c r="O524" t="s">
        <v>1743</v>
      </c>
      <c r="P524" t="s">
        <v>1744</v>
      </c>
      <c r="Q524" t="s">
        <v>1715</v>
      </c>
      <c r="R524" t="s">
        <v>1745</v>
      </c>
      <c r="S524">
        <v>2015</v>
      </c>
      <c r="T524" t="s">
        <v>771</v>
      </c>
      <c r="U524" t="s">
        <v>1479</v>
      </c>
      <c r="V524">
        <v>3228</v>
      </c>
      <c r="W524">
        <v>840</v>
      </c>
      <c r="X524">
        <v>300</v>
      </c>
      <c r="Y524">
        <v>90</v>
      </c>
      <c r="Z524">
        <v>21</v>
      </c>
      <c r="AA524">
        <v>350</v>
      </c>
      <c r="AB524">
        <v>0</v>
      </c>
      <c r="AC524">
        <v>750</v>
      </c>
      <c r="AD524">
        <v>226</v>
      </c>
      <c r="AE524">
        <v>7.0012392000000007E-2</v>
      </c>
      <c r="AF524">
        <v>200</v>
      </c>
      <c r="AG524">
        <v>0</v>
      </c>
      <c r="AI524">
        <v>13</v>
      </c>
      <c r="AJ524">
        <v>0</v>
      </c>
      <c r="AK524">
        <v>0</v>
      </c>
      <c r="AL524">
        <v>0</v>
      </c>
      <c r="AM524" t="s">
        <v>1718</v>
      </c>
      <c r="AN524" t="s">
        <v>132</v>
      </c>
      <c r="AO524">
        <v>0</v>
      </c>
      <c r="AP524">
        <v>0</v>
      </c>
      <c r="AQ524">
        <v>0</v>
      </c>
      <c r="AR524">
        <v>0</v>
      </c>
      <c r="AS524">
        <v>0</v>
      </c>
      <c r="AT524">
        <v>0</v>
      </c>
      <c r="AU524">
        <v>0</v>
      </c>
      <c r="AV524">
        <v>0</v>
      </c>
      <c r="AW524">
        <v>0</v>
      </c>
      <c r="AX524">
        <v>0</v>
      </c>
      <c r="AY524">
        <v>0</v>
      </c>
      <c r="AZ524">
        <v>0</v>
      </c>
      <c r="BA524">
        <v>0</v>
      </c>
      <c r="BB524">
        <v>0</v>
      </c>
      <c r="BC524">
        <v>0</v>
      </c>
      <c r="BD524">
        <v>0</v>
      </c>
      <c r="BE524">
        <v>1977</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24" s="19">
        <f>SUM(Table1[[#This Row],[Mid39]],Table1[[#This Row],[Mid36]],Table1[[#This Row],[Mid33]],Table1[[#This Row],[Mid30]],Table1[[#This Row],[Mid27]],Table1[[#This Row],[Mid24]],Table1[[#This Row],[Mid21]],Table1[[#This Row],[Mid18]],Table1[[#This Row],[Mid15]],Table1[[#This Row],[Mid12]],Table1[[#This Row],[Mid9]],Table1[[#This Row],[Mid6]],Table1[[#This Row],[Mid3]],Table1[[#This Row],[Mid]])</f>
        <v>1977</v>
      </c>
      <c r="CG5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24" t="s">
        <v>133</v>
      </c>
      <c r="CI524" t="s">
        <v>134</v>
      </c>
      <c r="CJ524" t="s">
        <v>158</v>
      </c>
      <c r="CL524" s="19">
        <f>IF(Table1[[#This Row],[Type]]="Petroleum",1,IF(ISERROR(Table1[[#This Row],[Well Density]]*Table1[[#This Row],[Single Well Discovery Area]]),"",IF(Table1[[#This Row],[Well Density]]*Table1[[#This Row],[Single Well Discovery Area]]&gt;1,1,Table1[[#This Row],[Well Density]]*Table1[[#This Row],[Single Well Discovery Area]])))</f>
        <v>1</v>
      </c>
      <c r="CM524" t="s">
        <v>158</v>
      </c>
      <c r="CN524" s="19">
        <f>Table1[[#This Row],[Mid]]</f>
        <v>0</v>
      </c>
      <c r="CO524" s="19">
        <f>Table1[[#This Row],[Mid3]]+Table1[[#This Row],[Mid6]]+Table1[[#This Row],[Mid9]]</f>
        <v>0</v>
      </c>
      <c r="CP524" s="19">
        <f>Table1[[#This Row],[Mid12]]+Table1[[#This Row],[Mid15]]+Table1[[#This Row],[Mid18]]+Table1[[#This Row],[Mid21]]+Table1[[#This Row],[Mid24]]</f>
        <v>1977</v>
      </c>
      <c r="CQ524" s="19">
        <f>Table1[[#This Row],[Mid27]]+Table1[[#This Row],[Mid30]]+Table1[[#This Row],[Mid33]]+Table1[[#This Row],[Mid36]]+Table1[[#This Row],[Mid39]]</f>
        <v>0</v>
      </c>
      <c r="CR524" t="s">
        <v>415</v>
      </c>
      <c r="CS524" s="19" t="str">
        <f>IF(AND(Table1[[#This Row],[Low41]]=0, Table1[[#This Row],[High43]]=0),"N","Y")</f>
        <v>N</v>
      </c>
    </row>
    <row r="525" spans="1:97" ht="19.5" customHeight="1" x14ac:dyDescent="0.25">
      <c r="A525">
        <v>10523</v>
      </c>
      <c r="B525" t="s">
        <v>1635</v>
      </c>
      <c r="C525" t="s">
        <v>1449</v>
      </c>
      <c r="D525">
        <v>57.822777780000003</v>
      </c>
      <c r="E525">
        <v>-0.97583333299999997</v>
      </c>
      <c r="F525" t="s">
        <v>1746</v>
      </c>
      <c r="G525" t="s">
        <v>1679</v>
      </c>
      <c r="H525" t="s">
        <v>1747</v>
      </c>
      <c r="I525" t="s">
        <v>1748</v>
      </c>
      <c r="J525" t="s">
        <v>202</v>
      </c>
      <c r="K525" t="s">
        <v>203</v>
      </c>
      <c r="L525" t="s">
        <v>121</v>
      </c>
      <c r="M525" t="s">
        <v>1499</v>
      </c>
      <c r="N525" s="6" t="s">
        <v>1639</v>
      </c>
      <c r="O525" t="s">
        <v>1644</v>
      </c>
      <c r="P525" t="s">
        <v>436</v>
      </c>
      <c r="Q525" t="s">
        <v>1641</v>
      </c>
      <c r="R525" t="s">
        <v>1642</v>
      </c>
      <c r="S525">
        <v>2015</v>
      </c>
      <c r="T525" t="s">
        <v>153</v>
      </c>
      <c r="U525" t="s">
        <v>173</v>
      </c>
      <c r="V525"/>
      <c r="AF525">
        <v>200</v>
      </c>
      <c r="AG525">
        <v>0</v>
      </c>
      <c r="AK525">
        <v>0</v>
      </c>
      <c r="AL525">
        <v>0</v>
      </c>
      <c r="AN525" t="s">
        <v>132</v>
      </c>
      <c r="BH525">
        <v>13</v>
      </c>
      <c r="CE52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25" s="19">
        <f>SUM(Table1[[#This Row],[Mid39]],Table1[[#This Row],[Mid36]],Table1[[#This Row],[Mid33]],Table1[[#This Row],[Mid30]],Table1[[#This Row],[Mid27]],Table1[[#This Row],[Mid24]],Table1[[#This Row],[Mid21]],Table1[[#This Row],[Mid18]],Table1[[#This Row],[Mid15]],Table1[[#This Row],[Mid12]],Table1[[#This Row],[Mid9]],Table1[[#This Row],[Mid6]],Table1[[#This Row],[Mid3]],Table1[[#This Row],[Mid]])</f>
        <v>13</v>
      </c>
      <c r="CG5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25" t="s">
        <v>133</v>
      </c>
      <c r="CI525" t="s">
        <v>134</v>
      </c>
      <c r="CJ525" t="s">
        <v>158</v>
      </c>
      <c r="CL525" s="19">
        <f>IF(Table1[[#This Row],[Type]]="Petroleum",1,IF(ISERROR(Table1[[#This Row],[Well Density]]*Table1[[#This Row],[Single Well Discovery Area]]),"",IF(Table1[[#This Row],[Well Density]]*Table1[[#This Row],[Single Well Discovery Area]]&gt;1,1,Table1[[#This Row],[Well Density]]*Table1[[#This Row],[Single Well Discovery Area]])))</f>
        <v>1</v>
      </c>
      <c r="CM525" t="s">
        <v>158</v>
      </c>
      <c r="CN525" s="19">
        <f>Table1[[#This Row],[Mid]]</f>
        <v>0</v>
      </c>
      <c r="CO525" s="19">
        <f>Table1[[#This Row],[Mid3]]+Table1[[#This Row],[Mid6]]+Table1[[#This Row],[Mid9]]</f>
        <v>0</v>
      </c>
      <c r="CP525" s="19">
        <f>Table1[[#This Row],[Mid12]]+Table1[[#This Row],[Mid15]]+Table1[[#This Row],[Mid18]]+Table1[[#This Row],[Mid21]]+Table1[[#This Row],[Mid24]]</f>
        <v>13</v>
      </c>
      <c r="CQ525" s="19">
        <f>Table1[[#This Row],[Mid27]]+Table1[[#This Row],[Mid30]]+Table1[[#This Row],[Mid33]]+Table1[[#This Row],[Mid36]]+Table1[[#This Row],[Mid39]]</f>
        <v>0</v>
      </c>
      <c r="CR525" t="s">
        <v>415</v>
      </c>
      <c r="CS525" s="19" t="str">
        <f>IF(AND(Table1[[#This Row],[Low41]]=0, Table1[[#This Row],[High43]]=0),"N","Y")</f>
        <v>N</v>
      </c>
    </row>
    <row r="526" spans="1:97" ht="19.5" customHeight="1" x14ac:dyDescent="0.25">
      <c r="A526">
        <v>10524</v>
      </c>
      <c r="B526" t="s">
        <v>1635</v>
      </c>
      <c r="C526" t="s">
        <v>1449</v>
      </c>
      <c r="D526">
        <v>54.191111110000001</v>
      </c>
      <c r="E526">
        <v>2.4683333329999999</v>
      </c>
      <c r="F526" t="s">
        <v>1749</v>
      </c>
      <c r="G526" t="s">
        <v>1687</v>
      </c>
      <c r="H526" t="s">
        <v>1711</v>
      </c>
      <c r="I526" t="s">
        <v>1606</v>
      </c>
      <c r="J526" t="s">
        <v>202</v>
      </c>
      <c r="K526" t="s">
        <v>203</v>
      </c>
      <c r="L526" t="s">
        <v>121</v>
      </c>
      <c r="M526" t="s">
        <v>412</v>
      </c>
      <c r="N526" s="6" t="s">
        <v>1639</v>
      </c>
      <c r="O526" t="s">
        <v>1750</v>
      </c>
      <c r="P526" t="s">
        <v>436</v>
      </c>
      <c r="Q526" t="s">
        <v>1641</v>
      </c>
      <c r="R526" t="s">
        <v>1642</v>
      </c>
      <c r="S526">
        <v>2015</v>
      </c>
      <c r="T526" t="s">
        <v>771</v>
      </c>
      <c r="U526" t="s">
        <v>1479</v>
      </c>
      <c r="V526">
        <v>0</v>
      </c>
      <c r="W526">
        <v>0</v>
      </c>
      <c r="X526">
        <v>0</v>
      </c>
      <c r="Y526">
        <v>0</v>
      </c>
      <c r="Z526">
        <v>0</v>
      </c>
      <c r="AA526">
        <v>0</v>
      </c>
      <c r="AB526">
        <v>0</v>
      </c>
      <c r="AC526">
        <v>0</v>
      </c>
      <c r="AD526">
        <v>0</v>
      </c>
      <c r="AF526">
        <v>200</v>
      </c>
      <c r="AG526">
        <v>0</v>
      </c>
      <c r="AI526">
        <v>0</v>
      </c>
      <c r="AJ526">
        <v>0</v>
      </c>
      <c r="AK526">
        <v>0</v>
      </c>
      <c r="AL526">
        <v>0</v>
      </c>
      <c r="AN526" t="s">
        <v>132</v>
      </c>
      <c r="AO526">
        <v>0</v>
      </c>
      <c r="AP526">
        <v>0</v>
      </c>
      <c r="AQ526">
        <v>0</v>
      </c>
      <c r="AR526">
        <v>0</v>
      </c>
      <c r="AS526">
        <v>0</v>
      </c>
      <c r="AT526">
        <v>0</v>
      </c>
      <c r="AU526">
        <v>0</v>
      </c>
      <c r="AV526">
        <v>0</v>
      </c>
      <c r="AW526">
        <v>0</v>
      </c>
      <c r="AX526">
        <v>0</v>
      </c>
      <c r="AY526">
        <v>0</v>
      </c>
      <c r="AZ526">
        <v>0</v>
      </c>
      <c r="BA526">
        <v>0</v>
      </c>
      <c r="BB526">
        <v>0</v>
      </c>
      <c r="BC526">
        <v>0</v>
      </c>
      <c r="BD526">
        <v>0</v>
      </c>
      <c r="BE526">
        <v>15</v>
      </c>
      <c r="BF526">
        <v>0</v>
      </c>
      <c r="BG526">
        <v>0</v>
      </c>
      <c r="BH526">
        <v>0</v>
      </c>
      <c r="BI526">
        <v>0</v>
      </c>
      <c r="BJ526">
        <v>0</v>
      </c>
      <c r="BK526">
        <v>0</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26" s="19">
        <f>SUM(Table1[[#This Row],[Mid39]],Table1[[#This Row],[Mid36]],Table1[[#This Row],[Mid33]],Table1[[#This Row],[Mid30]],Table1[[#This Row],[Mid27]],Table1[[#This Row],[Mid24]],Table1[[#This Row],[Mid21]],Table1[[#This Row],[Mid18]],Table1[[#This Row],[Mid15]],Table1[[#This Row],[Mid12]],Table1[[#This Row],[Mid9]],Table1[[#This Row],[Mid6]],Table1[[#This Row],[Mid3]],Table1[[#This Row],[Mid]])</f>
        <v>15</v>
      </c>
      <c r="CG5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26" t="s">
        <v>133</v>
      </c>
      <c r="CI526" t="s">
        <v>134</v>
      </c>
      <c r="CJ526" t="s">
        <v>158</v>
      </c>
      <c r="CL526" s="19">
        <f>IF(Table1[[#This Row],[Type]]="Petroleum",1,IF(ISERROR(Table1[[#This Row],[Well Density]]*Table1[[#This Row],[Single Well Discovery Area]]),"",IF(Table1[[#This Row],[Well Density]]*Table1[[#This Row],[Single Well Discovery Area]]&gt;1,1,Table1[[#This Row],[Well Density]]*Table1[[#This Row],[Single Well Discovery Area]])))</f>
        <v>1</v>
      </c>
      <c r="CM526" t="s">
        <v>158</v>
      </c>
      <c r="CN526" s="19">
        <f>Table1[[#This Row],[Mid]]</f>
        <v>0</v>
      </c>
      <c r="CO526" s="19">
        <f>Table1[[#This Row],[Mid3]]+Table1[[#This Row],[Mid6]]+Table1[[#This Row],[Mid9]]</f>
        <v>0</v>
      </c>
      <c r="CP526" s="19">
        <f>Table1[[#This Row],[Mid12]]+Table1[[#This Row],[Mid15]]+Table1[[#This Row],[Mid18]]+Table1[[#This Row],[Mid21]]+Table1[[#This Row],[Mid24]]</f>
        <v>15</v>
      </c>
      <c r="CQ526" s="19">
        <f>Table1[[#This Row],[Mid27]]+Table1[[#This Row],[Mid30]]+Table1[[#This Row],[Mid33]]+Table1[[#This Row],[Mid36]]+Table1[[#This Row],[Mid39]]</f>
        <v>0</v>
      </c>
      <c r="CR526" t="s">
        <v>415</v>
      </c>
      <c r="CS526" s="19" t="str">
        <f>IF(AND(Table1[[#This Row],[Low41]]=0, Table1[[#This Row],[High43]]=0),"N","Y")</f>
        <v>N</v>
      </c>
    </row>
    <row r="527" spans="1:97" ht="19.5" customHeight="1" x14ac:dyDescent="0.25">
      <c r="A527">
        <v>10525</v>
      </c>
      <c r="B527" t="s">
        <v>1635</v>
      </c>
      <c r="C527" t="s">
        <v>1449</v>
      </c>
      <c r="D527">
        <v>54.211944440000003</v>
      </c>
      <c r="E527">
        <v>2.4363888889999998</v>
      </c>
      <c r="F527" t="s">
        <v>1751</v>
      </c>
      <c r="G527" t="s">
        <v>1687</v>
      </c>
      <c r="H527" t="s">
        <v>1711</v>
      </c>
      <c r="I527" t="s">
        <v>1606</v>
      </c>
      <c r="J527" t="s">
        <v>202</v>
      </c>
      <c r="K527" t="s">
        <v>203</v>
      </c>
      <c r="L527" t="s">
        <v>121</v>
      </c>
      <c r="M527" t="s">
        <v>412</v>
      </c>
      <c r="N527" s="6" t="s">
        <v>1639</v>
      </c>
      <c r="O527" t="s">
        <v>1750</v>
      </c>
      <c r="P527" t="s">
        <v>436</v>
      </c>
      <c r="Q527" t="s">
        <v>1641</v>
      </c>
      <c r="R527" t="s">
        <v>1642</v>
      </c>
      <c r="S527">
        <v>2015</v>
      </c>
      <c r="T527" t="s">
        <v>771</v>
      </c>
      <c r="U527" t="s">
        <v>1479</v>
      </c>
      <c r="V527">
        <v>0</v>
      </c>
      <c r="W527">
        <v>0</v>
      </c>
      <c r="X527">
        <v>0</v>
      </c>
      <c r="Y527">
        <v>0</v>
      </c>
      <c r="Z527">
        <v>0</v>
      </c>
      <c r="AA527">
        <v>0</v>
      </c>
      <c r="AB527">
        <v>0</v>
      </c>
      <c r="AC527">
        <v>0</v>
      </c>
      <c r="AD527">
        <v>0</v>
      </c>
      <c r="AF527">
        <v>200</v>
      </c>
      <c r="AG527">
        <v>0</v>
      </c>
      <c r="AI527">
        <v>0</v>
      </c>
      <c r="AJ527">
        <v>0</v>
      </c>
      <c r="AK527">
        <v>0</v>
      </c>
      <c r="AL527">
        <v>0</v>
      </c>
      <c r="AN527" t="s">
        <v>132</v>
      </c>
      <c r="AO527">
        <v>0</v>
      </c>
      <c r="AP527">
        <v>0</v>
      </c>
      <c r="AQ527">
        <v>0</v>
      </c>
      <c r="AR527">
        <v>0</v>
      </c>
      <c r="AS527">
        <v>0</v>
      </c>
      <c r="AT527">
        <v>0</v>
      </c>
      <c r="AU527">
        <v>0</v>
      </c>
      <c r="AV527">
        <v>0</v>
      </c>
      <c r="AW527">
        <v>0</v>
      </c>
      <c r="AX527">
        <v>0</v>
      </c>
      <c r="AY527">
        <v>0</v>
      </c>
      <c r="AZ527">
        <v>0</v>
      </c>
      <c r="BA527">
        <v>0</v>
      </c>
      <c r="BB527">
        <v>0</v>
      </c>
      <c r="BC527">
        <v>0</v>
      </c>
      <c r="BD527">
        <v>0</v>
      </c>
      <c r="BE527">
        <v>13</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27" s="19">
        <f>SUM(Table1[[#This Row],[Mid39]],Table1[[#This Row],[Mid36]],Table1[[#This Row],[Mid33]],Table1[[#This Row],[Mid30]],Table1[[#This Row],[Mid27]],Table1[[#This Row],[Mid24]],Table1[[#This Row],[Mid21]],Table1[[#This Row],[Mid18]],Table1[[#This Row],[Mid15]],Table1[[#This Row],[Mid12]],Table1[[#This Row],[Mid9]],Table1[[#This Row],[Mid6]],Table1[[#This Row],[Mid3]],Table1[[#This Row],[Mid]])</f>
        <v>13</v>
      </c>
      <c r="CG5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27" t="s">
        <v>133</v>
      </c>
      <c r="CI527" t="s">
        <v>134</v>
      </c>
      <c r="CJ527" t="s">
        <v>158</v>
      </c>
      <c r="CL527" s="19">
        <f>IF(Table1[[#This Row],[Type]]="Petroleum",1,IF(ISERROR(Table1[[#This Row],[Well Density]]*Table1[[#This Row],[Single Well Discovery Area]]),"",IF(Table1[[#This Row],[Well Density]]*Table1[[#This Row],[Single Well Discovery Area]]&gt;1,1,Table1[[#This Row],[Well Density]]*Table1[[#This Row],[Single Well Discovery Area]])))</f>
        <v>1</v>
      </c>
      <c r="CM527" t="s">
        <v>158</v>
      </c>
      <c r="CN527" s="19">
        <f>Table1[[#This Row],[Mid]]</f>
        <v>0</v>
      </c>
      <c r="CO527" s="19">
        <f>Table1[[#This Row],[Mid3]]+Table1[[#This Row],[Mid6]]+Table1[[#This Row],[Mid9]]</f>
        <v>0</v>
      </c>
      <c r="CP527" s="19">
        <f>Table1[[#This Row],[Mid12]]+Table1[[#This Row],[Mid15]]+Table1[[#This Row],[Mid18]]+Table1[[#This Row],[Mid21]]+Table1[[#This Row],[Mid24]]</f>
        <v>13</v>
      </c>
      <c r="CQ527" s="19">
        <f>Table1[[#This Row],[Mid27]]+Table1[[#This Row],[Mid30]]+Table1[[#This Row],[Mid33]]+Table1[[#This Row],[Mid36]]+Table1[[#This Row],[Mid39]]</f>
        <v>0</v>
      </c>
      <c r="CR527" t="s">
        <v>415</v>
      </c>
      <c r="CS527" s="19" t="str">
        <f>IF(AND(Table1[[#This Row],[Low41]]=0, Table1[[#This Row],[High43]]=0),"N","Y")</f>
        <v>N</v>
      </c>
    </row>
    <row r="528" spans="1:97" ht="19.5" customHeight="1" x14ac:dyDescent="0.25">
      <c r="A528">
        <v>10526</v>
      </c>
      <c r="B528" t="s">
        <v>1635</v>
      </c>
      <c r="C528" t="s">
        <v>1449</v>
      </c>
      <c r="D528">
        <v>52.943333330000002</v>
      </c>
      <c r="E528">
        <v>2.1577777779999998</v>
      </c>
      <c r="F528" t="s">
        <v>1752</v>
      </c>
      <c r="G528" t="s">
        <v>1687</v>
      </c>
      <c r="H528" t="s">
        <v>1688</v>
      </c>
      <c r="I528" t="s">
        <v>1753</v>
      </c>
      <c r="J528" t="s">
        <v>202</v>
      </c>
      <c r="K528" t="s">
        <v>203</v>
      </c>
      <c r="L528" t="s">
        <v>147</v>
      </c>
      <c r="M528" t="s">
        <v>1689</v>
      </c>
      <c r="N528" s="6" t="s">
        <v>1639</v>
      </c>
      <c r="O528" t="s">
        <v>1754</v>
      </c>
      <c r="P528" t="s">
        <v>1755</v>
      </c>
      <c r="Q528" t="s">
        <v>1641</v>
      </c>
      <c r="R528" t="s">
        <v>1756</v>
      </c>
      <c r="S528">
        <v>2015</v>
      </c>
      <c r="T528" t="s">
        <v>771</v>
      </c>
      <c r="U528" t="s">
        <v>1479</v>
      </c>
      <c r="V528">
        <v>0</v>
      </c>
      <c r="W528">
        <v>0</v>
      </c>
      <c r="X528">
        <v>0</v>
      </c>
      <c r="Y528">
        <v>0</v>
      </c>
      <c r="Z528">
        <v>0</v>
      </c>
      <c r="AA528">
        <v>0</v>
      </c>
      <c r="AB528">
        <v>0</v>
      </c>
      <c r="AC528">
        <v>0</v>
      </c>
      <c r="AD528">
        <v>0</v>
      </c>
      <c r="AF528">
        <v>200</v>
      </c>
      <c r="AG528">
        <v>0</v>
      </c>
      <c r="AI528">
        <v>0</v>
      </c>
      <c r="AJ528">
        <v>0</v>
      </c>
      <c r="AK528">
        <v>0</v>
      </c>
      <c r="AL528">
        <v>0</v>
      </c>
      <c r="AN528" t="s">
        <v>132</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22</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28" s="19">
        <f>SUM(Table1[[#This Row],[Mid39]],Table1[[#This Row],[Mid36]],Table1[[#This Row],[Mid33]],Table1[[#This Row],[Mid30]],Table1[[#This Row],[Mid27]],Table1[[#This Row],[Mid24]],Table1[[#This Row],[Mid21]],Table1[[#This Row],[Mid18]],Table1[[#This Row],[Mid15]],Table1[[#This Row],[Mid12]],Table1[[#This Row],[Mid9]],Table1[[#This Row],[Mid6]],Table1[[#This Row],[Mid3]],Table1[[#This Row],[Mid]])</f>
        <v>22</v>
      </c>
      <c r="CG5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28" t="s">
        <v>133</v>
      </c>
      <c r="CI528" t="s">
        <v>134</v>
      </c>
      <c r="CJ528" t="s">
        <v>158</v>
      </c>
      <c r="CL528" s="19">
        <f>IF(Table1[[#This Row],[Type]]="Petroleum",1,IF(ISERROR(Table1[[#This Row],[Well Density]]*Table1[[#This Row],[Single Well Discovery Area]]),"",IF(Table1[[#This Row],[Well Density]]*Table1[[#This Row],[Single Well Discovery Area]]&gt;1,1,Table1[[#This Row],[Well Density]]*Table1[[#This Row],[Single Well Discovery Area]])))</f>
        <v>1</v>
      </c>
      <c r="CM528" t="s">
        <v>158</v>
      </c>
      <c r="CN528" s="19">
        <f>Table1[[#This Row],[Mid]]</f>
        <v>0</v>
      </c>
      <c r="CO528" s="19">
        <f>Table1[[#This Row],[Mid3]]+Table1[[#This Row],[Mid6]]+Table1[[#This Row],[Mid9]]</f>
        <v>0</v>
      </c>
      <c r="CP528" s="19">
        <f>Table1[[#This Row],[Mid12]]+Table1[[#This Row],[Mid15]]+Table1[[#This Row],[Mid18]]+Table1[[#This Row],[Mid21]]+Table1[[#This Row],[Mid24]]</f>
        <v>22</v>
      </c>
      <c r="CQ528" s="19">
        <f>Table1[[#This Row],[Mid27]]+Table1[[#This Row],[Mid30]]+Table1[[#This Row],[Mid33]]+Table1[[#This Row],[Mid36]]+Table1[[#This Row],[Mid39]]</f>
        <v>0</v>
      </c>
      <c r="CR528" t="s">
        <v>415</v>
      </c>
      <c r="CS528" s="19" t="str">
        <f>IF(AND(Table1[[#This Row],[Low41]]=0, Table1[[#This Row],[High43]]=0),"N","Y")</f>
        <v>N</v>
      </c>
    </row>
    <row r="529" spans="1:97" ht="19.5" customHeight="1" x14ac:dyDescent="0.25">
      <c r="A529">
        <v>10527</v>
      </c>
      <c r="B529" t="s">
        <v>1635</v>
      </c>
      <c r="C529" t="s">
        <v>1449</v>
      </c>
      <c r="D529">
        <v>52.96833333</v>
      </c>
      <c r="E529">
        <v>2.23</v>
      </c>
      <c r="F529" t="s">
        <v>1757</v>
      </c>
      <c r="G529" t="s">
        <v>1687</v>
      </c>
      <c r="H529" t="s">
        <v>1688</v>
      </c>
      <c r="I529" t="s">
        <v>1606</v>
      </c>
      <c r="J529" t="s">
        <v>202</v>
      </c>
      <c r="K529" t="s">
        <v>203</v>
      </c>
      <c r="L529" t="s">
        <v>121</v>
      </c>
      <c r="M529" t="s">
        <v>1689</v>
      </c>
      <c r="N529" s="6" t="s">
        <v>1639</v>
      </c>
      <c r="O529" t="s">
        <v>1758</v>
      </c>
      <c r="P529" t="s">
        <v>436</v>
      </c>
      <c r="Q529" t="s">
        <v>1641</v>
      </c>
      <c r="R529" t="s">
        <v>1642</v>
      </c>
      <c r="S529">
        <v>2015</v>
      </c>
      <c r="T529" t="s">
        <v>771</v>
      </c>
      <c r="U529" t="s">
        <v>1479</v>
      </c>
      <c r="V529">
        <v>0</v>
      </c>
      <c r="W529">
        <v>0</v>
      </c>
      <c r="X529">
        <v>0</v>
      </c>
      <c r="Y529">
        <v>0</v>
      </c>
      <c r="Z529">
        <v>0</v>
      </c>
      <c r="AA529">
        <v>0</v>
      </c>
      <c r="AB529">
        <v>0</v>
      </c>
      <c r="AC529">
        <v>0</v>
      </c>
      <c r="AD529">
        <v>0</v>
      </c>
      <c r="AF529">
        <v>200</v>
      </c>
      <c r="AG529">
        <v>0</v>
      </c>
      <c r="AI529">
        <v>0</v>
      </c>
      <c r="AJ529">
        <v>0</v>
      </c>
      <c r="AK529">
        <v>0</v>
      </c>
      <c r="AL529">
        <v>0</v>
      </c>
      <c r="AN529" t="s">
        <v>132</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2</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29" s="19">
        <f>SUM(Table1[[#This Row],[Mid39]],Table1[[#This Row],[Mid36]],Table1[[#This Row],[Mid33]],Table1[[#This Row],[Mid30]],Table1[[#This Row],[Mid27]],Table1[[#This Row],[Mid24]],Table1[[#This Row],[Mid21]],Table1[[#This Row],[Mid18]],Table1[[#This Row],[Mid15]],Table1[[#This Row],[Mid12]],Table1[[#This Row],[Mid9]],Table1[[#This Row],[Mid6]],Table1[[#This Row],[Mid3]],Table1[[#This Row],[Mid]])</f>
        <v>2</v>
      </c>
      <c r="CG5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29" t="s">
        <v>133</v>
      </c>
      <c r="CI529" t="s">
        <v>134</v>
      </c>
      <c r="CJ529" t="s">
        <v>158</v>
      </c>
      <c r="CL529" s="19">
        <f>IF(Table1[[#This Row],[Type]]="Petroleum",1,IF(ISERROR(Table1[[#This Row],[Well Density]]*Table1[[#This Row],[Single Well Discovery Area]]),"",IF(Table1[[#This Row],[Well Density]]*Table1[[#This Row],[Single Well Discovery Area]]&gt;1,1,Table1[[#This Row],[Well Density]]*Table1[[#This Row],[Single Well Discovery Area]])))</f>
        <v>1</v>
      </c>
      <c r="CM529" t="s">
        <v>158</v>
      </c>
      <c r="CN529" s="19">
        <f>Table1[[#This Row],[Mid]]</f>
        <v>0</v>
      </c>
      <c r="CO529" s="19">
        <f>Table1[[#This Row],[Mid3]]+Table1[[#This Row],[Mid6]]+Table1[[#This Row],[Mid9]]</f>
        <v>0</v>
      </c>
      <c r="CP529" s="19">
        <f>Table1[[#This Row],[Mid12]]+Table1[[#This Row],[Mid15]]+Table1[[#This Row],[Mid18]]+Table1[[#This Row],[Mid21]]+Table1[[#This Row],[Mid24]]</f>
        <v>2</v>
      </c>
      <c r="CQ529" s="19">
        <f>Table1[[#This Row],[Mid27]]+Table1[[#This Row],[Mid30]]+Table1[[#This Row],[Mid33]]+Table1[[#This Row],[Mid36]]+Table1[[#This Row],[Mid39]]</f>
        <v>0</v>
      </c>
      <c r="CR529" t="s">
        <v>415</v>
      </c>
      <c r="CS529" s="19" t="str">
        <f>IF(AND(Table1[[#This Row],[Low41]]=0, Table1[[#This Row],[High43]]=0),"N","Y")</f>
        <v>N</v>
      </c>
    </row>
    <row r="530" spans="1:97" ht="19.5" customHeight="1" x14ac:dyDescent="0.25">
      <c r="A530">
        <v>10528</v>
      </c>
      <c r="B530" t="s">
        <v>1635</v>
      </c>
      <c r="C530" t="s">
        <v>1449</v>
      </c>
      <c r="D530">
        <v>52.955555560000001</v>
      </c>
      <c r="E530">
        <v>2.1433333330000002</v>
      </c>
      <c r="F530" t="s">
        <v>1759</v>
      </c>
      <c r="G530" t="s">
        <v>1687</v>
      </c>
      <c r="H530" t="s">
        <v>1688</v>
      </c>
      <c r="I530" t="s">
        <v>1753</v>
      </c>
      <c r="J530" t="s">
        <v>202</v>
      </c>
      <c r="K530" t="s">
        <v>203</v>
      </c>
      <c r="L530" t="s">
        <v>121</v>
      </c>
      <c r="M530" t="s">
        <v>1689</v>
      </c>
      <c r="N530" s="6" t="s">
        <v>1639</v>
      </c>
      <c r="O530" t="s">
        <v>1644</v>
      </c>
      <c r="P530" t="s">
        <v>436</v>
      </c>
      <c r="Q530" t="s">
        <v>1641</v>
      </c>
      <c r="R530" t="s">
        <v>1642</v>
      </c>
      <c r="S530">
        <v>2015</v>
      </c>
      <c r="T530" t="s">
        <v>771</v>
      </c>
      <c r="U530" t="s">
        <v>1479</v>
      </c>
      <c r="V530">
        <v>0</v>
      </c>
      <c r="W530">
        <v>0</v>
      </c>
      <c r="X530">
        <v>0</v>
      </c>
      <c r="Y530">
        <v>0</v>
      </c>
      <c r="Z530">
        <v>0</v>
      </c>
      <c r="AA530">
        <v>0</v>
      </c>
      <c r="AB530">
        <v>0</v>
      </c>
      <c r="AC530">
        <v>0</v>
      </c>
      <c r="AD530">
        <v>0</v>
      </c>
      <c r="AF530">
        <v>200</v>
      </c>
      <c r="AG530">
        <v>0</v>
      </c>
      <c r="AI530">
        <v>0</v>
      </c>
      <c r="AJ530">
        <v>0</v>
      </c>
      <c r="AK530">
        <v>0</v>
      </c>
      <c r="AL530">
        <v>0</v>
      </c>
      <c r="AN530" t="s">
        <v>132</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3</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30" s="19">
        <f>SUM(Table1[[#This Row],[Mid39]],Table1[[#This Row],[Mid36]],Table1[[#This Row],[Mid33]],Table1[[#This Row],[Mid30]],Table1[[#This Row],[Mid27]],Table1[[#This Row],[Mid24]],Table1[[#This Row],[Mid21]],Table1[[#This Row],[Mid18]],Table1[[#This Row],[Mid15]],Table1[[#This Row],[Mid12]],Table1[[#This Row],[Mid9]],Table1[[#This Row],[Mid6]],Table1[[#This Row],[Mid3]],Table1[[#This Row],[Mid]])</f>
        <v>3</v>
      </c>
      <c r="CG5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30" t="s">
        <v>133</v>
      </c>
      <c r="CI530" t="s">
        <v>134</v>
      </c>
      <c r="CJ530" t="s">
        <v>158</v>
      </c>
      <c r="CL530" s="19">
        <f>IF(Table1[[#This Row],[Type]]="Petroleum",1,IF(ISERROR(Table1[[#This Row],[Well Density]]*Table1[[#This Row],[Single Well Discovery Area]]),"",IF(Table1[[#This Row],[Well Density]]*Table1[[#This Row],[Single Well Discovery Area]]&gt;1,1,Table1[[#This Row],[Well Density]]*Table1[[#This Row],[Single Well Discovery Area]])))</f>
        <v>1</v>
      </c>
      <c r="CM530" t="s">
        <v>158</v>
      </c>
      <c r="CN530" s="19">
        <f>Table1[[#This Row],[Mid]]</f>
        <v>0</v>
      </c>
      <c r="CO530" s="19">
        <f>Table1[[#This Row],[Mid3]]+Table1[[#This Row],[Mid6]]+Table1[[#This Row],[Mid9]]</f>
        <v>0</v>
      </c>
      <c r="CP530" s="19">
        <f>Table1[[#This Row],[Mid12]]+Table1[[#This Row],[Mid15]]+Table1[[#This Row],[Mid18]]+Table1[[#This Row],[Mid21]]+Table1[[#This Row],[Mid24]]</f>
        <v>3</v>
      </c>
      <c r="CQ530" s="19">
        <f>Table1[[#This Row],[Mid27]]+Table1[[#This Row],[Mid30]]+Table1[[#This Row],[Mid33]]+Table1[[#This Row],[Mid36]]+Table1[[#This Row],[Mid39]]</f>
        <v>0</v>
      </c>
      <c r="CR530" t="s">
        <v>415</v>
      </c>
      <c r="CS530" s="19" t="str">
        <f>IF(AND(Table1[[#This Row],[Low41]]=0, Table1[[#This Row],[High43]]=0),"N","Y")</f>
        <v>N</v>
      </c>
    </row>
    <row r="531" spans="1:97" ht="19.5" customHeight="1" x14ac:dyDescent="0.25">
      <c r="A531">
        <v>10529</v>
      </c>
      <c r="B531" t="s">
        <v>1635</v>
      </c>
      <c r="C531" t="s">
        <v>1449</v>
      </c>
      <c r="D531">
        <v>58.30194444</v>
      </c>
      <c r="E531">
        <v>-1.723055556</v>
      </c>
      <c r="F531" t="s">
        <v>1760</v>
      </c>
      <c r="G531" t="s">
        <v>1679</v>
      </c>
      <c r="H531" t="s">
        <v>1680</v>
      </c>
      <c r="I531" t="s">
        <v>1648</v>
      </c>
      <c r="J531" t="s">
        <v>202</v>
      </c>
      <c r="K531" t="s">
        <v>203</v>
      </c>
      <c r="L531" t="s">
        <v>121</v>
      </c>
      <c r="M531" t="s">
        <v>148</v>
      </c>
      <c r="N531" s="6" t="s">
        <v>1663</v>
      </c>
      <c r="O531" t="s">
        <v>1761</v>
      </c>
      <c r="P531" t="s">
        <v>1762</v>
      </c>
      <c r="Q531" t="s">
        <v>1763</v>
      </c>
      <c r="R531" t="s">
        <v>1764</v>
      </c>
      <c r="S531">
        <v>2015</v>
      </c>
      <c r="T531" t="s">
        <v>153</v>
      </c>
      <c r="U531" t="s">
        <v>173</v>
      </c>
      <c r="V531">
        <v>73</v>
      </c>
      <c r="W531">
        <v>823</v>
      </c>
      <c r="X531">
        <v>150</v>
      </c>
      <c r="Y531">
        <v>95</v>
      </c>
      <c r="Z531">
        <v>31</v>
      </c>
      <c r="AA531">
        <v>7000</v>
      </c>
      <c r="AD531">
        <v>202</v>
      </c>
      <c r="AE531">
        <v>2.7671232880000001</v>
      </c>
      <c r="AF531">
        <v>200</v>
      </c>
      <c r="AG531">
        <v>0</v>
      </c>
      <c r="AK531">
        <v>0</v>
      </c>
      <c r="AL531">
        <v>0</v>
      </c>
      <c r="AM531" t="s">
        <v>1765</v>
      </c>
      <c r="AN531" t="s">
        <v>132</v>
      </c>
      <c r="BH531">
        <v>96</v>
      </c>
      <c r="CE5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31" s="19">
        <f>SUM(Table1[[#This Row],[Mid39]],Table1[[#This Row],[Mid36]],Table1[[#This Row],[Mid33]],Table1[[#This Row],[Mid30]],Table1[[#This Row],[Mid27]],Table1[[#This Row],[Mid24]],Table1[[#This Row],[Mid21]],Table1[[#This Row],[Mid18]],Table1[[#This Row],[Mid15]],Table1[[#This Row],[Mid12]],Table1[[#This Row],[Mid9]],Table1[[#This Row],[Mid6]],Table1[[#This Row],[Mid3]],Table1[[#This Row],[Mid]])</f>
        <v>96</v>
      </c>
      <c r="CG5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31" t="s">
        <v>133</v>
      </c>
      <c r="CI531" t="s">
        <v>134</v>
      </c>
      <c r="CJ531" t="s">
        <v>158</v>
      </c>
      <c r="CL531" s="19">
        <f>IF(Table1[[#This Row],[Type]]="Petroleum",1,IF(ISERROR(Table1[[#This Row],[Well Density]]*Table1[[#This Row],[Single Well Discovery Area]]),"",IF(Table1[[#This Row],[Well Density]]*Table1[[#This Row],[Single Well Discovery Area]]&gt;1,1,Table1[[#This Row],[Well Density]]*Table1[[#This Row],[Single Well Discovery Area]])))</f>
        <v>1</v>
      </c>
      <c r="CM531" t="s">
        <v>158</v>
      </c>
      <c r="CN531" s="19">
        <f>Table1[[#This Row],[Mid]]</f>
        <v>0</v>
      </c>
      <c r="CO531" s="19">
        <f>Table1[[#This Row],[Mid3]]+Table1[[#This Row],[Mid6]]+Table1[[#This Row],[Mid9]]</f>
        <v>0</v>
      </c>
      <c r="CP531" s="19">
        <f>Table1[[#This Row],[Mid12]]+Table1[[#This Row],[Mid15]]+Table1[[#This Row],[Mid18]]+Table1[[#This Row],[Mid21]]+Table1[[#This Row],[Mid24]]</f>
        <v>96</v>
      </c>
      <c r="CQ531" s="19">
        <f>Table1[[#This Row],[Mid27]]+Table1[[#This Row],[Mid30]]+Table1[[#This Row],[Mid33]]+Table1[[#This Row],[Mid36]]+Table1[[#This Row],[Mid39]]</f>
        <v>0</v>
      </c>
      <c r="CR531" t="s">
        <v>415</v>
      </c>
      <c r="CS531" s="19" t="str">
        <f>IF(AND(Table1[[#This Row],[Low41]]=0, Table1[[#This Row],[High43]]=0),"N","Y")</f>
        <v>N</v>
      </c>
    </row>
    <row r="532" spans="1:97" ht="19.5" customHeight="1" x14ac:dyDescent="0.25">
      <c r="A532">
        <v>10530</v>
      </c>
      <c r="B532" t="s">
        <v>1635</v>
      </c>
      <c r="C532" t="s">
        <v>1449</v>
      </c>
      <c r="D532">
        <v>54.018333329999997</v>
      </c>
      <c r="E532">
        <v>0.72138888899999998</v>
      </c>
      <c r="F532" t="s">
        <v>1766</v>
      </c>
      <c r="G532" t="s">
        <v>1687</v>
      </c>
      <c r="H532" t="s">
        <v>1688</v>
      </c>
      <c r="I532" t="s">
        <v>1606</v>
      </c>
      <c r="J532" t="s">
        <v>202</v>
      </c>
      <c r="K532" t="s">
        <v>203</v>
      </c>
      <c r="L532" t="s">
        <v>121</v>
      </c>
      <c r="M532" t="s">
        <v>1689</v>
      </c>
      <c r="N532" s="6" t="s">
        <v>1639</v>
      </c>
      <c r="O532" t="s">
        <v>1644</v>
      </c>
      <c r="P532" t="s">
        <v>436</v>
      </c>
      <c r="Q532" t="s">
        <v>1641</v>
      </c>
      <c r="R532" t="s">
        <v>1642</v>
      </c>
      <c r="S532">
        <v>2015</v>
      </c>
      <c r="T532" t="s">
        <v>153</v>
      </c>
      <c r="U532" t="s">
        <v>173</v>
      </c>
      <c r="V532"/>
      <c r="AF532">
        <v>200</v>
      </c>
      <c r="AG532">
        <v>0</v>
      </c>
      <c r="AK532">
        <v>0</v>
      </c>
      <c r="AL532">
        <v>0</v>
      </c>
      <c r="AN532" t="s">
        <v>132</v>
      </c>
      <c r="BH532">
        <v>31</v>
      </c>
      <c r="CE53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32" s="19">
        <f>SUM(Table1[[#This Row],[Mid39]],Table1[[#This Row],[Mid36]],Table1[[#This Row],[Mid33]],Table1[[#This Row],[Mid30]],Table1[[#This Row],[Mid27]],Table1[[#This Row],[Mid24]],Table1[[#This Row],[Mid21]],Table1[[#This Row],[Mid18]],Table1[[#This Row],[Mid15]],Table1[[#This Row],[Mid12]],Table1[[#This Row],[Mid9]],Table1[[#This Row],[Mid6]],Table1[[#This Row],[Mid3]],Table1[[#This Row],[Mid]])</f>
        <v>31</v>
      </c>
      <c r="CG5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32" t="s">
        <v>133</v>
      </c>
      <c r="CI532" t="s">
        <v>134</v>
      </c>
      <c r="CJ532" t="s">
        <v>158</v>
      </c>
      <c r="CL532" s="19">
        <f>IF(Table1[[#This Row],[Type]]="Petroleum",1,IF(ISERROR(Table1[[#This Row],[Well Density]]*Table1[[#This Row],[Single Well Discovery Area]]),"",IF(Table1[[#This Row],[Well Density]]*Table1[[#This Row],[Single Well Discovery Area]]&gt;1,1,Table1[[#This Row],[Well Density]]*Table1[[#This Row],[Single Well Discovery Area]])))</f>
        <v>1</v>
      </c>
      <c r="CM532" t="s">
        <v>158</v>
      </c>
      <c r="CN532" s="19">
        <f>Table1[[#This Row],[Mid]]</f>
        <v>0</v>
      </c>
      <c r="CO532" s="19">
        <f>Table1[[#This Row],[Mid3]]+Table1[[#This Row],[Mid6]]+Table1[[#This Row],[Mid9]]</f>
        <v>0</v>
      </c>
      <c r="CP532" s="19">
        <f>Table1[[#This Row],[Mid12]]+Table1[[#This Row],[Mid15]]+Table1[[#This Row],[Mid18]]+Table1[[#This Row],[Mid21]]+Table1[[#This Row],[Mid24]]</f>
        <v>31</v>
      </c>
      <c r="CQ532" s="19">
        <f>Table1[[#This Row],[Mid27]]+Table1[[#This Row],[Mid30]]+Table1[[#This Row],[Mid33]]+Table1[[#This Row],[Mid36]]+Table1[[#This Row],[Mid39]]</f>
        <v>0</v>
      </c>
      <c r="CR532" t="s">
        <v>415</v>
      </c>
      <c r="CS532" s="19" t="str">
        <f>IF(AND(Table1[[#This Row],[Low41]]=0, Table1[[#This Row],[High43]]=0),"N","Y")</f>
        <v>N</v>
      </c>
    </row>
    <row r="533" spans="1:97" ht="19.5" customHeight="1" x14ac:dyDescent="0.25">
      <c r="A533">
        <v>10531</v>
      </c>
      <c r="B533" t="s">
        <v>1635</v>
      </c>
      <c r="C533" t="s">
        <v>1449</v>
      </c>
      <c r="D533">
        <v>58.317222219999998</v>
      </c>
      <c r="E533">
        <v>-1.724166667</v>
      </c>
      <c r="F533" t="s">
        <v>1767</v>
      </c>
      <c r="G533" t="s">
        <v>1679</v>
      </c>
      <c r="H533" t="s">
        <v>1768</v>
      </c>
      <c r="I533" t="s">
        <v>118</v>
      </c>
      <c r="J533" t="s">
        <v>119</v>
      </c>
      <c r="K533" t="s">
        <v>120</v>
      </c>
      <c r="L533" t="s">
        <v>121</v>
      </c>
      <c r="M533" t="s">
        <v>148</v>
      </c>
      <c r="N533" s="6" t="s">
        <v>1663</v>
      </c>
      <c r="O533" t="s">
        <v>1769</v>
      </c>
      <c r="P533" t="s">
        <v>1770</v>
      </c>
      <c r="Q533" t="s">
        <v>1771</v>
      </c>
      <c r="R533" t="s">
        <v>1716</v>
      </c>
      <c r="S533">
        <v>2015</v>
      </c>
      <c r="T533" t="s">
        <v>153</v>
      </c>
      <c r="U533" t="s">
        <v>173</v>
      </c>
      <c r="V533">
        <v>2488</v>
      </c>
      <c r="W533">
        <v>1066</v>
      </c>
      <c r="X533">
        <v>124</v>
      </c>
      <c r="Y533">
        <v>50</v>
      </c>
      <c r="Z533">
        <v>27</v>
      </c>
      <c r="AA533">
        <v>4500</v>
      </c>
      <c r="AC533">
        <v>580</v>
      </c>
      <c r="AD533">
        <v>224</v>
      </c>
      <c r="AE533">
        <v>9.0032154000000003E-2</v>
      </c>
      <c r="AF533">
        <v>200</v>
      </c>
      <c r="AG533">
        <v>0</v>
      </c>
      <c r="AH533" t="s">
        <v>1717</v>
      </c>
      <c r="AI533">
        <v>0.6</v>
      </c>
      <c r="AK533">
        <v>1.24795156</v>
      </c>
      <c r="AL533">
        <v>0</v>
      </c>
      <c r="AM533" t="s">
        <v>1772</v>
      </c>
      <c r="AN533" t="s">
        <v>132</v>
      </c>
      <c r="BH533">
        <v>35</v>
      </c>
      <c r="CE53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33" s="19">
        <f>SUM(Table1[[#This Row],[Mid39]],Table1[[#This Row],[Mid36]],Table1[[#This Row],[Mid33]],Table1[[#This Row],[Mid30]],Table1[[#This Row],[Mid27]],Table1[[#This Row],[Mid24]],Table1[[#This Row],[Mid21]],Table1[[#This Row],[Mid18]],Table1[[#This Row],[Mid15]],Table1[[#This Row],[Mid12]],Table1[[#This Row],[Mid9]],Table1[[#This Row],[Mid6]],Table1[[#This Row],[Mid3]],Table1[[#This Row],[Mid]])</f>
        <v>35</v>
      </c>
      <c r="CG5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33" t="s">
        <v>133</v>
      </c>
      <c r="CI533" t="s">
        <v>134</v>
      </c>
      <c r="CJ533" t="s">
        <v>158</v>
      </c>
      <c r="CL533" s="19">
        <f>IF(Table1[[#This Row],[Type]]="Petroleum",1,IF(ISERROR(Table1[[#This Row],[Well Density]]*Table1[[#This Row],[Single Well Discovery Area]]),"",IF(Table1[[#This Row],[Well Density]]*Table1[[#This Row],[Single Well Discovery Area]]&gt;1,1,Table1[[#This Row],[Well Density]]*Table1[[#This Row],[Single Well Discovery Area]])))</f>
        <v>1</v>
      </c>
      <c r="CM533" t="s">
        <v>158</v>
      </c>
      <c r="CN533" s="19">
        <f>Table1[[#This Row],[Mid]]</f>
        <v>0</v>
      </c>
      <c r="CO533" s="19">
        <f>Table1[[#This Row],[Mid3]]+Table1[[#This Row],[Mid6]]+Table1[[#This Row],[Mid9]]</f>
        <v>0</v>
      </c>
      <c r="CP533" s="19">
        <f>Table1[[#This Row],[Mid12]]+Table1[[#This Row],[Mid15]]+Table1[[#This Row],[Mid18]]+Table1[[#This Row],[Mid21]]+Table1[[#This Row],[Mid24]]</f>
        <v>35</v>
      </c>
      <c r="CQ533" s="19">
        <f>Table1[[#This Row],[Mid27]]+Table1[[#This Row],[Mid30]]+Table1[[#This Row],[Mid33]]+Table1[[#This Row],[Mid36]]+Table1[[#This Row],[Mid39]]</f>
        <v>0</v>
      </c>
      <c r="CR533" t="s">
        <v>415</v>
      </c>
      <c r="CS533" s="19" t="str">
        <f>IF(AND(Table1[[#This Row],[Low41]]=0, Table1[[#This Row],[High43]]=0),"N","Y")</f>
        <v>N</v>
      </c>
    </row>
    <row r="534" spans="1:97" ht="19.5" customHeight="1" x14ac:dyDescent="0.25">
      <c r="A534">
        <v>10532</v>
      </c>
      <c r="B534" t="s">
        <v>1635</v>
      </c>
      <c r="C534" t="s">
        <v>1449</v>
      </c>
      <c r="D534">
        <v>53.125555560000002</v>
      </c>
      <c r="E534">
        <v>1.691388889</v>
      </c>
      <c r="F534" t="s">
        <v>1773</v>
      </c>
      <c r="G534" t="s">
        <v>1687</v>
      </c>
      <c r="H534" t="s">
        <v>1688</v>
      </c>
      <c r="I534" t="s">
        <v>1606</v>
      </c>
      <c r="J534" t="s">
        <v>202</v>
      </c>
      <c r="K534" t="s">
        <v>203</v>
      </c>
      <c r="L534" t="s">
        <v>121</v>
      </c>
      <c r="M534" t="s">
        <v>1689</v>
      </c>
      <c r="N534" s="6" t="s">
        <v>1639</v>
      </c>
      <c r="O534" t="s">
        <v>1774</v>
      </c>
      <c r="P534" t="s">
        <v>436</v>
      </c>
      <c r="Q534" t="s">
        <v>1641</v>
      </c>
      <c r="R534" t="s">
        <v>1642</v>
      </c>
      <c r="S534">
        <v>2015</v>
      </c>
      <c r="T534" t="s">
        <v>771</v>
      </c>
      <c r="U534" t="s">
        <v>1479</v>
      </c>
      <c r="V534">
        <v>0</v>
      </c>
      <c r="W534">
        <v>0</v>
      </c>
      <c r="X534">
        <v>0</v>
      </c>
      <c r="Y534">
        <v>0</v>
      </c>
      <c r="Z534">
        <v>0</v>
      </c>
      <c r="AA534">
        <v>0</v>
      </c>
      <c r="AB534">
        <v>0</v>
      </c>
      <c r="AC534">
        <v>0</v>
      </c>
      <c r="AD534">
        <v>0</v>
      </c>
      <c r="AF534">
        <v>200</v>
      </c>
      <c r="AG534">
        <v>0</v>
      </c>
      <c r="AI534">
        <v>0</v>
      </c>
      <c r="AJ534">
        <v>0</v>
      </c>
      <c r="AK534">
        <v>0</v>
      </c>
      <c r="AL534">
        <v>0</v>
      </c>
      <c r="AN534" t="s">
        <v>132</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2</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34" s="19">
        <f>SUM(Table1[[#This Row],[Mid39]],Table1[[#This Row],[Mid36]],Table1[[#This Row],[Mid33]],Table1[[#This Row],[Mid30]],Table1[[#This Row],[Mid27]],Table1[[#This Row],[Mid24]],Table1[[#This Row],[Mid21]],Table1[[#This Row],[Mid18]],Table1[[#This Row],[Mid15]],Table1[[#This Row],[Mid12]],Table1[[#This Row],[Mid9]],Table1[[#This Row],[Mid6]],Table1[[#This Row],[Mid3]],Table1[[#This Row],[Mid]])</f>
        <v>2</v>
      </c>
      <c r="CG5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34" t="s">
        <v>133</v>
      </c>
      <c r="CI534" t="s">
        <v>134</v>
      </c>
      <c r="CJ534" t="s">
        <v>158</v>
      </c>
      <c r="CL534" s="19">
        <f>IF(Table1[[#This Row],[Type]]="Petroleum",1,IF(ISERROR(Table1[[#This Row],[Well Density]]*Table1[[#This Row],[Single Well Discovery Area]]),"",IF(Table1[[#This Row],[Well Density]]*Table1[[#This Row],[Single Well Discovery Area]]&gt;1,1,Table1[[#This Row],[Well Density]]*Table1[[#This Row],[Single Well Discovery Area]])))</f>
        <v>1</v>
      </c>
      <c r="CM534" t="s">
        <v>158</v>
      </c>
      <c r="CN534" s="19">
        <f>Table1[[#This Row],[Mid]]</f>
        <v>0</v>
      </c>
      <c r="CO534" s="19">
        <f>Table1[[#This Row],[Mid3]]+Table1[[#This Row],[Mid6]]+Table1[[#This Row],[Mid9]]</f>
        <v>0</v>
      </c>
      <c r="CP534" s="19">
        <f>Table1[[#This Row],[Mid12]]+Table1[[#This Row],[Mid15]]+Table1[[#This Row],[Mid18]]+Table1[[#This Row],[Mid21]]+Table1[[#This Row],[Mid24]]</f>
        <v>2</v>
      </c>
      <c r="CQ534" s="19">
        <f>Table1[[#This Row],[Mid27]]+Table1[[#This Row],[Mid30]]+Table1[[#This Row],[Mid33]]+Table1[[#This Row],[Mid36]]+Table1[[#This Row],[Mid39]]</f>
        <v>0</v>
      </c>
      <c r="CR534" t="s">
        <v>415</v>
      </c>
      <c r="CS534" s="19" t="str">
        <f>IF(AND(Table1[[#This Row],[Low41]]=0, Table1[[#This Row],[High43]]=0),"N","Y")</f>
        <v>N</v>
      </c>
    </row>
    <row r="535" spans="1:97" ht="19.5" customHeight="1" x14ac:dyDescent="0.25">
      <c r="A535">
        <v>10533</v>
      </c>
      <c r="B535" t="s">
        <v>1635</v>
      </c>
      <c r="C535" t="s">
        <v>1449</v>
      </c>
      <c r="D535">
        <v>53.081944440000001</v>
      </c>
      <c r="E535">
        <v>1.8516666669999999</v>
      </c>
      <c r="F535" t="s">
        <v>1775</v>
      </c>
      <c r="G535" t="s">
        <v>1687</v>
      </c>
      <c r="H535" t="s">
        <v>1688</v>
      </c>
      <c r="I535" t="s">
        <v>1606</v>
      </c>
      <c r="J535" t="s">
        <v>202</v>
      </c>
      <c r="K535" t="s">
        <v>203</v>
      </c>
      <c r="L535" t="s">
        <v>121</v>
      </c>
      <c r="M535" t="s">
        <v>1689</v>
      </c>
      <c r="N535" s="6" t="s">
        <v>1639</v>
      </c>
      <c r="O535" t="s">
        <v>1774</v>
      </c>
      <c r="P535" t="s">
        <v>436</v>
      </c>
      <c r="Q535" t="s">
        <v>1641</v>
      </c>
      <c r="R535" t="s">
        <v>1642</v>
      </c>
      <c r="S535">
        <v>2015</v>
      </c>
      <c r="T535" t="s">
        <v>771</v>
      </c>
      <c r="U535" t="s">
        <v>1479</v>
      </c>
      <c r="V535">
        <v>0</v>
      </c>
      <c r="W535">
        <v>0</v>
      </c>
      <c r="X535">
        <v>0</v>
      </c>
      <c r="Y535">
        <v>0</v>
      </c>
      <c r="Z535">
        <v>0</v>
      </c>
      <c r="AA535">
        <v>0</v>
      </c>
      <c r="AB535">
        <v>0</v>
      </c>
      <c r="AC535">
        <v>0</v>
      </c>
      <c r="AD535">
        <v>0</v>
      </c>
      <c r="AF535">
        <v>200</v>
      </c>
      <c r="AG535">
        <v>0</v>
      </c>
      <c r="AI535">
        <v>0</v>
      </c>
      <c r="AJ535">
        <v>0</v>
      </c>
      <c r="AK535">
        <v>0</v>
      </c>
      <c r="AL535">
        <v>0</v>
      </c>
      <c r="AN535" t="s">
        <v>132</v>
      </c>
      <c r="AO535">
        <v>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36</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35" s="19">
        <f>SUM(Table1[[#This Row],[Mid39]],Table1[[#This Row],[Mid36]],Table1[[#This Row],[Mid33]],Table1[[#This Row],[Mid30]],Table1[[#This Row],[Mid27]],Table1[[#This Row],[Mid24]],Table1[[#This Row],[Mid21]],Table1[[#This Row],[Mid18]],Table1[[#This Row],[Mid15]],Table1[[#This Row],[Mid12]],Table1[[#This Row],[Mid9]],Table1[[#This Row],[Mid6]],Table1[[#This Row],[Mid3]],Table1[[#This Row],[Mid]])</f>
        <v>36</v>
      </c>
      <c r="CG5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35" t="s">
        <v>133</v>
      </c>
      <c r="CI535" t="s">
        <v>134</v>
      </c>
      <c r="CJ535" t="s">
        <v>158</v>
      </c>
      <c r="CL535" s="19">
        <f>IF(Table1[[#This Row],[Type]]="Petroleum",1,IF(ISERROR(Table1[[#This Row],[Well Density]]*Table1[[#This Row],[Single Well Discovery Area]]),"",IF(Table1[[#This Row],[Well Density]]*Table1[[#This Row],[Single Well Discovery Area]]&gt;1,1,Table1[[#This Row],[Well Density]]*Table1[[#This Row],[Single Well Discovery Area]])))</f>
        <v>1</v>
      </c>
      <c r="CM535" t="s">
        <v>158</v>
      </c>
      <c r="CN535" s="19">
        <f>Table1[[#This Row],[Mid]]</f>
        <v>0</v>
      </c>
      <c r="CO535" s="19">
        <f>Table1[[#This Row],[Mid3]]+Table1[[#This Row],[Mid6]]+Table1[[#This Row],[Mid9]]</f>
        <v>0</v>
      </c>
      <c r="CP535" s="19">
        <f>Table1[[#This Row],[Mid12]]+Table1[[#This Row],[Mid15]]+Table1[[#This Row],[Mid18]]+Table1[[#This Row],[Mid21]]+Table1[[#This Row],[Mid24]]</f>
        <v>36</v>
      </c>
      <c r="CQ535" s="19">
        <f>Table1[[#This Row],[Mid27]]+Table1[[#This Row],[Mid30]]+Table1[[#This Row],[Mid33]]+Table1[[#This Row],[Mid36]]+Table1[[#This Row],[Mid39]]</f>
        <v>0</v>
      </c>
      <c r="CR535" t="s">
        <v>415</v>
      </c>
      <c r="CS535" s="19" t="str">
        <f>IF(AND(Table1[[#This Row],[Low41]]=0, Table1[[#This Row],[High43]]=0),"N","Y")</f>
        <v>N</v>
      </c>
    </row>
    <row r="536" spans="1:97" ht="19.5" customHeight="1" x14ac:dyDescent="0.25">
      <c r="A536">
        <v>10534</v>
      </c>
      <c r="B536" t="s">
        <v>1635</v>
      </c>
      <c r="C536" t="s">
        <v>1449</v>
      </c>
      <c r="D536">
        <v>53.081388889999999</v>
      </c>
      <c r="E536">
        <v>1.9138888890000001</v>
      </c>
      <c r="F536" t="s">
        <v>1776</v>
      </c>
      <c r="G536" t="s">
        <v>1687</v>
      </c>
      <c r="H536" t="s">
        <v>1688</v>
      </c>
      <c r="I536" t="s">
        <v>1606</v>
      </c>
      <c r="J536" t="s">
        <v>202</v>
      </c>
      <c r="K536" t="s">
        <v>203</v>
      </c>
      <c r="L536" t="s">
        <v>121</v>
      </c>
      <c r="M536" t="s">
        <v>1689</v>
      </c>
      <c r="N536" s="6" t="s">
        <v>1639</v>
      </c>
      <c r="O536" t="s">
        <v>1774</v>
      </c>
      <c r="P536" t="s">
        <v>436</v>
      </c>
      <c r="Q536" t="s">
        <v>1641</v>
      </c>
      <c r="R536" t="s">
        <v>1642</v>
      </c>
      <c r="S536">
        <v>2015</v>
      </c>
      <c r="T536" t="s">
        <v>771</v>
      </c>
      <c r="U536" t="s">
        <v>1479</v>
      </c>
      <c r="V536">
        <v>0</v>
      </c>
      <c r="W536">
        <v>0</v>
      </c>
      <c r="X536">
        <v>0</v>
      </c>
      <c r="Y536">
        <v>0</v>
      </c>
      <c r="Z536">
        <v>0</v>
      </c>
      <c r="AA536">
        <v>0</v>
      </c>
      <c r="AB536">
        <v>0</v>
      </c>
      <c r="AC536">
        <v>0</v>
      </c>
      <c r="AD536">
        <v>0</v>
      </c>
      <c r="AF536">
        <v>200</v>
      </c>
      <c r="AG536">
        <v>0</v>
      </c>
      <c r="AI536">
        <v>0</v>
      </c>
      <c r="AJ536">
        <v>0</v>
      </c>
      <c r="AK536">
        <v>0</v>
      </c>
      <c r="AL536">
        <v>0</v>
      </c>
      <c r="AN536" t="s">
        <v>132</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3</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c r="CB536">
        <v>0</v>
      </c>
      <c r="CC536">
        <v>0</v>
      </c>
      <c r="CD536">
        <v>0</v>
      </c>
      <c r="CE5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36" s="19">
        <f>SUM(Table1[[#This Row],[Mid39]],Table1[[#This Row],[Mid36]],Table1[[#This Row],[Mid33]],Table1[[#This Row],[Mid30]],Table1[[#This Row],[Mid27]],Table1[[#This Row],[Mid24]],Table1[[#This Row],[Mid21]],Table1[[#This Row],[Mid18]],Table1[[#This Row],[Mid15]],Table1[[#This Row],[Mid12]],Table1[[#This Row],[Mid9]],Table1[[#This Row],[Mid6]],Table1[[#This Row],[Mid3]],Table1[[#This Row],[Mid]])</f>
        <v>3</v>
      </c>
      <c r="CG5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36" t="s">
        <v>133</v>
      </c>
      <c r="CI536" t="s">
        <v>134</v>
      </c>
      <c r="CJ536" t="s">
        <v>158</v>
      </c>
      <c r="CL536" s="19">
        <f>IF(Table1[[#This Row],[Type]]="Petroleum",1,IF(ISERROR(Table1[[#This Row],[Well Density]]*Table1[[#This Row],[Single Well Discovery Area]]),"",IF(Table1[[#This Row],[Well Density]]*Table1[[#This Row],[Single Well Discovery Area]]&gt;1,1,Table1[[#This Row],[Well Density]]*Table1[[#This Row],[Single Well Discovery Area]])))</f>
        <v>1</v>
      </c>
      <c r="CM536" t="s">
        <v>158</v>
      </c>
      <c r="CN536" s="19">
        <f>Table1[[#This Row],[Mid]]</f>
        <v>0</v>
      </c>
      <c r="CO536" s="19">
        <f>Table1[[#This Row],[Mid3]]+Table1[[#This Row],[Mid6]]+Table1[[#This Row],[Mid9]]</f>
        <v>0</v>
      </c>
      <c r="CP536" s="19">
        <f>Table1[[#This Row],[Mid12]]+Table1[[#This Row],[Mid15]]+Table1[[#This Row],[Mid18]]+Table1[[#This Row],[Mid21]]+Table1[[#This Row],[Mid24]]</f>
        <v>3</v>
      </c>
      <c r="CQ536" s="19">
        <f>Table1[[#This Row],[Mid27]]+Table1[[#This Row],[Mid30]]+Table1[[#This Row],[Mid33]]+Table1[[#This Row],[Mid36]]+Table1[[#This Row],[Mid39]]</f>
        <v>0</v>
      </c>
      <c r="CR536" t="s">
        <v>415</v>
      </c>
      <c r="CS536" s="19" t="str">
        <f>IF(AND(Table1[[#This Row],[Low41]]=0, Table1[[#This Row],[High43]]=0),"N","Y")</f>
        <v>N</v>
      </c>
    </row>
    <row r="537" spans="1:97" ht="19.5" customHeight="1" x14ac:dyDescent="0.25">
      <c r="A537">
        <v>10535</v>
      </c>
      <c r="B537" t="s">
        <v>1635</v>
      </c>
      <c r="C537" t="s">
        <v>1449</v>
      </c>
      <c r="D537">
        <v>53.08583333</v>
      </c>
      <c r="E537">
        <v>1.8944444439999999</v>
      </c>
      <c r="F537" t="s">
        <v>1777</v>
      </c>
      <c r="G537" t="s">
        <v>1687</v>
      </c>
      <c r="H537" t="s">
        <v>1688</v>
      </c>
      <c r="I537" t="s">
        <v>1606</v>
      </c>
      <c r="J537" t="s">
        <v>202</v>
      </c>
      <c r="K537" t="s">
        <v>203</v>
      </c>
      <c r="L537" t="s">
        <v>121</v>
      </c>
      <c r="M537" t="s">
        <v>1689</v>
      </c>
      <c r="N537" s="6" t="s">
        <v>1639</v>
      </c>
      <c r="O537" t="s">
        <v>1774</v>
      </c>
      <c r="P537" t="s">
        <v>436</v>
      </c>
      <c r="Q537" t="s">
        <v>1641</v>
      </c>
      <c r="R537" t="s">
        <v>1642</v>
      </c>
      <c r="S537">
        <v>2015</v>
      </c>
      <c r="T537" t="s">
        <v>771</v>
      </c>
      <c r="U537" t="s">
        <v>1479</v>
      </c>
      <c r="V537">
        <v>0</v>
      </c>
      <c r="W537">
        <v>0</v>
      </c>
      <c r="X537">
        <v>0</v>
      </c>
      <c r="Y537">
        <v>0</v>
      </c>
      <c r="Z537">
        <v>0</v>
      </c>
      <c r="AA537">
        <v>0</v>
      </c>
      <c r="AB537">
        <v>0</v>
      </c>
      <c r="AC537">
        <v>0</v>
      </c>
      <c r="AD537">
        <v>0</v>
      </c>
      <c r="AF537">
        <v>200</v>
      </c>
      <c r="AG537">
        <v>0</v>
      </c>
      <c r="AI537">
        <v>0</v>
      </c>
      <c r="AJ537">
        <v>0</v>
      </c>
      <c r="AK537">
        <v>0</v>
      </c>
      <c r="AL537">
        <v>0</v>
      </c>
      <c r="AN537" t="s">
        <v>132</v>
      </c>
      <c r="AO537">
        <v>0</v>
      </c>
      <c r="AP537">
        <v>0</v>
      </c>
      <c r="AQ537">
        <v>0</v>
      </c>
      <c r="AR537">
        <v>0</v>
      </c>
      <c r="AS537">
        <v>0</v>
      </c>
      <c r="AT537">
        <v>0</v>
      </c>
      <c r="AU537">
        <v>0</v>
      </c>
      <c r="AV537">
        <v>0</v>
      </c>
      <c r="AW537">
        <v>0</v>
      </c>
      <c r="AX537">
        <v>0</v>
      </c>
      <c r="AY537">
        <v>0</v>
      </c>
      <c r="AZ537">
        <v>0</v>
      </c>
      <c r="BA537">
        <v>0</v>
      </c>
      <c r="BB537">
        <v>0</v>
      </c>
      <c r="BC537">
        <v>0</v>
      </c>
      <c r="BD537">
        <v>0</v>
      </c>
      <c r="BE537">
        <v>0</v>
      </c>
      <c r="BF537">
        <v>0</v>
      </c>
      <c r="BG537">
        <v>0</v>
      </c>
      <c r="BH537">
        <v>11</v>
      </c>
      <c r="BI537">
        <v>0</v>
      </c>
      <c r="BJ537">
        <v>0</v>
      </c>
      <c r="BK537">
        <v>0</v>
      </c>
      <c r="BL537">
        <v>0</v>
      </c>
      <c r="BM537">
        <v>0</v>
      </c>
      <c r="BN537">
        <v>0</v>
      </c>
      <c r="BO537">
        <v>0</v>
      </c>
      <c r="BP537">
        <v>0</v>
      </c>
      <c r="BQ537">
        <v>0</v>
      </c>
      <c r="BR537">
        <v>0</v>
      </c>
      <c r="BS537">
        <v>0</v>
      </c>
      <c r="BT537">
        <v>0</v>
      </c>
      <c r="BU537">
        <v>0</v>
      </c>
      <c r="BV537">
        <v>0</v>
      </c>
      <c r="BW537">
        <v>0</v>
      </c>
      <c r="BX537">
        <v>0</v>
      </c>
      <c r="BY537">
        <v>0</v>
      </c>
      <c r="BZ537">
        <v>0</v>
      </c>
      <c r="CA537">
        <v>0</v>
      </c>
      <c r="CB537">
        <v>0</v>
      </c>
      <c r="CC537">
        <v>0</v>
      </c>
      <c r="CD537">
        <v>0</v>
      </c>
      <c r="CE53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37" s="19">
        <f>SUM(Table1[[#This Row],[Mid39]],Table1[[#This Row],[Mid36]],Table1[[#This Row],[Mid33]],Table1[[#This Row],[Mid30]],Table1[[#This Row],[Mid27]],Table1[[#This Row],[Mid24]],Table1[[#This Row],[Mid21]],Table1[[#This Row],[Mid18]],Table1[[#This Row],[Mid15]],Table1[[#This Row],[Mid12]],Table1[[#This Row],[Mid9]],Table1[[#This Row],[Mid6]],Table1[[#This Row],[Mid3]],Table1[[#This Row],[Mid]])</f>
        <v>11</v>
      </c>
      <c r="CG5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37" t="s">
        <v>133</v>
      </c>
      <c r="CI537" t="s">
        <v>134</v>
      </c>
      <c r="CJ537" t="s">
        <v>158</v>
      </c>
      <c r="CL537" s="19">
        <f>IF(Table1[[#This Row],[Type]]="Petroleum",1,IF(ISERROR(Table1[[#This Row],[Well Density]]*Table1[[#This Row],[Single Well Discovery Area]]),"",IF(Table1[[#This Row],[Well Density]]*Table1[[#This Row],[Single Well Discovery Area]]&gt;1,1,Table1[[#This Row],[Well Density]]*Table1[[#This Row],[Single Well Discovery Area]])))</f>
        <v>1</v>
      </c>
      <c r="CM537" t="s">
        <v>158</v>
      </c>
      <c r="CN537" s="19">
        <f>Table1[[#This Row],[Mid]]</f>
        <v>0</v>
      </c>
      <c r="CO537" s="19">
        <f>Table1[[#This Row],[Mid3]]+Table1[[#This Row],[Mid6]]+Table1[[#This Row],[Mid9]]</f>
        <v>0</v>
      </c>
      <c r="CP537" s="19">
        <f>Table1[[#This Row],[Mid12]]+Table1[[#This Row],[Mid15]]+Table1[[#This Row],[Mid18]]+Table1[[#This Row],[Mid21]]+Table1[[#This Row],[Mid24]]</f>
        <v>11</v>
      </c>
      <c r="CQ537" s="19">
        <f>Table1[[#This Row],[Mid27]]+Table1[[#This Row],[Mid30]]+Table1[[#This Row],[Mid33]]+Table1[[#This Row],[Mid36]]+Table1[[#This Row],[Mid39]]</f>
        <v>0</v>
      </c>
      <c r="CR537" t="s">
        <v>415</v>
      </c>
      <c r="CS537" s="19" t="str">
        <f>IF(AND(Table1[[#This Row],[Low41]]=0, Table1[[#This Row],[High43]]=0),"N","Y")</f>
        <v>N</v>
      </c>
    </row>
    <row r="538" spans="1:97" ht="19.5" customHeight="1" x14ac:dyDescent="0.25">
      <c r="A538">
        <v>10536</v>
      </c>
      <c r="B538" t="s">
        <v>1635</v>
      </c>
      <c r="C538" t="s">
        <v>1449</v>
      </c>
      <c r="D538">
        <v>58.242222220000002</v>
      </c>
      <c r="E538">
        <v>1.086944444</v>
      </c>
      <c r="F538" t="s">
        <v>1778</v>
      </c>
      <c r="G538" t="s">
        <v>1779</v>
      </c>
      <c r="H538" t="s">
        <v>1780</v>
      </c>
      <c r="I538" t="s">
        <v>118</v>
      </c>
      <c r="J538" t="s">
        <v>119</v>
      </c>
      <c r="K538" t="s">
        <v>190</v>
      </c>
      <c r="L538" t="s">
        <v>121</v>
      </c>
      <c r="M538" t="s">
        <v>1465</v>
      </c>
      <c r="N538" s="6" t="s">
        <v>1781</v>
      </c>
      <c r="O538" t="s">
        <v>1782</v>
      </c>
      <c r="P538" t="s">
        <v>1783</v>
      </c>
      <c r="Q538" t="s">
        <v>1784</v>
      </c>
      <c r="R538" t="s">
        <v>1785</v>
      </c>
      <c r="S538">
        <v>2019</v>
      </c>
      <c r="T538" t="s">
        <v>771</v>
      </c>
      <c r="U538" t="s">
        <v>1479</v>
      </c>
      <c r="V538">
        <v>1124</v>
      </c>
      <c r="W538">
        <v>2216</v>
      </c>
      <c r="X538">
        <v>173</v>
      </c>
      <c r="Y538">
        <v>60</v>
      </c>
      <c r="Z538">
        <v>24</v>
      </c>
      <c r="AA538">
        <v>1000</v>
      </c>
      <c r="AB538">
        <v>72000</v>
      </c>
      <c r="AC538">
        <v>602</v>
      </c>
      <c r="AD538">
        <v>51</v>
      </c>
      <c r="AE538">
        <v>4.5373665000000001E-2</v>
      </c>
      <c r="AF538">
        <v>200</v>
      </c>
      <c r="AG538">
        <v>1.49616292</v>
      </c>
      <c r="AI538">
        <v>7.4</v>
      </c>
      <c r="AJ538" s="25" t="s">
        <v>1786</v>
      </c>
      <c r="AK538">
        <v>2.4890083600000001</v>
      </c>
      <c r="AL538">
        <v>0</v>
      </c>
      <c r="AN538" t="s">
        <v>132</v>
      </c>
      <c r="AO538">
        <v>0</v>
      </c>
      <c r="AP538">
        <v>0</v>
      </c>
      <c r="AQ538">
        <v>0</v>
      </c>
      <c r="AR538">
        <v>0</v>
      </c>
      <c r="AS538">
        <v>0</v>
      </c>
      <c r="AT538">
        <v>0</v>
      </c>
      <c r="AU538">
        <v>0</v>
      </c>
      <c r="AV538">
        <v>0</v>
      </c>
      <c r="AW538">
        <v>0</v>
      </c>
      <c r="AX538">
        <v>4.2</v>
      </c>
      <c r="AY538">
        <v>152</v>
      </c>
      <c r="AZ538">
        <v>500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0</v>
      </c>
      <c r="CA538">
        <v>0</v>
      </c>
      <c r="CB538">
        <v>0</v>
      </c>
      <c r="CC538">
        <v>0</v>
      </c>
      <c r="CD538">
        <v>0</v>
      </c>
      <c r="CE538" s="19">
        <f>SUM(Table1[[#This Row],[Low38]],Table1[[#This Row],[Low35]],Table1[[#This Row],[Low32]],Table1[[#This Row],[Low29]],Table1[[#This Row],[Low26]],Table1[[#This Row],[Low23]],Table1[[#This Row],[Low20]],Table1[[#This Row],[Low17]],Table1[[#This Row],[Low14]],Table1[[#This Row],[Low11]],Table1[[#This Row],[Low8]],Table1[[#This Row],[Low5]],Table1[[#This Row],[Low2]],Table1[[#This Row],[Low]])</f>
        <v>4.2</v>
      </c>
      <c r="CF538" s="19">
        <f>SUM(Table1[[#This Row],[Mid39]],Table1[[#This Row],[Mid36]],Table1[[#This Row],[Mid33]],Table1[[#This Row],[Mid30]],Table1[[#This Row],[Mid27]],Table1[[#This Row],[Mid24]],Table1[[#This Row],[Mid21]],Table1[[#This Row],[Mid18]],Table1[[#This Row],[Mid15]],Table1[[#This Row],[Mid12]],Table1[[#This Row],[Mid9]],Table1[[#This Row],[Mid6]],Table1[[#This Row],[Mid3]],Table1[[#This Row],[Mid]])</f>
        <v>152</v>
      </c>
      <c r="CG5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500</v>
      </c>
      <c r="CH538" t="s">
        <v>133</v>
      </c>
      <c r="CI538" t="s">
        <v>134</v>
      </c>
      <c r="CJ538" t="s">
        <v>135</v>
      </c>
      <c r="CL538" s="19">
        <f>IF(Table1[[#This Row],[Type]]="Petroleum",1,IF(ISERROR(Table1[[#This Row],[Well Density]]*Table1[[#This Row],[Single Well Discovery Area]]),"",IF(Table1[[#This Row],[Well Density]]*Table1[[#This Row],[Single Well Discovery Area]]&gt;1,1,Table1[[#This Row],[Well Density]]*Table1[[#This Row],[Single Well Discovery Area]])))</f>
        <v>1</v>
      </c>
      <c r="CM538" t="s">
        <v>158</v>
      </c>
      <c r="CN538" s="19">
        <f>Table1[[#This Row],[Mid]]</f>
        <v>0</v>
      </c>
      <c r="CO538" s="19">
        <f>Table1[[#This Row],[Mid3]]+Table1[[#This Row],[Mid6]]+Table1[[#This Row],[Mid9]]</f>
        <v>152</v>
      </c>
      <c r="CP538" s="19">
        <f>Table1[[#This Row],[Mid12]]+Table1[[#This Row],[Mid15]]+Table1[[#This Row],[Mid18]]+Table1[[#This Row],[Mid21]]+Table1[[#This Row],[Mid24]]</f>
        <v>0</v>
      </c>
      <c r="CQ538" s="19">
        <f>Table1[[#This Row],[Mid27]]+Table1[[#This Row],[Mid30]]+Table1[[#This Row],[Mid33]]+Table1[[#This Row],[Mid36]]+Table1[[#This Row],[Mid39]]</f>
        <v>0</v>
      </c>
      <c r="CR538" t="s">
        <v>415</v>
      </c>
      <c r="CS538" s="19" t="str">
        <f>IF(AND(Table1[[#This Row],[Low41]]=0, Table1[[#This Row],[High43]]=0),"N","Y")</f>
        <v>Y</v>
      </c>
    </row>
    <row r="539" spans="1:97" ht="19.5" customHeight="1" x14ac:dyDescent="0.25">
      <c r="A539">
        <v>10537</v>
      </c>
      <c r="B539" t="s">
        <v>1635</v>
      </c>
      <c r="C539" t="s">
        <v>1449</v>
      </c>
      <c r="D539">
        <v>54.200555559999998</v>
      </c>
      <c r="E539">
        <v>1.025555556</v>
      </c>
      <c r="F539" t="s">
        <v>1787</v>
      </c>
      <c r="G539" t="s">
        <v>1687</v>
      </c>
      <c r="H539" t="s">
        <v>1711</v>
      </c>
      <c r="I539" t="s">
        <v>118</v>
      </c>
      <c r="J539" t="s">
        <v>119</v>
      </c>
      <c r="K539" t="s">
        <v>203</v>
      </c>
      <c r="L539" t="s">
        <v>18</v>
      </c>
      <c r="M539" t="s">
        <v>412</v>
      </c>
      <c r="N539" s="6" t="s">
        <v>1788</v>
      </c>
      <c r="O539" s="21" t="s">
        <v>1789</v>
      </c>
      <c r="P539" t="s">
        <v>1790</v>
      </c>
      <c r="Q539" t="s">
        <v>1791</v>
      </c>
      <c r="R539" s="21" t="s">
        <v>1792</v>
      </c>
      <c r="S539">
        <v>2022</v>
      </c>
      <c r="T539" t="s">
        <v>771</v>
      </c>
      <c r="U539" t="s">
        <v>1479</v>
      </c>
      <c r="V539">
        <v>20000</v>
      </c>
      <c r="W539">
        <v>1020</v>
      </c>
      <c r="X539">
        <v>200</v>
      </c>
      <c r="Y539">
        <v>85</v>
      </c>
      <c r="Z539">
        <v>0.22500000000000001</v>
      </c>
      <c r="AA539">
        <v>300</v>
      </c>
      <c r="AB539">
        <v>250</v>
      </c>
      <c r="AC539">
        <v>0</v>
      </c>
      <c r="AD539">
        <v>0</v>
      </c>
      <c r="AE539">
        <v>0</v>
      </c>
      <c r="AF539">
        <v>200</v>
      </c>
      <c r="AG539">
        <v>0</v>
      </c>
      <c r="AI539">
        <v>0</v>
      </c>
      <c r="AJ539">
        <v>0.02</v>
      </c>
      <c r="AK539">
        <v>264</v>
      </c>
      <c r="AL539">
        <v>140</v>
      </c>
      <c r="AM539" t="s">
        <v>1793</v>
      </c>
      <c r="AN539" t="s">
        <v>132</v>
      </c>
      <c r="AO539">
        <v>0</v>
      </c>
      <c r="AP539">
        <v>0</v>
      </c>
      <c r="AQ539">
        <v>0</v>
      </c>
      <c r="AR539">
        <v>0</v>
      </c>
      <c r="AS539">
        <v>0</v>
      </c>
      <c r="AT539">
        <v>0</v>
      </c>
      <c r="AU539">
        <v>0</v>
      </c>
      <c r="AV539">
        <v>0</v>
      </c>
      <c r="AW539">
        <v>0</v>
      </c>
      <c r="AX539">
        <v>0</v>
      </c>
      <c r="AY539">
        <v>100</v>
      </c>
      <c r="AZ539">
        <v>0</v>
      </c>
      <c r="BA539">
        <v>0</v>
      </c>
      <c r="BB539">
        <v>0</v>
      </c>
      <c r="BC539">
        <v>0</v>
      </c>
      <c r="BD539">
        <v>0</v>
      </c>
      <c r="BE539">
        <v>50</v>
      </c>
      <c r="BF539">
        <v>0</v>
      </c>
      <c r="BG539">
        <v>0</v>
      </c>
      <c r="BH539">
        <v>0</v>
      </c>
      <c r="BI539">
        <v>0</v>
      </c>
      <c r="BJ539">
        <v>0</v>
      </c>
      <c r="BK539">
        <v>300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39" s="19">
        <f>SUM(Table1[[#This Row],[Mid39]],Table1[[#This Row],[Mid36]],Table1[[#This Row],[Mid33]],Table1[[#This Row],[Mid30]],Table1[[#This Row],[Mid27]],Table1[[#This Row],[Mid24]],Table1[[#This Row],[Mid21]],Table1[[#This Row],[Mid18]],Table1[[#This Row],[Mid15]],Table1[[#This Row],[Mid12]],Table1[[#This Row],[Mid9]],Table1[[#This Row],[Mid6]],Table1[[#This Row],[Mid3]],Table1[[#This Row],[Mid]])</f>
        <v>450</v>
      </c>
      <c r="CG5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39" t="s">
        <v>133</v>
      </c>
      <c r="CI539" t="s">
        <v>134</v>
      </c>
      <c r="CJ539" t="s">
        <v>135</v>
      </c>
      <c r="CL539" s="19">
        <f>IF(Table1[[#This Row],[Type]]="Petroleum",1,IF(ISERROR(Table1[[#This Row],[Well Density]]*Table1[[#This Row],[Single Well Discovery Area]]),"",IF(Table1[[#This Row],[Well Density]]*Table1[[#This Row],[Single Well Discovery Area]]&gt;1,1,Table1[[#This Row],[Well Density]]*Table1[[#This Row],[Single Well Discovery Area]])))</f>
        <v>0</v>
      </c>
      <c r="CM539" t="s">
        <v>158</v>
      </c>
      <c r="CN539" s="19">
        <f>Table1[[#This Row],[Mid]]</f>
        <v>0</v>
      </c>
      <c r="CO539" s="19">
        <f>Table1[[#This Row],[Mid3]]+Table1[[#This Row],[Mid6]]+Table1[[#This Row],[Mid9]]</f>
        <v>100</v>
      </c>
      <c r="CP539" s="19">
        <f>Table1[[#This Row],[Mid12]]+Table1[[#This Row],[Mid15]]+Table1[[#This Row],[Mid18]]+Table1[[#This Row],[Mid21]]+Table1[[#This Row],[Mid24]]</f>
        <v>350</v>
      </c>
      <c r="CQ539" s="19">
        <f>Table1[[#This Row],[Mid27]]+Table1[[#This Row],[Mid30]]+Table1[[#This Row],[Mid33]]+Table1[[#This Row],[Mid36]]+Table1[[#This Row],[Mid39]]</f>
        <v>0</v>
      </c>
      <c r="CR539" t="s">
        <v>415</v>
      </c>
      <c r="CS539" s="19" t="str">
        <f>IF(AND(Table1[[#This Row],[Low41]]=0, Table1[[#This Row],[High43]]=0),"N","Y")</f>
        <v>N</v>
      </c>
    </row>
    <row r="540" spans="1:97" ht="19.5" customHeight="1" x14ac:dyDescent="0.25">
      <c r="A540">
        <v>10538</v>
      </c>
      <c r="B540" t="s">
        <v>1635</v>
      </c>
      <c r="C540" t="s">
        <v>1449</v>
      </c>
      <c r="D540">
        <v>57.34111111</v>
      </c>
      <c r="E540">
        <v>1.3149999999999999</v>
      </c>
      <c r="F540" t="s">
        <v>1794</v>
      </c>
      <c r="G540" t="s">
        <v>1779</v>
      </c>
      <c r="H540" t="s">
        <v>1795</v>
      </c>
      <c r="I540" t="s">
        <v>118</v>
      </c>
      <c r="J540" t="s">
        <v>119</v>
      </c>
      <c r="K540" t="s">
        <v>120</v>
      </c>
      <c r="L540" t="s">
        <v>121</v>
      </c>
      <c r="M540" t="s">
        <v>487</v>
      </c>
      <c r="N540" s="6" t="s">
        <v>1639</v>
      </c>
      <c r="O540" t="s">
        <v>1644</v>
      </c>
      <c r="P540" t="s">
        <v>1670</v>
      </c>
      <c r="Q540" t="s">
        <v>1641</v>
      </c>
      <c r="R540" t="s">
        <v>1642</v>
      </c>
      <c r="S540">
        <v>2015</v>
      </c>
      <c r="T540" t="s">
        <v>153</v>
      </c>
      <c r="U540" t="s">
        <v>173</v>
      </c>
      <c r="V540">
        <v>0</v>
      </c>
      <c r="W540">
        <v>0</v>
      </c>
      <c r="X540">
        <v>0</v>
      </c>
      <c r="Y540">
        <v>0</v>
      </c>
      <c r="Z540">
        <v>0</v>
      </c>
      <c r="AA540">
        <v>0</v>
      </c>
      <c r="AB540">
        <v>0</v>
      </c>
      <c r="AC540">
        <v>0</v>
      </c>
      <c r="AD540">
        <v>0</v>
      </c>
      <c r="AF540">
        <v>200</v>
      </c>
      <c r="AG540">
        <v>0</v>
      </c>
      <c r="AI540">
        <v>0</v>
      </c>
      <c r="AJ540">
        <v>0</v>
      </c>
      <c r="AK540">
        <v>0</v>
      </c>
      <c r="AL540">
        <v>0</v>
      </c>
      <c r="AN540" t="s">
        <v>132</v>
      </c>
      <c r="AO540">
        <v>0</v>
      </c>
      <c r="AP540">
        <v>0</v>
      </c>
      <c r="AQ540">
        <v>0</v>
      </c>
      <c r="AR540">
        <v>0</v>
      </c>
      <c r="AS540">
        <v>0</v>
      </c>
      <c r="AT540">
        <v>0</v>
      </c>
      <c r="AU540">
        <v>0</v>
      </c>
      <c r="AV540">
        <v>0</v>
      </c>
      <c r="AW540">
        <v>0</v>
      </c>
      <c r="AX540">
        <v>0</v>
      </c>
      <c r="AY540">
        <v>0</v>
      </c>
      <c r="AZ540">
        <v>0</v>
      </c>
      <c r="BA540">
        <v>0</v>
      </c>
      <c r="BB540">
        <v>0</v>
      </c>
      <c r="BC540">
        <v>0</v>
      </c>
      <c r="BD540">
        <v>0</v>
      </c>
      <c r="BE540">
        <v>0</v>
      </c>
      <c r="BF540">
        <v>0</v>
      </c>
      <c r="BG540">
        <v>0</v>
      </c>
      <c r="BH540">
        <v>1388</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40" s="19">
        <f>SUM(Table1[[#This Row],[Mid39]],Table1[[#This Row],[Mid36]],Table1[[#This Row],[Mid33]],Table1[[#This Row],[Mid30]],Table1[[#This Row],[Mid27]],Table1[[#This Row],[Mid24]],Table1[[#This Row],[Mid21]],Table1[[#This Row],[Mid18]],Table1[[#This Row],[Mid15]],Table1[[#This Row],[Mid12]],Table1[[#This Row],[Mid9]],Table1[[#This Row],[Mid6]],Table1[[#This Row],[Mid3]],Table1[[#This Row],[Mid]])</f>
        <v>1388</v>
      </c>
      <c r="CG5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40" t="s">
        <v>133</v>
      </c>
      <c r="CI540" t="s">
        <v>134</v>
      </c>
      <c r="CJ540" t="s">
        <v>158</v>
      </c>
      <c r="CL540" s="19">
        <f>IF(Table1[[#This Row],[Type]]="Petroleum",1,IF(ISERROR(Table1[[#This Row],[Well Density]]*Table1[[#This Row],[Single Well Discovery Area]]),"",IF(Table1[[#This Row],[Well Density]]*Table1[[#This Row],[Single Well Discovery Area]]&gt;1,1,Table1[[#This Row],[Well Density]]*Table1[[#This Row],[Single Well Discovery Area]])))</f>
        <v>0</v>
      </c>
      <c r="CM540" t="s">
        <v>158</v>
      </c>
      <c r="CN540" s="19">
        <f>Table1[[#This Row],[Mid]]</f>
        <v>0</v>
      </c>
      <c r="CO540" s="19">
        <f>Table1[[#This Row],[Mid3]]+Table1[[#This Row],[Mid6]]+Table1[[#This Row],[Mid9]]</f>
        <v>0</v>
      </c>
      <c r="CP540" s="19">
        <f>Table1[[#This Row],[Mid12]]+Table1[[#This Row],[Mid15]]+Table1[[#This Row],[Mid18]]+Table1[[#This Row],[Mid21]]+Table1[[#This Row],[Mid24]]</f>
        <v>1388</v>
      </c>
      <c r="CQ540" s="19">
        <f>Table1[[#This Row],[Mid27]]+Table1[[#This Row],[Mid30]]+Table1[[#This Row],[Mid33]]+Table1[[#This Row],[Mid36]]+Table1[[#This Row],[Mid39]]</f>
        <v>0</v>
      </c>
      <c r="CR540" t="s">
        <v>415</v>
      </c>
      <c r="CS540" s="19" t="str">
        <f>IF(AND(Table1[[#This Row],[Low41]]=0, Table1[[#This Row],[High43]]=0),"N","Y")</f>
        <v>N</v>
      </c>
    </row>
    <row r="541" spans="1:97" ht="19.5" customHeight="1" x14ac:dyDescent="0.25">
      <c r="A541">
        <v>10539</v>
      </c>
      <c r="B541" t="s">
        <v>1635</v>
      </c>
      <c r="C541" t="s">
        <v>1449</v>
      </c>
      <c r="D541">
        <v>57.610555560000002</v>
      </c>
      <c r="E541">
        <v>1.6991666670000001</v>
      </c>
      <c r="F541" t="s">
        <v>1796</v>
      </c>
      <c r="G541" t="s">
        <v>1779</v>
      </c>
      <c r="H541" t="s">
        <v>1795</v>
      </c>
      <c r="I541" t="s">
        <v>118</v>
      </c>
      <c r="J541" t="s">
        <v>119</v>
      </c>
      <c r="K541" t="s">
        <v>203</v>
      </c>
      <c r="L541" t="s">
        <v>121</v>
      </c>
      <c r="M541" t="s">
        <v>487</v>
      </c>
      <c r="N541" s="6" t="s">
        <v>1797</v>
      </c>
      <c r="O541" t="s">
        <v>1798</v>
      </c>
      <c r="P541" t="s">
        <v>1799</v>
      </c>
      <c r="Q541" s="21" t="s">
        <v>1800</v>
      </c>
      <c r="R541" t="s">
        <v>1801</v>
      </c>
      <c r="S541">
        <v>2015</v>
      </c>
      <c r="T541" t="s">
        <v>153</v>
      </c>
      <c r="U541" t="s">
        <v>173</v>
      </c>
      <c r="V541">
        <v>1634</v>
      </c>
      <c r="W541">
        <v>2651</v>
      </c>
      <c r="X541">
        <v>96</v>
      </c>
      <c r="Y541">
        <v>74</v>
      </c>
      <c r="Z541">
        <v>18</v>
      </c>
      <c r="AA541">
        <v>50</v>
      </c>
      <c r="AB541">
        <v>94000</v>
      </c>
      <c r="AC541">
        <v>720</v>
      </c>
      <c r="AD541">
        <v>16</v>
      </c>
      <c r="AE541">
        <v>9.7919219999999998E-3</v>
      </c>
      <c r="AF541">
        <v>200</v>
      </c>
      <c r="AG541">
        <v>2.0532595279999999</v>
      </c>
      <c r="AI541">
        <v>6</v>
      </c>
      <c r="AJ541">
        <v>0</v>
      </c>
      <c r="AK541">
        <v>3.0247312119999998</v>
      </c>
      <c r="AL541">
        <v>0</v>
      </c>
      <c r="AM541" t="s">
        <v>1654</v>
      </c>
      <c r="AN541" t="s">
        <v>132</v>
      </c>
      <c r="AO541">
        <v>0</v>
      </c>
      <c r="AP541">
        <v>0</v>
      </c>
      <c r="AQ541">
        <v>0</v>
      </c>
      <c r="AR541">
        <v>0</v>
      </c>
      <c r="AS541">
        <v>0</v>
      </c>
      <c r="AT541">
        <v>0</v>
      </c>
      <c r="AU541">
        <v>0</v>
      </c>
      <c r="AV541">
        <v>0</v>
      </c>
      <c r="AW541">
        <v>0</v>
      </c>
      <c r="AX541">
        <v>0</v>
      </c>
      <c r="AY541">
        <v>0</v>
      </c>
      <c r="AZ541">
        <v>0</v>
      </c>
      <c r="BA541">
        <v>0</v>
      </c>
      <c r="BB541">
        <v>0</v>
      </c>
      <c r="BC541">
        <v>0</v>
      </c>
      <c r="BD541">
        <v>0</v>
      </c>
      <c r="BE541">
        <v>0</v>
      </c>
      <c r="BF541">
        <v>0</v>
      </c>
      <c r="BG541">
        <v>238</v>
      </c>
      <c r="BH541">
        <v>300</v>
      </c>
      <c r="BI541">
        <v>550</v>
      </c>
      <c r="BJ541">
        <v>0</v>
      </c>
      <c r="BK541">
        <v>0</v>
      </c>
      <c r="BL541">
        <v>0</v>
      </c>
      <c r="BM541">
        <v>0</v>
      </c>
      <c r="BN541">
        <v>0</v>
      </c>
      <c r="BO541">
        <v>0</v>
      </c>
      <c r="BP541">
        <v>0</v>
      </c>
      <c r="BQ541">
        <v>0</v>
      </c>
      <c r="BR541">
        <v>0</v>
      </c>
      <c r="BS541">
        <v>0</v>
      </c>
      <c r="BT541">
        <v>0</v>
      </c>
      <c r="BU541">
        <v>0</v>
      </c>
      <c r="BV541">
        <v>0</v>
      </c>
      <c r="BW541">
        <v>0</v>
      </c>
      <c r="BX541">
        <v>0</v>
      </c>
      <c r="BY541">
        <v>0</v>
      </c>
      <c r="BZ541">
        <v>0</v>
      </c>
      <c r="CA541">
        <v>0</v>
      </c>
      <c r="CB541">
        <v>0</v>
      </c>
      <c r="CC541">
        <v>0</v>
      </c>
      <c r="CD541">
        <v>0</v>
      </c>
      <c r="CE541" s="19">
        <f>SUM(Table1[[#This Row],[Low38]],Table1[[#This Row],[Low35]],Table1[[#This Row],[Low32]],Table1[[#This Row],[Low29]],Table1[[#This Row],[Low26]],Table1[[#This Row],[Low23]],Table1[[#This Row],[Low20]],Table1[[#This Row],[Low17]],Table1[[#This Row],[Low14]],Table1[[#This Row],[Low11]],Table1[[#This Row],[Low8]],Table1[[#This Row],[Low5]],Table1[[#This Row],[Low2]],Table1[[#This Row],[Low]])</f>
        <v>238</v>
      </c>
      <c r="CF541" s="19">
        <f>SUM(Table1[[#This Row],[Mid39]],Table1[[#This Row],[Mid36]],Table1[[#This Row],[Mid33]],Table1[[#This Row],[Mid30]],Table1[[#This Row],[Mid27]],Table1[[#This Row],[Mid24]],Table1[[#This Row],[Mid21]],Table1[[#This Row],[Mid18]],Table1[[#This Row],[Mid15]],Table1[[#This Row],[Mid12]],Table1[[#This Row],[Mid9]],Table1[[#This Row],[Mid6]],Table1[[#This Row],[Mid3]],Table1[[#This Row],[Mid]])</f>
        <v>300</v>
      </c>
      <c r="CG5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550</v>
      </c>
      <c r="CH541" t="s">
        <v>133</v>
      </c>
      <c r="CI541" t="s">
        <v>134</v>
      </c>
      <c r="CJ541" t="s">
        <v>135</v>
      </c>
      <c r="CL541" s="19">
        <f>IF(Table1[[#This Row],[Type]]="Petroleum",1,IF(ISERROR(Table1[[#This Row],[Well Density]]*Table1[[#This Row],[Single Well Discovery Area]]),"",IF(Table1[[#This Row],[Well Density]]*Table1[[#This Row],[Single Well Discovery Area]]&gt;1,1,Table1[[#This Row],[Well Density]]*Table1[[#This Row],[Single Well Discovery Area]])))</f>
        <v>1</v>
      </c>
      <c r="CM541" t="s">
        <v>135</v>
      </c>
      <c r="CN541" s="19">
        <f>Table1[[#This Row],[Mid]]</f>
        <v>0</v>
      </c>
      <c r="CO541" s="19">
        <f>Table1[[#This Row],[Mid3]]+Table1[[#This Row],[Mid6]]+Table1[[#This Row],[Mid9]]</f>
        <v>0</v>
      </c>
      <c r="CP541" s="19">
        <f>Table1[[#This Row],[Mid12]]+Table1[[#This Row],[Mid15]]+Table1[[#This Row],[Mid18]]+Table1[[#This Row],[Mid21]]+Table1[[#This Row],[Mid24]]</f>
        <v>300</v>
      </c>
      <c r="CQ541" s="19">
        <f>Table1[[#This Row],[Mid27]]+Table1[[#This Row],[Mid30]]+Table1[[#This Row],[Mid33]]+Table1[[#This Row],[Mid36]]+Table1[[#This Row],[Mid39]]</f>
        <v>0</v>
      </c>
      <c r="CR541" t="s">
        <v>415</v>
      </c>
      <c r="CS541" s="19" t="str">
        <f>IF(AND(Table1[[#This Row],[Low41]]=0, Table1[[#This Row],[High43]]=0),"N","Y")</f>
        <v>Y</v>
      </c>
    </row>
    <row r="542" spans="1:97" ht="19.5" customHeight="1" x14ac:dyDescent="0.25">
      <c r="A542">
        <v>10540</v>
      </c>
      <c r="B542" t="s">
        <v>1635</v>
      </c>
      <c r="C542" t="s">
        <v>1449</v>
      </c>
      <c r="D542">
        <v>57.721666669999998</v>
      </c>
      <c r="E542">
        <v>0.87333333300000004</v>
      </c>
      <c r="F542" t="s">
        <v>1802</v>
      </c>
      <c r="G542" t="s">
        <v>1779</v>
      </c>
      <c r="H542" t="s">
        <v>1795</v>
      </c>
      <c r="I542" t="s">
        <v>1648</v>
      </c>
      <c r="J542" t="s">
        <v>202</v>
      </c>
      <c r="K542" t="s">
        <v>203</v>
      </c>
      <c r="L542" t="s">
        <v>121</v>
      </c>
      <c r="M542" t="s">
        <v>487</v>
      </c>
      <c r="N542" s="6" t="s">
        <v>1639</v>
      </c>
      <c r="O542" t="s">
        <v>1644</v>
      </c>
      <c r="P542" t="s">
        <v>1803</v>
      </c>
      <c r="Q542" t="s">
        <v>1804</v>
      </c>
      <c r="R542" t="s">
        <v>1805</v>
      </c>
      <c r="S542">
        <v>2015</v>
      </c>
      <c r="T542" t="s">
        <v>771</v>
      </c>
      <c r="U542" t="s">
        <v>1479</v>
      </c>
      <c r="V542">
        <v>0</v>
      </c>
      <c r="W542">
        <v>0</v>
      </c>
      <c r="X542">
        <v>0</v>
      </c>
      <c r="Y542">
        <v>0.72</v>
      </c>
      <c r="Z542">
        <v>25</v>
      </c>
      <c r="AA542">
        <v>376</v>
      </c>
      <c r="AB542">
        <v>0</v>
      </c>
      <c r="AC542">
        <v>0</v>
      </c>
      <c r="AD542">
        <v>0</v>
      </c>
      <c r="AF542">
        <v>200</v>
      </c>
      <c r="AG542">
        <v>0</v>
      </c>
      <c r="AI542">
        <v>0</v>
      </c>
      <c r="AJ542">
        <v>0</v>
      </c>
      <c r="AK542">
        <v>0</v>
      </c>
      <c r="AL542">
        <v>0</v>
      </c>
      <c r="AM542" t="s">
        <v>1806</v>
      </c>
      <c r="AN542" t="s">
        <v>132</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312</v>
      </c>
      <c r="BI542">
        <v>0</v>
      </c>
      <c r="BJ542">
        <v>0</v>
      </c>
      <c r="BK542">
        <v>0</v>
      </c>
      <c r="BL542">
        <v>0</v>
      </c>
      <c r="BM542">
        <v>0</v>
      </c>
      <c r="BN542">
        <v>0</v>
      </c>
      <c r="BO542">
        <v>0</v>
      </c>
      <c r="BP542">
        <v>0</v>
      </c>
      <c r="BQ542">
        <v>0</v>
      </c>
      <c r="BR542">
        <v>0</v>
      </c>
      <c r="BS542">
        <v>0</v>
      </c>
      <c r="BT542">
        <v>0</v>
      </c>
      <c r="BU542">
        <v>0</v>
      </c>
      <c r="BV542">
        <v>0</v>
      </c>
      <c r="BW542">
        <v>0</v>
      </c>
      <c r="BX542">
        <v>0</v>
      </c>
      <c r="BY542">
        <v>0</v>
      </c>
      <c r="BZ542">
        <v>0</v>
      </c>
      <c r="CA542">
        <v>0</v>
      </c>
      <c r="CB542">
        <v>0</v>
      </c>
      <c r="CC542">
        <v>0</v>
      </c>
      <c r="CD542">
        <v>0</v>
      </c>
      <c r="CE5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42" s="19">
        <f>SUM(Table1[[#This Row],[Mid39]],Table1[[#This Row],[Mid36]],Table1[[#This Row],[Mid33]],Table1[[#This Row],[Mid30]],Table1[[#This Row],[Mid27]],Table1[[#This Row],[Mid24]],Table1[[#This Row],[Mid21]],Table1[[#This Row],[Mid18]],Table1[[#This Row],[Mid15]],Table1[[#This Row],[Mid12]],Table1[[#This Row],[Mid9]],Table1[[#This Row],[Mid6]],Table1[[#This Row],[Mid3]],Table1[[#This Row],[Mid]])</f>
        <v>312</v>
      </c>
      <c r="CG5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42" t="s">
        <v>133</v>
      </c>
      <c r="CI542" t="s">
        <v>134</v>
      </c>
      <c r="CJ542" t="s">
        <v>158</v>
      </c>
      <c r="CL542" s="19">
        <f>IF(Table1[[#This Row],[Type]]="Petroleum",1,IF(ISERROR(Table1[[#This Row],[Well Density]]*Table1[[#This Row],[Single Well Discovery Area]]),"",IF(Table1[[#This Row],[Well Density]]*Table1[[#This Row],[Single Well Discovery Area]]&gt;1,1,Table1[[#This Row],[Well Density]]*Table1[[#This Row],[Single Well Discovery Area]])))</f>
        <v>1</v>
      </c>
      <c r="CM542" t="s">
        <v>135</v>
      </c>
      <c r="CN542" s="19">
        <f>Table1[[#This Row],[Mid]]</f>
        <v>0</v>
      </c>
      <c r="CO542" s="19">
        <f>Table1[[#This Row],[Mid3]]+Table1[[#This Row],[Mid6]]+Table1[[#This Row],[Mid9]]</f>
        <v>0</v>
      </c>
      <c r="CP542" s="19">
        <f>Table1[[#This Row],[Mid12]]+Table1[[#This Row],[Mid15]]+Table1[[#This Row],[Mid18]]+Table1[[#This Row],[Mid21]]+Table1[[#This Row],[Mid24]]</f>
        <v>312</v>
      </c>
      <c r="CQ542" s="19">
        <f>Table1[[#This Row],[Mid27]]+Table1[[#This Row],[Mid30]]+Table1[[#This Row],[Mid33]]+Table1[[#This Row],[Mid36]]+Table1[[#This Row],[Mid39]]</f>
        <v>0</v>
      </c>
      <c r="CR542" t="s">
        <v>415</v>
      </c>
      <c r="CS542" s="19" t="str">
        <f>IF(AND(Table1[[#This Row],[Low41]]=0, Table1[[#This Row],[High43]]=0),"N","Y")</f>
        <v>N</v>
      </c>
    </row>
    <row r="543" spans="1:97" ht="19.5" customHeight="1" x14ac:dyDescent="0.25">
      <c r="A543">
        <v>10541</v>
      </c>
      <c r="B543" t="s">
        <v>1635</v>
      </c>
      <c r="C543" t="s">
        <v>1449</v>
      </c>
      <c r="D543">
        <v>53.327777779999998</v>
      </c>
      <c r="E543">
        <v>2.2291666669999999</v>
      </c>
      <c r="F543" t="s">
        <v>1807</v>
      </c>
      <c r="G543" t="s">
        <v>1687</v>
      </c>
      <c r="H543" t="s">
        <v>1688</v>
      </c>
      <c r="I543" t="s">
        <v>1606</v>
      </c>
      <c r="J543" t="s">
        <v>202</v>
      </c>
      <c r="K543" t="s">
        <v>203</v>
      </c>
      <c r="L543" t="s">
        <v>121</v>
      </c>
      <c r="M543" t="s">
        <v>1689</v>
      </c>
      <c r="N543" s="6" t="s">
        <v>1639</v>
      </c>
      <c r="O543" t="s">
        <v>1644</v>
      </c>
      <c r="P543" t="s">
        <v>436</v>
      </c>
      <c r="Q543" t="s">
        <v>1641</v>
      </c>
      <c r="R543" t="s">
        <v>1642</v>
      </c>
      <c r="S543">
        <v>2015</v>
      </c>
      <c r="T543" t="s">
        <v>153</v>
      </c>
      <c r="U543" t="s">
        <v>173</v>
      </c>
      <c r="V543">
        <v>0</v>
      </c>
      <c r="W543">
        <v>0</v>
      </c>
      <c r="X543">
        <v>0</v>
      </c>
      <c r="Y543">
        <v>0</v>
      </c>
      <c r="Z543">
        <v>0</v>
      </c>
      <c r="AA543">
        <v>0</v>
      </c>
      <c r="AB543">
        <v>0</v>
      </c>
      <c r="AC543">
        <v>0</v>
      </c>
      <c r="AD543">
        <v>0</v>
      </c>
      <c r="AF543">
        <v>200</v>
      </c>
      <c r="AG543">
        <v>0</v>
      </c>
      <c r="AI543">
        <v>0</v>
      </c>
      <c r="AJ543">
        <v>0</v>
      </c>
      <c r="AK543">
        <v>0</v>
      </c>
      <c r="AL543">
        <v>0</v>
      </c>
      <c r="AN543" t="s">
        <v>132</v>
      </c>
      <c r="AO543">
        <v>0</v>
      </c>
      <c r="AP543">
        <v>0</v>
      </c>
      <c r="AQ543">
        <v>0</v>
      </c>
      <c r="AR543">
        <v>0</v>
      </c>
      <c r="AS543">
        <v>0</v>
      </c>
      <c r="AT543">
        <v>0</v>
      </c>
      <c r="AU543">
        <v>0</v>
      </c>
      <c r="AV543">
        <v>0</v>
      </c>
      <c r="AW543">
        <v>0</v>
      </c>
      <c r="AX543">
        <v>0</v>
      </c>
      <c r="AY543">
        <v>0</v>
      </c>
      <c r="AZ543">
        <v>0</v>
      </c>
      <c r="BA543">
        <v>0</v>
      </c>
      <c r="BB543">
        <v>0</v>
      </c>
      <c r="BC543">
        <v>0</v>
      </c>
      <c r="BD543">
        <v>0</v>
      </c>
      <c r="BE543">
        <v>0</v>
      </c>
      <c r="BF543">
        <v>0</v>
      </c>
      <c r="BG543">
        <v>0</v>
      </c>
      <c r="BH543">
        <v>25</v>
      </c>
      <c r="BI543">
        <v>0</v>
      </c>
      <c r="BJ543">
        <v>0</v>
      </c>
      <c r="BK543">
        <v>0</v>
      </c>
      <c r="BL543">
        <v>0</v>
      </c>
      <c r="BM543">
        <v>0</v>
      </c>
      <c r="BN543">
        <v>0</v>
      </c>
      <c r="BO543">
        <v>0</v>
      </c>
      <c r="BP543">
        <v>0</v>
      </c>
      <c r="BQ543">
        <v>0</v>
      </c>
      <c r="BR543">
        <v>0</v>
      </c>
      <c r="BS543">
        <v>0</v>
      </c>
      <c r="BT543">
        <v>0</v>
      </c>
      <c r="BU543">
        <v>0</v>
      </c>
      <c r="BV543">
        <v>0</v>
      </c>
      <c r="BW543">
        <v>0</v>
      </c>
      <c r="BX543">
        <v>0</v>
      </c>
      <c r="BY543">
        <v>0</v>
      </c>
      <c r="BZ543">
        <v>0</v>
      </c>
      <c r="CA543">
        <v>0</v>
      </c>
      <c r="CB543">
        <v>0</v>
      </c>
      <c r="CC543">
        <v>0</v>
      </c>
      <c r="CD543">
        <v>0</v>
      </c>
      <c r="CE54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43" s="19">
        <f>SUM(Table1[[#This Row],[Mid39]],Table1[[#This Row],[Mid36]],Table1[[#This Row],[Mid33]],Table1[[#This Row],[Mid30]],Table1[[#This Row],[Mid27]],Table1[[#This Row],[Mid24]],Table1[[#This Row],[Mid21]],Table1[[#This Row],[Mid18]],Table1[[#This Row],[Mid15]],Table1[[#This Row],[Mid12]],Table1[[#This Row],[Mid9]],Table1[[#This Row],[Mid6]],Table1[[#This Row],[Mid3]],Table1[[#This Row],[Mid]])</f>
        <v>25</v>
      </c>
      <c r="CG5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43" t="s">
        <v>133</v>
      </c>
      <c r="CI543" t="s">
        <v>134</v>
      </c>
      <c r="CJ543" t="s">
        <v>158</v>
      </c>
      <c r="CL543" s="19">
        <f>IF(Table1[[#This Row],[Type]]="Petroleum",1,IF(ISERROR(Table1[[#This Row],[Well Density]]*Table1[[#This Row],[Single Well Discovery Area]]),"",IF(Table1[[#This Row],[Well Density]]*Table1[[#This Row],[Single Well Discovery Area]]&gt;1,1,Table1[[#This Row],[Well Density]]*Table1[[#This Row],[Single Well Discovery Area]])))</f>
        <v>1</v>
      </c>
      <c r="CM543" t="s">
        <v>158</v>
      </c>
      <c r="CN543" s="19">
        <f>Table1[[#This Row],[Mid]]</f>
        <v>0</v>
      </c>
      <c r="CO543" s="19">
        <f>Table1[[#This Row],[Mid3]]+Table1[[#This Row],[Mid6]]+Table1[[#This Row],[Mid9]]</f>
        <v>0</v>
      </c>
      <c r="CP543" s="19">
        <f>Table1[[#This Row],[Mid12]]+Table1[[#This Row],[Mid15]]+Table1[[#This Row],[Mid18]]+Table1[[#This Row],[Mid21]]+Table1[[#This Row],[Mid24]]</f>
        <v>25</v>
      </c>
      <c r="CQ543" s="19">
        <f>Table1[[#This Row],[Mid27]]+Table1[[#This Row],[Mid30]]+Table1[[#This Row],[Mid33]]+Table1[[#This Row],[Mid36]]+Table1[[#This Row],[Mid39]]</f>
        <v>0</v>
      </c>
      <c r="CR543" t="s">
        <v>415</v>
      </c>
      <c r="CS543" s="19" t="str">
        <f>IF(AND(Table1[[#This Row],[Low41]]=0, Table1[[#This Row],[High43]]=0),"N","Y")</f>
        <v>N</v>
      </c>
    </row>
    <row r="544" spans="1:97" ht="19.5" customHeight="1" x14ac:dyDescent="0.25">
      <c r="A544">
        <v>10542</v>
      </c>
      <c r="B544" t="s">
        <v>1635</v>
      </c>
      <c r="C544" t="s">
        <v>1449</v>
      </c>
      <c r="D544">
        <v>58.001111109999997</v>
      </c>
      <c r="E544">
        <v>-0.37111111099999999</v>
      </c>
      <c r="F544" t="s">
        <v>1808</v>
      </c>
      <c r="G544" t="s">
        <v>1679</v>
      </c>
      <c r="H544" t="s">
        <v>1680</v>
      </c>
      <c r="I544" t="s">
        <v>1606</v>
      </c>
      <c r="J544" t="s">
        <v>202</v>
      </c>
      <c r="K544" t="s">
        <v>203</v>
      </c>
      <c r="L544" t="s">
        <v>121</v>
      </c>
      <c r="M544" t="s">
        <v>148</v>
      </c>
      <c r="N544" s="6" t="s">
        <v>1809</v>
      </c>
      <c r="O544" t="s">
        <v>1810</v>
      </c>
      <c r="P544" t="s">
        <v>1811</v>
      </c>
      <c r="Q544" t="s">
        <v>1812</v>
      </c>
      <c r="R544" t="s">
        <v>1813</v>
      </c>
      <c r="S544">
        <v>2015</v>
      </c>
      <c r="T544" t="s">
        <v>771</v>
      </c>
      <c r="U544" t="s">
        <v>1479</v>
      </c>
      <c r="V544">
        <v>30</v>
      </c>
      <c r="W544">
        <v>2516</v>
      </c>
      <c r="X544">
        <v>250</v>
      </c>
      <c r="Y544">
        <v>71</v>
      </c>
      <c r="Z544">
        <v>25</v>
      </c>
      <c r="AA544">
        <v>760</v>
      </c>
      <c r="AB544">
        <v>53000</v>
      </c>
      <c r="AC544">
        <v>0</v>
      </c>
      <c r="AD544">
        <v>10</v>
      </c>
      <c r="AE544">
        <v>0.33333333300000001</v>
      </c>
      <c r="AF544">
        <v>200</v>
      </c>
      <c r="AG544">
        <v>1.7788480799999999</v>
      </c>
      <c r="AI544">
        <v>0</v>
      </c>
      <c r="AJ544">
        <v>0</v>
      </c>
      <c r="AK544">
        <v>0</v>
      </c>
      <c r="AL544">
        <v>0</v>
      </c>
      <c r="AM544" t="s">
        <v>1814</v>
      </c>
      <c r="AN544" t="s">
        <v>132</v>
      </c>
      <c r="AO544">
        <v>0</v>
      </c>
      <c r="AP544">
        <v>0</v>
      </c>
      <c r="AQ544">
        <v>0</v>
      </c>
      <c r="AR544">
        <v>0</v>
      </c>
      <c r="AS544">
        <v>0</v>
      </c>
      <c r="AT544">
        <v>0</v>
      </c>
      <c r="AU544">
        <v>0</v>
      </c>
      <c r="AV544">
        <v>0</v>
      </c>
      <c r="AW544">
        <v>0</v>
      </c>
      <c r="AX544">
        <v>0</v>
      </c>
      <c r="AY544">
        <v>0</v>
      </c>
      <c r="AZ544">
        <v>0</v>
      </c>
      <c r="BA544">
        <v>0</v>
      </c>
      <c r="BB544">
        <v>0</v>
      </c>
      <c r="BC544">
        <v>0</v>
      </c>
      <c r="BD544">
        <v>29</v>
      </c>
      <c r="BE544">
        <v>34</v>
      </c>
      <c r="BF544">
        <v>40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s="19">
        <f>SUM(Table1[[#This Row],[Low38]],Table1[[#This Row],[Low35]],Table1[[#This Row],[Low32]],Table1[[#This Row],[Low29]],Table1[[#This Row],[Low26]],Table1[[#This Row],[Low23]],Table1[[#This Row],[Low20]],Table1[[#This Row],[Low17]],Table1[[#This Row],[Low14]],Table1[[#This Row],[Low11]],Table1[[#This Row],[Low8]],Table1[[#This Row],[Low5]],Table1[[#This Row],[Low2]],Table1[[#This Row],[Low]])</f>
        <v>29</v>
      </c>
      <c r="CF544" s="19">
        <f>SUM(Table1[[#This Row],[Mid39]],Table1[[#This Row],[Mid36]],Table1[[#This Row],[Mid33]],Table1[[#This Row],[Mid30]],Table1[[#This Row],[Mid27]],Table1[[#This Row],[Mid24]],Table1[[#This Row],[Mid21]],Table1[[#This Row],[Mid18]],Table1[[#This Row],[Mid15]],Table1[[#This Row],[Mid12]],Table1[[#This Row],[Mid9]],Table1[[#This Row],[Mid6]],Table1[[#This Row],[Mid3]],Table1[[#This Row],[Mid]])</f>
        <v>34</v>
      </c>
      <c r="CG5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40</v>
      </c>
      <c r="CH544" t="s">
        <v>133</v>
      </c>
      <c r="CI544" t="s">
        <v>134</v>
      </c>
      <c r="CJ544" t="s">
        <v>135</v>
      </c>
      <c r="CL544" s="19">
        <f>IF(Table1[[#This Row],[Type]]="Petroleum",1,IF(ISERROR(Table1[[#This Row],[Well Density]]*Table1[[#This Row],[Single Well Discovery Area]]),"",IF(Table1[[#This Row],[Well Density]]*Table1[[#This Row],[Single Well Discovery Area]]&gt;1,1,Table1[[#This Row],[Well Density]]*Table1[[#This Row],[Single Well Discovery Area]])))</f>
        <v>1</v>
      </c>
      <c r="CM544" t="s">
        <v>135</v>
      </c>
      <c r="CN544" s="19">
        <f>Table1[[#This Row],[Mid]]</f>
        <v>0</v>
      </c>
      <c r="CO544" s="19">
        <f>Table1[[#This Row],[Mid3]]+Table1[[#This Row],[Mid6]]+Table1[[#This Row],[Mid9]]</f>
        <v>0</v>
      </c>
      <c r="CP544" s="19">
        <f>Table1[[#This Row],[Mid12]]+Table1[[#This Row],[Mid15]]+Table1[[#This Row],[Mid18]]+Table1[[#This Row],[Mid21]]+Table1[[#This Row],[Mid24]]</f>
        <v>34</v>
      </c>
      <c r="CQ544" s="19">
        <f>Table1[[#This Row],[Mid27]]+Table1[[#This Row],[Mid30]]+Table1[[#This Row],[Mid33]]+Table1[[#This Row],[Mid36]]+Table1[[#This Row],[Mid39]]</f>
        <v>0</v>
      </c>
      <c r="CR544" t="s">
        <v>415</v>
      </c>
      <c r="CS544" s="19" t="str">
        <f>IF(AND(Table1[[#This Row],[Low41]]=0, Table1[[#This Row],[High43]]=0),"N","Y")</f>
        <v>Y</v>
      </c>
    </row>
    <row r="545" spans="1:97" ht="19.5" customHeight="1" x14ac:dyDescent="0.25">
      <c r="A545">
        <v>10543</v>
      </c>
      <c r="B545" t="s">
        <v>1635</v>
      </c>
      <c r="C545" t="s">
        <v>1449</v>
      </c>
      <c r="D545">
        <v>58.89</v>
      </c>
      <c r="E545">
        <v>1.286944444</v>
      </c>
      <c r="F545" t="s">
        <v>1815</v>
      </c>
      <c r="G545" t="s">
        <v>1704</v>
      </c>
      <c r="H545" t="s">
        <v>1816</v>
      </c>
      <c r="I545" t="s">
        <v>118</v>
      </c>
      <c r="J545" t="s">
        <v>119</v>
      </c>
      <c r="K545" t="s">
        <v>120</v>
      </c>
      <c r="L545" t="s">
        <v>121</v>
      </c>
      <c r="M545" t="s">
        <v>1465</v>
      </c>
      <c r="N545" s="6" t="s">
        <v>1663</v>
      </c>
      <c r="O545" t="s">
        <v>1817</v>
      </c>
      <c r="P545" t="s">
        <v>1818</v>
      </c>
      <c r="Q545" t="s">
        <v>1819</v>
      </c>
      <c r="R545" t="s">
        <v>1820</v>
      </c>
      <c r="S545">
        <v>2015</v>
      </c>
      <c r="T545" t="s">
        <v>153</v>
      </c>
      <c r="U545" t="s">
        <v>173</v>
      </c>
      <c r="V545">
        <v>16106</v>
      </c>
      <c r="W545">
        <v>908</v>
      </c>
      <c r="X545">
        <v>150</v>
      </c>
      <c r="Y545">
        <v>0.65</v>
      </c>
      <c r="Z545">
        <v>32.5</v>
      </c>
      <c r="AA545">
        <v>2600</v>
      </c>
      <c r="AB545">
        <v>0</v>
      </c>
      <c r="AC545">
        <v>0</v>
      </c>
      <c r="AD545">
        <v>3580</v>
      </c>
      <c r="AE545">
        <v>0.22227741200000001</v>
      </c>
      <c r="AF545">
        <v>200</v>
      </c>
      <c r="AG545">
        <v>0</v>
      </c>
      <c r="AI545">
        <v>0</v>
      </c>
      <c r="AJ545">
        <v>0</v>
      </c>
      <c r="AK545">
        <v>1.034214</v>
      </c>
      <c r="AL545">
        <v>0</v>
      </c>
      <c r="AM545" t="s">
        <v>1821</v>
      </c>
      <c r="AN545" t="s">
        <v>132</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1825</v>
      </c>
      <c r="BI545">
        <v>0</v>
      </c>
      <c r="BJ545">
        <v>0</v>
      </c>
      <c r="BK545">
        <v>0</v>
      </c>
      <c r="BL545">
        <v>0</v>
      </c>
      <c r="BM545">
        <v>0</v>
      </c>
      <c r="BN545">
        <v>0</v>
      </c>
      <c r="BO545">
        <v>0</v>
      </c>
      <c r="BP545">
        <v>0</v>
      </c>
      <c r="BQ545">
        <v>0</v>
      </c>
      <c r="BR545">
        <v>0</v>
      </c>
      <c r="BS545">
        <v>0</v>
      </c>
      <c r="BT545">
        <v>0</v>
      </c>
      <c r="BU545">
        <v>0</v>
      </c>
      <c r="BV545">
        <v>0</v>
      </c>
      <c r="BW545">
        <v>0</v>
      </c>
      <c r="BX545">
        <v>0</v>
      </c>
      <c r="BY545">
        <v>0</v>
      </c>
      <c r="BZ545">
        <v>0</v>
      </c>
      <c r="CA545">
        <v>0</v>
      </c>
      <c r="CB545">
        <v>0</v>
      </c>
      <c r="CC545">
        <v>0</v>
      </c>
      <c r="CD545">
        <v>0</v>
      </c>
      <c r="CE54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45" s="19">
        <f>SUM(Table1[[#This Row],[Mid39]],Table1[[#This Row],[Mid36]],Table1[[#This Row],[Mid33]],Table1[[#This Row],[Mid30]],Table1[[#This Row],[Mid27]],Table1[[#This Row],[Mid24]],Table1[[#This Row],[Mid21]],Table1[[#This Row],[Mid18]],Table1[[#This Row],[Mid15]],Table1[[#This Row],[Mid12]],Table1[[#This Row],[Mid9]],Table1[[#This Row],[Mid6]],Table1[[#This Row],[Mid3]],Table1[[#This Row],[Mid]])</f>
        <v>1825</v>
      </c>
      <c r="CG5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45" t="s">
        <v>133</v>
      </c>
      <c r="CI545" t="s">
        <v>134</v>
      </c>
      <c r="CJ545" t="s">
        <v>158</v>
      </c>
      <c r="CL545" s="19">
        <f>IF(Table1[[#This Row],[Type]]="Petroleum",1,IF(ISERROR(Table1[[#This Row],[Well Density]]*Table1[[#This Row],[Single Well Discovery Area]]),"",IF(Table1[[#This Row],[Well Density]]*Table1[[#This Row],[Single Well Discovery Area]]&gt;1,1,Table1[[#This Row],[Well Density]]*Table1[[#This Row],[Single Well Discovery Area]])))</f>
        <v>1</v>
      </c>
      <c r="CM545" t="s">
        <v>158</v>
      </c>
      <c r="CN545" s="19">
        <f>Table1[[#This Row],[Mid]]</f>
        <v>0</v>
      </c>
      <c r="CO545" s="19">
        <f>Table1[[#This Row],[Mid3]]+Table1[[#This Row],[Mid6]]+Table1[[#This Row],[Mid9]]</f>
        <v>0</v>
      </c>
      <c r="CP545" s="19">
        <f>Table1[[#This Row],[Mid12]]+Table1[[#This Row],[Mid15]]+Table1[[#This Row],[Mid18]]+Table1[[#This Row],[Mid21]]+Table1[[#This Row],[Mid24]]</f>
        <v>1825</v>
      </c>
      <c r="CQ545" s="19">
        <f>Table1[[#This Row],[Mid27]]+Table1[[#This Row],[Mid30]]+Table1[[#This Row],[Mid33]]+Table1[[#This Row],[Mid36]]+Table1[[#This Row],[Mid39]]</f>
        <v>0</v>
      </c>
      <c r="CR545" t="s">
        <v>415</v>
      </c>
      <c r="CS545" s="19" t="str">
        <f>IF(AND(Table1[[#This Row],[Low41]]=0, Table1[[#This Row],[High43]]=0),"N","Y")</f>
        <v>N</v>
      </c>
    </row>
    <row r="546" spans="1:97" ht="19.5" customHeight="1" x14ac:dyDescent="0.25">
      <c r="A546">
        <v>10544</v>
      </c>
      <c r="B546" t="s">
        <v>1635</v>
      </c>
      <c r="C546" t="s">
        <v>1449</v>
      </c>
      <c r="D546">
        <v>59.28833333</v>
      </c>
      <c r="E546">
        <v>1.5097222219999999</v>
      </c>
      <c r="F546" t="s">
        <v>1822</v>
      </c>
      <c r="G546" t="s">
        <v>1779</v>
      </c>
      <c r="H546" t="s">
        <v>1823</v>
      </c>
      <c r="I546" t="s">
        <v>1648</v>
      </c>
      <c r="J546" t="s">
        <v>202</v>
      </c>
      <c r="K546" t="s">
        <v>203</v>
      </c>
      <c r="L546" t="s">
        <v>121</v>
      </c>
      <c r="M546" t="s">
        <v>487</v>
      </c>
      <c r="N546" s="6" t="s">
        <v>1663</v>
      </c>
      <c r="O546" t="s">
        <v>1824</v>
      </c>
      <c r="P546" t="s">
        <v>1825</v>
      </c>
      <c r="Q546" t="s">
        <v>1826</v>
      </c>
      <c r="R546" t="s">
        <v>1764</v>
      </c>
      <c r="S546">
        <v>2015</v>
      </c>
      <c r="T546" t="s">
        <v>153</v>
      </c>
      <c r="U546" t="s">
        <v>173</v>
      </c>
      <c r="V546">
        <v>6</v>
      </c>
      <c r="W546">
        <v>1548</v>
      </c>
      <c r="X546">
        <v>120</v>
      </c>
      <c r="Y546">
        <v>95</v>
      </c>
      <c r="Z546">
        <v>34</v>
      </c>
      <c r="AA546">
        <v>8150</v>
      </c>
      <c r="AB546">
        <v>0</v>
      </c>
      <c r="AC546">
        <v>0</v>
      </c>
      <c r="AD546">
        <v>95</v>
      </c>
      <c r="AE546">
        <v>15.83333333</v>
      </c>
      <c r="AF546">
        <v>200</v>
      </c>
      <c r="AG546">
        <v>0</v>
      </c>
      <c r="AI546">
        <v>0</v>
      </c>
      <c r="AJ546">
        <v>0</v>
      </c>
      <c r="AK546">
        <v>0</v>
      </c>
      <c r="AL546">
        <v>0</v>
      </c>
      <c r="AM546" t="s">
        <v>1765</v>
      </c>
      <c r="AN546" t="s">
        <v>132</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85</v>
      </c>
      <c r="BI546">
        <v>0</v>
      </c>
      <c r="BJ546">
        <v>0</v>
      </c>
      <c r="BK546">
        <v>0</v>
      </c>
      <c r="BL546">
        <v>0</v>
      </c>
      <c r="BM546">
        <v>0</v>
      </c>
      <c r="BN546">
        <v>0</v>
      </c>
      <c r="BO546">
        <v>0</v>
      </c>
      <c r="BP546">
        <v>0</v>
      </c>
      <c r="BQ546">
        <v>0</v>
      </c>
      <c r="BR546">
        <v>0</v>
      </c>
      <c r="BS546">
        <v>0</v>
      </c>
      <c r="BT546">
        <v>0</v>
      </c>
      <c r="BU546">
        <v>0</v>
      </c>
      <c r="BV546">
        <v>0</v>
      </c>
      <c r="BW546">
        <v>0</v>
      </c>
      <c r="BX546">
        <v>0</v>
      </c>
      <c r="BY546">
        <v>0</v>
      </c>
      <c r="BZ546">
        <v>0</v>
      </c>
      <c r="CA546">
        <v>0</v>
      </c>
      <c r="CB546">
        <v>0</v>
      </c>
      <c r="CC546">
        <v>0</v>
      </c>
      <c r="CD546">
        <v>0</v>
      </c>
      <c r="CE54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46" s="19">
        <f>SUM(Table1[[#This Row],[Mid39]],Table1[[#This Row],[Mid36]],Table1[[#This Row],[Mid33]],Table1[[#This Row],[Mid30]],Table1[[#This Row],[Mid27]],Table1[[#This Row],[Mid24]],Table1[[#This Row],[Mid21]],Table1[[#This Row],[Mid18]],Table1[[#This Row],[Mid15]],Table1[[#This Row],[Mid12]],Table1[[#This Row],[Mid9]],Table1[[#This Row],[Mid6]],Table1[[#This Row],[Mid3]],Table1[[#This Row],[Mid]])</f>
        <v>85</v>
      </c>
      <c r="CG5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46" t="s">
        <v>133</v>
      </c>
      <c r="CI546" t="s">
        <v>134</v>
      </c>
      <c r="CJ546" t="s">
        <v>158</v>
      </c>
      <c r="CL546" s="19">
        <f>IF(Table1[[#This Row],[Type]]="Petroleum",1,IF(ISERROR(Table1[[#This Row],[Well Density]]*Table1[[#This Row],[Single Well Discovery Area]]),"",IF(Table1[[#This Row],[Well Density]]*Table1[[#This Row],[Single Well Discovery Area]]&gt;1,1,Table1[[#This Row],[Well Density]]*Table1[[#This Row],[Single Well Discovery Area]])))</f>
        <v>1</v>
      </c>
      <c r="CM546" t="s">
        <v>158</v>
      </c>
      <c r="CN546" s="19">
        <f>Table1[[#This Row],[Mid]]</f>
        <v>0</v>
      </c>
      <c r="CO546" s="19">
        <f>Table1[[#This Row],[Mid3]]+Table1[[#This Row],[Mid6]]+Table1[[#This Row],[Mid9]]</f>
        <v>0</v>
      </c>
      <c r="CP546" s="19">
        <f>Table1[[#This Row],[Mid12]]+Table1[[#This Row],[Mid15]]+Table1[[#This Row],[Mid18]]+Table1[[#This Row],[Mid21]]+Table1[[#This Row],[Mid24]]</f>
        <v>85</v>
      </c>
      <c r="CQ546" s="19">
        <f>Table1[[#This Row],[Mid27]]+Table1[[#This Row],[Mid30]]+Table1[[#This Row],[Mid33]]+Table1[[#This Row],[Mid36]]+Table1[[#This Row],[Mid39]]</f>
        <v>0</v>
      </c>
      <c r="CR546" t="s">
        <v>415</v>
      </c>
      <c r="CS546" s="19" t="str">
        <f>IF(AND(Table1[[#This Row],[Low41]]=0, Table1[[#This Row],[High43]]=0),"N","Y")</f>
        <v>N</v>
      </c>
    </row>
    <row r="547" spans="1:97" ht="19.5" customHeight="1" x14ac:dyDescent="0.25">
      <c r="A547">
        <v>10545</v>
      </c>
      <c r="B547" t="s">
        <v>1635</v>
      </c>
      <c r="C547" t="s">
        <v>1449</v>
      </c>
      <c r="D547">
        <v>53.013333330000002</v>
      </c>
      <c r="E547">
        <v>1.7705555559999999</v>
      </c>
      <c r="F547" t="s">
        <v>1827</v>
      </c>
      <c r="G547" t="s">
        <v>1687</v>
      </c>
      <c r="H547" t="s">
        <v>1711</v>
      </c>
      <c r="I547" t="s">
        <v>1753</v>
      </c>
      <c r="J547" t="s">
        <v>202</v>
      </c>
      <c r="K547" t="s">
        <v>203</v>
      </c>
      <c r="L547" t="s">
        <v>204</v>
      </c>
      <c r="M547" t="s">
        <v>412</v>
      </c>
      <c r="N547" s="6" t="s">
        <v>1828</v>
      </c>
      <c r="O547" t="s">
        <v>1829</v>
      </c>
      <c r="P547" t="s">
        <v>1830</v>
      </c>
      <c r="Q547" t="s">
        <v>1831</v>
      </c>
      <c r="R547" t="s">
        <v>1832</v>
      </c>
      <c r="S547">
        <v>2021</v>
      </c>
      <c r="T547" t="s">
        <v>771</v>
      </c>
      <c r="U547" t="s">
        <v>1479</v>
      </c>
      <c r="V547">
        <v>280</v>
      </c>
      <c r="W547">
        <v>1152</v>
      </c>
      <c r="X547">
        <v>26</v>
      </c>
      <c r="Y547">
        <v>96</v>
      </c>
      <c r="Z547">
        <v>22</v>
      </c>
      <c r="AA547">
        <v>1428</v>
      </c>
      <c r="AB547">
        <v>130</v>
      </c>
      <c r="AC547">
        <v>15.7</v>
      </c>
      <c r="AD547">
        <v>52</v>
      </c>
      <c r="AE547">
        <v>0.18571428600000001</v>
      </c>
      <c r="AF547">
        <v>200</v>
      </c>
      <c r="AG547">
        <v>0</v>
      </c>
      <c r="AI547">
        <v>0</v>
      </c>
      <c r="AJ547">
        <v>0</v>
      </c>
      <c r="AK547">
        <v>0</v>
      </c>
      <c r="AL547">
        <v>0</v>
      </c>
      <c r="AM547" t="s">
        <v>1833</v>
      </c>
      <c r="AN547" t="s">
        <v>132</v>
      </c>
      <c r="AO547">
        <v>0</v>
      </c>
      <c r="AP547">
        <v>0</v>
      </c>
      <c r="AQ547">
        <v>0</v>
      </c>
      <c r="AR547">
        <v>0</v>
      </c>
      <c r="AS547">
        <v>0</v>
      </c>
      <c r="AT547">
        <v>0</v>
      </c>
      <c r="AU547">
        <v>0</v>
      </c>
      <c r="AV547">
        <v>0</v>
      </c>
      <c r="AW547">
        <v>0</v>
      </c>
      <c r="AX547">
        <v>0</v>
      </c>
      <c r="AY547">
        <v>0</v>
      </c>
      <c r="AZ547">
        <v>0</v>
      </c>
      <c r="BA547">
        <v>0</v>
      </c>
      <c r="BB547">
        <v>150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47" s="19">
        <f>SUM(Table1[[#This Row],[Mid39]],Table1[[#This Row],[Mid36]],Table1[[#This Row],[Mid33]],Table1[[#This Row],[Mid30]],Table1[[#This Row],[Mid27]],Table1[[#This Row],[Mid24]],Table1[[#This Row],[Mid21]],Table1[[#This Row],[Mid18]],Table1[[#This Row],[Mid15]],Table1[[#This Row],[Mid12]],Table1[[#This Row],[Mid9]],Table1[[#This Row],[Mid6]],Table1[[#This Row],[Mid3]],Table1[[#This Row],[Mid]])</f>
        <v>150</v>
      </c>
      <c r="CG5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47" t="s">
        <v>133</v>
      </c>
      <c r="CI547" t="s">
        <v>134</v>
      </c>
      <c r="CJ547" t="s">
        <v>135</v>
      </c>
      <c r="CL547" s="19">
        <f>IF(Table1[[#This Row],[Type]]="Petroleum",1,IF(ISERROR(Table1[[#This Row],[Well Density]]*Table1[[#This Row],[Single Well Discovery Area]]),"",IF(Table1[[#This Row],[Well Density]]*Table1[[#This Row],[Single Well Discovery Area]]&gt;1,1,Table1[[#This Row],[Well Density]]*Table1[[#This Row],[Single Well Discovery Area]])))</f>
        <v>1</v>
      </c>
      <c r="CM547" t="s">
        <v>135</v>
      </c>
      <c r="CN547" s="19">
        <f>Table1[[#This Row],[Mid]]</f>
        <v>0</v>
      </c>
      <c r="CO547" s="19">
        <f>Table1[[#This Row],[Mid3]]+Table1[[#This Row],[Mid6]]+Table1[[#This Row],[Mid9]]</f>
        <v>0</v>
      </c>
      <c r="CP547" s="19">
        <f>Table1[[#This Row],[Mid12]]+Table1[[#This Row],[Mid15]]+Table1[[#This Row],[Mid18]]+Table1[[#This Row],[Mid21]]+Table1[[#This Row],[Mid24]]</f>
        <v>150</v>
      </c>
      <c r="CQ547" s="19">
        <f>Table1[[#This Row],[Mid27]]+Table1[[#This Row],[Mid30]]+Table1[[#This Row],[Mid33]]+Table1[[#This Row],[Mid36]]+Table1[[#This Row],[Mid39]]</f>
        <v>0</v>
      </c>
      <c r="CR547" t="s">
        <v>415</v>
      </c>
      <c r="CS547" s="19" t="str">
        <f>IF(AND(Table1[[#This Row],[Low41]]=0, Table1[[#This Row],[High43]]=0),"N","Y")</f>
        <v>N</v>
      </c>
    </row>
    <row r="548" spans="1:97" ht="19.5" customHeight="1" x14ac:dyDescent="0.25">
      <c r="A548">
        <v>10546</v>
      </c>
      <c r="B548" t="s">
        <v>1635</v>
      </c>
      <c r="C548" t="s">
        <v>1449</v>
      </c>
      <c r="D548">
        <v>53.013333330000002</v>
      </c>
      <c r="E548">
        <v>1.7705555559999999</v>
      </c>
      <c r="F548" t="s">
        <v>1834</v>
      </c>
      <c r="G548" t="s">
        <v>1687</v>
      </c>
      <c r="H548" t="s">
        <v>1711</v>
      </c>
      <c r="I548" t="s">
        <v>1753</v>
      </c>
      <c r="J548" t="s">
        <v>202</v>
      </c>
      <c r="K548" t="s">
        <v>203</v>
      </c>
      <c r="L548" t="s">
        <v>121</v>
      </c>
      <c r="M548" t="s">
        <v>412</v>
      </c>
      <c r="N548" s="6" t="s">
        <v>1828</v>
      </c>
      <c r="O548" t="s">
        <v>1829</v>
      </c>
      <c r="P548" t="s">
        <v>1830</v>
      </c>
      <c r="Q548" t="s">
        <v>1835</v>
      </c>
      <c r="R548" t="s">
        <v>1836</v>
      </c>
      <c r="S548">
        <v>2021</v>
      </c>
      <c r="T548" t="s">
        <v>771</v>
      </c>
      <c r="U548" t="s">
        <v>1479</v>
      </c>
      <c r="V548">
        <v>280</v>
      </c>
      <c r="W548">
        <v>792</v>
      </c>
      <c r="X548">
        <v>146</v>
      </c>
      <c r="Y548">
        <v>94</v>
      </c>
      <c r="Z548">
        <v>20</v>
      </c>
      <c r="AA548">
        <v>245</v>
      </c>
      <c r="AB548">
        <v>80</v>
      </c>
      <c r="AC548">
        <v>0</v>
      </c>
      <c r="AD548">
        <v>52</v>
      </c>
      <c r="AE548">
        <v>0.18571428600000001</v>
      </c>
      <c r="AF548">
        <v>200</v>
      </c>
      <c r="AG548">
        <v>0</v>
      </c>
      <c r="AI548">
        <v>0</v>
      </c>
      <c r="AJ548">
        <v>0</v>
      </c>
      <c r="AK548">
        <v>0</v>
      </c>
      <c r="AL548">
        <v>0</v>
      </c>
      <c r="AM548" t="s">
        <v>1833</v>
      </c>
      <c r="AN548" t="s">
        <v>132</v>
      </c>
      <c r="AO548">
        <v>0</v>
      </c>
      <c r="AP548">
        <v>0</v>
      </c>
      <c r="AQ548">
        <v>0</v>
      </c>
      <c r="AR548">
        <v>0</v>
      </c>
      <c r="AS548">
        <v>0</v>
      </c>
      <c r="AT548">
        <v>0</v>
      </c>
      <c r="AU548">
        <v>0</v>
      </c>
      <c r="AV548">
        <v>0</v>
      </c>
      <c r="AW548">
        <v>0</v>
      </c>
      <c r="AX548">
        <v>0</v>
      </c>
      <c r="AY548">
        <v>0</v>
      </c>
      <c r="AZ548">
        <v>0</v>
      </c>
      <c r="BA548">
        <v>0</v>
      </c>
      <c r="BB548">
        <v>100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v>0</v>
      </c>
      <c r="CA548">
        <v>0</v>
      </c>
      <c r="CB548">
        <v>0</v>
      </c>
      <c r="CC548">
        <v>0</v>
      </c>
      <c r="CD548">
        <v>0</v>
      </c>
      <c r="CE54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48"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54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48" t="s">
        <v>133</v>
      </c>
      <c r="CI548" t="s">
        <v>134</v>
      </c>
      <c r="CJ548" t="s">
        <v>135</v>
      </c>
      <c r="CL548" s="19">
        <f>IF(Table1[[#This Row],[Type]]="Petroleum",1,IF(ISERROR(Table1[[#This Row],[Well Density]]*Table1[[#This Row],[Single Well Discovery Area]]),"",IF(Table1[[#This Row],[Well Density]]*Table1[[#This Row],[Single Well Discovery Area]]&gt;1,1,Table1[[#This Row],[Well Density]]*Table1[[#This Row],[Single Well Discovery Area]])))</f>
        <v>1</v>
      </c>
      <c r="CM548" t="s">
        <v>158</v>
      </c>
      <c r="CN548" s="19">
        <f>Table1[[#This Row],[Mid]]</f>
        <v>0</v>
      </c>
      <c r="CO548" s="19">
        <f>Table1[[#This Row],[Mid3]]+Table1[[#This Row],[Mid6]]+Table1[[#This Row],[Mid9]]</f>
        <v>0</v>
      </c>
      <c r="CP548" s="19">
        <f>Table1[[#This Row],[Mid12]]+Table1[[#This Row],[Mid15]]+Table1[[#This Row],[Mid18]]+Table1[[#This Row],[Mid21]]+Table1[[#This Row],[Mid24]]</f>
        <v>100</v>
      </c>
      <c r="CQ548" s="19">
        <f>Table1[[#This Row],[Mid27]]+Table1[[#This Row],[Mid30]]+Table1[[#This Row],[Mid33]]+Table1[[#This Row],[Mid36]]+Table1[[#This Row],[Mid39]]</f>
        <v>0</v>
      </c>
      <c r="CR548" t="s">
        <v>415</v>
      </c>
      <c r="CS548" s="19" t="str">
        <f>IF(AND(Table1[[#This Row],[Low41]]=0, Table1[[#This Row],[High43]]=0),"N","Y")</f>
        <v>N</v>
      </c>
    </row>
    <row r="549" spans="1:97" ht="19.5" customHeight="1" x14ac:dyDescent="0.25">
      <c r="A549">
        <v>10547</v>
      </c>
      <c r="B549" t="s">
        <v>1635</v>
      </c>
      <c r="C549" t="s">
        <v>1449</v>
      </c>
      <c r="D549">
        <v>54.308888889999999</v>
      </c>
      <c r="E549">
        <v>2.4191666669999998</v>
      </c>
      <c r="F549" t="s">
        <v>1837</v>
      </c>
      <c r="G549" t="s">
        <v>1687</v>
      </c>
      <c r="H549" t="s">
        <v>1711</v>
      </c>
      <c r="I549" t="s">
        <v>1606</v>
      </c>
      <c r="J549" t="s">
        <v>202</v>
      </c>
      <c r="K549" t="s">
        <v>203</v>
      </c>
      <c r="L549" t="s">
        <v>121</v>
      </c>
      <c r="M549" t="s">
        <v>412</v>
      </c>
      <c r="N549" s="6" t="s">
        <v>1639</v>
      </c>
      <c r="O549" t="s">
        <v>1644</v>
      </c>
      <c r="P549" t="s">
        <v>436</v>
      </c>
      <c r="Q549" t="s">
        <v>1641</v>
      </c>
      <c r="R549" t="s">
        <v>1642</v>
      </c>
      <c r="S549">
        <v>2015</v>
      </c>
      <c r="T549" t="s">
        <v>153</v>
      </c>
      <c r="U549" t="s">
        <v>173</v>
      </c>
      <c r="V549">
        <v>0</v>
      </c>
      <c r="W549">
        <v>0</v>
      </c>
      <c r="X549">
        <v>0</v>
      </c>
      <c r="Y549">
        <v>0</v>
      </c>
      <c r="Z549">
        <v>0</v>
      </c>
      <c r="AA549">
        <v>0</v>
      </c>
      <c r="AB549">
        <v>0</v>
      </c>
      <c r="AC549">
        <v>0</v>
      </c>
      <c r="AD549">
        <v>0</v>
      </c>
      <c r="AF549">
        <v>200</v>
      </c>
      <c r="AG549">
        <v>0</v>
      </c>
      <c r="AI549">
        <v>0</v>
      </c>
      <c r="AJ549">
        <v>0</v>
      </c>
      <c r="AK549">
        <v>0</v>
      </c>
      <c r="AL549">
        <v>0</v>
      </c>
      <c r="AN549" t="s">
        <v>132</v>
      </c>
      <c r="AO549">
        <v>0</v>
      </c>
      <c r="AP549">
        <v>0</v>
      </c>
      <c r="AQ549">
        <v>0</v>
      </c>
      <c r="AR549">
        <v>0</v>
      </c>
      <c r="AS549">
        <v>0</v>
      </c>
      <c r="AT549">
        <v>0</v>
      </c>
      <c r="AU549">
        <v>0</v>
      </c>
      <c r="AV549">
        <v>0</v>
      </c>
      <c r="AW549">
        <v>0</v>
      </c>
      <c r="AX549">
        <v>0</v>
      </c>
      <c r="AY549">
        <v>0</v>
      </c>
      <c r="AZ549">
        <v>0</v>
      </c>
      <c r="BA549">
        <v>0</v>
      </c>
      <c r="BB549">
        <v>0</v>
      </c>
      <c r="BC549">
        <v>0</v>
      </c>
      <c r="BD549">
        <v>0</v>
      </c>
      <c r="BE549">
        <v>0</v>
      </c>
      <c r="BF549">
        <v>0</v>
      </c>
      <c r="BG549">
        <v>0</v>
      </c>
      <c r="BH549">
        <v>1</v>
      </c>
      <c r="BI549">
        <v>0</v>
      </c>
      <c r="BJ549">
        <v>0</v>
      </c>
      <c r="BK549">
        <v>0</v>
      </c>
      <c r="BL549">
        <v>0</v>
      </c>
      <c r="BM549">
        <v>0</v>
      </c>
      <c r="BN549">
        <v>0</v>
      </c>
      <c r="BO549">
        <v>0</v>
      </c>
      <c r="BP549">
        <v>0</v>
      </c>
      <c r="BQ549">
        <v>0</v>
      </c>
      <c r="BR549">
        <v>0</v>
      </c>
      <c r="BS549">
        <v>0</v>
      </c>
      <c r="BT549">
        <v>0</v>
      </c>
      <c r="BU549">
        <v>0</v>
      </c>
      <c r="BV549">
        <v>0</v>
      </c>
      <c r="BW549">
        <v>0</v>
      </c>
      <c r="BX549">
        <v>0</v>
      </c>
      <c r="BY549">
        <v>0</v>
      </c>
      <c r="BZ549">
        <v>0</v>
      </c>
      <c r="CA549">
        <v>0</v>
      </c>
      <c r="CB549">
        <v>0</v>
      </c>
      <c r="CC549">
        <v>0</v>
      </c>
      <c r="CD549">
        <v>0</v>
      </c>
      <c r="CE54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49" s="19">
        <f>SUM(Table1[[#This Row],[Mid39]],Table1[[#This Row],[Mid36]],Table1[[#This Row],[Mid33]],Table1[[#This Row],[Mid30]],Table1[[#This Row],[Mid27]],Table1[[#This Row],[Mid24]],Table1[[#This Row],[Mid21]],Table1[[#This Row],[Mid18]],Table1[[#This Row],[Mid15]],Table1[[#This Row],[Mid12]],Table1[[#This Row],[Mid9]],Table1[[#This Row],[Mid6]],Table1[[#This Row],[Mid3]],Table1[[#This Row],[Mid]])</f>
        <v>1</v>
      </c>
      <c r="CG5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49" t="s">
        <v>133</v>
      </c>
      <c r="CI549" t="s">
        <v>134</v>
      </c>
      <c r="CJ549" t="s">
        <v>158</v>
      </c>
      <c r="CL549" s="19">
        <f>IF(Table1[[#This Row],[Type]]="Petroleum",1,IF(ISERROR(Table1[[#This Row],[Well Density]]*Table1[[#This Row],[Single Well Discovery Area]]),"",IF(Table1[[#This Row],[Well Density]]*Table1[[#This Row],[Single Well Discovery Area]]&gt;1,1,Table1[[#This Row],[Well Density]]*Table1[[#This Row],[Single Well Discovery Area]])))</f>
        <v>1</v>
      </c>
      <c r="CM549" t="s">
        <v>158</v>
      </c>
      <c r="CN549" s="19">
        <f>Table1[[#This Row],[Mid]]</f>
        <v>0</v>
      </c>
      <c r="CO549" s="19">
        <f>Table1[[#This Row],[Mid3]]+Table1[[#This Row],[Mid6]]+Table1[[#This Row],[Mid9]]</f>
        <v>0</v>
      </c>
      <c r="CP549" s="19">
        <f>Table1[[#This Row],[Mid12]]+Table1[[#This Row],[Mid15]]+Table1[[#This Row],[Mid18]]+Table1[[#This Row],[Mid21]]+Table1[[#This Row],[Mid24]]</f>
        <v>1</v>
      </c>
      <c r="CQ549" s="19">
        <f>Table1[[#This Row],[Mid27]]+Table1[[#This Row],[Mid30]]+Table1[[#This Row],[Mid33]]+Table1[[#This Row],[Mid36]]+Table1[[#This Row],[Mid39]]</f>
        <v>0</v>
      </c>
      <c r="CR549" t="s">
        <v>415</v>
      </c>
      <c r="CS549" s="19" t="str">
        <f>IF(AND(Table1[[#This Row],[Low41]]=0, Table1[[#This Row],[High43]]=0),"N","Y")</f>
        <v>N</v>
      </c>
    </row>
    <row r="550" spans="1:97" ht="19.5" customHeight="1" x14ac:dyDescent="0.25">
      <c r="A550">
        <v>10548</v>
      </c>
      <c r="B550" t="s">
        <v>1635</v>
      </c>
      <c r="C550" t="s">
        <v>1449</v>
      </c>
      <c r="D550">
        <v>53.81777778</v>
      </c>
      <c r="E550">
        <v>0.99722222199999999</v>
      </c>
      <c r="F550" t="s">
        <v>1838</v>
      </c>
      <c r="G550" t="s">
        <v>1687</v>
      </c>
      <c r="H550" t="s">
        <v>1688</v>
      </c>
      <c r="I550" t="s">
        <v>1606</v>
      </c>
      <c r="J550" t="s">
        <v>202</v>
      </c>
      <c r="K550" t="s">
        <v>203</v>
      </c>
      <c r="L550" t="s">
        <v>121</v>
      </c>
      <c r="M550" t="s">
        <v>1689</v>
      </c>
      <c r="N550" s="6" t="s">
        <v>1639</v>
      </c>
      <c r="O550" t="s">
        <v>1839</v>
      </c>
      <c r="P550" t="s">
        <v>436</v>
      </c>
      <c r="Q550" t="s">
        <v>1641</v>
      </c>
      <c r="R550" t="s">
        <v>1642</v>
      </c>
      <c r="S550">
        <v>2015</v>
      </c>
      <c r="T550" t="s">
        <v>771</v>
      </c>
      <c r="U550" t="s">
        <v>1479</v>
      </c>
      <c r="V550">
        <v>0</v>
      </c>
      <c r="W550">
        <v>0</v>
      </c>
      <c r="X550">
        <v>0</v>
      </c>
      <c r="Y550">
        <v>0</v>
      </c>
      <c r="Z550">
        <v>0</v>
      </c>
      <c r="AA550">
        <v>0</v>
      </c>
      <c r="AB550">
        <v>0</v>
      </c>
      <c r="AC550">
        <v>0</v>
      </c>
      <c r="AD550">
        <v>0</v>
      </c>
      <c r="AF550">
        <v>200</v>
      </c>
      <c r="AG550">
        <v>0</v>
      </c>
      <c r="AI550">
        <v>0</v>
      </c>
      <c r="AJ550">
        <v>0</v>
      </c>
      <c r="AK550">
        <v>0</v>
      </c>
      <c r="AL550">
        <v>0</v>
      </c>
      <c r="AN550" t="s">
        <v>132</v>
      </c>
      <c r="AO550">
        <v>0</v>
      </c>
      <c r="AP550">
        <v>0</v>
      </c>
      <c r="AQ550">
        <v>0</v>
      </c>
      <c r="AR550">
        <v>0</v>
      </c>
      <c r="AS550">
        <v>0</v>
      </c>
      <c r="AT550">
        <v>0</v>
      </c>
      <c r="AU550">
        <v>0</v>
      </c>
      <c r="AV550">
        <v>0</v>
      </c>
      <c r="AW550">
        <v>0</v>
      </c>
      <c r="AX550">
        <v>0</v>
      </c>
      <c r="AY550">
        <v>0</v>
      </c>
      <c r="AZ550">
        <v>0</v>
      </c>
      <c r="BA550">
        <v>0</v>
      </c>
      <c r="BB550">
        <v>0</v>
      </c>
      <c r="BC550">
        <v>0</v>
      </c>
      <c r="BD550">
        <v>0</v>
      </c>
      <c r="BE550">
        <v>0</v>
      </c>
      <c r="BF550">
        <v>0</v>
      </c>
      <c r="BG550">
        <v>0</v>
      </c>
      <c r="BH550">
        <v>12</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50" s="19">
        <f>SUM(Table1[[#This Row],[Mid39]],Table1[[#This Row],[Mid36]],Table1[[#This Row],[Mid33]],Table1[[#This Row],[Mid30]],Table1[[#This Row],[Mid27]],Table1[[#This Row],[Mid24]],Table1[[#This Row],[Mid21]],Table1[[#This Row],[Mid18]],Table1[[#This Row],[Mid15]],Table1[[#This Row],[Mid12]],Table1[[#This Row],[Mid9]],Table1[[#This Row],[Mid6]],Table1[[#This Row],[Mid3]],Table1[[#This Row],[Mid]])</f>
        <v>12</v>
      </c>
      <c r="CG5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50" t="s">
        <v>133</v>
      </c>
      <c r="CI550" t="s">
        <v>134</v>
      </c>
      <c r="CJ550" t="s">
        <v>158</v>
      </c>
      <c r="CL550" s="19">
        <f>IF(Table1[[#This Row],[Type]]="Petroleum",1,IF(ISERROR(Table1[[#This Row],[Well Density]]*Table1[[#This Row],[Single Well Discovery Area]]),"",IF(Table1[[#This Row],[Well Density]]*Table1[[#This Row],[Single Well Discovery Area]]&gt;1,1,Table1[[#This Row],[Well Density]]*Table1[[#This Row],[Single Well Discovery Area]])))</f>
        <v>1</v>
      </c>
      <c r="CM550" t="s">
        <v>135</v>
      </c>
      <c r="CN550" s="19">
        <f>Table1[[#This Row],[Mid]]</f>
        <v>0</v>
      </c>
      <c r="CO550" s="19">
        <f>Table1[[#This Row],[Mid3]]+Table1[[#This Row],[Mid6]]+Table1[[#This Row],[Mid9]]</f>
        <v>0</v>
      </c>
      <c r="CP550" s="19">
        <f>Table1[[#This Row],[Mid12]]+Table1[[#This Row],[Mid15]]+Table1[[#This Row],[Mid18]]+Table1[[#This Row],[Mid21]]+Table1[[#This Row],[Mid24]]</f>
        <v>12</v>
      </c>
      <c r="CQ550" s="19">
        <f>Table1[[#This Row],[Mid27]]+Table1[[#This Row],[Mid30]]+Table1[[#This Row],[Mid33]]+Table1[[#This Row],[Mid36]]+Table1[[#This Row],[Mid39]]</f>
        <v>0</v>
      </c>
      <c r="CR550" t="s">
        <v>415</v>
      </c>
      <c r="CS550" s="19" t="str">
        <f>IF(AND(Table1[[#This Row],[Low41]]=0, Table1[[#This Row],[High43]]=0),"N","Y")</f>
        <v>N</v>
      </c>
    </row>
    <row r="551" spans="1:97" ht="19.5" customHeight="1" x14ac:dyDescent="0.25">
      <c r="A551">
        <v>10549</v>
      </c>
      <c r="B551" t="s">
        <v>1635</v>
      </c>
      <c r="C551" t="s">
        <v>1449</v>
      </c>
      <c r="D551">
        <v>54.029166670000002</v>
      </c>
      <c r="E551">
        <v>1.2522222220000001</v>
      </c>
      <c r="F551" t="s">
        <v>1840</v>
      </c>
      <c r="G551" t="s">
        <v>1687</v>
      </c>
      <c r="H551" t="s">
        <v>1688</v>
      </c>
      <c r="I551" t="s">
        <v>1606</v>
      </c>
      <c r="J551" t="s">
        <v>202</v>
      </c>
      <c r="K551" t="s">
        <v>203</v>
      </c>
      <c r="L551" t="s">
        <v>121</v>
      </c>
      <c r="M551" t="s">
        <v>1689</v>
      </c>
      <c r="N551" s="6" t="s">
        <v>1639</v>
      </c>
      <c r="O551" t="s">
        <v>1644</v>
      </c>
      <c r="P551" t="s">
        <v>436</v>
      </c>
      <c r="Q551" t="s">
        <v>1641</v>
      </c>
      <c r="R551" t="s">
        <v>1642</v>
      </c>
      <c r="S551">
        <v>2015</v>
      </c>
      <c r="T551" t="s">
        <v>153</v>
      </c>
      <c r="U551" t="s">
        <v>173</v>
      </c>
      <c r="V551">
        <v>0</v>
      </c>
      <c r="W551">
        <v>0</v>
      </c>
      <c r="X551">
        <v>0</v>
      </c>
      <c r="Y551">
        <v>0</v>
      </c>
      <c r="Z551">
        <v>0</v>
      </c>
      <c r="AA551">
        <v>0</v>
      </c>
      <c r="AB551">
        <v>0</v>
      </c>
      <c r="AC551">
        <v>0</v>
      </c>
      <c r="AD551">
        <v>0</v>
      </c>
      <c r="AF551">
        <v>200</v>
      </c>
      <c r="AG551">
        <v>0</v>
      </c>
      <c r="AI551">
        <v>0</v>
      </c>
      <c r="AJ551">
        <v>0</v>
      </c>
      <c r="AK551">
        <v>0</v>
      </c>
      <c r="AL551">
        <v>0</v>
      </c>
      <c r="AN551" t="s">
        <v>132</v>
      </c>
      <c r="AO551">
        <v>0</v>
      </c>
      <c r="AP551">
        <v>0</v>
      </c>
      <c r="AQ551">
        <v>0</v>
      </c>
      <c r="AR551">
        <v>0</v>
      </c>
      <c r="AS551">
        <v>0</v>
      </c>
      <c r="AT551">
        <v>0</v>
      </c>
      <c r="AU551">
        <v>0</v>
      </c>
      <c r="AV551">
        <v>0</v>
      </c>
      <c r="AW551">
        <v>0</v>
      </c>
      <c r="AX551">
        <v>0</v>
      </c>
      <c r="AY551">
        <v>0</v>
      </c>
      <c r="AZ551">
        <v>0</v>
      </c>
      <c r="BA551">
        <v>0</v>
      </c>
      <c r="BB551">
        <v>0</v>
      </c>
      <c r="BC551">
        <v>0</v>
      </c>
      <c r="BD551">
        <v>0</v>
      </c>
      <c r="BE551">
        <v>0</v>
      </c>
      <c r="BF551">
        <v>0</v>
      </c>
      <c r="BG551">
        <v>0</v>
      </c>
      <c r="BH551">
        <v>20</v>
      </c>
      <c r="BI551">
        <v>0</v>
      </c>
      <c r="BJ551">
        <v>0</v>
      </c>
      <c r="BK551">
        <v>0</v>
      </c>
      <c r="BL551">
        <v>0</v>
      </c>
      <c r="BM551">
        <v>0</v>
      </c>
      <c r="BN551">
        <v>0</v>
      </c>
      <c r="BO551">
        <v>0</v>
      </c>
      <c r="BP551">
        <v>0</v>
      </c>
      <c r="BQ551">
        <v>0</v>
      </c>
      <c r="BR551">
        <v>0</v>
      </c>
      <c r="BS551">
        <v>0</v>
      </c>
      <c r="BT551">
        <v>0</v>
      </c>
      <c r="BU551">
        <v>0</v>
      </c>
      <c r="BV551">
        <v>0</v>
      </c>
      <c r="BW551">
        <v>0</v>
      </c>
      <c r="BX551">
        <v>0</v>
      </c>
      <c r="BY551">
        <v>0</v>
      </c>
      <c r="BZ551">
        <v>0</v>
      </c>
      <c r="CA551">
        <v>0</v>
      </c>
      <c r="CB551">
        <v>0</v>
      </c>
      <c r="CC551">
        <v>0</v>
      </c>
      <c r="CD551">
        <v>0</v>
      </c>
      <c r="CE5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51" s="19">
        <f>SUM(Table1[[#This Row],[Mid39]],Table1[[#This Row],[Mid36]],Table1[[#This Row],[Mid33]],Table1[[#This Row],[Mid30]],Table1[[#This Row],[Mid27]],Table1[[#This Row],[Mid24]],Table1[[#This Row],[Mid21]],Table1[[#This Row],[Mid18]],Table1[[#This Row],[Mid15]],Table1[[#This Row],[Mid12]],Table1[[#This Row],[Mid9]],Table1[[#This Row],[Mid6]],Table1[[#This Row],[Mid3]],Table1[[#This Row],[Mid]])</f>
        <v>20</v>
      </c>
      <c r="CG5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51" t="s">
        <v>133</v>
      </c>
      <c r="CI551" t="s">
        <v>134</v>
      </c>
      <c r="CJ551" t="s">
        <v>158</v>
      </c>
      <c r="CL551" s="19">
        <f>IF(Table1[[#This Row],[Type]]="Petroleum",1,IF(ISERROR(Table1[[#This Row],[Well Density]]*Table1[[#This Row],[Single Well Discovery Area]]),"",IF(Table1[[#This Row],[Well Density]]*Table1[[#This Row],[Single Well Discovery Area]]&gt;1,1,Table1[[#This Row],[Well Density]]*Table1[[#This Row],[Single Well Discovery Area]])))</f>
        <v>1</v>
      </c>
      <c r="CM551" t="s">
        <v>135</v>
      </c>
      <c r="CN551" s="19">
        <f>Table1[[#This Row],[Mid]]</f>
        <v>0</v>
      </c>
      <c r="CO551" s="19">
        <f>Table1[[#This Row],[Mid3]]+Table1[[#This Row],[Mid6]]+Table1[[#This Row],[Mid9]]</f>
        <v>0</v>
      </c>
      <c r="CP551" s="19">
        <f>Table1[[#This Row],[Mid12]]+Table1[[#This Row],[Mid15]]+Table1[[#This Row],[Mid18]]+Table1[[#This Row],[Mid21]]+Table1[[#This Row],[Mid24]]</f>
        <v>20</v>
      </c>
      <c r="CQ551" s="19">
        <f>Table1[[#This Row],[Mid27]]+Table1[[#This Row],[Mid30]]+Table1[[#This Row],[Mid33]]+Table1[[#This Row],[Mid36]]+Table1[[#This Row],[Mid39]]</f>
        <v>0</v>
      </c>
      <c r="CR551" t="s">
        <v>415</v>
      </c>
      <c r="CS551" s="19" t="str">
        <f>IF(AND(Table1[[#This Row],[Low41]]=0, Table1[[#This Row],[High43]]=0),"N","Y")</f>
        <v>N</v>
      </c>
    </row>
    <row r="552" spans="1:97" ht="19.5" customHeight="1" x14ac:dyDescent="0.25">
      <c r="A552">
        <v>10550</v>
      </c>
      <c r="B552" t="s">
        <v>1635</v>
      </c>
      <c r="C552" t="s">
        <v>1449</v>
      </c>
      <c r="D552">
        <v>53.062777779999998</v>
      </c>
      <c r="E552">
        <v>2.213333333</v>
      </c>
      <c r="F552" t="s">
        <v>1841</v>
      </c>
      <c r="G552" t="s">
        <v>1687</v>
      </c>
      <c r="H552" t="s">
        <v>1688</v>
      </c>
      <c r="I552" t="s">
        <v>1606</v>
      </c>
      <c r="J552" t="s">
        <v>202</v>
      </c>
      <c r="K552" t="s">
        <v>203</v>
      </c>
      <c r="L552" t="s">
        <v>121</v>
      </c>
      <c r="M552" t="s">
        <v>1689</v>
      </c>
      <c r="N552" s="6" t="s">
        <v>1842</v>
      </c>
      <c r="O552" t="s">
        <v>1843</v>
      </c>
      <c r="P552" t="s">
        <v>1744</v>
      </c>
      <c r="Q552" t="s">
        <v>1641</v>
      </c>
      <c r="R552" t="s">
        <v>1844</v>
      </c>
      <c r="S552">
        <v>2024</v>
      </c>
      <c r="T552" t="s">
        <v>771</v>
      </c>
      <c r="U552" t="s">
        <v>1479</v>
      </c>
      <c r="V552">
        <v>0</v>
      </c>
      <c r="W552">
        <v>0</v>
      </c>
      <c r="X552">
        <v>0</v>
      </c>
      <c r="Y552">
        <v>0</v>
      </c>
      <c r="Z552">
        <v>0</v>
      </c>
      <c r="AA552">
        <v>0</v>
      </c>
      <c r="AB552">
        <v>0</v>
      </c>
      <c r="AC552">
        <v>0</v>
      </c>
      <c r="AD552">
        <v>0</v>
      </c>
      <c r="AF552">
        <v>200</v>
      </c>
      <c r="AG552">
        <v>0</v>
      </c>
      <c r="AI552">
        <v>0</v>
      </c>
      <c r="AJ552">
        <v>0</v>
      </c>
      <c r="AK552">
        <v>0</v>
      </c>
      <c r="AL552">
        <v>0</v>
      </c>
      <c r="AN552" t="s">
        <v>132</v>
      </c>
      <c r="AO552">
        <v>0</v>
      </c>
      <c r="AP552">
        <v>0</v>
      </c>
      <c r="AQ552">
        <v>0</v>
      </c>
      <c r="AR552">
        <v>0</v>
      </c>
      <c r="AS552">
        <v>0</v>
      </c>
      <c r="AT552">
        <v>0</v>
      </c>
      <c r="AU552">
        <v>0</v>
      </c>
      <c r="AV552">
        <v>0</v>
      </c>
      <c r="AW552">
        <v>0</v>
      </c>
      <c r="AX552">
        <v>0</v>
      </c>
      <c r="AY552">
        <v>37.5</v>
      </c>
      <c r="AZ552">
        <v>0</v>
      </c>
      <c r="BA552">
        <v>0</v>
      </c>
      <c r="BB552">
        <v>0</v>
      </c>
      <c r="BC552">
        <v>0</v>
      </c>
      <c r="BD552">
        <v>0</v>
      </c>
      <c r="BE552">
        <v>0</v>
      </c>
      <c r="BF552">
        <v>0</v>
      </c>
      <c r="BG552">
        <v>0</v>
      </c>
      <c r="BH552">
        <v>0</v>
      </c>
      <c r="BI552">
        <v>0</v>
      </c>
      <c r="BJ552">
        <v>0</v>
      </c>
      <c r="BK552">
        <v>897.5</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0</v>
      </c>
      <c r="CE5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52" s="19">
        <f>SUM(Table1[[#This Row],[Mid39]],Table1[[#This Row],[Mid36]],Table1[[#This Row],[Mid33]],Table1[[#This Row],[Mid30]],Table1[[#This Row],[Mid27]],Table1[[#This Row],[Mid24]],Table1[[#This Row],[Mid21]],Table1[[#This Row],[Mid18]],Table1[[#This Row],[Mid15]],Table1[[#This Row],[Mid12]],Table1[[#This Row],[Mid9]],Table1[[#This Row],[Mid6]],Table1[[#This Row],[Mid3]],Table1[[#This Row],[Mid]])</f>
        <v>935</v>
      </c>
      <c r="CG5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52" t="s">
        <v>133</v>
      </c>
      <c r="CI552" t="s">
        <v>134</v>
      </c>
      <c r="CJ552" t="s">
        <v>158</v>
      </c>
      <c r="CL552" s="19">
        <f>IF(Table1[[#This Row],[Type]]="Petroleum",1,IF(ISERROR(Table1[[#This Row],[Well Density]]*Table1[[#This Row],[Single Well Discovery Area]]),"",IF(Table1[[#This Row],[Well Density]]*Table1[[#This Row],[Single Well Discovery Area]]&gt;1,1,Table1[[#This Row],[Well Density]]*Table1[[#This Row],[Single Well Discovery Area]])))</f>
        <v>1</v>
      </c>
      <c r="CM552" t="s">
        <v>158</v>
      </c>
      <c r="CN552" s="19">
        <f>Table1[[#This Row],[Mid]]</f>
        <v>0</v>
      </c>
      <c r="CO552" s="19">
        <f>Table1[[#This Row],[Mid3]]+Table1[[#This Row],[Mid6]]+Table1[[#This Row],[Mid9]]</f>
        <v>37.5</v>
      </c>
      <c r="CP552" s="19">
        <f>Table1[[#This Row],[Mid12]]+Table1[[#This Row],[Mid15]]+Table1[[#This Row],[Mid18]]+Table1[[#This Row],[Mid21]]+Table1[[#This Row],[Mid24]]</f>
        <v>897.5</v>
      </c>
      <c r="CQ552" s="19">
        <f>Table1[[#This Row],[Mid27]]+Table1[[#This Row],[Mid30]]+Table1[[#This Row],[Mid33]]+Table1[[#This Row],[Mid36]]+Table1[[#This Row],[Mid39]]</f>
        <v>0</v>
      </c>
      <c r="CR552" t="s">
        <v>415</v>
      </c>
      <c r="CS552" s="19" t="str">
        <f>IF(AND(Table1[[#This Row],[Low41]]=0, Table1[[#This Row],[High43]]=0),"N","Y")</f>
        <v>N</v>
      </c>
    </row>
    <row r="553" spans="1:97" ht="19.5" customHeight="1" x14ac:dyDescent="0.25">
      <c r="A553">
        <v>10551</v>
      </c>
      <c r="B553" t="s">
        <v>1635</v>
      </c>
      <c r="C553" t="s">
        <v>1449</v>
      </c>
      <c r="D553">
        <v>53.04138889</v>
      </c>
      <c r="E553">
        <v>1.8652777780000001</v>
      </c>
      <c r="F553" t="s">
        <v>1845</v>
      </c>
      <c r="G553" t="s">
        <v>1687</v>
      </c>
      <c r="H553" t="s">
        <v>1711</v>
      </c>
      <c r="I553" t="s">
        <v>1606</v>
      </c>
      <c r="J553" t="s">
        <v>202</v>
      </c>
      <c r="K553" t="s">
        <v>203</v>
      </c>
      <c r="L553" t="s">
        <v>121</v>
      </c>
      <c r="M553" t="s">
        <v>412</v>
      </c>
      <c r="N553" s="6" t="s">
        <v>1639</v>
      </c>
      <c r="O553" t="s">
        <v>1774</v>
      </c>
      <c r="P553" t="s">
        <v>436</v>
      </c>
      <c r="Q553" t="s">
        <v>1641</v>
      </c>
      <c r="R553" t="s">
        <v>1642</v>
      </c>
      <c r="S553">
        <v>2015</v>
      </c>
      <c r="T553" t="s">
        <v>771</v>
      </c>
      <c r="U553" t="s">
        <v>1479</v>
      </c>
      <c r="V553">
        <v>0</v>
      </c>
      <c r="W553">
        <v>0</v>
      </c>
      <c r="X553">
        <v>0</v>
      </c>
      <c r="Y553">
        <v>0</v>
      </c>
      <c r="Z553">
        <v>0</v>
      </c>
      <c r="AA553">
        <v>0</v>
      </c>
      <c r="AB553">
        <v>0</v>
      </c>
      <c r="AC553">
        <v>0</v>
      </c>
      <c r="AD553">
        <v>0</v>
      </c>
      <c r="AF553">
        <v>200</v>
      </c>
      <c r="AG553">
        <v>0</v>
      </c>
      <c r="AI553">
        <v>0</v>
      </c>
      <c r="AJ553">
        <v>0</v>
      </c>
      <c r="AK553">
        <v>0</v>
      </c>
      <c r="AL553">
        <v>0</v>
      </c>
      <c r="AN553" t="s">
        <v>132</v>
      </c>
      <c r="AO553">
        <v>0</v>
      </c>
      <c r="AP553">
        <v>0</v>
      </c>
      <c r="AQ553">
        <v>0</v>
      </c>
      <c r="AR553">
        <v>0</v>
      </c>
      <c r="AS553">
        <v>0</v>
      </c>
      <c r="AT553">
        <v>0</v>
      </c>
      <c r="AU553">
        <v>0</v>
      </c>
      <c r="AV553">
        <v>0</v>
      </c>
      <c r="AW553">
        <v>0</v>
      </c>
      <c r="AX553">
        <v>0</v>
      </c>
      <c r="AY553">
        <v>0</v>
      </c>
      <c r="AZ553">
        <v>0</v>
      </c>
      <c r="BA553">
        <v>0</v>
      </c>
      <c r="BB553">
        <v>0</v>
      </c>
      <c r="BC553">
        <v>0</v>
      </c>
      <c r="BD553">
        <v>0</v>
      </c>
      <c r="BE553">
        <v>0</v>
      </c>
      <c r="BF553">
        <v>0</v>
      </c>
      <c r="BG553">
        <v>0</v>
      </c>
      <c r="BH553">
        <v>26</v>
      </c>
      <c r="BI553">
        <v>0</v>
      </c>
      <c r="BJ553">
        <v>0</v>
      </c>
      <c r="BK553">
        <v>0</v>
      </c>
      <c r="BL553">
        <v>0</v>
      </c>
      <c r="BM553">
        <v>0</v>
      </c>
      <c r="BN553">
        <v>0</v>
      </c>
      <c r="BO553">
        <v>0</v>
      </c>
      <c r="BP553">
        <v>0</v>
      </c>
      <c r="BQ553">
        <v>0</v>
      </c>
      <c r="BR553">
        <v>0</v>
      </c>
      <c r="BS553">
        <v>0</v>
      </c>
      <c r="BT553">
        <v>0</v>
      </c>
      <c r="BU553">
        <v>0</v>
      </c>
      <c r="BV553">
        <v>0</v>
      </c>
      <c r="BW553">
        <v>0</v>
      </c>
      <c r="BX553">
        <v>0</v>
      </c>
      <c r="BY553">
        <v>0</v>
      </c>
      <c r="BZ553">
        <v>0</v>
      </c>
      <c r="CA553">
        <v>0</v>
      </c>
      <c r="CB553">
        <v>0</v>
      </c>
      <c r="CC553">
        <v>0</v>
      </c>
      <c r="CD553">
        <v>0</v>
      </c>
      <c r="CE5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53" s="19">
        <f>SUM(Table1[[#This Row],[Mid39]],Table1[[#This Row],[Mid36]],Table1[[#This Row],[Mid33]],Table1[[#This Row],[Mid30]],Table1[[#This Row],[Mid27]],Table1[[#This Row],[Mid24]],Table1[[#This Row],[Mid21]],Table1[[#This Row],[Mid18]],Table1[[#This Row],[Mid15]],Table1[[#This Row],[Mid12]],Table1[[#This Row],[Mid9]],Table1[[#This Row],[Mid6]],Table1[[#This Row],[Mid3]],Table1[[#This Row],[Mid]])</f>
        <v>26</v>
      </c>
      <c r="CG5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53" t="s">
        <v>133</v>
      </c>
      <c r="CI553" t="s">
        <v>134</v>
      </c>
      <c r="CJ553" t="s">
        <v>158</v>
      </c>
      <c r="CL553" s="19">
        <f>IF(Table1[[#This Row],[Type]]="Petroleum",1,IF(ISERROR(Table1[[#This Row],[Well Density]]*Table1[[#This Row],[Single Well Discovery Area]]),"",IF(Table1[[#This Row],[Well Density]]*Table1[[#This Row],[Single Well Discovery Area]]&gt;1,1,Table1[[#This Row],[Well Density]]*Table1[[#This Row],[Single Well Discovery Area]])))</f>
        <v>1</v>
      </c>
      <c r="CM553" t="s">
        <v>158</v>
      </c>
      <c r="CN553" s="19">
        <f>Table1[[#This Row],[Mid]]</f>
        <v>0</v>
      </c>
      <c r="CO553" s="19">
        <f>Table1[[#This Row],[Mid3]]+Table1[[#This Row],[Mid6]]+Table1[[#This Row],[Mid9]]</f>
        <v>0</v>
      </c>
      <c r="CP553" s="19">
        <f>Table1[[#This Row],[Mid12]]+Table1[[#This Row],[Mid15]]+Table1[[#This Row],[Mid18]]+Table1[[#This Row],[Mid21]]+Table1[[#This Row],[Mid24]]</f>
        <v>26</v>
      </c>
      <c r="CQ553" s="19">
        <f>Table1[[#This Row],[Mid27]]+Table1[[#This Row],[Mid30]]+Table1[[#This Row],[Mid33]]+Table1[[#This Row],[Mid36]]+Table1[[#This Row],[Mid39]]</f>
        <v>0</v>
      </c>
      <c r="CR553" t="s">
        <v>415</v>
      </c>
      <c r="CS553" s="19" t="str">
        <f>IF(AND(Table1[[#This Row],[Low41]]=0, Table1[[#This Row],[High43]]=0),"N","Y")</f>
        <v>N</v>
      </c>
    </row>
    <row r="554" spans="1:97" ht="19.5" customHeight="1" x14ac:dyDescent="0.25">
      <c r="A554">
        <v>10552</v>
      </c>
      <c r="B554" t="s">
        <v>1635</v>
      </c>
      <c r="C554" t="s">
        <v>1449</v>
      </c>
      <c r="D554">
        <v>53.04138889</v>
      </c>
      <c r="E554">
        <v>1.8652777780000001</v>
      </c>
      <c r="F554" t="s">
        <v>1846</v>
      </c>
      <c r="G554" t="s">
        <v>1687</v>
      </c>
      <c r="H554" t="s">
        <v>1688</v>
      </c>
      <c r="I554" t="s">
        <v>1606</v>
      </c>
      <c r="J554" t="s">
        <v>202</v>
      </c>
      <c r="K554" t="s">
        <v>203</v>
      </c>
      <c r="L554" t="s">
        <v>121</v>
      </c>
      <c r="M554" t="s">
        <v>1689</v>
      </c>
      <c r="N554" s="6" t="s">
        <v>1639</v>
      </c>
      <c r="O554" t="s">
        <v>1774</v>
      </c>
      <c r="P554" t="s">
        <v>436</v>
      </c>
      <c r="Q554" t="s">
        <v>1641</v>
      </c>
      <c r="R554" t="s">
        <v>1642</v>
      </c>
      <c r="S554">
        <v>2015</v>
      </c>
      <c r="T554" t="s">
        <v>771</v>
      </c>
      <c r="U554" t="s">
        <v>1479</v>
      </c>
      <c r="V554">
        <v>0</v>
      </c>
      <c r="W554">
        <v>0</v>
      </c>
      <c r="X554">
        <v>0</v>
      </c>
      <c r="Y554">
        <v>0</v>
      </c>
      <c r="Z554">
        <v>0</v>
      </c>
      <c r="AA554">
        <v>0</v>
      </c>
      <c r="AB554">
        <v>0</v>
      </c>
      <c r="AC554">
        <v>0</v>
      </c>
      <c r="AD554">
        <v>0</v>
      </c>
      <c r="AF554">
        <v>200</v>
      </c>
      <c r="AG554">
        <v>0</v>
      </c>
      <c r="AI554">
        <v>0</v>
      </c>
      <c r="AJ554">
        <v>0</v>
      </c>
      <c r="AK554">
        <v>0</v>
      </c>
      <c r="AL554">
        <v>0</v>
      </c>
      <c r="AN554" t="s">
        <v>132</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19</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54" s="19">
        <f>SUM(Table1[[#This Row],[Mid39]],Table1[[#This Row],[Mid36]],Table1[[#This Row],[Mid33]],Table1[[#This Row],[Mid30]],Table1[[#This Row],[Mid27]],Table1[[#This Row],[Mid24]],Table1[[#This Row],[Mid21]],Table1[[#This Row],[Mid18]],Table1[[#This Row],[Mid15]],Table1[[#This Row],[Mid12]],Table1[[#This Row],[Mid9]],Table1[[#This Row],[Mid6]],Table1[[#This Row],[Mid3]],Table1[[#This Row],[Mid]])</f>
        <v>19</v>
      </c>
      <c r="CG55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54" t="s">
        <v>133</v>
      </c>
      <c r="CI554" t="s">
        <v>134</v>
      </c>
      <c r="CJ554" t="s">
        <v>158</v>
      </c>
      <c r="CL554" s="19">
        <f>IF(Table1[[#This Row],[Type]]="Petroleum",1,IF(ISERROR(Table1[[#This Row],[Well Density]]*Table1[[#This Row],[Single Well Discovery Area]]),"",IF(Table1[[#This Row],[Well Density]]*Table1[[#This Row],[Single Well Discovery Area]]&gt;1,1,Table1[[#This Row],[Well Density]]*Table1[[#This Row],[Single Well Discovery Area]])))</f>
        <v>1</v>
      </c>
      <c r="CM554" t="s">
        <v>158</v>
      </c>
      <c r="CN554" s="19">
        <f>Table1[[#This Row],[Mid]]</f>
        <v>0</v>
      </c>
      <c r="CO554" s="19">
        <f>Table1[[#This Row],[Mid3]]+Table1[[#This Row],[Mid6]]+Table1[[#This Row],[Mid9]]</f>
        <v>0</v>
      </c>
      <c r="CP554" s="19">
        <f>Table1[[#This Row],[Mid12]]+Table1[[#This Row],[Mid15]]+Table1[[#This Row],[Mid18]]+Table1[[#This Row],[Mid21]]+Table1[[#This Row],[Mid24]]</f>
        <v>19</v>
      </c>
      <c r="CQ554" s="19">
        <f>Table1[[#This Row],[Mid27]]+Table1[[#This Row],[Mid30]]+Table1[[#This Row],[Mid33]]+Table1[[#This Row],[Mid36]]+Table1[[#This Row],[Mid39]]</f>
        <v>0</v>
      </c>
      <c r="CR554" t="s">
        <v>415</v>
      </c>
      <c r="CS554" s="19" t="str">
        <f>IF(AND(Table1[[#This Row],[Low41]]=0, Table1[[#This Row],[High43]]=0),"N","Y")</f>
        <v>N</v>
      </c>
    </row>
    <row r="555" spans="1:97" ht="19.5" customHeight="1" x14ac:dyDescent="0.25">
      <c r="A555">
        <v>10553</v>
      </c>
      <c r="B555" t="s">
        <v>1635</v>
      </c>
      <c r="C555" t="s">
        <v>1449</v>
      </c>
      <c r="D555">
        <v>56.7425</v>
      </c>
      <c r="E555">
        <v>2.119444444</v>
      </c>
      <c r="F555" t="s">
        <v>1847</v>
      </c>
      <c r="G555" t="s">
        <v>1779</v>
      </c>
      <c r="H555" t="s">
        <v>1848</v>
      </c>
      <c r="I555" t="s">
        <v>118</v>
      </c>
      <c r="J555" t="s">
        <v>119</v>
      </c>
      <c r="K555" t="s">
        <v>190</v>
      </c>
      <c r="L555" t="s">
        <v>121</v>
      </c>
      <c r="M555" t="s">
        <v>1465</v>
      </c>
      <c r="N555" s="6" t="s">
        <v>1663</v>
      </c>
      <c r="O555" t="s">
        <v>1849</v>
      </c>
      <c r="P555" t="s">
        <v>1850</v>
      </c>
      <c r="Q555" t="s">
        <v>1851</v>
      </c>
      <c r="R555" t="s">
        <v>1852</v>
      </c>
      <c r="S555">
        <v>2015</v>
      </c>
      <c r="T555" t="s">
        <v>153</v>
      </c>
      <c r="U555" t="s">
        <v>173</v>
      </c>
      <c r="V555">
        <v>6475</v>
      </c>
      <c r="W555">
        <v>2835</v>
      </c>
      <c r="X555">
        <v>75</v>
      </c>
      <c r="Y555">
        <v>34</v>
      </c>
      <c r="Z555">
        <v>25</v>
      </c>
      <c r="AA555">
        <v>100</v>
      </c>
      <c r="AB555">
        <v>0</v>
      </c>
      <c r="AC555">
        <v>780</v>
      </c>
      <c r="AD555">
        <v>518</v>
      </c>
      <c r="AE555">
        <v>0.08</v>
      </c>
      <c r="AF555">
        <v>200</v>
      </c>
      <c r="AG555">
        <v>0</v>
      </c>
      <c r="AK555">
        <v>2.8061673200000001</v>
      </c>
      <c r="AL555">
        <v>0</v>
      </c>
      <c r="AM555" t="s">
        <v>1853</v>
      </c>
      <c r="AN555" t="s">
        <v>132</v>
      </c>
      <c r="BH555">
        <v>101</v>
      </c>
      <c r="CE55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55" s="19">
        <f>SUM(Table1[[#This Row],[Mid39]],Table1[[#This Row],[Mid36]],Table1[[#This Row],[Mid33]],Table1[[#This Row],[Mid30]],Table1[[#This Row],[Mid27]],Table1[[#This Row],[Mid24]],Table1[[#This Row],[Mid21]],Table1[[#This Row],[Mid18]],Table1[[#This Row],[Mid15]],Table1[[#This Row],[Mid12]],Table1[[#This Row],[Mid9]],Table1[[#This Row],[Mid6]],Table1[[#This Row],[Mid3]],Table1[[#This Row],[Mid]])</f>
        <v>101</v>
      </c>
      <c r="CG55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55" t="s">
        <v>133</v>
      </c>
      <c r="CI555" t="s">
        <v>134</v>
      </c>
      <c r="CJ555" t="s">
        <v>158</v>
      </c>
      <c r="CL555" s="19">
        <f>IF(Table1[[#This Row],[Type]]="Petroleum",1,IF(ISERROR(Table1[[#This Row],[Well Density]]*Table1[[#This Row],[Single Well Discovery Area]]),"",IF(Table1[[#This Row],[Well Density]]*Table1[[#This Row],[Single Well Discovery Area]]&gt;1,1,Table1[[#This Row],[Well Density]]*Table1[[#This Row],[Single Well Discovery Area]])))</f>
        <v>1</v>
      </c>
      <c r="CM555" t="s">
        <v>158</v>
      </c>
      <c r="CN555" s="19">
        <f>Table1[[#This Row],[Mid]]</f>
        <v>0</v>
      </c>
      <c r="CO555" s="19">
        <f>Table1[[#This Row],[Mid3]]+Table1[[#This Row],[Mid6]]+Table1[[#This Row],[Mid9]]</f>
        <v>0</v>
      </c>
      <c r="CP555" s="19">
        <f>Table1[[#This Row],[Mid12]]+Table1[[#This Row],[Mid15]]+Table1[[#This Row],[Mid18]]+Table1[[#This Row],[Mid21]]+Table1[[#This Row],[Mid24]]</f>
        <v>101</v>
      </c>
      <c r="CQ555" s="19">
        <f>Table1[[#This Row],[Mid27]]+Table1[[#This Row],[Mid30]]+Table1[[#This Row],[Mid33]]+Table1[[#This Row],[Mid36]]+Table1[[#This Row],[Mid39]]</f>
        <v>0</v>
      </c>
      <c r="CR555" t="s">
        <v>415</v>
      </c>
      <c r="CS555" s="19" t="str">
        <f>IF(AND(Table1[[#This Row],[Low41]]=0, Table1[[#This Row],[High43]]=0),"N","Y")</f>
        <v>N</v>
      </c>
    </row>
    <row r="556" spans="1:97" ht="19.5" customHeight="1" x14ac:dyDescent="0.25">
      <c r="A556">
        <v>10554</v>
      </c>
      <c r="B556" t="s">
        <v>1635</v>
      </c>
      <c r="C556" t="s">
        <v>1449</v>
      </c>
      <c r="D556">
        <v>56.59333333</v>
      </c>
      <c r="E556">
        <v>2.193333333</v>
      </c>
      <c r="F556" t="s">
        <v>1854</v>
      </c>
      <c r="G556" t="s">
        <v>1779</v>
      </c>
      <c r="H556" t="s">
        <v>1780</v>
      </c>
      <c r="I556" t="s">
        <v>118</v>
      </c>
      <c r="J556" t="s">
        <v>119</v>
      </c>
      <c r="K556" t="s">
        <v>190</v>
      </c>
      <c r="L556" t="s">
        <v>121</v>
      </c>
      <c r="M556" t="s">
        <v>1465</v>
      </c>
      <c r="N556" s="6" t="s">
        <v>1663</v>
      </c>
      <c r="O556" t="s">
        <v>1855</v>
      </c>
      <c r="P556" t="s">
        <v>1856</v>
      </c>
      <c r="Q556" t="s">
        <v>1851</v>
      </c>
      <c r="R556" t="s">
        <v>1852</v>
      </c>
      <c r="S556">
        <v>2015</v>
      </c>
      <c r="T556" t="s">
        <v>153</v>
      </c>
      <c r="U556" t="s">
        <v>173</v>
      </c>
      <c r="V556">
        <v>5371</v>
      </c>
      <c r="W556">
        <v>2805</v>
      </c>
      <c r="X556">
        <v>15</v>
      </c>
      <c r="Y556">
        <v>25</v>
      </c>
      <c r="Z556">
        <v>26</v>
      </c>
      <c r="AA556">
        <v>100</v>
      </c>
      <c r="AB556">
        <v>0</v>
      </c>
      <c r="AC556">
        <v>590</v>
      </c>
      <c r="AD556">
        <v>376</v>
      </c>
      <c r="AE556">
        <v>7.0005585999999995E-2</v>
      </c>
      <c r="AF556">
        <v>200</v>
      </c>
      <c r="AG556">
        <v>0</v>
      </c>
      <c r="AH556" t="s">
        <v>1717</v>
      </c>
      <c r="AI556">
        <v>0.6</v>
      </c>
      <c r="AK556">
        <v>0.92389783999999997</v>
      </c>
      <c r="AL556">
        <v>0</v>
      </c>
      <c r="AM556" t="s">
        <v>1821</v>
      </c>
      <c r="AN556" t="s">
        <v>132</v>
      </c>
      <c r="BH556">
        <v>22</v>
      </c>
      <c r="CE55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56" s="19">
        <f>SUM(Table1[[#This Row],[Mid39]],Table1[[#This Row],[Mid36]],Table1[[#This Row],[Mid33]],Table1[[#This Row],[Mid30]],Table1[[#This Row],[Mid27]],Table1[[#This Row],[Mid24]],Table1[[#This Row],[Mid21]],Table1[[#This Row],[Mid18]],Table1[[#This Row],[Mid15]],Table1[[#This Row],[Mid12]],Table1[[#This Row],[Mid9]],Table1[[#This Row],[Mid6]],Table1[[#This Row],[Mid3]],Table1[[#This Row],[Mid]])</f>
        <v>22</v>
      </c>
      <c r="CG55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56" t="s">
        <v>133</v>
      </c>
      <c r="CI556" t="s">
        <v>134</v>
      </c>
      <c r="CJ556" t="s">
        <v>158</v>
      </c>
      <c r="CL556" s="19">
        <f>IF(Table1[[#This Row],[Type]]="Petroleum",1,IF(ISERROR(Table1[[#This Row],[Well Density]]*Table1[[#This Row],[Single Well Discovery Area]]),"",IF(Table1[[#This Row],[Well Density]]*Table1[[#This Row],[Single Well Discovery Area]]&gt;1,1,Table1[[#This Row],[Well Density]]*Table1[[#This Row],[Single Well Discovery Area]])))</f>
        <v>1</v>
      </c>
      <c r="CM556" t="s">
        <v>158</v>
      </c>
      <c r="CN556" s="19">
        <f>Table1[[#This Row],[Mid]]</f>
        <v>0</v>
      </c>
      <c r="CO556" s="19">
        <f>Table1[[#This Row],[Mid3]]+Table1[[#This Row],[Mid6]]+Table1[[#This Row],[Mid9]]</f>
        <v>0</v>
      </c>
      <c r="CP556" s="19">
        <f>Table1[[#This Row],[Mid12]]+Table1[[#This Row],[Mid15]]+Table1[[#This Row],[Mid18]]+Table1[[#This Row],[Mid21]]+Table1[[#This Row],[Mid24]]</f>
        <v>22</v>
      </c>
      <c r="CQ556" s="19">
        <f>Table1[[#This Row],[Mid27]]+Table1[[#This Row],[Mid30]]+Table1[[#This Row],[Mid33]]+Table1[[#This Row],[Mid36]]+Table1[[#This Row],[Mid39]]</f>
        <v>0</v>
      </c>
      <c r="CR556" t="s">
        <v>415</v>
      </c>
      <c r="CS556" s="19" t="str">
        <f>IF(AND(Table1[[#This Row],[Low41]]=0, Table1[[#This Row],[High43]]=0),"N","Y")</f>
        <v>N</v>
      </c>
    </row>
    <row r="557" spans="1:97" ht="19.5" customHeight="1" x14ac:dyDescent="0.25">
      <c r="A557">
        <v>10555</v>
      </c>
      <c r="B557" t="s">
        <v>1635</v>
      </c>
      <c r="C557" t="s">
        <v>1449</v>
      </c>
      <c r="D557">
        <v>57.44194444</v>
      </c>
      <c r="E557">
        <v>1.391666667</v>
      </c>
      <c r="F557" t="s">
        <v>1857</v>
      </c>
      <c r="G557" t="s">
        <v>1779</v>
      </c>
      <c r="H557" t="s">
        <v>1795</v>
      </c>
      <c r="I557" t="s">
        <v>1648</v>
      </c>
      <c r="J557" t="s">
        <v>202</v>
      </c>
      <c r="K557" t="s">
        <v>203</v>
      </c>
      <c r="L557" t="s">
        <v>121</v>
      </c>
      <c r="M557" t="s">
        <v>487</v>
      </c>
      <c r="N557" s="6" t="s">
        <v>1639</v>
      </c>
      <c r="O557" t="s">
        <v>1644</v>
      </c>
      <c r="P557" t="s">
        <v>436</v>
      </c>
      <c r="Q557" t="s">
        <v>1641</v>
      </c>
      <c r="R557" t="s">
        <v>1642</v>
      </c>
      <c r="S557">
        <v>2015</v>
      </c>
      <c r="T557" t="s">
        <v>153</v>
      </c>
      <c r="U557" t="s">
        <v>1479</v>
      </c>
      <c r="V557">
        <v>0</v>
      </c>
      <c r="W557">
        <v>0</v>
      </c>
      <c r="X557">
        <v>0</v>
      </c>
      <c r="Y557">
        <v>0</v>
      </c>
      <c r="Z557">
        <v>0</v>
      </c>
      <c r="AA557">
        <v>0</v>
      </c>
      <c r="AB557">
        <v>0</v>
      </c>
      <c r="AC557">
        <v>0</v>
      </c>
      <c r="AD557">
        <v>0</v>
      </c>
      <c r="AF557">
        <v>200</v>
      </c>
      <c r="AG557">
        <v>0</v>
      </c>
      <c r="AI557">
        <v>0</v>
      </c>
      <c r="AJ557">
        <v>0</v>
      </c>
      <c r="AK557">
        <v>0</v>
      </c>
      <c r="AL557">
        <v>0</v>
      </c>
      <c r="AN557" t="s">
        <v>132</v>
      </c>
      <c r="AO557">
        <v>0</v>
      </c>
      <c r="AP557">
        <v>0</v>
      </c>
      <c r="AQ557">
        <v>0</v>
      </c>
      <c r="AR557">
        <v>0</v>
      </c>
      <c r="AS557">
        <v>0</v>
      </c>
      <c r="AT557">
        <v>0</v>
      </c>
      <c r="AU557">
        <v>0</v>
      </c>
      <c r="AV557">
        <v>0</v>
      </c>
      <c r="AW557">
        <v>0</v>
      </c>
      <c r="AX557">
        <v>0</v>
      </c>
      <c r="AY557">
        <v>0</v>
      </c>
      <c r="AZ557">
        <v>0</v>
      </c>
      <c r="BA557">
        <v>0</v>
      </c>
      <c r="BB557">
        <v>0</v>
      </c>
      <c r="BC557">
        <v>0</v>
      </c>
      <c r="BD557">
        <v>0</v>
      </c>
      <c r="BE557">
        <v>0</v>
      </c>
      <c r="BF557">
        <v>0</v>
      </c>
      <c r="BG557">
        <v>0</v>
      </c>
      <c r="BH557">
        <v>12</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0</v>
      </c>
      <c r="CB557">
        <v>0</v>
      </c>
      <c r="CC557">
        <v>0</v>
      </c>
      <c r="CD557">
        <v>0</v>
      </c>
      <c r="CE55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57" s="19">
        <f>SUM(Table1[[#This Row],[Mid39]],Table1[[#This Row],[Mid36]],Table1[[#This Row],[Mid33]],Table1[[#This Row],[Mid30]],Table1[[#This Row],[Mid27]],Table1[[#This Row],[Mid24]],Table1[[#This Row],[Mid21]],Table1[[#This Row],[Mid18]],Table1[[#This Row],[Mid15]],Table1[[#This Row],[Mid12]],Table1[[#This Row],[Mid9]],Table1[[#This Row],[Mid6]],Table1[[#This Row],[Mid3]],Table1[[#This Row],[Mid]])</f>
        <v>12</v>
      </c>
      <c r="CG55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57" t="s">
        <v>133</v>
      </c>
      <c r="CI557" t="s">
        <v>134</v>
      </c>
      <c r="CJ557" t="s">
        <v>158</v>
      </c>
      <c r="CL557" s="19">
        <f>IF(Table1[[#This Row],[Type]]="Petroleum",1,IF(ISERROR(Table1[[#This Row],[Well Density]]*Table1[[#This Row],[Single Well Discovery Area]]),"",IF(Table1[[#This Row],[Well Density]]*Table1[[#This Row],[Single Well Discovery Area]]&gt;1,1,Table1[[#This Row],[Well Density]]*Table1[[#This Row],[Single Well Discovery Area]])))</f>
        <v>1</v>
      </c>
      <c r="CM557" t="s">
        <v>158</v>
      </c>
      <c r="CN557" s="19">
        <f>Table1[[#This Row],[Mid]]</f>
        <v>0</v>
      </c>
      <c r="CO557" s="19">
        <f>Table1[[#This Row],[Mid3]]+Table1[[#This Row],[Mid6]]+Table1[[#This Row],[Mid9]]</f>
        <v>0</v>
      </c>
      <c r="CP557" s="19">
        <f>Table1[[#This Row],[Mid12]]+Table1[[#This Row],[Mid15]]+Table1[[#This Row],[Mid18]]+Table1[[#This Row],[Mid21]]+Table1[[#This Row],[Mid24]]</f>
        <v>12</v>
      </c>
      <c r="CQ557" s="19">
        <f>Table1[[#This Row],[Mid27]]+Table1[[#This Row],[Mid30]]+Table1[[#This Row],[Mid33]]+Table1[[#This Row],[Mid36]]+Table1[[#This Row],[Mid39]]</f>
        <v>0</v>
      </c>
      <c r="CR557" t="s">
        <v>415</v>
      </c>
      <c r="CS557" s="19" t="str">
        <f>IF(AND(Table1[[#This Row],[Low41]]=0, Table1[[#This Row],[High43]]=0),"N","Y")</f>
        <v>N</v>
      </c>
    </row>
    <row r="558" spans="1:97" ht="19.5" customHeight="1" x14ac:dyDescent="0.25">
      <c r="A558">
        <v>10556</v>
      </c>
      <c r="B558" t="s">
        <v>1635</v>
      </c>
      <c r="C558" t="s">
        <v>1449</v>
      </c>
      <c r="D558">
        <v>54.25</v>
      </c>
      <c r="E558">
        <v>2.3199999999999998</v>
      </c>
      <c r="F558" t="s">
        <v>1858</v>
      </c>
      <c r="G558" t="s">
        <v>1687</v>
      </c>
      <c r="H558" t="s">
        <v>1701</v>
      </c>
      <c r="I558" t="s">
        <v>1606</v>
      </c>
      <c r="J558" t="s">
        <v>202</v>
      </c>
      <c r="K558" t="s">
        <v>203</v>
      </c>
      <c r="L558" t="s">
        <v>121</v>
      </c>
      <c r="M558" t="s">
        <v>606</v>
      </c>
      <c r="N558" s="6" t="s">
        <v>1639</v>
      </c>
      <c r="O558" t="s">
        <v>1750</v>
      </c>
      <c r="P558" t="s">
        <v>436</v>
      </c>
      <c r="Q558" t="s">
        <v>1641</v>
      </c>
      <c r="R558" t="s">
        <v>1859</v>
      </c>
      <c r="S558">
        <v>2015</v>
      </c>
      <c r="T558" t="s">
        <v>771</v>
      </c>
      <c r="U558" t="s">
        <v>1479</v>
      </c>
      <c r="V558">
        <v>0</v>
      </c>
      <c r="W558">
        <v>0</v>
      </c>
      <c r="X558">
        <v>0</v>
      </c>
      <c r="Y558">
        <v>0</v>
      </c>
      <c r="Z558">
        <v>0</v>
      </c>
      <c r="AA558">
        <v>0</v>
      </c>
      <c r="AB558">
        <v>0</v>
      </c>
      <c r="AC558">
        <v>0</v>
      </c>
      <c r="AD558">
        <v>0</v>
      </c>
      <c r="AF558">
        <v>200</v>
      </c>
      <c r="AG558">
        <v>0</v>
      </c>
      <c r="AI558">
        <v>0</v>
      </c>
      <c r="AJ558">
        <v>0</v>
      </c>
      <c r="AK558">
        <v>0</v>
      </c>
      <c r="AL558">
        <v>0</v>
      </c>
      <c r="AN558" t="s">
        <v>132</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36</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0</v>
      </c>
      <c r="CC558">
        <v>0</v>
      </c>
      <c r="CD558">
        <v>0</v>
      </c>
      <c r="CE55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58" s="19">
        <f>SUM(Table1[[#This Row],[Mid39]],Table1[[#This Row],[Mid36]],Table1[[#This Row],[Mid33]],Table1[[#This Row],[Mid30]],Table1[[#This Row],[Mid27]],Table1[[#This Row],[Mid24]],Table1[[#This Row],[Mid21]],Table1[[#This Row],[Mid18]],Table1[[#This Row],[Mid15]],Table1[[#This Row],[Mid12]],Table1[[#This Row],[Mid9]],Table1[[#This Row],[Mid6]],Table1[[#This Row],[Mid3]],Table1[[#This Row],[Mid]])</f>
        <v>36</v>
      </c>
      <c r="CG55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58" t="s">
        <v>133</v>
      </c>
      <c r="CI558" t="s">
        <v>134</v>
      </c>
      <c r="CJ558" t="s">
        <v>158</v>
      </c>
      <c r="CL558" s="19">
        <f>IF(Table1[[#This Row],[Type]]="Petroleum",1,IF(ISERROR(Table1[[#This Row],[Well Density]]*Table1[[#This Row],[Single Well Discovery Area]]),"",IF(Table1[[#This Row],[Well Density]]*Table1[[#This Row],[Single Well Discovery Area]]&gt;1,1,Table1[[#This Row],[Well Density]]*Table1[[#This Row],[Single Well Discovery Area]])))</f>
        <v>1</v>
      </c>
      <c r="CM558" t="s">
        <v>158</v>
      </c>
      <c r="CN558" s="19">
        <f>Table1[[#This Row],[Mid]]</f>
        <v>0</v>
      </c>
      <c r="CO558" s="19">
        <f>Table1[[#This Row],[Mid3]]+Table1[[#This Row],[Mid6]]+Table1[[#This Row],[Mid9]]</f>
        <v>0</v>
      </c>
      <c r="CP558" s="19">
        <f>Table1[[#This Row],[Mid12]]+Table1[[#This Row],[Mid15]]+Table1[[#This Row],[Mid18]]+Table1[[#This Row],[Mid21]]+Table1[[#This Row],[Mid24]]</f>
        <v>36</v>
      </c>
      <c r="CQ558" s="19">
        <f>Table1[[#This Row],[Mid27]]+Table1[[#This Row],[Mid30]]+Table1[[#This Row],[Mid33]]+Table1[[#This Row],[Mid36]]+Table1[[#This Row],[Mid39]]</f>
        <v>0</v>
      </c>
      <c r="CR558" t="s">
        <v>415</v>
      </c>
      <c r="CS558" s="19" t="str">
        <f>IF(AND(Table1[[#This Row],[Low41]]=0, Table1[[#This Row],[High43]]=0),"N","Y")</f>
        <v>N</v>
      </c>
    </row>
    <row r="559" spans="1:97" ht="19.5" customHeight="1" x14ac:dyDescent="0.25">
      <c r="A559">
        <v>10557</v>
      </c>
      <c r="B559" t="s">
        <v>1635</v>
      </c>
      <c r="C559" t="s">
        <v>1449</v>
      </c>
      <c r="D559">
        <v>57.651944440000001</v>
      </c>
      <c r="E559">
        <v>1.140277778</v>
      </c>
      <c r="F559" t="s">
        <v>1860</v>
      </c>
      <c r="G559" t="s">
        <v>1779</v>
      </c>
      <c r="H559" t="s">
        <v>1795</v>
      </c>
      <c r="I559" t="s">
        <v>1648</v>
      </c>
      <c r="J559" t="s">
        <v>202</v>
      </c>
      <c r="K559" t="s">
        <v>203</v>
      </c>
      <c r="L559" t="s">
        <v>121</v>
      </c>
      <c r="M559" t="s">
        <v>487</v>
      </c>
      <c r="N559" s="6" t="s">
        <v>1639</v>
      </c>
      <c r="O559" t="s">
        <v>1644</v>
      </c>
      <c r="P559" t="s">
        <v>1803</v>
      </c>
      <c r="Q559" t="s">
        <v>1804</v>
      </c>
      <c r="R559" t="s">
        <v>1861</v>
      </c>
      <c r="S559">
        <v>2015</v>
      </c>
      <c r="T559" t="s">
        <v>771</v>
      </c>
      <c r="U559" t="s">
        <v>1479</v>
      </c>
      <c r="V559">
        <v>0</v>
      </c>
      <c r="W559">
        <v>0</v>
      </c>
      <c r="X559">
        <v>0</v>
      </c>
      <c r="Y559">
        <v>0.72</v>
      </c>
      <c r="Z559">
        <v>25</v>
      </c>
      <c r="AA559">
        <v>376</v>
      </c>
      <c r="AB559">
        <v>0</v>
      </c>
      <c r="AC559">
        <v>0</v>
      </c>
      <c r="AD559">
        <v>0</v>
      </c>
      <c r="AF559">
        <v>200</v>
      </c>
      <c r="AG559">
        <v>0</v>
      </c>
      <c r="AI559">
        <v>0</v>
      </c>
      <c r="AJ559">
        <v>0</v>
      </c>
      <c r="AK559">
        <v>0</v>
      </c>
      <c r="AL559">
        <v>0</v>
      </c>
      <c r="AM559" t="s">
        <v>1806</v>
      </c>
      <c r="AN559" t="s">
        <v>132</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68</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59" s="19">
        <f>SUM(Table1[[#This Row],[Mid39]],Table1[[#This Row],[Mid36]],Table1[[#This Row],[Mid33]],Table1[[#This Row],[Mid30]],Table1[[#This Row],[Mid27]],Table1[[#This Row],[Mid24]],Table1[[#This Row],[Mid21]],Table1[[#This Row],[Mid18]],Table1[[#This Row],[Mid15]],Table1[[#This Row],[Mid12]],Table1[[#This Row],[Mid9]],Table1[[#This Row],[Mid6]],Table1[[#This Row],[Mid3]],Table1[[#This Row],[Mid]])</f>
        <v>68</v>
      </c>
      <c r="CG55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59" t="s">
        <v>133</v>
      </c>
      <c r="CI559" t="s">
        <v>134</v>
      </c>
      <c r="CJ559" t="s">
        <v>158</v>
      </c>
      <c r="CL559" s="19">
        <f>IF(Table1[[#This Row],[Type]]="Petroleum",1,IF(ISERROR(Table1[[#This Row],[Well Density]]*Table1[[#This Row],[Single Well Discovery Area]]),"",IF(Table1[[#This Row],[Well Density]]*Table1[[#This Row],[Single Well Discovery Area]]&gt;1,1,Table1[[#This Row],[Well Density]]*Table1[[#This Row],[Single Well Discovery Area]])))</f>
        <v>1</v>
      </c>
      <c r="CM559" t="s">
        <v>158</v>
      </c>
      <c r="CN559" s="19">
        <f>Table1[[#This Row],[Mid]]</f>
        <v>0</v>
      </c>
      <c r="CO559" s="19">
        <f>Table1[[#This Row],[Mid3]]+Table1[[#This Row],[Mid6]]+Table1[[#This Row],[Mid9]]</f>
        <v>0</v>
      </c>
      <c r="CP559" s="19">
        <f>Table1[[#This Row],[Mid12]]+Table1[[#This Row],[Mid15]]+Table1[[#This Row],[Mid18]]+Table1[[#This Row],[Mid21]]+Table1[[#This Row],[Mid24]]</f>
        <v>68</v>
      </c>
      <c r="CQ559" s="19">
        <f>Table1[[#This Row],[Mid27]]+Table1[[#This Row],[Mid30]]+Table1[[#This Row],[Mid33]]+Table1[[#This Row],[Mid36]]+Table1[[#This Row],[Mid39]]</f>
        <v>0</v>
      </c>
      <c r="CR559" t="s">
        <v>415</v>
      </c>
      <c r="CS559" s="19" t="str">
        <f>IF(AND(Table1[[#This Row],[Low41]]=0, Table1[[#This Row],[High43]]=0),"N","Y")</f>
        <v>N</v>
      </c>
    </row>
    <row r="560" spans="1:97" ht="19.5" customHeight="1" x14ac:dyDescent="0.25">
      <c r="A560">
        <v>10558</v>
      </c>
      <c r="B560" t="s">
        <v>1635</v>
      </c>
      <c r="C560" t="s">
        <v>1449</v>
      </c>
      <c r="D560">
        <v>53.977499999999999</v>
      </c>
      <c r="E560">
        <v>0.78916666700000004</v>
      </c>
      <c r="F560" t="s">
        <v>1862</v>
      </c>
      <c r="G560" t="s">
        <v>1687</v>
      </c>
      <c r="H560" t="s">
        <v>1688</v>
      </c>
      <c r="I560" t="s">
        <v>1606</v>
      </c>
      <c r="J560" t="s">
        <v>202</v>
      </c>
      <c r="K560" t="s">
        <v>203</v>
      </c>
      <c r="L560" t="s">
        <v>121</v>
      </c>
      <c r="M560" t="s">
        <v>1689</v>
      </c>
      <c r="N560" s="6" t="s">
        <v>1639</v>
      </c>
      <c r="O560" t="s">
        <v>1644</v>
      </c>
      <c r="P560" t="s">
        <v>436</v>
      </c>
      <c r="Q560" t="s">
        <v>1641</v>
      </c>
      <c r="R560" t="s">
        <v>1642</v>
      </c>
      <c r="S560">
        <v>2015</v>
      </c>
      <c r="T560" t="s">
        <v>153</v>
      </c>
      <c r="U560" t="s">
        <v>173</v>
      </c>
      <c r="V560"/>
      <c r="AF560">
        <v>200</v>
      </c>
      <c r="AG560">
        <v>0</v>
      </c>
      <c r="AK560">
        <v>0</v>
      </c>
      <c r="AL560">
        <v>0</v>
      </c>
      <c r="AN560" t="s">
        <v>132</v>
      </c>
      <c r="BH560">
        <v>34</v>
      </c>
      <c r="CE56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60" s="19">
        <f>SUM(Table1[[#This Row],[Mid39]],Table1[[#This Row],[Mid36]],Table1[[#This Row],[Mid33]],Table1[[#This Row],[Mid30]],Table1[[#This Row],[Mid27]],Table1[[#This Row],[Mid24]],Table1[[#This Row],[Mid21]],Table1[[#This Row],[Mid18]],Table1[[#This Row],[Mid15]],Table1[[#This Row],[Mid12]],Table1[[#This Row],[Mid9]],Table1[[#This Row],[Mid6]],Table1[[#This Row],[Mid3]],Table1[[#This Row],[Mid]])</f>
        <v>34</v>
      </c>
      <c r="CG56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60" t="s">
        <v>133</v>
      </c>
      <c r="CI560" t="s">
        <v>134</v>
      </c>
      <c r="CJ560" t="s">
        <v>158</v>
      </c>
      <c r="CL560" s="19">
        <f>IF(Table1[[#This Row],[Type]]="Petroleum",1,IF(ISERROR(Table1[[#This Row],[Well Density]]*Table1[[#This Row],[Single Well Discovery Area]]),"",IF(Table1[[#This Row],[Well Density]]*Table1[[#This Row],[Single Well Discovery Area]]&gt;1,1,Table1[[#This Row],[Well Density]]*Table1[[#This Row],[Single Well Discovery Area]])))</f>
        <v>1</v>
      </c>
      <c r="CM560" t="s">
        <v>158</v>
      </c>
      <c r="CN560" s="19">
        <f>Table1[[#This Row],[Mid]]</f>
        <v>0</v>
      </c>
      <c r="CO560" s="19">
        <f>Table1[[#This Row],[Mid3]]+Table1[[#This Row],[Mid6]]+Table1[[#This Row],[Mid9]]</f>
        <v>0</v>
      </c>
      <c r="CP560" s="19">
        <f>Table1[[#This Row],[Mid12]]+Table1[[#This Row],[Mid15]]+Table1[[#This Row],[Mid18]]+Table1[[#This Row],[Mid21]]+Table1[[#This Row],[Mid24]]</f>
        <v>34</v>
      </c>
      <c r="CQ560" s="19">
        <f>Table1[[#This Row],[Mid27]]+Table1[[#This Row],[Mid30]]+Table1[[#This Row],[Mid33]]+Table1[[#This Row],[Mid36]]+Table1[[#This Row],[Mid39]]</f>
        <v>0</v>
      </c>
      <c r="CR560" t="s">
        <v>415</v>
      </c>
      <c r="CS560" s="19" t="str">
        <f>IF(AND(Table1[[#This Row],[Low41]]=0, Table1[[#This Row],[High43]]=0),"N","Y")</f>
        <v>N</v>
      </c>
    </row>
    <row r="561" spans="1:97" ht="19.5" customHeight="1" x14ac:dyDescent="0.25">
      <c r="A561">
        <v>10559</v>
      </c>
      <c r="B561" t="s">
        <v>1635</v>
      </c>
      <c r="C561" t="s">
        <v>1449</v>
      </c>
      <c r="D561">
        <v>53.371666670000003</v>
      </c>
      <c r="E561">
        <v>2.0108333329999999</v>
      </c>
      <c r="F561" t="s">
        <v>1863</v>
      </c>
      <c r="G561" t="s">
        <v>1687</v>
      </c>
      <c r="H561" t="s">
        <v>1688</v>
      </c>
      <c r="I561" t="s">
        <v>1606</v>
      </c>
      <c r="J561" t="s">
        <v>202</v>
      </c>
      <c r="K561" t="s">
        <v>203</v>
      </c>
      <c r="L561" t="s">
        <v>121</v>
      </c>
      <c r="M561" t="s">
        <v>1689</v>
      </c>
      <c r="N561" s="6" t="s">
        <v>1639</v>
      </c>
      <c r="O561" t="s">
        <v>1864</v>
      </c>
      <c r="P561" t="s">
        <v>436</v>
      </c>
      <c r="Q561" t="s">
        <v>1641</v>
      </c>
      <c r="R561" t="s">
        <v>1642</v>
      </c>
      <c r="S561">
        <v>2015</v>
      </c>
      <c r="T561" t="s">
        <v>771</v>
      </c>
      <c r="U561" t="s">
        <v>1479</v>
      </c>
      <c r="V561"/>
      <c r="AF561">
        <v>200</v>
      </c>
      <c r="AG561">
        <v>0</v>
      </c>
      <c r="AK561">
        <v>0</v>
      </c>
      <c r="AL561">
        <v>0</v>
      </c>
      <c r="AN561" t="s">
        <v>132</v>
      </c>
      <c r="BH561">
        <v>20</v>
      </c>
      <c r="CE56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61" s="19">
        <f>SUM(Table1[[#This Row],[Mid39]],Table1[[#This Row],[Mid36]],Table1[[#This Row],[Mid33]],Table1[[#This Row],[Mid30]],Table1[[#This Row],[Mid27]],Table1[[#This Row],[Mid24]],Table1[[#This Row],[Mid21]],Table1[[#This Row],[Mid18]],Table1[[#This Row],[Mid15]],Table1[[#This Row],[Mid12]],Table1[[#This Row],[Mid9]],Table1[[#This Row],[Mid6]],Table1[[#This Row],[Mid3]],Table1[[#This Row],[Mid]])</f>
        <v>20</v>
      </c>
      <c r="CG56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61" t="s">
        <v>133</v>
      </c>
      <c r="CI561" t="s">
        <v>134</v>
      </c>
      <c r="CJ561" t="s">
        <v>158</v>
      </c>
      <c r="CL561" s="19">
        <f>IF(Table1[[#This Row],[Type]]="Petroleum",1,IF(ISERROR(Table1[[#This Row],[Well Density]]*Table1[[#This Row],[Single Well Discovery Area]]),"",IF(Table1[[#This Row],[Well Density]]*Table1[[#This Row],[Single Well Discovery Area]]&gt;1,1,Table1[[#This Row],[Well Density]]*Table1[[#This Row],[Single Well Discovery Area]])))</f>
        <v>1</v>
      </c>
      <c r="CM561" t="s">
        <v>158</v>
      </c>
      <c r="CN561" s="19">
        <f>Table1[[#This Row],[Mid]]</f>
        <v>0</v>
      </c>
      <c r="CO561" s="19">
        <f>Table1[[#This Row],[Mid3]]+Table1[[#This Row],[Mid6]]+Table1[[#This Row],[Mid9]]</f>
        <v>0</v>
      </c>
      <c r="CP561" s="19">
        <f>Table1[[#This Row],[Mid12]]+Table1[[#This Row],[Mid15]]+Table1[[#This Row],[Mid18]]+Table1[[#This Row],[Mid21]]+Table1[[#This Row],[Mid24]]</f>
        <v>20</v>
      </c>
      <c r="CQ561" s="19">
        <f>Table1[[#This Row],[Mid27]]+Table1[[#This Row],[Mid30]]+Table1[[#This Row],[Mid33]]+Table1[[#This Row],[Mid36]]+Table1[[#This Row],[Mid39]]</f>
        <v>0</v>
      </c>
      <c r="CR561" t="s">
        <v>415</v>
      </c>
      <c r="CS561" s="19" t="str">
        <f>IF(AND(Table1[[#This Row],[Low41]]=0, Table1[[#This Row],[High43]]=0),"N","Y")</f>
        <v>N</v>
      </c>
    </row>
    <row r="562" spans="1:97" ht="19.5" customHeight="1" x14ac:dyDescent="0.25">
      <c r="A562">
        <v>10560</v>
      </c>
      <c r="B562" t="s">
        <v>1635</v>
      </c>
      <c r="C562" t="s">
        <v>1449</v>
      </c>
      <c r="D562">
        <v>51</v>
      </c>
      <c r="E562">
        <v>-3.3333333E-2</v>
      </c>
      <c r="F562" t="s">
        <v>1865</v>
      </c>
      <c r="G562" t="s">
        <v>1687</v>
      </c>
      <c r="I562" t="s">
        <v>118</v>
      </c>
      <c r="J562" t="s">
        <v>202</v>
      </c>
      <c r="K562" t="s">
        <v>203</v>
      </c>
      <c r="L562" t="s">
        <v>121</v>
      </c>
      <c r="N562" s="6" t="s">
        <v>1866</v>
      </c>
      <c r="O562" t="s">
        <v>1867</v>
      </c>
      <c r="P562" t="s">
        <v>170</v>
      </c>
      <c r="Q562" t="s">
        <v>1868</v>
      </c>
      <c r="R562" t="s">
        <v>1869</v>
      </c>
      <c r="S562">
        <v>2014</v>
      </c>
      <c r="T562" t="s">
        <v>153</v>
      </c>
      <c r="U562" t="s">
        <v>173</v>
      </c>
      <c r="V562"/>
      <c r="AF562">
        <v>200</v>
      </c>
      <c r="AG562">
        <v>0</v>
      </c>
      <c r="AK562">
        <v>0</v>
      </c>
      <c r="AL562">
        <v>0</v>
      </c>
      <c r="AN562" t="s">
        <v>132</v>
      </c>
      <c r="BH562">
        <v>275</v>
      </c>
      <c r="CE56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62" s="19">
        <f>SUM(Table1[[#This Row],[Mid39]],Table1[[#This Row],[Mid36]],Table1[[#This Row],[Mid33]],Table1[[#This Row],[Mid30]],Table1[[#This Row],[Mid27]],Table1[[#This Row],[Mid24]],Table1[[#This Row],[Mid21]],Table1[[#This Row],[Mid18]],Table1[[#This Row],[Mid15]],Table1[[#This Row],[Mid12]],Table1[[#This Row],[Mid9]],Table1[[#This Row],[Mid6]],Table1[[#This Row],[Mid3]],Table1[[#This Row],[Mid]])</f>
        <v>275</v>
      </c>
      <c r="CG56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62" t="s">
        <v>133</v>
      </c>
      <c r="CI562" t="s">
        <v>134</v>
      </c>
      <c r="CJ562" t="s">
        <v>158</v>
      </c>
      <c r="CL562" s="19">
        <f>IF(Table1[[#This Row],[Type]]="Petroleum",1,IF(ISERROR(Table1[[#This Row],[Well Density]]*Table1[[#This Row],[Single Well Discovery Area]]),"",IF(Table1[[#This Row],[Well Density]]*Table1[[#This Row],[Single Well Discovery Area]]&gt;1,1,Table1[[#This Row],[Well Density]]*Table1[[#This Row],[Single Well Discovery Area]])))</f>
        <v>1</v>
      </c>
      <c r="CM562" t="s">
        <v>158</v>
      </c>
      <c r="CN562" s="19">
        <f>Table1[[#This Row],[Mid]]</f>
        <v>0</v>
      </c>
      <c r="CO562" s="19">
        <f>Table1[[#This Row],[Mid3]]+Table1[[#This Row],[Mid6]]+Table1[[#This Row],[Mid9]]</f>
        <v>0</v>
      </c>
      <c r="CP562" s="19">
        <f>Table1[[#This Row],[Mid12]]+Table1[[#This Row],[Mid15]]+Table1[[#This Row],[Mid18]]+Table1[[#This Row],[Mid21]]+Table1[[#This Row],[Mid24]]</f>
        <v>275</v>
      </c>
      <c r="CQ562" s="19">
        <f>Table1[[#This Row],[Mid27]]+Table1[[#This Row],[Mid30]]+Table1[[#This Row],[Mid33]]+Table1[[#This Row],[Mid36]]+Table1[[#This Row],[Mid39]]</f>
        <v>0</v>
      </c>
      <c r="CR562" t="s">
        <v>415</v>
      </c>
      <c r="CS562" s="19" t="str">
        <f>IF(AND(Table1[[#This Row],[Low41]]=0, Table1[[#This Row],[High43]]=0),"N","Y")</f>
        <v>N</v>
      </c>
    </row>
    <row r="563" spans="1:97" ht="19.5" customHeight="1" x14ac:dyDescent="0.25">
      <c r="A563">
        <v>10561</v>
      </c>
      <c r="B563" t="s">
        <v>1635</v>
      </c>
      <c r="C563" t="s">
        <v>1449</v>
      </c>
      <c r="D563">
        <v>51</v>
      </c>
      <c r="E563">
        <v>-0.05</v>
      </c>
      <c r="F563" t="s">
        <v>1870</v>
      </c>
      <c r="G563" t="s">
        <v>1687</v>
      </c>
      <c r="I563" t="s">
        <v>582</v>
      </c>
      <c r="J563" t="s">
        <v>202</v>
      </c>
      <c r="K563" t="s">
        <v>203</v>
      </c>
      <c r="L563" t="s">
        <v>121</v>
      </c>
      <c r="N563" s="6" t="s">
        <v>1866</v>
      </c>
      <c r="O563" t="s">
        <v>1871</v>
      </c>
      <c r="P563" t="s">
        <v>170</v>
      </c>
      <c r="Q563" t="s">
        <v>1868</v>
      </c>
      <c r="R563" t="s">
        <v>1869</v>
      </c>
      <c r="S563">
        <v>2014</v>
      </c>
      <c r="T563" t="s">
        <v>153</v>
      </c>
      <c r="U563" t="s">
        <v>173</v>
      </c>
      <c r="V563"/>
      <c r="AF563">
        <v>200</v>
      </c>
      <c r="AG563">
        <v>0</v>
      </c>
      <c r="AK563">
        <v>0</v>
      </c>
      <c r="AL563">
        <v>0</v>
      </c>
      <c r="AN563" t="s">
        <v>132</v>
      </c>
      <c r="BH563">
        <v>2414</v>
      </c>
      <c r="CE56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63" s="19">
        <f>SUM(Table1[[#This Row],[Mid39]],Table1[[#This Row],[Mid36]],Table1[[#This Row],[Mid33]],Table1[[#This Row],[Mid30]],Table1[[#This Row],[Mid27]],Table1[[#This Row],[Mid24]],Table1[[#This Row],[Mid21]],Table1[[#This Row],[Mid18]],Table1[[#This Row],[Mid15]],Table1[[#This Row],[Mid12]],Table1[[#This Row],[Mid9]],Table1[[#This Row],[Mid6]],Table1[[#This Row],[Mid3]],Table1[[#This Row],[Mid]])</f>
        <v>2414</v>
      </c>
      <c r="CG56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63" t="s">
        <v>157</v>
      </c>
      <c r="CI563" t="s">
        <v>134</v>
      </c>
      <c r="CJ563" t="s">
        <v>158</v>
      </c>
      <c r="CL563" s="19">
        <f>IF(Table1[[#This Row],[Type]]="Petroleum",1,IF(ISERROR(Table1[[#This Row],[Well Density]]*Table1[[#This Row],[Single Well Discovery Area]]),"",IF(Table1[[#This Row],[Well Density]]*Table1[[#This Row],[Single Well Discovery Area]]&gt;1,1,Table1[[#This Row],[Well Density]]*Table1[[#This Row],[Single Well Discovery Area]])))</f>
        <v>1</v>
      </c>
      <c r="CM563" t="s">
        <v>158</v>
      </c>
      <c r="CN563" s="19">
        <f>Table1[[#This Row],[Mid]]</f>
        <v>0</v>
      </c>
      <c r="CO563" s="19">
        <f>Table1[[#This Row],[Mid3]]+Table1[[#This Row],[Mid6]]+Table1[[#This Row],[Mid9]]</f>
        <v>0</v>
      </c>
      <c r="CP563" s="19">
        <f>Table1[[#This Row],[Mid12]]+Table1[[#This Row],[Mid15]]+Table1[[#This Row],[Mid18]]+Table1[[#This Row],[Mid21]]+Table1[[#This Row],[Mid24]]</f>
        <v>2414</v>
      </c>
      <c r="CQ563" s="19">
        <f>Table1[[#This Row],[Mid27]]+Table1[[#This Row],[Mid30]]+Table1[[#This Row],[Mid33]]+Table1[[#This Row],[Mid36]]+Table1[[#This Row],[Mid39]]</f>
        <v>0</v>
      </c>
      <c r="CR563" t="s">
        <v>415</v>
      </c>
      <c r="CS563" s="19" t="str">
        <f>IF(AND(Table1[[#This Row],[Low41]]=0, Table1[[#This Row],[High43]]=0),"N","Y")</f>
        <v>N</v>
      </c>
    </row>
    <row r="564" spans="1:97" ht="19.5" customHeight="1" x14ac:dyDescent="0.25">
      <c r="A564">
        <v>10562</v>
      </c>
      <c r="B564" t="s">
        <v>1635</v>
      </c>
      <c r="C564" t="s">
        <v>1449</v>
      </c>
      <c r="D564">
        <v>51</v>
      </c>
      <c r="E564">
        <v>-1.6666667E-2</v>
      </c>
      <c r="F564" t="s">
        <v>1872</v>
      </c>
      <c r="G564" t="s">
        <v>1687</v>
      </c>
      <c r="I564" t="s">
        <v>118</v>
      </c>
      <c r="J564" t="s">
        <v>119</v>
      </c>
      <c r="K564" t="s">
        <v>120</v>
      </c>
      <c r="L564" t="s">
        <v>18</v>
      </c>
      <c r="N564" s="6" t="s">
        <v>1866</v>
      </c>
      <c r="O564" t="s">
        <v>1873</v>
      </c>
      <c r="P564" t="s">
        <v>170</v>
      </c>
      <c r="Q564" t="s">
        <v>1868</v>
      </c>
      <c r="R564" t="s">
        <v>1869</v>
      </c>
      <c r="S564">
        <v>2014</v>
      </c>
      <c r="T564" t="s">
        <v>153</v>
      </c>
      <c r="U564" t="s">
        <v>173</v>
      </c>
      <c r="V564"/>
      <c r="AF564">
        <v>20</v>
      </c>
      <c r="AG564">
        <v>0</v>
      </c>
      <c r="AK564">
        <v>0</v>
      </c>
      <c r="AL564">
        <v>0</v>
      </c>
      <c r="AN564" t="s">
        <v>132</v>
      </c>
      <c r="BZ564">
        <v>9000</v>
      </c>
      <c r="CE56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64" s="19">
        <f>SUM(Table1[[#This Row],[Mid39]],Table1[[#This Row],[Mid36]],Table1[[#This Row],[Mid33]],Table1[[#This Row],[Mid30]],Table1[[#This Row],[Mid27]],Table1[[#This Row],[Mid24]],Table1[[#This Row],[Mid21]],Table1[[#This Row],[Mid18]],Table1[[#This Row],[Mid15]],Table1[[#This Row],[Mid12]],Table1[[#This Row],[Mid9]],Table1[[#This Row],[Mid6]],Table1[[#This Row],[Mid3]],Table1[[#This Row],[Mid]])</f>
        <v>9000</v>
      </c>
      <c r="CG56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64" t="s">
        <v>157</v>
      </c>
      <c r="CI564" t="s">
        <v>176</v>
      </c>
      <c r="CJ564" t="s">
        <v>158</v>
      </c>
      <c r="CL564" s="19">
        <f>IF(Table1[[#This Row],[Type]]="Petroleum",1,IF(ISERROR(Table1[[#This Row],[Well Density]]*Table1[[#This Row],[Single Well Discovery Area]]),"",IF(Table1[[#This Row],[Well Density]]*Table1[[#This Row],[Single Well Discovery Area]]&gt;1,1,Table1[[#This Row],[Well Density]]*Table1[[#This Row],[Single Well Discovery Area]])))</f>
        <v>0</v>
      </c>
      <c r="CM564" t="s">
        <v>158</v>
      </c>
      <c r="CN564" s="19">
        <f>Table1[[#This Row],[Mid]]</f>
        <v>0</v>
      </c>
      <c r="CO564" s="19">
        <f>Table1[[#This Row],[Mid3]]+Table1[[#This Row],[Mid6]]+Table1[[#This Row],[Mid9]]</f>
        <v>0</v>
      </c>
      <c r="CP564" s="19">
        <f>Table1[[#This Row],[Mid12]]+Table1[[#This Row],[Mid15]]+Table1[[#This Row],[Mid18]]+Table1[[#This Row],[Mid21]]+Table1[[#This Row],[Mid24]]</f>
        <v>0</v>
      </c>
      <c r="CQ564" s="19">
        <f>Table1[[#This Row],[Mid27]]+Table1[[#This Row],[Mid30]]+Table1[[#This Row],[Mid33]]+Table1[[#This Row],[Mid36]]+Table1[[#This Row],[Mid39]]</f>
        <v>9000</v>
      </c>
      <c r="CR564" t="s">
        <v>415</v>
      </c>
      <c r="CS564" s="19" t="str">
        <f>IF(AND(Table1[[#This Row],[Low41]]=0, Table1[[#This Row],[High43]]=0),"N","Y")</f>
        <v>N</v>
      </c>
    </row>
    <row r="565" spans="1:97" ht="19.5" customHeight="1" x14ac:dyDescent="0.25">
      <c r="A565">
        <v>10563</v>
      </c>
      <c r="B565" t="s">
        <v>1635</v>
      </c>
      <c r="C565" t="s">
        <v>1449</v>
      </c>
      <c r="D565">
        <v>51</v>
      </c>
      <c r="E565">
        <v>-8.3333299999999999E-2</v>
      </c>
      <c r="F565" t="s">
        <v>1874</v>
      </c>
      <c r="G565" t="s">
        <v>1687</v>
      </c>
      <c r="I565" t="s">
        <v>118</v>
      </c>
      <c r="J565" t="s">
        <v>119</v>
      </c>
      <c r="K565" t="s">
        <v>120</v>
      </c>
      <c r="L565" t="s">
        <v>18</v>
      </c>
      <c r="N565" s="6" t="s">
        <v>1866</v>
      </c>
      <c r="O565" t="s">
        <v>1875</v>
      </c>
      <c r="P565" t="s">
        <v>170</v>
      </c>
      <c r="Q565" t="s">
        <v>1868</v>
      </c>
      <c r="R565" t="s">
        <v>1869</v>
      </c>
      <c r="S565">
        <v>2014</v>
      </c>
      <c r="T565" t="s">
        <v>153</v>
      </c>
      <c r="U565" t="s">
        <v>173</v>
      </c>
      <c r="V565"/>
      <c r="AF565">
        <v>200</v>
      </c>
      <c r="AG565">
        <v>0</v>
      </c>
      <c r="AK565">
        <v>0</v>
      </c>
      <c r="AL565">
        <v>0</v>
      </c>
      <c r="AN565" t="s">
        <v>132</v>
      </c>
      <c r="BZ565">
        <v>51565</v>
      </c>
      <c r="CE56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65" s="19">
        <f>SUM(Table1[[#This Row],[Mid39]],Table1[[#This Row],[Mid36]],Table1[[#This Row],[Mid33]],Table1[[#This Row],[Mid30]],Table1[[#This Row],[Mid27]],Table1[[#This Row],[Mid24]],Table1[[#This Row],[Mid21]],Table1[[#This Row],[Mid18]],Table1[[#This Row],[Mid15]],Table1[[#This Row],[Mid12]],Table1[[#This Row],[Mid9]],Table1[[#This Row],[Mid6]],Table1[[#This Row],[Mid3]],Table1[[#This Row],[Mid]])</f>
        <v>51565</v>
      </c>
      <c r="CG56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65" t="s">
        <v>157</v>
      </c>
      <c r="CI565" t="s">
        <v>134</v>
      </c>
      <c r="CJ565" t="s">
        <v>158</v>
      </c>
      <c r="CL565" s="19">
        <f>IF(Table1[[#This Row],[Type]]="Petroleum",1,IF(ISERROR(Table1[[#This Row],[Well Density]]*Table1[[#This Row],[Single Well Discovery Area]]),"",IF(Table1[[#This Row],[Well Density]]*Table1[[#This Row],[Single Well Discovery Area]]&gt;1,1,Table1[[#This Row],[Well Density]]*Table1[[#This Row],[Single Well Discovery Area]])))</f>
        <v>0</v>
      </c>
      <c r="CM565" t="s">
        <v>158</v>
      </c>
      <c r="CN565" s="19">
        <f>Table1[[#This Row],[Mid]]</f>
        <v>0</v>
      </c>
      <c r="CO565" s="19">
        <f>Table1[[#This Row],[Mid3]]+Table1[[#This Row],[Mid6]]+Table1[[#This Row],[Mid9]]</f>
        <v>0</v>
      </c>
      <c r="CP565" s="19">
        <f>Table1[[#This Row],[Mid12]]+Table1[[#This Row],[Mid15]]+Table1[[#This Row],[Mid18]]+Table1[[#This Row],[Mid21]]+Table1[[#This Row],[Mid24]]</f>
        <v>0</v>
      </c>
      <c r="CQ565" s="19">
        <f>Table1[[#This Row],[Mid27]]+Table1[[#This Row],[Mid30]]+Table1[[#This Row],[Mid33]]+Table1[[#This Row],[Mid36]]+Table1[[#This Row],[Mid39]]</f>
        <v>51565</v>
      </c>
      <c r="CR565" t="s">
        <v>415</v>
      </c>
      <c r="CS565" s="19" t="str">
        <f>IF(AND(Table1[[#This Row],[Low41]]=0, Table1[[#This Row],[High43]]=0),"N","Y")</f>
        <v>N</v>
      </c>
    </row>
    <row r="566" spans="1:97" ht="19.5" customHeight="1" x14ac:dyDescent="0.25">
      <c r="A566">
        <v>10564</v>
      </c>
      <c r="B566" t="s">
        <v>1635</v>
      </c>
      <c r="C566" t="s">
        <v>1449</v>
      </c>
      <c r="D566">
        <v>54.06</v>
      </c>
      <c r="E566">
        <v>0.941111111</v>
      </c>
      <c r="F566" t="s">
        <v>1876</v>
      </c>
      <c r="G566" t="s">
        <v>1687</v>
      </c>
      <c r="H566" t="s">
        <v>1688</v>
      </c>
      <c r="I566" t="s">
        <v>1606</v>
      </c>
      <c r="J566" t="s">
        <v>202</v>
      </c>
      <c r="K566" t="s">
        <v>203</v>
      </c>
      <c r="L566" t="s">
        <v>121</v>
      </c>
      <c r="M566" t="s">
        <v>1689</v>
      </c>
      <c r="N566" s="6" t="s">
        <v>1639</v>
      </c>
      <c r="O566" t="s">
        <v>1644</v>
      </c>
      <c r="P566" t="s">
        <v>436</v>
      </c>
      <c r="Q566" t="s">
        <v>1641</v>
      </c>
      <c r="R566" t="s">
        <v>1642</v>
      </c>
      <c r="S566">
        <v>2015</v>
      </c>
      <c r="T566" t="s">
        <v>153</v>
      </c>
      <c r="U566" t="s">
        <v>173</v>
      </c>
      <c r="V566"/>
      <c r="AF566">
        <v>200</v>
      </c>
      <c r="AG566">
        <v>0</v>
      </c>
      <c r="AK566">
        <v>0</v>
      </c>
      <c r="AL566">
        <v>0</v>
      </c>
      <c r="AN566" t="s">
        <v>132</v>
      </c>
      <c r="BH566">
        <v>119</v>
      </c>
      <c r="CE56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66" s="19">
        <f>SUM(Table1[[#This Row],[Mid39]],Table1[[#This Row],[Mid36]],Table1[[#This Row],[Mid33]],Table1[[#This Row],[Mid30]],Table1[[#This Row],[Mid27]],Table1[[#This Row],[Mid24]],Table1[[#This Row],[Mid21]],Table1[[#This Row],[Mid18]],Table1[[#This Row],[Mid15]],Table1[[#This Row],[Mid12]],Table1[[#This Row],[Mid9]],Table1[[#This Row],[Mid6]],Table1[[#This Row],[Mid3]],Table1[[#This Row],[Mid]])</f>
        <v>119</v>
      </c>
      <c r="CG56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66" t="s">
        <v>133</v>
      </c>
      <c r="CI566" t="s">
        <v>134</v>
      </c>
      <c r="CJ566" t="s">
        <v>158</v>
      </c>
      <c r="CL566" s="19">
        <f>IF(Table1[[#This Row],[Type]]="Petroleum",1,IF(ISERROR(Table1[[#This Row],[Well Density]]*Table1[[#This Row],[Single Well Discovery Area]]),"",IF(Table1[[#This Row],[Well Density]]*Table1[[#This Row],[Single Well Discovery Area]]&gt;1,1,Table1[[#This Row],[Well Density]]*Table1[[#This Row],[Single Well Discovery Area]])))</f>
        <v>1</v>
      </c>
      <c r="CM566" t="s">
        <v>158</v>
      </c>
      <c r="CN566" s="19">
        <f>Table1[[#This Row],[Mid]]</f>
        <v>0</v>
      </c>
      <c r="CO566" s="19">
        <f>Table1[[#This Row],[Mid3]]+Table1[[#This Row],[Mid6]]+Table1[[#This Row],[Mid9]]</f>
        <v>0</v>
      </c>
      <c r="CP566" s="19">
        <f>Table1[[#This Row],[Mid12]]+Table1[[#This Row],[Mid15]]+Table1[[#This Row],[Mid18]]+Table1[[#This Row],[Mid21]]+Table1[[#This Row],[Mid24]]</f>
        <v>119</v>
      </c>
      <c r="CQ566" s="19">
        <f>Table1[[#This Row],[Mid27]]+Table1[[#This Row],[Mid30]]+Table1[[#This Row],[Mid33]]+Table1[[#This Row],[Mid36]]+Table1[[#This Row],[Mid39]]</f>
        <v>0</v>
      </c>
      <c r="CR566" t="s">
        <v>415</v>
      </c>
      <c r="CS566" s="19" t="str">
        <f>IF(AND(Table1[[#This Row],[Low41]]=0, Table1[[#This Row],[High43]]=0),"N","Y")</f>
        <v>N</v>
      </c>
    </row>
    <row r="567" spans="1:97" ht="19.5" customHeight="1" x14ac:dyDescent="0.25">
      <c r="A567">
        <v>10565</v>
      </c>
      <c r="B567" t="s">
        <v>1635</v>
      </c>
      <c r="C567" t="s">
        <v>1449</v>
      </c>
      <c r="D567">
        <v>54.068333330000002</v>
      </c>
      <c r="E567">
        <v>2.073888889</v>
      </c>
      <c r="F567" t="s">
        <v>1877</v>
      </c>
      <c r="G567" t="s">
        <v>1687</v>
      </c>
      <c r="H567" t="s">
        <v>1701</v>
      </c>
      <c r="I567" t="s">
        <v>1606</v>
      </c>
      <c r="J567" t="s">
        <v>202</v>
      </c>
      <c r="K567" t="s">
        <v>203</v>
      </c>
      <c r="L567" t="s">
        <v>121</v>
      </c>
      <c r="M567" t="s">
        <v>606</v>
      </c>
      <c r="N567" s="6" t="s">
        <v>1639</v>
      </c>
      <c r="O567" t="s">
        <v>1702</v>
      </c>
      <c r="P567" t="s">
        <v>436</v>
      </c>
      <c r="Q567" t="s">
        <v>1641</v>
      </c>
      <c r="R567" t="s">
        <v>1642</v>
      </c>
      <c r="S567">
        <v>2015</v>
      </c>
      <c r="T567" t="s">
        <v>771</v>
      </c>
      <c r="U567" t="s">
        <v>1479</v>
      </c>
      <c r="V567">
        <v>0</v>
      </c>
      <c r="W567">
        <v>0</v>
      </c>
      <c r="X567">
        <v>0</v>
      </c>
      <c r="Y567">
        <v>0</v>
      </c>
      <c r="Z567">
        <v>0</v>
      </c>
      <c r="AA567">
        <v>0</v>
      </c>
      <c r="AB567">
        <v>0</v>
      </c>
      <c r="AC567">
        <v>0</v>
      </c>
      <c r="AD567">
        <v>0</v>
      </c>
      <c r="AF567">
        <v>200</v>
      </c>
      <c r="AG567">
        <v>0</v>
      </c>
      <c r="AI567">
        <v>0</v>
      </c>
      <c r="AJ567">
        <v>0</v>
      </c>
      <c r="AK567">
        <v>0</v>
      </c>
      <c r="AL567">
        <v>0</v>
      </c>
      <c r="AN567" t="s">
        <v>132</v>
      </c>
      <c r="AO567">
        <v>0</v>
      </c>
      <c r="AP567">
        <v>0</v>
      </c>
      <c r="AQ567">
        <v>0</v>
      </c>
      <c r="AR567">
        <v>0</v>
      </c>
      <c r="AS567">
        <v>0</v>
      </c>
      <c r="AT567">
        <v>0</v>
      </c>
      <c r="AU567">
        <v>0</v>
      </c>
      <c r="AV567">
        <v>0</v>
      </c>
      <c r="AW567">
        <v>0</v>
      </c>
      <c r="AX567">
        <v>0</v>
      </c>
      <c r="AY567">
        <v>0</v>
      </c>
      <c r="AZ567">
        <v>0</v>
      </c>
      <c r="BA567">
        <v>0</v>
      </c>
      <c r="BB567">
        <v>0</v>
      </c>
      <c r="BC567">
        <v>0</v>
      </c>
      <c r="BD567">
        <v>0</v>
      </c>
      <c r="BE567">
        <v>0</v>
      </c>
      <c r="BF567">
        <v>0</v>
      </c>
      <c r="BG567">
        <v>0</v>
      </c>
      <c r="BH567">
        <v>24</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0</v>
      </c>
      <c r="CB567">
        <v>0</v>
      </c>
      <c r="CC567">
        <v>0</v>
      </c>
      <c r="CD567">
        <v>0</v>
      </c>
      <c r="CE56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67" s="19">
        <f>SUM(Table1[[#This Row],[Mid39]],Table1[[#This Row],[Mid36]],Table1[[#This Row],[Mid33]],Table1[[#This Row],[Mid30]],Table1[[#This Row],[Mid27]],Table1[[#This Row],[Mid24]],Table1[[#This Row],[Mid21]],Table1[[#This Row],[Mid18]],Table1[[#This Row],[Mid15]],Table1[[#This Row],[Mid12]],Table1[[#This Row],[Mid9]],Table1[[#This Row],[Mid6]],Table1[[#This Row],[Mid3]],Table1[[#This Row],[Mid]])</f>
        <v>24</v>
      </c>
      <c r="CG56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67" t="s">
        <v>133</v>
      </c>
      <c r="CI567" t="s">
        <v>134</v>
      </c>
      <c r="CJ567" t="s">
        <v>158</v>
      </c>
      <c r="CL567" s="19">
        <f>IF(Table1[[#This Row],[Type]]="Petroleum",1,IF(ISERROR(Table1[[#This Row],[Well Density]]*Table1[[#This Row],[Single Well Discovery Area]]),"",IF(Table1[[#This Row],[Well Density]]*Table1[[#This Row],[Single Well Discovery Area]]&gt;1,1,Table1[[#This Row],[Well Density]]*Table1[[#This Row],[Single Well Discovery Area]])))</f>
        <v>1</v>
      </c>
      <c r="CM567" t="s">
        <v>158</v>
      </c>
      <c r="CN567" s="19">
        <f>Table1[[#This Row],[Mid]]</f>
        <v>0</v>
      </c>
      <c r="CO567" s="19">
        <f>Table1[[#This Row],[Mid3]]+Table1[[#This Row],[Mid6]]+Table1[[#This Row],[Mid9]]</f>
        <v>0</v>
      </c>
      <c r="CP567" s="19">
        <f>Table1[[#This Row],[Mid12]]+Table1[[#This Row],[Mid15]]+Table1[[#This Row],[Mid18]]+Table1[[#This Row],[Mid21]]+Table1[[#This Row],[Mid24]]</f>
        <v>24</v>
      </c>
      <c r="CQ567" s="19">
        <f>Table1[[#This Row],[Mid27]]+Table1[[#This Row],[Mid30]]+Table1[[#This Row],[Mid33]]+Table1[[#This Row],[Mid36]]+Table1[[#This Row],[Mid39]]</f>
        <v>0</v>
      </c>
      <c r="CR567" t="s">
        <v>415</v>
      </c>
      <c r="CS567" s="19" t="str">
        <f>IF(AND(Table1[[#This Row],[Low41]]=0, Table1[[#This Row],[High43]]=0),"N","Y")</f>
        <v>N</v>
      </c>
    </row>
    <row r="568" spans="1:97" ht="19.5" customHeight="1" x14ac:dyDescent="0.25">
      <c r="A568">
        <v>10566</v>
      </c>
      <c r="B568" t="s">
        <v>1635</v>
      </c>
      <c r="C568" t="s">
        <v>1449</v>
      </c>
      <c r="D568">
        <v>54.283611110000002</v>
      </c>
      <c r="E568">
        <v>1.694166667</v>
      </c>
      <c r="F568" t="s">
        <v>1878</v>
      </c>
      <c r="G568" t="s">
        <v>1687</v>
      </c>
      <c r="H568" t="s">
        <v>1701</v>
      </c>
      <c r="I568" t="s">
        <v>1606</v>
      </c>
      <c r="J568" t="s">
        <v>202</v>
      </c>
      <c r="K568" t="s">
        <v>203</v>
      </c>
      <c r="L568" t="s">
        <v>121</v>
      </c>
      <c r="M568" t="s">
        <v>606</v>
      </c>
      <c r="N568" s="6" t="s">
        <v>1639</v>
      </c>
      <c r="O568" t="s">
        <v>1879</v>
      </c>
      <c r="P568" t="s">
        <v>436</v>
      </c>
      <c r="Q568" t="s">
        <v>1641</v>
      </c>
      <c r="R568" t="s">
        <v>1642</v>
      </c>
      <c r="S568">
        <v>2015</v>
      </c>
      <c r="T568" t="s">
        <v>771</v>
      </c>
      <c r="U568" t="s">
        <v>1479</v>
      </c>
      <c r="V568">
        <v>0</v>
      </c>
      <c r="W568">
        <v>0</v>
      </c>
      <c r="X568">
        <v>0</v>
      </c>
      <c r="Y568">
        <v>0</v>
      </c>
      <c r="Z568">
        <v>0</v>
      </c>
      <c r="AA568">
        <v>0</v>
      </c>
      <c r="AB568">
        <v>0</v>
      </c>
      <c r="AC568">
        <v>0</v>
      </c>
      <c r="AD568">
        <v>0</v>
      </c>
      <c r="AF568">
        <v>200</v>
      </c>
      <c r="AG568">
        <v>0</v>
      </c>
      <c r="AI568">
        <v>0</v>
      </c>
      <c r="AJ568">
        <v>0</v>
      </c>
      <c r="AK568">
        <v>0</v>
      </c>
      <c r="AL568">
        <v>0</v>
      </c>
      <c r="AN568" t="s">
        <v>132</v>
      </c>
      <c r="AO568">
        <v>0</v>
      </c>
      <c r="AP568">
        <v>0</v>
      </c>
      <c r="AQ568">
        <v>0</v>
      </c>
      <c r="AR568">
        <v>0</v>
      </c>
      <c r="AS568">
        <v>0</v>
      </c>
      <c r="AT568">
        <v>0</v>
      </c>
      <c r="AU568">
        <v>0</v>
      </c>
      <c r="AV568">
        <v>0</v>
      </c>
      <c r="AW568">
        <v>0</v>
      </c>
      <c r="AX568">
        <v>0</v>
      </c>
      <c r="AY568">
        <v>0</v>
      </c>
      <c r="AZ568">
        <v>0</v>
      </c>
      <c r="BA568">
        <v>0</v>
      </c>
      <c r="BB568">
        <v>0</v>
      </c>
      <c r="BC568">
        <v>0</v>
      </c>
      <c r="BD568">
        <v>0</v>
      </c>
      <c r="BE568">
        <v>0</v>
      </c>
      <c r="BF568">
        <v>0</v>
      </c>
      <c r="BG568">
        <v>0</v>
      </c>
      <c r="BH568">
        <v>8</v>
      </c>
      <c r="BI568">
        <v>0</v>
      </c>
      <c r="BJ568">
        <v>0</v>
      </c>
      <c r="BK568">
        <v>0</v>
      </c>
      <c r="BL568">
        <v>0</v>
      </c>
      <c r="BM568">
        <v>0</v>
      </c>
      <c r="BN568">
        <v>0</v>
      </c>
      <c r="BO568">
        <v>0</v>
      </c>
      <c r="BP568">
        <v>0</v>
      </c>
      <c r="BQ568">
        <v>0</v>
      </c>
      <c r="BR568">
        <v>0</v>
      </c>
      <c r="BS568">
        <v>0</v>
      </c>
      <c r="BT568">
        <v>0</v>
      </c>
      <c r="BU568">
        <v>0</v>
      </c>
      <c r="BV568">
        <v>0</v>
      </c>
      <c r="BW568">
        <v>0</v>
      </c>
      <c r="BX568">
        <v>0</v>
      </c>
      <c r="BY568">
        <v>0</v>
      </c>
      <c r="BZ568">
        <v>0</v>
      </c>
      <c r="CA568">
        <v>0</v>
      </c>
      <c r="CB568">
        <v>0</v>
      </c>
      <c r="CC568">
        <v>0</v>
      </c>
      <c r="CD568">
        <v>0</v>
      </c>
      <c r="CE56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68" s="19">
        <f>SUM(Table1[[#This Row],[Mid39]],Table1[[#This Row],[Mid36]],Table1[[#This Row],[Mid33]],Table1[[#This Row],[Mid30]],Table1[[#This Row],[Mid27]],Table1[[#This Row],[Mid24]],Table1[[#This Row],[Mid21]],Table1[[#This Row],[Mid18]],Table1[[#This Row],[Mid15]],Table1[[#This Row],[Mid12]],Table1[[#This Row],[Mid9]],Table1[[#This Row],[Mid6]],Table1[[#This Row],[Mid3]],Table1[[#This Row],[Mid]])</f>
        <v>8</v>
      </c>
      <c r="CG56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68" t="s">
        <v>133</v>
      </c>
      <c r="CI568" t="s">
        <v>134</v>
      </c>
      <c r="CJ568" t="s">
        <v>158</v>
      </c>
      <c r="CL568" s="19">
        <f>IF(Table1[[#This Row],[Type]]="Petroleum",1,IF(ISERROR(Table1[[#This Row],[Well Density]]*Table1[[#This Row],[Single Well Discovery Area]]),"",IF(Table1[[#This Row],[Well Density]]*Table1[[#This Row],[Single Well Discovery Area]]&gt;1,1,Table1[[#This Row],[Well Density]]*Table1[[#This Row],[Single Well Discovery Area]])))</f>
        <v>1</v>
      </c>
      <c r="CM568" t="s">
        <v>158</v>
      </c>
      <c r="CN568" s="19">
        <f>Table1[[#This Row],[Mid]]</f>
        <v>0</v>
      </c>
      <c r="CO568" s="19">
        <f>Table1[[#This Row],[Mid3]]+Table1[[#This Row],[Mid6]]+Table1[[#This Row],[Mid9]]</f>
        <v>0</v>
      </c>
      <c r="CP568" s="19">
        <f>Table1[[#This Row],[Mid12]]+Table1[[#This Row],[Mid15]]+Table1[[#This Row],[Mid18]]+Table1[[#This Row],[Mid21]]+Table1[[#This Row],[Mid24]]</f>
        <v>8</v>
      </c>
      <c r="CQ568" s="19">
        <f>Table1[[#This Row],[Mid27]]+Table1[[#This Row],[Mid30]]+Table1[[#This Row],[Mid33]]+Table1[[#This Row],[Mid36]]+Table1[[#This Row],[Mid39]]</f>
        <v>0</v>
      </c>
      <c r="CR568" t="s">
        <v>415</v>
      </c>
      <c r="CS568" s="19" t="str">
        <f>IF(AND(Table1[[#This Row],[Low41]]=0, Table1[[#This Row],[High43]]=0),"N","Y")</f>
        <v>N</v>
      </c>
    </row>
    <row r="569" spans="1:97" ht="19.5" customHeight="1" x14ac:dyDescent="0.25">
      <c r="A569">
        <v>10567</v>
      </c>
      <c r="B569" t="s">
        <v>1635</v>
      </c>
      <c r="C569" t="s">
        <v>1449</v>
      </c>
      <c r="D569">
        <v>53.451666670000002</v>
      </c>
      <c r="E569">
        <v>2.1069444439999998</v>
      </c>
      <c r="F569" t="s">
        <v>1880</v>
      </c>
      <c r="G569" t="s">
        <v>1687</v>
      </c>
      <c r="H569" t="s">
        <v>1688</v>
      </c>
      <c r="I569" t="s">
        <v>1606</v>
      </c>
      <c r="J569" t="s">
        <v>202</v>
      </c>
      <c r="K569" t="s">
        <v>203</v>
      </c>
      <c r="L569" t="s">
        <v>121</v>
      </c>
      <c r="M569" t="s">
        <v>1689</v>
      </c>
      <c r="N569" s="6" t="s">
        <v>1639</v>
      </c>
      <c r="O569" t="s">
        <v>1690</v>
      </c>
      <c r="P569" t="s">
        <v>436</v>
      </c>
      <c r="Q569" t="s">
        <v>1641</v>
      </c>
      <c r="R569" t="s">
        <v>1642</v>
      </c>
      <c r="S569">
        <v>2015</v>
      </c>
      <c r="T569" t="s">
        <v>771</v>
      </c>
      <c r="U569" t="s">
        <v>173</v>
      </c>
      <c r="V569"/>
      <c r="AF569">
        <v>200</v>
      </c>
      <c r="AG569">
        <v>0</v>
      </c>
      <c r="AK569">
        <v>0</v>
      </c>
      <c r="AL569">
        <v>0</v>
      </c>
      <c r="AN569" t="s">
        <v>132</v>
      </c>
      <c r="BH569">
        <v>6</v>
      </c>
      <c r="CE56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69" s="19">
        <f>SUM(Table1[[#This Row],[Mid39]],Table1[[#This Row],[Mid36]],Table1[[#This Row],[Mid33]],Table1[[#This Row],[Mid30]],Table1[[#This Row],[Mid27]],Table1[[#This Row],[Mid24]],Table1[[#This Row],[Mid21]],Table1[[#This Row],[Mid18]],Table1[[#This Row],[Mid15]],Table1[[#This Row],[Mid12]],Table1[[#This Row],[Mid9]],Table1[[#This Row],[Mid6]],Table1[[#This Row],[Mid3]],Table1[[#This Row],[Mid]])</f>
        <v>6</v>
      </c>
      <c r="CG56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69" t="s">
        <v>133</v>
      </c>
      <c r="CI569" t="s">
        <v>134</v>
      </c>
      <c r="CJ569" t="s">
        <v>158</v>
      </c>
      <c r="CL569" s="19">
        <f>IF(Table1[[#This Row],[Type]]="Petroleum",1,IF(ISERROR(Table1[[#This Row],[Well Density]]*Table1[[#This Row],[Single Well Discovery Area]]),"",IF(Table1[[#This Row],[Well Density]]*Table1[[#This Row],[Single Well Discovery Area]]&gt;1,1,Table1[[#This Row],[Well Density]]*Table1[[#This Row],[Single Well Discovery Area]])))</f>
        <v>1</v>
      </c>
      <c r="CM569" t="s">
        <v>158</v>
      </c>
      <c r="CN569" s="19">
        <f>Table1[[#This Row],[Mid]]</f>
        <v>0</v>
      </c>
      <c r="CO569" s="19">
        <f>Table1[[#This Row],[Mid3]]+Table1[[#This Row],[Mid6]]+Table1[[#This Row],[Mid9]]</f>
        <v>0</v>
      </c>
      <c r="CP569" s="19">
        <f>Table1[[#This Row],[Mid12]]+Table1[[#This Row],[Mid15]]+Table1[[#This Row],[Mid18]]+Table1[[#This Row],[Mid21]]+Table1[[#This Row],[Mid24]]</f>
        <v>6</v>
      </c>
      <c r="CQ569" s="19">
        <f>Table1[[#This Row],[Mid27]]+Table1[[#This Row],[Mid30]]+Table1[[#This Row],[Mid33]]+Table1[[#This Row],[Mid36]]+Table1[[#This Row],[Mid39]]</f>
        <v>0</v>
      </c>
      <c r="CR569" t="s">
        <v>415</v>
      </c>
      <c r="CS569" s="19" t="str">
        <f>IF(AND(Table1[[#This Row],[Low41]]=0, Table1[[#This Row],[High43]]=0),"N","Y")</f>
        <v>N</v>
      </c>
    </row>
    <row r="570" spans="1:97" ht="19.5" customHeight="1" x14ac:dyDescent="0.25">
      <c r="A570">
        <v>10568</v>
      </c>
      <c r="B570" t="s">
        <v>1635</v>
      </c>
      <c r="C570" t="s">
        <v>1449</v>
      </c>
      <c r="D570">
        <v>53.464722219999999</v>
      </c>
      <c r="E570">
        <v>2.0402777780000001</v>
      </c>
      <c r="F570" t="s">
        <v>1881</v>
      </c>
      <c r="G570" t="s">
        <v>1687</v>
      </c>
      <c r="H570" t="s">
        <v>1688</v>
      </c>
      <c r="I570" t="s">
        <v>1606</v>
      </c>
      <c r="J570" t="s">
        <v>202</v>
      </c>
      <c r="K570" t="s">
        <v>203</v>
      </c>
      <c r="L570" t="s">
        <v>121</v>
      </c>
      <c r="M570" t="s">
        <v>1689</v>
      </c>
      <c r="N570" s="6" t="s">
        <v>1639</v>
      </c>
      <c r="O570" t="s">
        <v>1644</v>
      </c>
      <c r="P570" t="s">
        <v>436</v>
      </c>
      <c r="Q570" t="s">
        <v>1641</v>
      </c>
      <c r="R570" t="s">
        <v>1642</v>
      </c>
      <c r="S570">
        <v>2015</v>
      </c>
      <c r="T570" t="s">
        <v>153</v>
      </c>
      <c r="U570" t="s">
        <v>173</v>
      </c>
      <c r="V570"/>
      <c r="AF570">
        <v>200</v>
      </c>
      <c r="AG570">
        <v>0</v>
      </c>
      <c r="AK570">
        <v>0</v>
      </c>
      <c r="AL570">
        <v>0</v>
      </c>
      <c r="AN570" t="s">
        <v>132</v>
      </c>
      <c r="BH570">
        <v>5</v>
      </c>
      <c r="CE57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70" s="19">
        <f>SUM(Table1[[#This Row],[Mid39]],Table1[[#This Row],[Mid36]],Table1[[#This Row],[Mid33]],Table1[[#This Row],[Mid30]],Table1[[#This Row],[Mid27]],Table1[[#This Row],[Mid24]],Table1[[#This Row],[Mid21]],Table1[[#This Row],[Mid18]],Table1[[#This Row],[Mid15]],Table1[[#This Row],[Mid12]],Table1[[#This Row],[Mid9]],Table1[[#This Row],[Mid6]],Table1[[#This Row],[Mid3]],Table1[[#This Row],[Mid]])</f>
        <v>5</v>
      </c>
      <c r="CG57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70" t="s">
        <v>133</v>
      </c>
      <c r="CI570" t="s">
        <v>134</v>
      </c>
      <c r="CJ570" t="s">
        <v>158</v>
      </c>
      <c r="CL570" s="19">
        <f>IF(Table1[[#This Row],[Type]]="Petroleum",1,IF(ISERROR(Table1[[#This Row],[Well Density]]*Table1[[#This Row],[Single Well Discovery Area]]),"",IF(Table1[[#This Row],[Well Density]]*Table1[[#This Row],[Single Well Discovery Area]]&gt;1,1,Table1[[#This Row],[Well Density]]*Table1[[#This Row],[Single Well Discovery Area]])))</f>
        <v>1</v>
      </c>
      <c r="CM570" t="s">
        <v>158</v>
      </c>
      <c r="CN570" s="19">
        <f>Table1[[#This Row],[Mid]]</f>
        <v>0</v>
      </c>
      <c r="CO570" s="19">
        <f>Table1[[#This Row],[Mid3]]+Table1[[#This Row],[Mid6]]+Table1[[#This Row],[Mid9]]</f>
        <v>0</v>
      </c>
      <c r="CP570" s="19">
        <f>Table1[[#This Row],[Mid12]]+Table1[[#This Row],[Mid15]]+Table1[[#This Row],[Mid18]]+Table1[[#This Row],[Mid21]]+Table1[[#This Row],[Mid24]]</f>
        <v>5</v>
      </c>
      <c r="CQ570" s="19">
        <f>Table1[[#This Row],[Mid27]]+Table1[[#This Row],[Mid30]]+Table1[[#This Row],[Mid33]]+Table1[[#This Row],[Mid36]]+Table1[[#This Row],[Mid39]]</f>
        <v>0</v>
      </c>
      <c r="CR570" t="s">
        <v>415</v>
      </c>
      <c r="CS570" s="19" t="str">
        <f>IF(AND(Table1[[#This Row],[Low41]]=0, Table1[[#This Row],[High43]]=0),"N","Y")</f>
        <v>N</v>
      </c>
    </row>
    <row r="571" spans="1:97" ht="19.5" customHeight="1" x14ac:dyDescent="0.25">
      <c r="A571">
        <v>10569</v>
      </c>
      <c r="B571" t="s">
        <v>1635</v>
      </c>
      <c r="C571" t="s">
        <v>1449</v>
      </c>
      <c r="D571">
        <v>53.375277779999998</v>
      </c>
      <c r="E571">
        <v>2.105277778</v>
      </c>
      <c r="F571" t="s">
        <v>1882</v>
      </c>
      <c r="G571" t="s">
        <v>1687</v>
      </c>
      <c r="H571" t="s">
        <v>1688</v>
      </c>
      <c r="I571" t="s">
        <v>1606</v>
      </c>
      <c r="J571" t="s">
        <v>202</v>
      </c>
      <c r="K571" t="s">
        <v>203</v>
      </c>
      <c r="L571" t="s">
        <v>121</v>
      </c>
      <c r="M571" t="s">
        <v>1689</v>
      </c>
      <c r="N571" s="6" t="s">
        <v>1639</v>
      </c>
      <c r="O571" t="s">
        <v>1690</v>
      </c>
      <c r="P571" t="s">
        <v>436</v>
      </c>
      <c r="Q571" t="s">
        <v>1641</v>
      </c>
      <c r="R571" t="s">
        <v>1642</v>
      </c>
      <c r="S571">
        <v>2015</v>
      </c>
      <c r="T571" t="s">
        <v>771</v>
      </c>
      <c r="U571" t="s">
        <v>1479</v>
      </c>
      <c r="V571"/>
      <c r="AF571">
        <v>200</v>
      </c>
      <c r="AG571">
        <v>0</v>
      </c>
      <c r="AK571">
        <v>0</v>
      </c>
      <c r="AL571">
        <v>0</v>
      </c>
      <c r="AN571" t="s">
        <v>132</v>
      </c>
      <c r="BH571">
        <v>14</v>
      </c>
      <c r="CE57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71" s="19">
        <f>SUM(Table1[[#This Row],[Mid39]],Table1[[#This Row],[Mid36]],Table1[[#This Row],[Mid33]],Table1[[#This Row],[Mid30]],Table1[[#This Row],[Mid27]],Table1[[#This Row],[Mid24]],Table1[[#This Row],[Mid21]],Table1[[#This Row],[Mid18]],Table1[[#This Row],[Mid15]],Table1[[#This Row],[Mid12]],Table1[[#This Row],[Mid9]],Table1[[#This Row],[Mid6]],Table1[[#This Row],[Mid3]],Table1[[#This Row],[Mid]])</f>
        <v>14</v>
      </c>
      <c r="CG57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71" t="s">
        <v>133</v>
      </c>
      <c r="CI571" t="s">
        <v>134</v>
      </c>
      <c r="CJ571" t="s">
        <v>158</v>
      </c>
      <c r="CL571" s="19">
        <f>IF(Table1[[#This Row],[Type]]="Petroleum",1,IF(ISERROR(Table1[[#This Row],[Well Density]]*Table1[[#This Row],[Single Well Discovery Area]]),"",IF(Table1[[#This Row],[Well Density]]*Table1[[#This Row],[Single Well Discovery Area]]&gt;1,1,Table1[[#This Row],[Well Density]]*Table1[[#This Row],[Single Well Discovery Area]])))</f>
        <v>1</v>
      </c>
      <c r="CM571" t="s">
        <v>158</v>
      </c>
      <c r="CN571" s="19">
        <f>Table1[[#This Row],[Mid]]</f>
        <v>0</v>
      </c>
      <c r="CO571" s="19">
        <f>Table1[[#This Row],[Mid3]]+Table1[[#This Row],[Mid6]]+Table1[[#This Row],[Mid9]]</f>
        <v>0</v>
      </c>
      <c r="CP571" s="19">
        <f>Table1[[#This Row],[Mid12]]+Table1[[#This Row],[Mid15]]+Table1[[#This Row],[Mid18]]+Table1[[#This Row],[Mid21]]+Table1[[#This Row],[Mid24]]</f>
        <v>14</v>
      </c>
      <c r="CQ571" s="19">
        <f>Table1[[#This Row],[Mid27]]+Table1[[#This Row],[Mid30]]+Table1[[#This Row],[Mid33]]+Table1[[#This Row],[Mid36]]+Table1[[#This Row],[Mid39]]</f>
        <v>0</v>
      </c>
      <c r="CR571" t="s">
        <v>415</v>
      </c>
      <c r="CS571" s="19" t="str">
        <f>IF(AND(Table1[[#This Row],[Low41]]=0, Table1[[#This Row],[High43]]=0),"N","Y")</f>
        <v>N</v>
      </c>
    </row>
    <row r="572" spans="1:97" ht="19.5" customHeight="1" x14ac:dyDescent="0.25">
      <c r="A572">
        <v>10570</v>
      </c>
      <c r="B572" t="s">
        <v>1635</v>
      </c>
      <c r="C572" t="s">
        <v>1449</v>
      </c>
      <c r="D572">
        <v>53.329166669999999</v>
      </c>
      <c r="E572">
        <v>2.343888889</v>
      </c>
      <c r="F572" t="s">
        <v>1883</v>
      </c>
      <c r="G572" t="s">
        <v>1687</v>
      </c>
      <c r="H572" t="s">
        <v>1688</v>
      </c>
      <c r="I572" t="s">
        <v>1606</v>
      </c>
      <c r="J572" t="s">
        <v>202</v>
      </c>
      <c r="K572" t="s">
        <v>203</v>
      </c>
      <c r="L572" t="s">
        <v>121</v>
      </c>
      <c r="M572" t="s">
        <v>1689</v>
      </c>
      <c r="N572" s="6" t="s">
        <v>1639</v>
      </c>
      <c r="O572" t="s">
        <v>1644</v>
      </c>
      <c r="P572" t="s">
        <v>436</v>
      </c>
      <c r="Q572" t="s">
        <v>1641</v>
      </c>
      <c r="R572" t="s">
        <v>1642</v>
      </c>
      <c r="S572">
        <v>2015</v>
      </c>
      <c r="T572" t="s">
        <v>771</v>
      </c>
      <c r="U572" t="s">
        <v>1479</v>
      </c>
      <c r="V572">
        <v>0</v>
      </c>
      <c r="W572">
        <v>0</v>
      </c>
      <c r="X572">
        <v>0</v>
      </c>
      <c r="Y572">
        <v>0</v>
      </c>
      <c r="Z572">
        <v>0</v>
      </c>
      <c r="AA572">
        <v>0</v>
      </c>
      <c r="AB572">
        <v>0</v>
      </c>
      <c r="AC572">
        <v>0</v>
      </c>
      <c r="AD572">
        <v>0</v>
      </c>
      <c r="AF572">
        <v>200</v>
      </c>
      <c r="AG572">
        <v>0</v>
      </c>
      <c r="AI572">
        <v>0</v>
      </c>
      <c r="AJ572">
        <v>0</v>
      </c>
      <c r="AK572">
        <v>0</v>
      </c>
      <c r="AL572">
        <v>0</v>
      </c>
      <c r="AN572" t="s">
        <v>132</v>
      </c>
      <c r="AO572">
        <v>0</v>
      </c>
      <c r="AP572">
        <v>0</v>
      </c>
      <c r="AQ572">
        <v>0</v>
      </c>
      <c r="AR572">
        <v>0</v>
      </c>
      <c r="AS572">
        <v>0</v>
      </c>
      <c r="AT572">
        <v>0</v>
      </c>
      <c r="AU572">
        <v>0</v>
      </c>
      <c r="AV572">
        <v>0</v>
      </c>
      <c r="AW572">
        <v>0</v>
      </c>
      <c r="AX572">
        <v>0</v>
      </c>
      <c r="AY572">
        <v>0</v>
      </c>
      <c r="AZ572">
        <v>0</v>
      </c>
      <c r="BA572">
        <v>0</v>
      </c>
      <c r="BB572">
        <v>0</v>
      </c>
      <c r="BC572">
        <v>0</v>
      </c>
      <c r="BD572">
        <v>0</v>
      </c>
      <c r="BE572">
        <v>0</v>
      </c>
      <c r="BF572">
        <v>0</v>
      </c>
      <c r="BG572">
        <v>0</v>
      </c>
      <c r="BH572">
        <v>85</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0</v>
      </c>
      <c r="CB572">
        <v>0</v>
      </c>
      <c r="CC572">
        <v>0</v>
      </c>
      <c r="CD572">
        <v>0</v>
      </c>
      <c r="CE57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72" s="19">
        <f>SUM(Table1[[#This Row],[Mid39]],Table1[[#This Row],[Mid36]],Table1[[#This Row],[Mid33]],Table1[[#This Row],[Mid30]],Table1[[#This Row],[Mid27]],Table1[[#This Row],[Mid24]],Table1[[#This Row],[Mid21]],Table1[[#This Row],[Mid18]],Table1[[#This Row],[Mid15]],Table1[[#This Row],[Mid12]],Table1[[#This Row],[Mid9]],Table1[[#This Row],[Mid6]],Table1[[#This Row],[Mid3]],Table1[[#This Row],[Mid]])</f>
        <v>85</v>
      </c>
      <c r="CG57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72" t="s">
        <v>133</v>
      </c>
      <c r="CI572" t="s">
        <v>134</v>
      </c>
      <c r="CJ572" t="s">
        <v>158</v>
      </c>
      <c r="CL572" s="19">
        <f>IF(Table1[[#This Row],[Type]]="Petroleum",1,IF(ISERROR(Table1[[#This Row],[Well Density]]*Table1[[#This Row],[Single Well Discovery Area]]),"",IF(Table1[[#This Row],[Well Density]]*Table1[[#This Row],[Single Well Discovery Area]]&gt;1,1,Table1[[#This Row],[Well Density]]*Table1[[#This Row],[Single Well Discovery Area]])))</f>
        <v>1</v>
      </c>
      <c r="CM572" t="s">
        <v>158</v>
      </c>
      <c r="CN572" s="19">
        <f>Table1[[#This Row],[Mid]]</f>
        <v>0</v>
      </c>
      <c r="CO572" s="19">
        <f>Table1[[#This Row],[Mid3]]+Table1[[#This Row],[Mid6]]+Table1[[#This Row],[Mid9]]</f>
        <v>0</v>
      </c>
      <c r="CP572" s="19">
        <f>Table1[[#This Row],[Mid12]]+Table1[[#This Row],[Mid15]]+Table1[[#This Row],[Mid18]]+Table1[[#This Row],[Mid21]]+Table1[[#This Row],[Mid24]]</f>
        <v>85</v>
      </c>
      <c r="CQ572" s="19">
        <f>Table1[[#This Row],[Mid27]]+Table1[[#This Row],[Mid30]]+Table1[[#This Row],[Mid33]]+Table1[[#This Row],[Mid36]]+Table1[[#This Row],[Mid39]]</f>
        <v>0</v>
      </c>
      <c r="CR572" t="s">
        <v>415</v>
      </c>
      <c r="CS572" s="19" t="str">
        <f>IF(AND(Table1[[#This Row],[Low41]]=0, Table1[[#This Row],[High43]]=0),"N","Y")</f>
        <v>N</v>
      </c>
    </row>
    <row r="573" spans="1:97" ht="19.5" customHeight="1" x14ac:dyDescent="0.25">
      <c r="A573">
        <v>10571</v>
      </c>
      <c r="B573" t="s">
        <v>1635</v>
      </c>
      <c r="C573" t="s">
        <v>1449</v>
      </c>
      <c r="D573">
        <v>53.520833330000002</v>
      </c>
      <c r="E573">
        <v>2.2288888889999998</v>
      </c>
      <c r="F573" t="s">
        <v>1884</v>
      </c>
      <c r="G573" t="s">
        <v>1687</v>
      </c>
      <c r="H573" t="s">
        <v>1688</v>
      </c>
      <c r="I573" t="s">
        <v>1753</v>
      </c>
      <c r="J573" t="s">
        <v>202</v>
      </c>
      <c r="K573" t="s">
        <v>203</v>
      </c>
      <c r="L573" t="s">
        <v>204</v>
      </c>
      <c r="M573" t="s">
        <v>1689</v>
      </c>
      <c r="N573" s="6" t="s">
        <v>1885</v>
      </c>
      <c r="O573" t="s">
        <v>1886</v>
      </c>
      <c r="P573" s="21" t="s">
        <v>1887</v>
      </c>
      <c r="Q573" s="21" t="s">
        <v>1888</v>
      </c>
      <c r="R573" t="s">
        <v>1889</v>
      </c>
      <c r="S573">
        <v>2015</v>
      </c>
      <c r="T573" t="s">
        <v>771</v>
      </c>
      <c r="U573" t="s">
        <v>1479</v>
      </c>
      <c r="V573">
        <v>40</v>
      </c>
      <c r="W573">
        <v>2500</v>
      </c>
      <c r="X573">
        <v>235</v>
      </c>
      <c r="Y573">
        <v>80</v>
      </c>
      <c r="Z573">
        <v>16</v>
      </c>
      <c r="AA573">
        <v>83</v>
      </c>
      <c r="AB573">
        <v>150000</v>
      </c>
      <c r="AC573">
        <v>799</v>
      </c>
      <c r="AD573">
        <v>13</v>
      </c>
      <c r="AE573">
        <v>0.32500000000000001</v>
      </c>
      <c r="AF573">
        <v>200</v>
      </c>
      <c r="AG573">
        <v>2.1029018000000002</v>
      </c>
      <c r="AI573">
        <v>78</v>
      </c>
      <c r="AJ573">
        <v>0</v>
      </c>
      <c r="AK573">
        <v>1.5651105199999999</v>
      </c>
      <c r="AL573">
        <v>0.23511131599999999</v>
      </c>
      <c r="AM573" t="s">
        <v>1654</v>
      </c>
      <c r="AN573" t="s">
        <v>132</v>
      </c>
      <c r="AO573">
        <v>0</v>
      </c>
      <c r="AP573">
        <v>0</v>
      </c>
      <c r="AQ573">
        <v>0</v>
      </c>
      <c r="AR573">
        <v>0</v>
      </c>
      <c r="AS573">
        <v>0</v>
      </c>
      <c r="AT573">
        <v>0</v>
      </c>
      <c r="AU573">
        <v>0</v>
      </c>
      <c r="AV573">
        <v>0</v>
      </c>
      <c r="AW573">
        <v>0</v>
      </c>
      <c r="AX573">
        <v>107</v>
      </c>
      <c r="AY573">
        <v>130</v>
      </c>
      <c r="AZ573">
        <v>150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0</v>
      </c>
      <c r="CE573" s="19">
        <f>SUM(Table1[[#This Row],[Low38]],Table1[[#This Row],[Low35]],Table1[[#This Row],[Low32]],Table1[[#This Row],[Low29]],Table1[[#This Row],[Low26]],Table1[[#This Row],[Low23]],Table1[[#This Row],[Low20]],Table1[[#This Row],[Low17]],Table1[[#This Row],[Low14]],Table1[[#This Row],[Low11]],Table1[[#This Row],[Low8]],Table1[[#This Row],[Low5]],Table1[[#This Row],[Low2]],Table1[[#This Row],[Low]])</f>
        <v>107</v>
      </c>
      <c r="CF573" s="19">
        <f>SUM(Table1[[#This Row],[Mid39]],Table1[[#This Row],[Mid36]],Table1[[#This Row],[Mid33]],Table1[[#This Row],[Mid30]],Table1[[#This Row],[Mid27]],Table1[[#This Row],[Mid24]],Table1[[#This Row],[Mid21]],Table1[[#This Row],[Mid18]],Table1[[#This Row],[Mid15]],Table1[[#This Row],[Mid12]],Table1[[#This Row],[Mid9]],Table1[[#This Row],[Mid6]],Table1[[#This Row],[Mid3]],Table1[[#This Row],[Mid]])</f>
        <v>130</v>
      </c>
      <c r="CG57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150</v>
      </c>
      <c r="CH573" t="s">
        <v>133</v>
      </c>
      <c r="CI573" t="s">
        <v>134</v>
      </c>
      <c r="CJ573" t="s">
        <v>135</v>
      </c>
      <c r="CL573" s="19">
        <f>IF(Table1[[#This Row],[Type]]="Petroleum",1,IF(ISERROR(Table1[[#This Row],[Well Density]]*Table1[[#This Row],[Single Well Discovery Area]]),"",IF(Table1[[#This Row],[Well Density]]*Table1[[#This Row],[Single Well Discovery Area]]&gt;1,1,Table1[[#This Row],[Well Density]]*Table1[[#This Row],[Single Well Discovery Area]])))</f>
        <v>1</v>
      </c>
      <c r="CM573" t="s">
        <v>158</v>
      </c>
      <c r="CN573" s="19">
        <f>Table1[[#This Row],[Mid]]</f>
        <v>0</v>
      </c>
      <c r="CO573" s="19">
        <f>Table1[[#This Row],[Mid3]]+Table1[[#This Row],[Mid6]]+Table1[[#This Row],[Mid9]]</f>
        <v>130</v>
      </c>
      <c r="CP573" s="19">
        <f>Table1[[#This Row],[Mid12]]+Table1[[#This Row],[Mid15]]+Table1[[#This Row],[Mid18]]+Table1[[#This Row],[Mid21]]+Table1[[#This Row],[Mid24]]</f>
        <v>0</v>
      </c>
      <c r="CQ573" s="19">
        <f>Table1[[#This Row],[Mid27]]+Table1[[#This Row],[Mid30]]+Table1[[#This Row],[Mid33]]+Table1[[#This Row],[Mid36]]+Table1[[#This Row],[Mid39]]</f>
        <v>0</v>
      </c>
      <c r="CR573" t="s">
        <v>415</v>
      </c>
      <c r="CS573" s="19" t="str">
        <f>IF(AND(Table1[[#This Row],[Low41]]=0, Table1[[#This Row],[High43]]=0),"N","Y")</f>
        <v>Y</v>
      </c>
    </row>
    <row r="574" spans="1:97" ht="19.5" customHeight="1" x14ac:dyDescent="0.25">
      <c r="A574">
        <v>10572</v>
      </c>
      <c r="B574" t="s">
        <v>1635</v>
      </c>
      <c r="C574" t="s">
        <v>1449</v>
      </c>
      <c r="D574">
        <v>53.491388890000003</v>
      </c>
      <c r="E574">
        <v>2.2455555559999998</v>
      </c>
      <c r="F574" t="s">
        <v>1890</v>
      </c>
      <c r="G574" t="s">
        <v>1687</v>
      </c>
      <c r="H574" t="s">
        <v>1688</v>
      </c>
      <c r="I574" t="s">
        <v>1753</v>
      </c>
      <c r="J574" t="s">
        <v>202</v>
      </c>
      <c r="K574" t="s">
        <v>203</v>
      </c>
      <c r="L574" t="s">
        <v>121</v>
      </c>
      <c r="M574" t="s">
        <v>1689</v>
      </c>
      <c r="N574" s="6" t="s">
        <v>1663</v>
      </c>
      <c r="O574" t="s">
        <v>1886</v>
      </c>
      <c r="P574" t="s">
        <v>1891</v>
      </c>
      <c r="Q574" t="s">
        <v>1892</v>
      </c>
      <c r="R574" t="s">
        <v>1893</v>
      </c>
      <c r="S574">
        <v>2015</v>
      </c>
      <c r="T574" t="s">
        <v>771</v>
      </c>
      <c r="U574" t="s">
        <v>1479</v>
      </c>
      <c r="V574">
        <v>47</v>
      </c>
      <c r="W574">
        <v>2438</v>
      </c>
      <c r="X574">
        <v>220</v>
      </c>
      <c r="Y574">
        <v>92</v>
      </c>
      <c r="Z574">
        <v>12</v>
      </c>
      <c r="AA574">
        <v>28</v>
      </c>
      <c r="AB574">
        <v>0</v>
      </c>
      <c r="AC574">
        <v>0</v>
      </c>
      <c r="AD574">
        <v>73</v>
      </c>
      <c r="AE574">
        <v>1.553191489</v>
      </c>
      <c r="AF574">
        <v>200</v>
      </c>
      <c r="AG574">
        <v>0</v>
      </c>
      <c r="AI574">
        <v>0</v>
      </c>
      <c r="AJ574">
        <v>0</v>
      </c>
      <c r="AK574">
        <v>0</v>
      </c>
      <c r="AL574">
        <v>0</v>
      </c>
      <c r="AM574" t="s">
        <v>1699</v>
      </c>
      <c r="AN574" t="s">
        <v>132</v>
      </c>
      <c r="AO574">
        <v>0</v>
      </c>
      <c r="AP574">
        <v>0</v>
      </c>
      <c r="AQ574">
        <v>0</v>
      </c>
      <c r="AR574">
        <v>0</v>
      </c>
      <c r="AS574">
        <v>0</v>
      </c>
      <c r="AT574">
        <v>0</v>
      </c>
      <c r="AU574">
        <v>0</v>
      </c>
      <c r="AV574">
        <v>310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74" s="19">
        <f>SUM(Table1[[#This Row],[Mid39]],Table1[[#This Row],[Mid36]],Table1[[#This Row],[Mid33]],Table1[[#This Row],[Mid30]],Table1[[#This Row],[Mid27]],Table1[[#This Row],[Mid24]],Table1[[#This Row],[Mid21]],Table1[[#This Row],[Mid18]],Table1[[#This Row],[Mid15]],Table1[[#This Row],[Mid12]],Table1[[#This Row],[Mid9]],Table1[[#This Row],[Mid6]],Table1[[#This Row],[Mid3]],Table1[[#This Row],[Mid]])</f>
        <v>310</v>
      </c>
      <c r="CG57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74" t="s">
        <v>133</v>
      </c>
      <c r="CI574" t="s">
        <v>134</v>
      </c>
      <c r="CJ574" t="s">
        <v>135</v>
      </c>
      <c r="CL574" s="19">
        <f>IF(Table1[[#This Row],[Type]]="Petroleum",1,IF(ISERROR(Table1[[#This Row],[Well Density]]*Table1[[#This Row],[Single Well Discovery Area]]),"",IF(Table1[[#This Row],[Well Density]]*Table1[[#This Row],[Single Well Discovery Area]]&gt;1,1,Table1[[#This Row],[Well Density]]*Table1[[#This Row],[Single Well Discovery Area]])))</f>
        <v>1</v>
      </c>
      <c r="CM574" t="s">
        <v>158</v>
      </c>
      <c r="CN574" s="19">
        <f>Table1[[#This Row],[Mid]]</f>
        <v>0</v>
      </c>
      <c r="CO574" s="19">
        <f>Table1[[#This Row],[Mid3]]+Table1[[#This Row],[Mid6]]+Table1[[#This Row],[Mid9]]</f>
        <v>310</v>
      </c>
      <c r="CP574" s="19">
        <f>Table1[[#This Row],[Mid12]]+Table1[[#This Row],[Mid15]]+Table1[[#This Row],[Mid18]]+Table1[[#This Row],[Mid21]]+Table1[[#This Row],[Mid24]]</f>
        <v>0</v>
      </c>
      <c r="CQ574" s="19">
        <f>Table1[[#This Row],[Mid27]]+Table1[[#This Row],[Mid30]]+Table1[[#This Row],[Mid33]]+Table1[[#This Row],[Mid36]]+Table1[[#This Row],[Mid39]]</f>
        <v>0</v>
      </c>
      <c r="CR574" t="s">
        <v>415</v>
      </c>
      <c r="CS574" s="19" t="str">
        <f>IF(AND(Table1[[#This Row],[Low41]]=0, Table1[[#This Row],[High43]]=0),"N","Y")</f>
        <v>N</v>
      </c>
    </row>
    <row r="575" spans="1:97" ht="19.5" customHeight="1" x14ac:dyDescent="0.25">
      <c r="A575">
        <v>10573</v>
      </c>
      <c r="B575" t="s">
        <v>1635</v>
      </c>
      <c r="C575" t="s">
        <v>1449</v>
      </c>
      <c r="D575">
        <v>53.387500000000003</v>
      </c>
      <c r="E575">
        <v>2.1597222220000001</v>
      </c>
      <c r="F575" t="s">
        <v>1894</v>
      </c>
      <c r="G575" t="s">
        <v>1687</v>
      </c>
      <c r="H575" t="s">
        <v>1688</v>
      </c>
      <c r="I575" t="s">
        <v>1606</v>
      </c>
      <c r="J575" t="s">
        <v>202</v>
      </c>
      <c r="K575" t="s">
        <v>203</v>
      </c>
      <c r="L575" t="s">
        <v>121</v>
      </c>
      <c r="M575" t="s">
        <v>1689</v>
      </c>
      <c r="N575" s="6" t="s">
        <v>1639</v>
      </c>
      <c r="O575" t="s">
        <v>1690</v>
      </c>
      <c r="P575" t="s">
        <v>436</v>
      </c>
      <c r="Q575" t="s">
        <v>1641</v>
      </c>
      <c r="R575" t="s">
        <v>1642</v>
      </c>
      <c r="S575">
        <v>2015</v>
      </c>
      <c r="T575" t="s">
        <v>771</v>
      </c>
      <c r="U575" t="s">
        <v>1479</v>
      </c>
      <c r="V575">
        <v>0</v>
      </c>
      <c r="AD575">
        <v>0</v>
      </c>
      <c r="AF575">
        <v>200</v>
      </c>
      <c r="AG575">
        <v>0</v>
      </c>
      <c r="AK575">
        <v>0</v>
      </c>
      <c r="AL575">
        <v>0</v>
      </c>
      <c r="AN575" t="s">
        <v>132</v>
      </c>
      <c r="BH575">
        <v>13</v>
      </c>
      <c r="CE57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75" s="19">
        <f>SUM(Table1[[#This Row],[Mid39]],Table1[[#This Row],[Mid36]],Table1[[#This Row],[Mid33]],Table1[[#This Row],[Mid30]],Table1[[#This Row],[Mid27]],Table1[[#This Row],[Mid24]],Table1[[#This Row],[Mid21]],Table1[[#This Row],[Mid18]],Table1[[#This Row],[Mid15]],Table1[[#This Row],[Mid12]],Table1[[#This Row],[Mid9]],Table1[[#This Row],[Mid6]],Table1[[#This Row],[Mid3]],Table1[[#This Row],[Mid]])</f>
        <v>13</v>
      </c>
      <c r="CG57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75" t="s">
        <v>133</v>
      </c>
      <c r="CI575" t="s">
        <v>134</v>
      </c>
      <c r="CJ575" t="s">
        <v>158</v>
      </c>
      <c r="CL575" s="19">
        <f>IF(Table1[[#This Row],[Type]]="Petroleum",1,IF(ISERROR(Table1[[#This Row],[Well Density]]*Table1[[#This Row],[Single Well Discovery Area]]),"",IF(Table1[[#This Row],[Well Density]]*Table1[[#This Row],[Single Well Discovery Area]]&gt;1,1,Table1[[#This Row],[Well Density]]*Table1[[#This Row],[Single Well Discovery Area]])))</f>
        <v>1</v>
      </c>
      <c r="CM575" t="s">
        <v>158</v>
      </c>
      <c r="CN575" s="19">
        <f>Table1[[#This Row],[Mid]]</f>
        <v>0</v>
      </c>
      <c r="CO575" s="19">
        <f>Table1[[#This Row],[Mid3]]+Table1[[#This Row],[Mid6]]+Table1[[#This Row],[Mid9]]</f>
        <v>0</v>
      </c>
      <c r="CP575" s="19">
        <f>Table1[[#This Row],[Mid12]]+Table1[[#This Row],[Mid15]]+Table1[[#This Row],[Mid18]]+Table1[[#This Row],[Mid21]]+Table1[[#This Row],[Mid24]]</f>
        <v>13</v>
      </c>
      <c r="CQ575" s="19">
        <f>Table1[[#This Row],[Mid27]]+Table1[[#This Row],[Mid30]]+Table1[[#This Row],[Mid33]]+Table1[[#This Row],[Mid36]]+Table1[[#This Row],[Mid39]]</f>
        <v>0</v>
      </c>
      <c r="CR575" t="s">
        <v>415</v>
      </c>
      <c r="CS575" s="19" t="str">
        <f>IF(AND(Table1[[#This Row],[Low41]]=0, Table1[[#This Row],[High43]]=0),"N","Y")</f>
        <v>N</v>
      </c>
    </row>
    <row r="576" spans="1:97" ht="19.5" customHeight="1" x14ac:dyDescent="0.25">
      <c r="A576">
        <v>10574</v>
      </c>
      <c r="B576" t="s">
        <v>1635</v>
      </c>
      <c r="C576" t="s">
        <v>1449</v>
      </c>
      <c r="D576">
        <v>53.39833333</v>
      </c>
      <c r="E576">
        <v>2.2411111109999999</v>
      </c>
      <c r="F576" t="s">
        <v>1895</v>
      </c>
      <c r="G576" t="s">
        <v>1687</v>
      </c>
      <c r="H576" t="s">
        <v>1688</v>
      </c>
      <c r="I576" t="s">
        <v>1606</v>
      </c>
      <c r="J576" t="s">
        <v>202</v>
      </c>
      <c r="K576" t="s">
        <v>203</v>
      </c>
      <c r="L576" t="s">
        <v>121</v>
      </c>
      <c r="M576" t="s">
        <v>1689</v>
      </c>
      <c r="N576" s="6" t="s">
        <v>1639</v>
      </c>
      <c r="O576" t="s">
        <v>1690</v>
      </c>
      <c r="P576" t="s">
        <v>436</v>
      </c>
      <c r="Q576" t="s">
        <v>1641</v>
      </c>
      <c r="R576" t="s">
        <v>1642</v>
      </c>
      <c r="S576">
        <v>2015</v>
      </c>
      <c r="T576" t="s">
        <v>771</v>
      </c>
      <c r="U576" t="s">
        <v>1479</v>
      </c>
      <c r="V576"/>
      <c r="AF576">
        <v>200</v>
      </c>
      <c r="AG576">
        <v>0</v>
      </c>
      <c r="AK576">
        <v>0</v>
      </c>
      <c r="AL576">
        <v>0</v>
      </c>
      <c r="AN576" t="s">
        <v>132</v>
      </c>
      <c r="BH576">
        <v>13</v>
      </c>
      <c r="CE57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76" s="19">
        <f>SUM(Table1[[#This Row],[Mid39]],Table1[[#This Row],[Mid36]],Table1[[#This Row],[Mid33]],Table1[[#This Row],[Mid30]],Table1[[#This Row],[Mid27]],Table1[[#This Row],[Mid24]],Table1[[#This Row],[Mid21]],Table1[[#This Row],[Mid18]],Table1[[#This Row],[Mid15]],Table1[[#This Row],[Mid12]],Table1[[#This Row],[Mid9]],Table1[[#This Row],[Mid6]],Table1[[#This Row],[Mid3]],Table1[[#This Row],[Mid]])</f>
        <v>13</v>
      </c>
      <c r="CG57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76" t="s">
        <v>133</v>
      </c>
      <c r="CI576" t="s">
        <v>134</v>
      </c>
      <c r="CJ576" t="s">
        <v>158</v>
      </c>
      <c r="CL576" s="19">
        <f>IF(Table1[[#This Row],[Type]]="Petroleum",1,IF(ISERROR(Table1[[#This Row],[Well Density]]*Table1[[#This Row],[Single Well Discovery Area]]),"",IF(Table1[[#This Row],[Well Density]]*Table1[[#This Row],[Single Well Discovery Area]]&gt;1,1,Table1[[#This Row],[Well Density]]*Table1[[#This Row],[Single Well Discovery Area]])))</f>
        <v>1</v>
      </c>
      <c r="CM576" t="s">
        <v>135</v>
      </c>
      <c r="CN576" s="19">
        <f>Table1[[#This Row],[Mid]]</f>
        <v>0</v>
      </c>
      <c r="CO576" s="19">
        <f>Table1[[#This Row],[Mid3]]+Table1[[#This Row],[Mid6]]+Table1[[#This Row],[Mid9]]</f>
        <v>0</v>
      </c>
      <c r="CP576" s="19">
        <f>Table1[[#This Row],[Mid12]]+Table1[[#This Row],[Mid15]]+Table1[[#This Row],[Mid18]]+Table1[[#This Row],[Mid21]]+Table1[[#This Row],[Mid24]]</f>
        <v>13</v>
      </c>
      <c r="CQ576" s="19">
        <f>Table1[[#This Row],[Mid27]]+Table1[[#This Row],[Mid30]]+Table1[[#This Row],[Mid33]]+Table1[[#This Row],[Mid36]]+Table1[[#This Row],[Mid39]]</f>
        <v>0</v>
      </c>
      <c r="CR576" t="s">
        <v>415</v>
      </c>
      <c r="CS576" s="19" t="str">
        <f>IF(AND(Table1[[#This Row],[Low41]]=0, Table1[[#This Row],[High43]]=0),"N","Y")</f>
        <v>N</v>
      </c>
    </row>
    <row r="577" spans="1:97" ht="19.5" customHeight="1" x14ac:dyDescent="0.25">
      <c r="A577">
        <v>10575</v>
      </c>
      <c r="B577" t="s">
        <v>1635</v>
      </c>
      <c r="C577" t="s">
        <v>1449</v>
      </c>
      <c r="D577">
        <v>53.249722220000002</v>
      </c>
      <c r="E577">
        <v>1.970277778</v>
      </c>
      <c r="F577" t="s">
        <v>1896</v>
      </c>
      <c r="G577" t="s">
        <v>1687</v>
      </c>
      <c r="H577" t="s">
        <v>1688</v>
      </c>
      <c r="I577" t="s">
        <v>1606</v>
      </c>
      <c r="J577" t="s">
        <v>202</v>
      </c>
      <c r="K577" t="s">
        <v>203</v>
      </c>
      <c r="L577" t="s">
        <v>121</v>
      </c>
      <c r="M577" t="s">
        <v>1689</v>
      </c>
      <c r="N577" s="6" t="s">
        <v>1639</v>
      </c>
      <c r="O577" t="s">
        <v>1864</v>
      </c>
      <c r="P577" t="s">
        <v>436</v>
      </c>
      <c r="Q577" t="s">
        <v>1641</v>
      </c>
      <c r="R577" t="s">
        <v>1642</v>
      </c>
      <c r="S577">
        <v>2015</v>
      </c>
      <c r="T577" t="s">
        <v>771</v>
      </c>
      <c r="U577" t="s">
        <v>1479</v>
      </c>
      <c r="V577"/>
      <c r="AF577">
        <v>200</v>
      </c>
      <c r="AG577">
        <v>0</v>
      </c>
      <c r="AK577">
        <v>0</v>
      </c>
      <c r="AL577">
        <v>0</v>
      </c>
      <c r="AN577" t="s">
        <v>132</v>
      </c>
      <c r="BH577">
        <v>64</v>
      </c>
      <c r="CE57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77" s="19">
        <f>SUM(Table1[[#This Row],[Mid39]],Table1[[#This Row],[Mid36]],Table1[[#This Row],[Mid33]],Table1[[#This Row],[Mid30]],Table1[[#This Row],[Mid27]],Table1[[#This Row],[Mid24]],Table1[[#This Row],[Mid21]],Table1[[#This Row],[Mid18]],Table1[[#This Row],[Mid15]],Table1[[#This Row],[Mid12]],Table1[[#This Row],[Mid9]],Table1[[#This Row],[Mid6]],Table1[[#This Row],[Mid3]],Table1[[#This Row],[Mid]])</f>
        <v>64</v>
      </c>
      <c r="CG57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77" t="s">
        <v>133</v>
      </c>
      <c r="CI577" t="s">
        <v>134</v>
      </c>
      <c r="CJ577" t="s">
        <v>158</v>
      </c>
      <c r="CL577" s="19">
        <f>IF(Table1[[#This Row],[Type]]="Petroleum",1,IF(ISERROR(Table1[[#This Row],[Well Density]]*Table1[[#This Row],[Single Well Discovery Area]]),"",IF(Table1[[#This Row],[Well Density]]*Table1[[#This Row],[Single Well Discovery Area]]&gt;1,1,Table1[[#This Row],[Well Density]]*Table1[[#This Row],[Single Well Discovery Area]])))</f>
        <v>1</v>
      </c>
      <c r="CM577" t="s">
        <v>158</v>
      </c>
      <c r="CN577" s="19">
        <f>Table1[[#This Row],[Mid]]</f>
        <v>0</v>
      </c>
      <c r="CO577" s="19">
        <f>Table1[[#This Row],[Mid3]]+Table1[[#This Row],[Mid6]]+Table1[[#This Row],[Mid9]]</f>
        <v>0</v>
      </c>
      <c r="CP577" s="19">
        <f>Table1[[#This Row],[Mid12]]+Table1[[#This Row],[Mid15]]+Table1[[#This Row],[Mid18]]+Table1[[#This Row],[Mid21]]+Table1[[#This Row],[Mid24]]</f>
        <v>64</v>
      </c>
      <c r="CQ577" s="19">
        <f>Table1[[#This Row],[Mid27]]+Table1[[#This Row],[Mid30]]+Table1[[#This Row],[Mid33]]+Table1[[#This Row],[Mid36]]+Table1[[#This Row],[Mid39]]</f>
        <v>0</v>
      </c>
      <c r="CR577" t="s">
        <v>415</v>
      </c>
      <c r="CS577" s="19" t="str">
        <f>IF(AND(Table1[[#This Row],[Low41]]=0, Table1[[#This Row],[High43]]=0),"N","Y")</f>
        <v>N</v>
      </c>
    </row>
    <row r="578" spans="1:97" ht="19.5" customHeight="1" x14ac:dyDescent="0.25">
      <c r="A578">
        <v>10576</v>
      </c>
      <c r="B578" t="s">
        <v>1897</v>
      </c>
      <c r="C578" t="s">
        <v>1898</v>
      </c>
      <c r="D578">
        <v>32.779444439999999</v>
      </c>
      <c r="E578">
        <v>-86.828611109999997</v>
      </c>
      <c r="F578" t="s">
        <v>1899</v>
      </c>
      <c r="H578" t="s">
        <v>189</v>
      </c>
      <c r="I578" t="s">
        <v>201</v>
      </c>
      <c r="J578" t="s">
        <v>202</v>
      </c>
      <c r="K578" t="s">
        <v>203</v>
      </c>
      <c r="L578" t="s">
        <v>121</v>
      </c>
      <c r="N578" s="6" t="s">
        <v>521</v>
      </c>
      <c r="O578" t="s">
        <v>1900</v>
      </c>
      <c r="P578" t="s">
        <v>436</v>
      </c>
      <c r="Q578" t="s">
        <v>1901</v>
      </c>
      <c r="R578" t="s">
        <v>1902</v>
      </c>
      <c r="S578">
        <v>2015</v>
      </c>
      <c r="T578" t="s">
        <v>153</v>
      </c>
      <c r="U578" t="s">
        <v>129</v>
      </c>
      <c r="V578"/>
      <c r="AD578">
        <v>0</v>
      </c>
      <c r="AF578">
        <v>200</v>
      </c>
      <c r="AG578">
        <v>0</v>
      </c>
      <c r="AH578" t="s">
        <v>1903</v>
      </c>
      <c r="AK578">
        <v>0</v>
      </c>
      <c r="AL578">
        <v>0</v>
      </c>
      <c r="AN578" t="s">
        <v>132</v>
      </c>
      <c r="BM578">
        <v>60</v>
      </c>
      <c r="BN578">
        <v>90</v>
      </c>
      <c r="BO578">
        <v>120</v>
      </c>
      <c r="CE578" s="19">
        <f>SUM(Table1[[#This Row],[Low38]],Table1[[#This Row],[Low35]],Table1[[#This Row],[Low32]],Table1[[#This Row],[Low29]],Table1[[#This Row],[Low26]],Table1[[#This Row],[Low23]],Table1[[#This Row],[Low20]],Table1[[#This Row],[Low17]],Table1[[#This Row],[Low14]],Table1[[#This Row],[Low11]],Table1[[#This Row],[Low8]],Table1[[#This Row],[Low5]],Table1[[#This Row],[Low2]],Table1[[#This Row],[Low]])</f>
        <v>60</v>
      </c>
      <c r="CF578" s="19">
        <f>SUM(Table1[[#This Row],[Mid39]],Table1[[#This Row],[Mid36]],Table1[[#This Row],[Mid33]],Table1[[#This Row],[Mid30]],Table1[[#This Row],[Mid27]],Table1[[#This Row],[Mid24]],Table1[[#This Row],[Mid21]],Table1[[#This Row],[Mid18]],Table1[[#This Row],[Mid15]],Table1[[#This Row],[Mid12]],Table1[[#This Row],[Mid9]],Table1[[#This Row],[Mid6]],Table1[[#This Row],[Mid3]],Table1[[#This Row],[Mid]])</f>
        <v>90</v>
      </c>
      <c r="CG57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120</v>
      </c>
      <c r="CH578" t="s">
        <v>157</v>
      </c>
      <c r="CI578" t="s">
        <v>176</v>
      </c>
      <c r="CJ578" t="s">
        <v>158</v>
      </c>
      <c r="CL578" s="19">
        <f>IF(Table1[[#This Row],[Type]]="Petroleum",1,IF(ISERROR(Table1[[#This Row],[Well Density]]*Table1[[#This Row],[Single Well Discovery Area]]),"",IF(Table1[[#This Row],[Well Density]]*Table1[[#This Row],[Single Well Discovery Area]]&gt;1,1,Table1[[#This Row],[Well Density]]*Table1[[#This Row],[Single Well Discovery Area]])))</f>
        <v>1</v>
      </c>
      <c r="CM578" t="s">
        <v>158</v>
      </c>
      <c r="CN578" s="19">
        <f>Table1[[#This Row],[Mid]]</f>
        <v>0</v>
      </c>
      <c r="CO578" s="19">
        <f>Table1[[#This Row],[Mid3]]+Table1[[#This Row],[Mid6]]+Table1[[#This Row],[Mid9]]</f>
        <v>0</v>
      </c>
      <c r="CP578" s="19">
        <f>Table1[[#This Row],[Mid12]]+Table1[[#This Row],[Mid15]]+Table1[[#This Row],[Mid18]]+Table1[[#This Row],[Mid21]]+Table1[[#This Row],[Mid24]]</f>
        <v>90</v>
      </c>
      <c r="CQ578" s="19">
        <f>Table1[[#This Row],[Mid27]]+Table1[[#This Row],[Mid30]]+Table1[[#This Row],[Mid33]]+Table1[[#This Row],[Mid36]]+Table1[[#This Row],[Mid39]]</f>
        <v>0</v>
      </c>
      <c r="CR578" t="s">
        <v>471</v>
      </c>
      <c r="CS578" s="19" t="str">
        <f>IF(AND(Table1[[#This Row],[Low41]]=0, Table1[[#This Row],[High43]]=0),"N","Y")</f>
        <v>Y</v>
      </c>
    </row>
    <row r="579" spans="1:97" ht="19.5" customHeight="1" x14ac:dyDescent="0.25">
      <c r="A579">
        <v>10577</v>
      </c>
      <c r="B579" t="s">
        <v>1897</v>
      </c>
      <c r="C579" t="s">
        <v>1898</v>
      </c>
      <c r="D579">
        <v>32.780555560000003</v>
      </c>
      <c r="E579">
        <v>-86.829722219999994</v>
      </c>
      <c r="F579" t="s">
        <v>1904</v>
      </c>
      <c r="H579" t="s">
        <v>189</v>
      </c>
      <c r="I579" t="s">
        <v>118</v>
      </c>
      <c r="J579" t="s">
        <v>119</v>
      </c>
      <c r="K579" t="s">
        <v>190</v>
      </c>
      <c r="L579" t="s">
        <v>18</v>
      </c>
      <c r="N579" s="6" t="s">
        <v>521</v>
      </c>
      <c r="O579" t="s">
        <v>1900</v>
      </c>
      <c r="P579" t="s">
        <v>436</v>
      </c>
      <c r="Q579" t="s">
        <v>195</v>
      </c>
      <c r="R579" t="s">
        <v>1905</v>
      </c>
      <c r="S579">
        <v>2015</v>
      </c>
      <c r="T579" t="s">
        <v>153</v>
      </c>
      <c r="U579" t="s">
        <v>129</v>
      </c>
      <c r="V579"/>
      <c r="AD579">
        <v>0</v>
      </c>
      <c r="AF579">
        <v>200</v>
      </c>
      <c r="AG579">
        <v>0</v>
      </c>
      <c r="AH579" t="s">
        <v>525</v>
      </c>
      <c r="AI579">
        <v>2</v>
      </c>
      <c r="AK579">
        <v>0</v>
      </c>
      <c r="AL579">
        <v>0</v>
      </c>
      <c r="AN579" t="s">
        <v>132</v>
      </c>
      <c r="BY579">
        <v>119785</v>
      </c>
      <c r="BZ579">
        <v>304131</v>
      </c>
      <c r="CA579">
        <v>683687</v>
      </c>
      <c r="CE579" s="19">
        <f>SUM(Table1[[#This Row],[Low38]],Table1[[#This Row],[Low35]],Table1[[#This Row],[Low32]],Table1[[#This Row],[Low29]],Table1[[#This Row],[Low26]],Table1[[#This Row],[Low23]],Table1[[#This Row],[Low20]],Table1[[#This Row],[Low17]],Table1[[#This Row],[Low14]],Table1[[#This Row],[Low11]],Table1[[#This Row],[Low8]],Table1[[#This Row],[Low5]],Table1[[#This Row],[Low2]],Table1[[#This Row],[Low]])</f>
        <v>119785</v>
      </c>
      <c r="CF579" s="19">
        <f>SUM(Table1[[#This Row],[Mid39]],Table1[[#This Row],[Mid36]],Table1[[#This Row],[Mid33]],Table1[[#This Row],[Mid30]],Table1[[#This Row],[Mid27]],Table1[[#This Row],[Mid24]],Table1[[#This Row],[Mid21]],Table1[[#This Row],[Mid18]],Table1[[#This Row],[Mid15]],Table1[[#This Row],[Mid12]],Table1[[#This Row],[Mid9]],Table1[[#This Row],[Mid6]],Table1[[#This Row],[Mid3]],Table1[[#This Row],[Mid]])</f>
        <v>304131</v>
      </c>
      <c r="CG57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683687</v>
      </c>
      <c r="CH579" t="s">
        <v>157</v>
      </c>
      <c r="CI579" t="s">
        <v>176</v>
      </c>
      <c r="CJ579" t="s">
        <v>158</v>
      </c>
      <c r="CL579" s="19">
        <f>IF(Table1[[#This Row],[Type]]="Petroleum",1,IF(ISERROR(Table1[[#This Row],[Well Density]]*Table1[[#This Row],[Single Well Discovery Area]]),"",IF(Table1[[#This Row],[Well Density]]*Table1[[#This Row],[Single Well Discovery Area]]&gt;1,1,Table1[[#This Row],[Well Density]]*Table1[[#This Row],[Single Well Discovery Area]])))</f>
        <v>0</v>
      </c>
      <c r="CM579" t="s">
        <v>158</v>
      </c>
      <c r="CN579" s="19">
        <f>Table1[[#This Row],[Mid]]</f>
        <v>0</v>
      </c>
      <c r="CO579" s="19">
        <f>Table1[[#This Row],[Mid3]]+Table1[[#This Row],[Mid6]]+Table1[[#This Row],[Mid9]]</f>
        <v>0</v>
      </c>
      <c r="CP579" s="19">
        <f>Table1[[#This Row],[Mid12]]+Table1[[#This Row],[Mid15]]+Table1[[#This Row],[Mid18]]+Table1[[#This Row],[Mid21]]+Table1[[#This Row],[Mid24]]</f>
        <v>0</v>
      </c>
      <c r="CQ579" s="19">
        <f>Table1[[#This Row],[Mid27]]+Table1[[#This Row],[Mid30]]+Table1[[#This Row],[Mid33]]+Table1[[#This Row],[Mid36]]+Table1[[#This Row],[Mid39]]</f>
        <v>304131</v>
      </c>
      <c r="CR579" t="s">
        <v>471</v>
      </c>
      <c r="CS579" s="19" t="str">
        <f>IF(AND(Table1[[#This Row],[Low41]]=0, Table1[[#This Row],[High43]]=0),"N","Y")</f>
        <v>Y</v>
      </c>
    </row>
    <row r="580" spans="1:97" ht="19.5" customHeight="1" x14ac:dyDescent="0.25">
      <c r="A580">
        <v>10578</v>
      </c>
      <c r="B580" t="s">
        <v>1897</v>
      </c>
      <c r="C580" t="s">
        <v>1898</v>
      </c>
      <c r="D580">
        <v>33.69805556</v>
      </c>
      <c r="E580">
        <v>-87.77861111</v>
      </c>
      <c r="F580" t="s">
        <v>1906</v>
      </c>
      <c r="G580" t="s">
        <v>1907</v>
      </c>
      <c r="H580" t="s">
        <v>1908</v>
      </c>
      <c r="I580" t="s">
        <v>118</v>
      </c>
      <c r="J580" t="s">
        <v>119</v>
      </c>
      <c r="K580" t="s">
        <v>190</v>
      </c>
      <c r="L580" t="s">
        <v>18</v>
      </c>
      <c r="N580" s="6" t="s">
        <v>521</v>
      </c>
      <c r="O580" t="s">
        <v>1909</v>
      </c>
      <c r="P580" t="s">
        <v>170</v>
      </c>
      <c r="Q580" t="s">
        <v>1910</v>
      </c>
      <c r="R580" t="s">
        <v>1911</v>
      </c>
      <c r="S580">
        <v>2015</v>
      </c>
      <c r="T580" t="s">
        <v>153</v>
      </c>
      <c r="U580" t="s">
        <v>129</v>
      </c>
      <c r="V580"/>
      <c r="AD580">
        <v>0</v>
      </c>
      <c r="AF580">
        <v>200</v>
      </c>
      <c r="AG580">
        <v>0</v>
      </c>
      <c r="AK580">
        <v>0</v>
      </c>
      <c r="AL580">
        <v>0</v>
      </c>
      <c r="AN580" t="s">
        <v>132</v>
      </c>
      <c r="BV580">
        <v>435</v>
      </c>
      <c r="BW580">
        <v>3209</v>
      </c>
      <c r="BX580">
        <v>5983</v>
      </c>
      <c r="CE580" s="19">
        <f>SUM(Table1[[#This Row],[Low38]],Table1[[#This Row],[Low35]],Table1[[#This Row],[Low32]],Table1[[#This Row],[Low29]],Table1[[#This Row],[Low26]],Table1[[#This Row],[Low23]],Table1[[#This Row],[Low20]],Table1[[#This Row],[Low17]],Table1[[#This Row],[Low14]],Table1[[#This Row],[Low11]],Table1[[#This Row],[Low8]],Table1[[#This Row],[Low5]],Table1[[#This Row],[Low2]],Table1[[#This Row],[Low]])</f>
        <v>435</v>
      </c>
      <c r="CF580" s="19">
        <f>SUM(Table1[[#This Row],[Mid39]],Table1[[#This Row],[Mid36]],Table1[[#This Row],[Mid33]],Table1[[#This Row],[Mid30]],Table1[[#This Row],[Mid27]],Table1[[#This Row],[Mid24]],Table1[[#This Row],[Mid21]],Table1[[#This Row],[Mid18]],Table1[[#This Row],[Mid15]],Table1[[#This Row],[Mid12]],Table1[[#This Row],[Mid9]],Table1[[#This Row],[Mid6]],Table1[[#This Row],[Mid3]],Table1[[#This Row],[Mid]])</f>
        <v>3209</v>
      </c>
      <c r="CG58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5983</v>
      </c>
      <c r="CH580" t="s">
        <v>157</v>
      </c>
      <c r="CI580" t="s">
        <v>176</v>
      </c>
      <c r="CJ580" t="s">
        <v>158</v>
      </c>
      <c r="CL580" s="19">
        <f>IF(Table1[[#This Row],[Type]]="Petroleum",1,IF(ISERROR(Table1[[#This Row],[Well Density]]*Table1[[#This Row],[Single Well Discovery Area]]),"",IF(Table1[[#This Row],[Well Density]]*Table1[[#This Row],[Single Well Discovery Area]]&gt;1,1,Table1[[#This Row],[Well Density]]*Table1[[#This Row],[Single Well Discovery Area]])))</f>
        <v>0</v>
      </c>
      <c r="CM580" t="s">
        <v>158</v>
      </c>
      <c r="CN580" s="19">
        <f>Table1[[#This Row],[Mid]]</f>
        <v>0</v>
      </c>
      <c r="CO580" s="19">
        <f>Table1[[#This Row],[Mid3]]+Table1[[#This Row],[Mid6]]+Table1[[#This Row],[Mid9]]</f>
        <v>0</v>
      </c>
      <c r="CP580" s="19">
        <f>Table1[[#This Row],[Mid12]]+Table1[[#This Row],[Mid15]]+Table1[[#This Row],[Mid18]]+Table1[[#This Row],[Mid21]]+Table1[[#This Row],[Mid24]]</f>
        <v>0</v>
      </c>
      <c r="CQ580" s="19">
        <f>Table1[[#This Row],[Mid27]]+Table1[[#This Row],[Mid30]]+Table1[[#This Row],[Mid33]]+Table1[[#This Row],[Mid36]]+Table1[[#This Row],[Mid39]]</f>
        <v>3209</v>
      </c>
      <c r="CR580" t="s">
        <v>471</v>
      </c>
      <c r="CS580" s="19" t="str">
        <f>IF(AND(Table1[[#This Row],[Low41]]=0, Table1[[#This Row],[High43]]=0),"N","Y")</f>
        <v>Y</v>
      </c>
    </row>
    <row r="581" spans="1:97" ht="19.5" customHeight="1" x14ac:dyDescent="0.25">
      <c r="A581">
        <v>10579</v>
      </c>
      <c r="B581" t="s">
        <v>1897</v>
      </c>
      <c r="C581" t="s">
        <v>1898</v>
      </c>
      <c r="D581">
        <v>34.170583329999999</v>
      </c>
      <c r="E581">
        <v>-88.185555559999997</v>
      </c>
      <c r="F581" t="s">
        <v>1912</v>
      </c>
      <c r="G581" t="s">
        <v>1913</v>
      </c>
      <c r="H581" t="s">
        <v>1914</v>
      </c>
      <c r="I581" t="s">
        <v>118</v>
      </c>
      <c r="J581" t="s">
        <v>119</v>
      </c>
      <c r="K581" t="s">
        <v>190</v>
      </c>
      <c r="L581" t="s">
        <v>121</v>
      </c>
      <c r="M581" t="s">
        <v>148</v>
      </c>
      <c r="N581" s="6" t="s">
        <v>521</v>
      </c>
      <c r="O581" t="s">
        <v>1915</v>
      </c>
      <c r="Q581" t="s">
        <v>1916</v>
      </c>
      <c r="R581" t="s">
        <v>1917</v>
      </c>
      <c r="T581" t="s">
        <v>153</v>
      </c>
      <c r="U581" t="s">
        <v>129</v>
      </c>
      <c r="V581">
        <v>6.5</v>
      </c>
      <c r="W581">
        <v>2932</v>
      </c>
      <c r="X581">
        <v>335</v>
      </c>
      <c r="Y581">
        <v>43</v>
      </c>
      <c r="Z581">
        <v>19.5</v>
      </c>
      <c r="AA581">
        <v>284</v>
      </c>
      <c r="AD581">
        <v>27</v>
      </c>
      <c r="AE581">
        <v>4.153846154</v>
      </c>
      <c r="AF581">
        <v>200</v>
      </c>
      <c r="AG581">
        <v>2.0546384799999999</v>
      </c>
      <c r="AK581">
        <v>0</v>
      </c>
      <c r="AL581">
        <v>0</v>
      </c>
      <c r="AN581" t="s">
        <v>132</v>
      </c>
      <c r="AP581">
        <v>0.114</v>
      </c>
      <c r="CE58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81" s="19">
        <f>SUM(Table1[[#This Row],[Mid39]],Table1[[#This Row],[Mid36]],Table1[[#This Row],[Mid33]],Table1[[#This Row],[Mid30]],Table1[[#This Row],[Mid27]],Table1[[#This Row],[Mid24]],Table1[[#This Row],[Mid21]],Table1[[#This Row],[Mid18]],Table1[[#This Row],[Mid15]],Table1[[#This Row],[Mid12]],Table1[[#This Row],[Mid9]],Table1[[#This Row],[Mid6]],Table1[[#This Row],[Mid3]],Table1[[#This Row],[Mid]])</f>
        <v>0.114</v>
      </c>
      <c r="CG58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81" t="s">
        <v>157</v>
      </c>
      <c r="CI581" t="s">
        <v>134</v>
      </c>
      <c r="CJ581" t="s">
        <v>135</v>
      </c>
      <c r="CL581" s="19">
        <f>IF(Table1[[#This Row],[Type]]="Petroleum",1,IF(ISERROR(Table1[[#This Row],[Well Density]]*Table1[[#This Row],[Single Well Discovery Area]]),"",IF(Table1[[#This Row],[Well Density]]*Table1[[#This Row],[Single Well Discovery Area]]&gt;1,1,Table1[[#This Row],[Well Density]]*Table1[[#This Row],[Single Well Discovery Area]])))</f>
        <v>1</v>
      </c>
      <c r="CM581" t="s">
        <v>158</v>
      </c>
      <c r="CN581" s="19">
        <f>Table1[[#This Row],[Mid]]</f>
        <v>0.114</v>
      </c>
      <c r="CO581" s="19">
        <f>Table1[[#This Row],[Mid3]]+Table1[[#This Row],[Mid6]]+Table1[[#This Row],[Mid9]]</f>
        <v>0</v>
      </c>
      <c r="CP581" s="19">
        <f>Table1[[#This Row],[Mid12]]+Table1[[#This Row],[Mid15]]+Table1[[#This Row],[Mid18]]+Table1[[#This Row],[Mid21]]+Table1[[#This Row],[Mid24]]</f>
        <v>0</v>
      </c>
      <c r="CQ581" s="19">
        <f>Table1[[#This Row],[Mid27]]+Table1[[#This Row],[Mid30]]+Table1[[#This Row],[Mid33]]+Table1[[#This Row],[Mid36]]+Table1[[#This Row],[Mid39]]</f>
        <v>0</v>
      </c>
      <c r="CR581" t="s">
        <v>471</v>
      </c>
      <c r="CS581" s="19" t="str">
        <f>IF(AND(Table1[[#This Row],[Low41]]=0, Table1[[#This Row],[High43]]=0),"N","Y")</f>
        <v>N</v>
      </c>
    </row>
    <row r="582" spans="1:97" ht="19.5" customHeight="1" x14ac:dyDescent="0.25">
      <c r="A582">
        <v>10580</v>
      </c>
      <c r="B582" t="s">
        <v>1897</v>
      </c>
      <c r="C582" t="s">
        <v>1918</v>
      </c>
      <c r="D582">
        <v>64.068333330000002</v>
      </c>
      <c r="E582">
        <v>-152.27805559999999</v>
      </c>
      <c r="F582" t="s">
        <v>1919</v>
      </c>
      <c r="H582" t="s">
        <v>189</v>
      </c>
      <c r="I582" t="s">
        <v>201</v>
      </c>
      <c r="J582" t="s">
        <v>202</v>
      </c>
      <c r="K582" t="s">
        <v>203</v>
      </c>
      <c r="L582" t="s">
        <v>121</v>
      </c>
      <c r="N582" s="6" t="s">
        <v>521</v>
      </c>
      <c r="O582" t="s">
        <v>1920</v>
      </c>
      <c r="P582" t="s">
        <v>436</v>
      </c>
      <c r="Q582" t="s">
        <v>1901</v>
      </c>
      <c r="R582" t="s">
        <v>1921</v>
      </c>
      <c r="S582">
        <v>2015</v>
      </c>
      <c r="T582" t="s">
        <v>153</v>
      </c>
      <c r="U582" t="s">
        <v>129</v>
      </c>
      <c r="V582"/>
      <c r="AD582">
        <v>0</v>
      </c>
      <c r="AF582">
        <v>200</v>
      </c>
      <c r="AG582">
        <v>0</v>
      </c>
      <c r="AH582" t="s">
        <v>1903</v>
      </c>
      <c r="AK582">
        <v>0</v>
      </c>
      <c r="AL582">
        <v>0</v>
      </c>
      <c r="AN582" t="s">
        <v>132</v>
      </c>
      <c r="CE58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8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58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82" t="s">
        <v>157</v>
      </c>
      <c r="CI582" t="s">
        <v>176</v>
      </c>
      <c r="CJ582" t="s">
        <v>158</v>
      </c>
      <c r="CL582" s="19">
        <f>IF(Table1[[#This Row],[Type]]="Petroleum",1,IF(ISERROR(Table1[[#This Row],[Well Density]]*Table1[[#This Row],[Single Well Discovery Area]]),"",IF(Table1[[#This Row],[Well Density]]*Table1[[#This Row],[Single Well Discovery Area]]&gt;1,1,Table1[[#This Row],[Well Density]]*Table1[[#This Row],[Single Well Discovery Area]])))</f>
        <v>1</v>
      </c>
      <c r="CM582" t="s">
        <v>158</v>
      </c>
      <c r="CN582" s="19">
        <f>Table1[[#This Row],[Mid]]</f>
        <v>0</v>
      </c>
      <c r="CO582" s="19">
        <f>Table1[[#This Row],[Mid3]]+Table1[[#This Row],[Mid6]]+Table1[[#This Row],[Mid9]]</f>
        <v>0</v>
      </c>
      <c r="CP582" s="19">
        <f>Table1[[#This Row],[Mid12]]+Table1[[#This Row],[Mid15]]+Table1[[#This Row],[Mid18]]+Table1[[#This Row],[Mid21]]+Table1[[#This Row],[Mid24]]</f>
        <v>0</v>
      </c>
      <c r="CQ582" s="19">
        <f>Table1[[#This Row],[Mid27]]+Table1[[#This Row],[Mid30]]+Table1[[#This Row],[Mid33]]+Table1[[#This Row],[Mid36]]+Table1[[#This Row],[Mid39]]</f>
        <v>0</v>
      </c>
      <c r="CR582" t="s">
        <v>471</v>
      </c>
      <c r="CS582" s="19" t="str">
        <f>IF(AND(Table1[[#This Row],[Low41]]=0, Table1[[#This Row],[High43]]=0),"N","Y")</f>
        <v>N</v>
      </c>
    </row>
    <row r="583" spans="1:97" ht="19.5" customHeight="1" x14ac:dyDescent="0.25">
      <c r="A583">
        <v>10581</v>
      </c>
      <c r="B583" t="s">
        <v>1897</v>
      </c>
      <c r="C583" t="s">
        <v>1918</v>
      </c>
      <c r="D583">
        <v>64.07222222</v>
      </c>
      <c r="E583">
        <v>-152.27916669999999</v>
      </c>
      <c r="F583" t="s">
        <v>1922</v>
      </c>
      <c r="H583" t="s">
        <v>189</v>
      </c>
      <c r="I583" t="s">
        <v>118</v>
      </c>
      <c r="J583" t="s">
        <v>119</v>
      </c>
      <c r="K583" t="s">
        <v>190</v>
      </c>
      <c r="L583" t="s">
        <v>18</v>
      </c>
      <c r="N583" s="6" t="s">
        <v>521</v>
      </c>
      <c r="O583" t="s">
        <v>1920</v>
      </c>
      <c r="P583" t="s">
        <v>436</v>
      </c>
      <c r="Q583" t="s">
        <v>195</v>
      </c>
      <c r="R583" t="s">
        <v>1923</v>
      </c>
      <c r="S583">
        <v>2015</v>
      </c>
      <c r="T583" t="s">
        <v>153</v>
      </c>
      <c r="U583" t="s">
        <v>129</v>
      </c>
      <c r="V583"/>
      <c r="AD583">
        <v>0</v>
      </c>
      <c r="AF583">
        <v>200</v>
      </c>
      <c r="AG583">
        <v>0</v>
      </c>
      <c r="AH583" t="s">
        <v>525</v>
      </c>
      <c r="AI583">
        <v>2</v>
      </c>
      <c r="AK583">
        <v>0</v>
      </c>
      <c r="AL583">
        <v>0</v>
      </c>
      <c r="AN583" t="s">
        <v>132</v>
      </c>
      <c r="CE58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83"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58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83" t="s">
        <v>157</v>
      </c>
      <c r="CI583" t="s">
        <v>176</v>
      </c>
      <c r="CJ583" t="s">
        <v>158</v>
      </c>
      <c r="CL583" s="19">
        <f>IF(Table1[[#This Row],[Type]]="Petroleum",1,IF(ISERROR(Table1[[#This Row],[Well Density]]*Table1[[#This Row],[Single Well Discovery Area]]),"",IF(Table1[[#This Row],[Well Density]]*Table1[[#This Row],[Single Well Discovery Area]]&gt;1,1,Table1[[#This Row],[Well Density]]*Table1[[#This Row],[Single Well Discovery Area]])))</f>
        <v>0</v>
      </c>
      <c r="CM583" t="s">
        <v>158</v>
      </c>
      <c r="CN583" s="19">
        <f>Table1[[#This Row],[Mid]]</f>
        <v>0</v>
      </c>
      <c r="CO583" s="19">
        <f>Table1[[#This Row],[Mid3]]+Table1[[#This Row],[Mid6]]+Table1[[#This Row],[Mid9]]</f>
        <v>0</v>
      </c>
      <c r="CP583" s="19">
        <f>Table1[[#This Row],[Mid12]]+Table1[[#This Row],[Mid15]]+Table1[[#This Row],[Mid18]]+Table1[[#This Row],[Mid21]]+Table1[[#This Row],[Mid24]]</f>
        <v>0</v>
      </c>
      <c r="CQ583" s="19">
        <f>Table1[[#This Row],[Mid27]]+Table1[[#This Row],[Mid30]]+Table1[[#This Row],[Mid33]]+Table1[[#This Row],[Mid36]]+Table1[[#This Row],[Mid39]]</f>
        <v>0</v>
      </c>
      <c r="CR583" t="s">
        <v>471</v>
      </c>
      <c r="CS583" s="19" t="str">
        <f>IF(AND(Table1[[#This Row],[Low41]]=0, Table1[[#This Row],[High43]]=0),"N","Y")</f>
        <v>N</v>
      </c>
    </row>
    <row r="584" spans="1:97" ht="19.5" customHeight="1" x14ac:dyDescent="0.25">
      <c r="A584">
        <v>10582</v>
      </c>
      <c r="B584" t="s">
        <v>1897</v>
      </c>
      <c r="C584" t="s">
        <v>1924</v>
      </c>
      <c r="D584">
        <v>34.274444440000003</v>
      </c>
      <c r="E584">
        <v>-111.6602778</v>
      </c>
      <c r="F584" t="s">
        <v>1925</v>
      </c>
      <c r="H584" t="s">
        <v>189</v>
      </c>
      <c r="I584" t="s">
        <v>201</v>
      </c>
      <c r="J584" t="s">
        <v>202</v>
      </c>
      <c r="K584" t="s">
        <v>203</v>
      </c>
      <c r="L584" t="s">
        <v>121</v>
      </c>
      <c r="N584" s="6" t="s">
        <v>521</v>
      </c>
      <c r="O584" t="s">
        <v>1926</v>
      </c>
      <c r="P584" t="s">
        <v>436</v>
      </c>
      <c r="Q584" t="s">
        <v>1901</v>
      </c>
      <c r="R584" t="s">
        <v>1927</v>
      </c>
      <c r="S584">
        <v>2015</v>
      </c>
      <c r="T584" t="s">
        <v>153</v>
      </c>
      <c r="U584" t="s">
        <v>129</v>
      </c>
      <c r="V584"/>
      <c r="AD584">
        <v>0</v>
      </c>
      <c r="AF584">
        <v>200</v>
      </c>
      <c r="AG584">
        <v>0</v>
      </c>
      <c r="AH584" t="s">
        <v>1903</v>
      </c>
      <c r="AK584">
        <v>0</v>
      </c>
      <c r="AL584">
        <v>0</v>
      </c>
      <c r="AN584" t="s">
        <v>132</v>
      </c>
      <c r="BO584">
        <v>10</v>
      </c>
      <c r="CE58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8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58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10</v>
      </c>
      <c r="CH584" t="s">
        <v>157</v>
      </c>
      <c r="CI584" t="s">
        <v>176</v>
      </c>
      <c r="CJ584" t="s">
        <v>158</v>
      </c>
      <c r="CL584" s="19">
        <f>IF(Table1[[#This Row],[Type]]="Petroleum",1,IF(ISERROR(Table1[[#This Row],[Well Density]]*Table1[[#This Row],[Single Well Discovery Area]]),"",IF(Table1[[#This Row],[Well Density]]*Table1[[#This Row],[Single Well Discovery Area]]&gt;1,1,Table1[[#This Row],[Well Density]]*Table1[[#This Row],[Single Well Discovery Area]])))</f>
        <v>1</v>
      </c>
      <c r="CM584" t="s">
        <v>135</v>
      </c>
      <c r="CN584" s="19">
        <f>Table1[[#This Row],[Mid]]</f>
        <v>0</v>
      </c>
      <c r="CO584" s="19">
        <f>Table1[[#This Row],[Mid3]]+Table1[[#This Row],[Mid6]]+Table1[[#This Row],[Mid9]]</f>
        <v>0</v>
      </c>
      <c r="CP584" s="19">
        <f>Table1[[#This Row],[Mid12]]+Table1[[#This Row],[Mid15]]+Table1[[#This Row],[Mid18]]+Table1[[#This Row],[Mid21]]+Table1[[#This Row],[Mid24]]</f>
        <v>0</v>
      </c>
      <c r="CQ584" s="19">
        <f>Table1[[#This Row],[Mid27]]+Table1[[#This Row],[Mid30]]+Table1[[#This Row],[Mid33]]+Table1[[#This Row],[Mid36]]+Table1[[#This Row],[Mid39]]</f>
        <v>0</v>
      </c>
      <c r="CR584" t="s">
        <v>471</v>
      </c>
      <c r="CS584" s="19" t="str">
        <f>IF(AND(Table1[[#This Row],[Low41]]=0, Table1[[#This Row],[High43]]=0),"N","Y")</f>
        <v>Y</v>
      </c>
    </row>
    <row r="585" spans="1:97" ht="19.5" customHeight="1" x14ac:dyDescent="0.25">
      <c r="A585">
        <v>10583</v>
      </c>
      <c r="B585" t="s">
        <v>1897</v>
      </c>
      <c r="C585" t="s">
        <v>1924</v>
      </c>
      <c r="D585">
        <v>34.275555560000001</v>
      </c>
      <c r="E585">
        <v>-111.66138890000001</v>
      </c>
      <c r="F585" t="s">
        <v>1928</v>
      </c>
      <c r="H585" t="s">
        <v>189</v>
      </c>
      <c r="I585" t="s">
        <v>118</v>
      </c>
      <c r="J585" t="s">
        <v>119</v>
      </c>
      <c r="K585" t="s">
        <v>190</v>
      </c>
      <c r="L585" t="s">
        <v>18</v>
      </c>
      <c r="N585" s="6" t="s">
        <v>521</v>
      </c>
      <c r="P585" t="s">
        <v>436</v>
      </c>
      <c r="Q585" t="s">
        <v>195</v>
      </c>
      <c r="R585" t="s">
        <v>18</v>
      </c>
      <c r="S585">
        <v>2015</v>
      </c>
      <c r="T585" t="s">
        <v>153</v>
      </c>
      <c r="U585" t="s">
        <v>129</v>
      </c>
      <c r="V585"/>
      <c r="AD585">
        <v>0</v>
      </c>
      <c r="AF585">
        <v>200</v>
      </c>
      <c r="AG585">
        <v>0</v>
      </c>
      <c r="AH585" t="s">
        <v>525</v>
      </c>
      <c r="AI585">
        <v>2</v>
      </c>
      <c r="AK585">
        <v>0</v>
      </c>
      <c r="AL585">
        <v>0</v>
      </c>
      <c r="AN585" t="s">
        <v>132</v>
      </c>
      <c r="BY585">
        <v>110</v>
      </c>
      <c r="BZ585">
        <v>420</v>
      </c>
      <c r="CA585">
        <v>1140</v>
      </c>
      <c r="CE585" s="19">
        <f>SUM(Table1[[#This Row],[Low38]],Table1[[#This Row],[Low35]],Table1[[#This Row],[Low32]],Table1[[#This Row],[Low29]],Table1[[#This Row],[Low26]],Table1[[#This Row],[Low23]],Table1[[#This Row],[Low20]],Table1[[#This Row],[Low17]],Table1[[#This Row],[Low14]],Table1[[#This Row],[Low11]],Table1[[#This Row],[Low8]],Table1[[#This Row],[Low5]],Table1[[#This Row],[Low2]],Table1[[#This Row],[Low]])</f>
        <v>110</v>
      </c>
      <c r="CF585" s="19">
        <f>SUM(Table1[[#This Row],[Mid39]],Table1[[#This Row],[Mid36]],Table1[[#This Row],[Mid33]],Table1[[#This Row],[Mid30]],Table1[[#This Row],[Mid27]],Table1[[#This Row],[Mid24]],Table1[[#This Row],[Mid21]],Table1[[#This Row],[Mid18]],Table1[[#This Row],[Mid15]],Table1[[#This Row],[Mid12]],Table1[[#This Row],[Mid9]],Table1[[#This Row],[Mid6]],Table1[[#This Row],[Mid3]],Table1[[#This Row],[Mid]])</f>
        <v>420</v>
      </c>
      <c r="CG58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1140</v>
      </c>
      <c r="CH585" t="s">
        <v>157</v>
      </c>
      <c r="CI585" t="s">
        <v>176</v>
      </c>
      <c r="CJ585" t="s">
        <v>158</v>
      </c>
      <c r="CL585" s="19">
        <f>IF(Table1[[#This Row],[Type]]="Petroleum",1,IF(ISERROR(Table1[[#This Row],[Well Density]]*Table1[[#This Row],[Single Well Discovery Area]]),"",IF(Table1[[#This Row],[Well Density]]*Table1[[#This Row],[Single Well Discovery Area]]&gt;1,1,Table1[[#This Row],[Well Density]]*Table1[[#This Row],[Single Well Discovery Area]])))</f>
        <v>0</v>
      </c>
      <c r="CM585" t="s">
        <v>158</v>
      </c>
      <c r="CN585" s="19">
        <f>Table1[[#This Row],[Mid]]</f>
        <v>0</v>
      </c>
      <c r="CO585" s="19">
        <f>Table1[[#This Row],[Mid3]]+Table1[[#This Row],[Mid6]]+Table1[[#This Row],[Mid9]]</f>
        <v>0</v>
      </c>
      <c r="CP585" s="19">
        <f>Table1[[#This Row],[Mid12]]+Table1[[#This Row],[Mid15]]+Table1[[#This Row],[Mid18]]+Table1[[#This Row],[Mid21]]+Table1[[#This Row],[Mid24]]</f>
        <v>0</v>
      </c>
      <c r="CQ585" s="19">
        <f>Table1[[#This Row],[Mid27]]+Table1[[#This Row],[Mid30]]+Table1[[#This Row],[Mid33]]+Table1[[#This Row],[Mid36]]+Table1[[#This Row],[Mid39]]</f>
        <v>420</v>
      </c>
      <c r="CR585" t="s">
        <v>471</v>
      </c>
      <c r="CS585" s="19" t="str">
        <f>IF(AND(Table1[[#This Row],[Low41]]=0, Table1[[#This Row],[High43]]=0),"N","Y")</f>
        <v>Y</v>
      </c>
    </row>
    <row r="586" spans="1:97" ht="19.5" customHeight="1" x14ac:dyDescent="0.25">
      <c r="A586">
        <v>10584</v>
      </c>
      <c r="B586" t="s">
        <v>1897</v>
      </c>
      <c r="C586" t="s">
        <v>1929</v>
      </c>
      <c r="D586">
        <v>34.895000000000003</v>
      </c>
      <c r="E586">
        <v>-92.443611110000006</v>
      </c>
      <c r="F586" t="s">
        <v>1930</v>
      </c>
      <c r="G586" t="s">
        <v>1931</v>
      </c>
      <c r="H586" t="s">
        <v>189</v>
      </c>
      <c r="I586" t="s">
        <v>201</v>
      </c>
      <c r="J586" t="s">
        <v>202</v>
      </c>
      <c r="K586" t="s">
        <v>203</v>
      </c>
      <c r="L586" t="s">
        <v>121</v>
      </c>
      <c r="N586" s="6" t="s">
        <v>521</v>
      </c>
      <c r="O586" t="s">
        <v>1932</v>
      </c>
      <c r="P586" t="s">
        <v>436</v>
      </c>
      <c r="Q586" t="s">
        <v>1901</v>
      </c>
      <c r="R586" t="s">
        <v>1933</v>
      </c>
      <c r="S586">
        <v>2015</v>
      </c>
      <c r="T586" t="s">
        <v>153</v>
      </c>
      <c r="U586" t="s">
        <v>129</v>
      </c>
      <c r="V586"/>
      <c r="AD586">
        <v>0</v>
      </c>
      <c r="AF586">
        <v>200</v>
      </c>
      <c r="AG586">
        <v>0</v>
      </c>
      <c r="AH586" t="s">
        <v>1903</v>
      </c>
      <c r="AK586">
        <v>0</v>
      </c>
      <c r="AL586">
        <v>0</v>
      </c>
      <c r="AN586" t="s">
        <v>132</v>
      </c>
      <c r="BM586">
        <v>110</v>
      </c>
      <c r="BN586">
        <v>180</v>
      </c>
      <c r="BO586">
        <v>250</v>
      </c>
      <c r="CE586" s="19">
        <f>SUM(Table1[[#This Row],[Low38]],Table1[[#This Row],[Low35]],Table1[[#This Row],[Low32]],Table1[[#This Row],[Low29]],Table1[[#This Row],[Low26]],Table1[[#This Row],[Low23]],Table1[[#This Row],[Low20]],Table1[[#This Row],[Low17]],Table1[[#This Row],[Low14]],Table1[[#This Row],[Low11]],Table1[[#This Row],[Low8]],Table1[[#This Row],[Low5]],Table1[[#This Row],[Low2]],Table1[[#This Row],[Low]])</f>
        <v>110</v>
      </c>
      <c r="CF586" s="19">
        <f>SUM(Table1[[#This Row],[Mid39]],Table1[[#This Row],[Mid36]],Table1[[#This Row],[Mid33]],Table1[[#This Row],[Mid30]],Table1[[#This Row],[Mid27]],Table1[[#This Row],[Mid24]],Table1[[#This Row],[Mid21]],Table1[[#This Row],[Mid18]],Table1[[#This Row],[Mid15]],Table1[[#This Row],[Mid12]],Table1[[#This Row],[Mid9]],Table1[[#This Row],[Mid6]],Table1[[#This Row],[Mid3]],Table1[[#This Row],[Mid]])</f>
        <v>180</v>
      </c>
      <c r="CG58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250</v>
      </c>
      <c r="CH586" t="s">
        <v>157</v>
      </c>
      <c r="CI586" t="s">
        <v>176</v>
      </c>
      <c r="CJ586" t="s">
        <v>158</v>
      </c>
      <c r="CL586" s="19">
        <f>IF(Table1[[#This Row],[Type]]="Petroleum",1,IF(ISERROR(Table1[[#This Row],[Well Density]]*Table1[[#This Row],[Single Well Discovery Area]]),"",IF(Table1[[#This Row],[Well Density]]*Table1[[#This Row],[Single Well Discovery Area]]&gt;1,1,Table1[[#This Row],[Well Density]]*Table1[[#This Row],[Single Well Discovery Area]])))</f>
        <v>1</v>
      </c>
      <c r="CM586" t="s">
        <v>158</v>
      </c>
      <c r="CN586" s="19">
        <f>Table1[[#This Row],[Mid]]</f>
        <v>0</v>
      </c>
      <c r="CO586" s="19">
        <f>Table1[[#This Row],[Mid3]]+Table1[[#This Row],[Mid6]]+Table1[[#This Row],[Mid9]]</f>
        <v>0</v>
      </c>
      <c r="CP586" s="19">
        <f>Table1[[#This Row],[Mid12]]+Table1[[#This Row],[Mid15]]+Table1[[#This Row],[Mid18]]+Table1[[#This Row],[Mid21]]+Table1[[#This Row],[Mid24]]</f>
        <v>180</v>
      </c>
      <c r="CQ586" s="19">
        <f>Table1[[#This Row],[Mid27]]+Table1[[#This Row],[Mid30]]+Table1[[#This Row],[Mid33]]+Table1[[#This Row],[Mid36]]+Table1[[#This Row],[Mid39]]</f>
        <v>0</v>
      </c>
      <c r="CR586" t="s">
        <v>471</v>
      </c>
      <c r="CS586" s="19" t="str">
        <f>IF(AND(Table1[[#This Row],[Low41]]=0, Table1[[#This Row],[High43]]=0),"N","Y")</f>
        <v>Y</v>
      </c>
    </row>
    <row r="587" spans="1:97" ht="19.5" customHeight="1" x14ac:dyDescent="0.25">
      <c r="A587">
        <v>10585</v>
      </c>
      <c r="B587" t="s">
        <v>1897</v>
      </c>
      <c r="C587" t="s">
        <v>1929</v>
      </c>
      <c r="D587">
        <v>34.893888889999999</v>
      </c>
      <c r="E587">
        <v>-92.442499999999995</v>
      </c>
      <c r="F587" t="s">
        <v>1934</v>
      </c>
      <c r="G587" t="s">
        <v>1931</v>
      </c>
      <c r="H587" t="s">
        <v>189</v>
      </c>
      <c r="I587" t="s">
        <v>118</v>
      </c>
      <c r="J587" t="s">
        <v>119</v>
      </c>
      <c r="K587" t="s">
        <v>190</v>
      </c>
      <c r="L587" t="s">
        <v>18</v>
      </c>
      <c r="N587" s="6" t="s">
        <v>521</v>
      </c>
      <c r="O587" t="s">
        <v>1935</v>
      </c>
      <c r="P587" t="s">
        <v>436</v>
      </c>
      <c r="Q587" t="s">
        <v>195</v>
      </c>
      <c r="R587" t="s">
        <v>1936</v>
      </c>
      <c r="S587">
        <v>2015</v>
      </c>
      <c r="T587" t="s">
        <v>153</v>
      </c>
      <c r="U587" t="s">
        <v>129</v>
      </c>
      <c r="V587"/>
      <c r="AD587">
        <v>0</v>
      </c>
      <c r="AF587">
        <v>200</v>
      </c>
      <c r="AG587">
        <v>0</v>
      </c>
      <c r="AH587" t="s">
        <v>525</v>
      </c>
      <c r="AI587">
        <v>2</v>
      </c>
      <c r="AK587">
        <v>0</v>
      </c>
      <c r="AL587">
        <v>0</v>
      </c>
      <c r="AN587" t="s">
        <v>132</v>
      </c>
      <c r="BY587">
        <v>4380</v>
      </c>
      <c r="BZ587">
        <v>21200</v>
      </c>
      <c r="CA587">
        <v>59840</v>
      </c>
      <c r="CE587" s="19">
        <f>SUM(Table1[[#This Row],[Low38]],Table1[[#This Row],[Low35]],Table1[[#This Row],[Low32]],Table1[[#This Row],[Low29]],Table1[[#This Row],[Low26]],Table1[[#This Row],[Low23]],Table1[[#This Row],[Low20]],Table1[[#This Row],[Low17]],Table1[[#This Row],[Low14]],Table1[[#This Row],[Low11]],Table1[[#This Row],[Low8]],Table1[[#This Row],[Low5]],Table1[[#This Row],[Low2]],Table1[[#This Row],[Low]])</f>
        <v>4380</v>
      </c>
      <c r="CF587" s="19">
        <f>SUM(Table1[[#This Row],[Mid39]],Table1[[#This Row],[Mid36]],Table1[[#This Row],[Mid33]],Table1[[#This Row],[Mid30]],Table1[[#This Row],[Mid27]],Table1[[#This Row],[Mid24]],Table1[[#This Row],[Mid21]],Table1[[#This Row],[Mid18]],Table1[[#This Row],[Mid15]],Table1[[#This Row],[Mid12]],Table1[[#This Row],[Mid9]],Table1[[#This Row],[Mid6]],Table1[[#This Row],[Mid3]],Table1[[#This Row],[Mid]])</f>
        <v>21200</v>
      </c>
      <c r="CG58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59840</v>
      </c>
      <c r="CH587" t="s">
        <v>157</v>
      </c>
      <c r="CI587" t="s">
        <v>176</v>
      </c>
      <c r="CJ587" t="s">
        <v>158</v>
      </c>
      <c r="CL587" s="19">
        <f>IF(Table1[[#This Row],[Type]]="Petroleum",1,IF(ISERROR(Table1[[#This Row],[Well Density]]*Table1[[#This Row],[Single Well Discovery Area]]),"",IF(Table1[[#This Row],[Well Density]]*Table1[[#This Row],[Single Well Discovery Area]]&gt;1,1,Table1[[#This Row],[Well Density]]*Table1[[#This Row],[Single Well Discovery Area]])))</f>
        <v>0</v>
      </c>
      <c r="CM587" t="s">
        <v>158</v>
      </c>
      <c r="CN587" s="19">
        <f>Table1[[#This Row],[Mid]]</f>
        <v>0</v>
      </c>
      <c r="CO587" s="19">
        <f>Table1[[#This Row],[Mid3]]+Table1[[#This Row],[Mid6]]+Table1[[#This Row],[Mid9]]</f>
        <v>0</v>
      </c>
      <c r="CP587" s="19">
        <f>Table1[[#This Row],[Mid12]]+Table1[[#This Row],[Mid15]]+Table1[[#This Row],[Mid18]]+Table1[[#This Row],[Mid21]]+Table1[[#This Row],[Mid24]]</f>
        <v>0</v>
      </c>
      <c r="CQ587" s="19">
        <f>Table1[[#This Row],[Mid27]]+Table1[[#This Row],[Mid30]]+Table1[[#This Row],[Mid33]]+Table1[[#This Row],[Mid36]]+Table1[[#This Row],[Mid39]]</f>
        <v>21200</v>
      </c>
      <c r="CR587" t="s">
        <v>471</v>
      </c>
      <c r="CS587" s="19" t="str">
        <f>IF(AND(Table1[[#This Row],[Low41]]=0, Table1[[#This Row],[High43]]=0),"N","Y")</f>
        <v>Y</v>
      </c>
    </row>
    <row r="588" spans="1:97" ht="19.5" customHeight="1" x14ac:dyDescent="0.25">
      <c r="A588">
        <v>10586</v>
      </c>
      <c r="B588" t="s">
        <v>1897</v>
      </c>
      <c r="C588" t="s">
        <v>1937</v>
      </c>
      <c r="D588">
        <v>37.184166670000003</v>
      </c>
      <c r="E588">
        <v>-119.46972220000001</v>
      </c>
      <c r="F588" t="s">
        <v>1938</v>
      </c>
      <c r="H588" t="s">
        <v>189</v>
      </c>
      <c r="I588" t="s">
        <v>201</v>
      </c>
      <c r="J588" t="s">
        <v>202</v>
      </c>
      <c r="K588" t="s">
        <v>203</v>
      </c>
      <c r="L588" t="s">
        <v>121</v>
      </c>
      <c r="N588" s="6" t="s">
        <v>521</v>
      </c>
      <c r="O588" t="s">
        <v>1932</v>
      </c>
      <c r="P588" t="s">
        <v>436</v>
      </c>
      <c r="Q588" t="s">
        <v>1901</v>
      </c>
      <c r="R588" t="s">
        <v>1939</v>
      </c>
      <c r="S588">
        <v>2015</v>
      </c>
      <c r="T588" t="s">
        <v>153</v>
      </c>
      <c r="U588" t="s">
        <v>129</v>
      </c>
      <c r="V588"/>
      <c r="AD588">
        <v>0</v>
      </c>
      <c r="AF588">
        <v>200</v>
      </c>
      <c r="AG588">
        <v>0</v>
      </c>
      <c r="AH588" t="s">
        <v>1903</v>
      </c>
      <c r="AK588">
        <v>0</v>
      </c>
      <c r="AL588">
        <v>0</v>
      </c>
      <c r="AN588" t="s">
        <v>132</v>
      </c>
      <c r="BM588">
        <v>3560</v>
      </c>
      <c r="BN588">
        <v>4850</v>
      </c>
      <c r="BO588">
        <v>6630</v>
      </c>
      <c r="CE588" s="19">
        <f>SUM(Table1[[#This Row],[Low38]],Table1[[#This Row],[Low35]],Table1[[#This Row],[Low32]],Table1[[#This Row],[Low29]],Table1[[#This Row],[Low26]],Table1[[#This Row],[Low23]],Table1[[#This Row],[Low20]],Table1[[#This Row],[Low17]],Table1[[#This Row],[Low14]],Table1[[#This Row],[Low11]],Table1[[#This Row],[Low8]],Table1[[#This Row],[Low5]],Table1[[#This Row],[Low2]],Table1[[#This Row],[Low]])</f>
        <v>3560</v>
      </c>
      <c r="CF588" s="19">
        <f>SUM(Table1[[#This Row],[Mid39]],Table1[[#This Row],[Mid36]],Table1[[#This Row],[Mid33]],Table1[[#This Row],[Mid30]],Table1[[#This Row],[Mid27]],Table1[[#This Row],[Mid24]],Table1[[#This Row],[Mid21]],Table1[[#This Row],[Mid18]],Table1[[#This Row],[Mid15]],Table1[[#This Row],[Mid12]],Table1[[#This Row],[Mid9]],Table1[[#This Row],[Mid6]],Table1[[#This Row],[Mid3]],Table1[[#This Row],[Mid]])</f>
        <v>4850</v>
      </c>
      <c r="CG58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6630</v>
      </c>
      <c r="CH588" t="s">
        <v>157</v>
      </c>
      <c r="CI588" t="s">
        <v>176</v>
      </c>
      <c r="CJ588" t="s">
        <v>158</v>
      </c>
      <c r="CL588" s="19">
        <f>IF(Table1[[#This Row],[Type]]="Petroleum",1,IF(ISERROR(Table1[[#This Row],[Well Density]]*Table1[[#This Row],[Single Well Discovery Area]]),"",IF(Table1[[#This Row],[Well Density]]*Table1[[#This Row],[Single Well Discovery Area]]&gt;1,1,Table1[[#This Row],[Well Density]]*Table1[[#This Row],[Single Well Discovery Area]])))</f>
        <v>1</v>
      </c>
      <c r="CM588" t="s">
        <v>158</v>
      </c>
      <c r="CN588" s="19">
        <f>Table1[[#This Row],[Mid]]</f>
        <v>0</v>
      </c>
      <c r="CO588" s="19">
        <f>Table1[[#This Row],[Mid3]]+Table1[[#This Row],[Mid6]]+Table1[[#This Row],[Mid9]]</f>
        <v>0</v>
      </c>
      <c r="CP588" s="19">
        <f>Table1[[#This Row],[Mid12]]+Table1[[#This Row],[Mid15]]+Table1[[#This Row],[Mid18]]+Table1[[#This Row],[Mid21]]+Table1[[#This Row],[Mid24]]</f>
        <v>4850</v>
      </c>
      <c r="CQ588" s="19">
        <f>Table1[[#This Row],[Mid27]]+Table1[[#This Row],[Mid30]]+Table1[[#This Row],[Mid33]]+Table1[[#This Row],[Mid36]]+Table1[[#This Row],[Mid39]]</f>
        <v>0</v>
      </c>
      <c r="CR588" t="s">
        <v>471</v>
      </c>
      <c r="CS588" s="19" t="str">
        <f>IF(AND(Table1[[#This Row],[Low41]]=0, Table1[[#This Row],[High43]]=0),"N","Y")</f>
        <v>Y</v>
      </c>
    </row>
    <row r="589" spans="1:97" ht="19.5" customHeight="1" x14ac:dyDescent="0.25">
      <c r="A589">
        <v>10587</v>
      </c>
      <c r="B589" t="s">
        <v>1897</v>
      </c>
      <c r="C589" t="s">
        <v>1937</v>
      </c>
      <c r="D589">
        <v>37.18527778</v>
      </c>
      <c r="E589">
        <v>-119.4708333</v>
      </c>
      <c r="F589" t="s">
        <v>1940</v>
      </c>
      <c r="H589" t="s">
        <v>189</v>
      </c>
      <c r="I589" t="s">
        <v>118</v>
      </c>
      <c r="J589" t="s">
        <v>119</v>
      </c>
      <c r="K589" t="s">
        <v>190</v>
      </c>
      <c r="L589" t="s">
        <v>18</v>
      </c>
      <c r="N589" s="6" t="s">
        <v>521</v>
      </c>
      <c r="O589" t="s">
        <v>1941</v>
      </c>
      <c r="P589" t="s">
        <v>436</v>
      </c>
      <c r="Q589" t="s">
        <v>195</v>
      </c>
      <c r="R589" t="s">
        <v>1942</v>
      </c>
      <c r="S589">
        <v>2015</v>
      </c>
      <c r="T589" t="s">
        <v>153</v>
      </c>
      <c r="U589" t="s">
        <v>129</v>
      </c>
      <c r="V589"/>
      <c r="AD589">
        <v>0</v>
      </c>
      <c r="AF589">
        <v>200</v>
      </c>
      <c r="AG589">
        <v>0</v>
      </c>
      <c r="AH589" t="s">
        <v>525</v>
      </c>
      <c r="AI589">
        <v>2</v>
      </c>
      <c r="AK589">
        <v>0</v>
      </c>
      <c r="AL589">
        <v>0</v>
      </c>
      <c r="AN589" t="s">
        <v>132</v>
      </c>
      <c r="BY589">
        <v>30270.3</v>
      </c>
      <c r="BZ589">
        <v>147316</v>
      </c>
      <c r="CA589">
        <v>416438</v>
      </c>
      <c r="CE589" s="19">
        <f>SUM(Table1[[#This Row],[Low38]],Table1[[#This Row],[Low35]],Table1[[#This Row],[Low32]],Table1[[#This Row],[Low29]],Table1[[#This Row],[Low26]],Table1[[#This Row],[Low23]],Table1[[#This Row],[Low20]],Table1[[#This Row],[Low17]],Table1[[#This Row],[Low14]],Table1[[#This Row],[Low11]],Table1[[#This Row],[Low8]],Table1[[#This Row],[Low5]],Table1[[#This Row],[Low2]],Table1[[#This Row],[Low]])</f>
        <v>30270.3</v>
      </c>
      <c r="CF589" s="19">
        <f>SUM(Table1[[#This Row],[Mid39]],Table1[[#This Row],[Mid36]],Table1[[#This Row],[Mid33]],Table1[[#This Row],[Mid30]],Table1[[#This Row],[Mid27]],Table1[[#This Row],[Mid24]],Table1[[#This Row],[Mid21]],Table1[[#This Row],[Mid18]],Table1[[#This Row],[Mid15]],Table1[[#This Row],[Mid12]],Table1[[#This Row],[Mid9]],Table1[[#This Row],[Mid6]],Table1[[#This Row],[Mid3]],Table1[[#This Row],[Mid]])</f>
        <v>147316</v>
      </c>
      <c r="CG58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416438</v>
      </c>
      <c r="CH589" t="s">
        <v>157</v>
      </c>
      <c r="CI589" t="s">
        <v>176</v>
      </c>
      <c r="CJ589" t="s">
        <v>158</v>
      </c>
      <c r="CL589" s="19">
        <f>IF(Table1[[#This Row],[Type]]="Petroleum",1,IF(ISERROR(Table1[[#This Row],[Well Density]]*Table1[[#This Row],[Single Well Discovery Area]]),"",IF(Table1[[#This Row],[Well Density]]*Table1[[#This Row],[Single Well Discovery Area]]&gt;1,1,Table1[[#This Row],[Well Density]]*Table1[[#This Row],[Single Well Discovery Area]])))</f>
        <v>0</v>
      </c>
      <c r="CM589" t="s">
        <v>158</v>
      </c>
      <c r="CN589" s="19">
        <f>Table1[[#This Row],[Mid]]</f>
        <v>0</v>
      </c>
      <c r="CO589" s="19">
        <f>Table1[[#This Row],[Mid3]]+Table1[[#This Row],[Mid6]]+Table1[[#This Row],[Mid9]]</f>
        <v>0</v>
      </c>
      <c r="CP589" s="19">
        <f>Table1[[#This Row],[Mid12]]+Table1[[#This Row],[Mid15]]+Table1[[#This Row],[Mid18]]+Table1[[#This Row],[Mid21]]+Table1[[#This Row],[Mid24]]</f>
        <v>0</v>
      </c>
      <c r="CQ589" s="19">
        <f>Table1[[#This Row],[Mid27]]+Table1[[#This Row],[Mid30]]+Table1[[#This Row],[Mid33]]+Table1[[#This Row],[Mid36]]+Table1[[#This Row],[Mid39]]</f>
        <v>147316</v>
      </c>
      <c r="CR589" t="s">
        <v>471</v>
      </c>
      <c r="CS589" s="19" t="str">
        <f>IF(AND(Table1[[#This Row],[Low41]]=0, Table1[[#This Row],[High43]]=0),"N","Y")</f>
        <v>Y</v>
      </c>
    </row>
    <row r="590" spans="1:97" ht="19.5" customHeight="1" x14ac:dyDescent="0.25">
      <c r="A590">
        <v>10588</v>
      </c>
      <c r="B590" t="s">
        <v>1897</v>
      </c>
      <c r="C590" t="s">
        <v>1937</v>
      </c>
      <c r="D590">
        <v>33.472777780000001</v>
      </c>
      <c r="E590">
        <v>-118.2330556</v>
      </c>
      <c r="F590" t="s">
        <v>1943</v>
      </c>
      <c r="G590" t="s">
        <v>1944</v>
      </c>
      <c r="H590" t="s">
        <v>1945</v>
      </c>
      <c r="I590" t="s">
        <v>118</v>
      </c>
      <c r="J590" t="s">
        <v>119</v>
      </c>
      <c r="K590" t="s">
        <v>190</v>
      </c>
      <c r="L590" t="s">
        <v>121</v>
      </c>
      <c r="N590" s="6" t="s">
        <v>1946</v>
      </c>
      <c r="O590" t="s">
        <v>1947</v>
      </c>
      <c r="P590" t="s">
        <v>1948</v>
      </c>
      <c r="Q590"/>
      <c r="R590" t="s">
        <v>1949</v>
      </c>
      <c r="T590" t="s">
        <v>153</v>
      </c>
      <c r="U590" t="s">
        <v>129</v>
      </c>
      <c r="V590">
        <v>220</v>
      </c>
      <c r="W590">
        <v>2040</v>
      </c>
      <c r="X590">
        <v>60</v>
      </c>
      <c r="Z590">
        <v>27.5</v>
      </c>
      <c r="AA590">
        <v>45</v>
      </c>
      <c r="AD590">
        <v>25</v>
      </c>
      <c r="AE590">
        <v>0.113636364</v>
      </c>
      <c r="AF590">
        <v>200</v>
      </c>
      <c r="AG590">
        <v>0</v>
      </c>
      <c r="AH590" t="s">
        <v>1612</v>
      </c>
      <c r="AK590">
        <v>0</v>
      </c>
      <c r="AL590">
        <v>0</v>
      </c>
      <c r="AN590" t="s">
        <v>132</v>
      </c>
      <c r="BG590">
        <v>59.7</v>
      </c>
      <c r="BH590">
        <v>234</v>
      </c>
      <c r="BI590">
        <v>632</v>
      </c>
      <c r="CE590" s="19">
        <f>SUM(Table1[[#This Row],[Low38]],Table1[[#This Row],[Low35]],Table1[[#This Row],[Low32]],Table1[[#This Row],[Low29]],Table1[[#This Row],[Low26]],Table1[[#This Row],[Low23]],Table1[[#This Row],[Low20]],Table1[[#This Row],[Low17]],Table1[[#This Row],[Low14]],Table1[[#This Row],[Low11]],Table1[[#This Row],[Low8]],Table1[[#This Row],[Low5]],Table1[[#This Row],[Low2]],Table1[[#This Row],[Low]])</f>
        <v>59.7</v>
      </c>
      <c r="CF590" s="19">
        <f>SUM(Table1[[#This Row],[Mid39]],Table1[[#This Row],[Mid36]],Table1[[#This Row],[Mid33]],Table1[[#This Row],[Mid30]],Table1[[#This Row],[Mid27]],Table1[[#This Row],[Mid24]],Table1[[#This Row],[Mid21]],Table1[[#This Row],[Mid18]],Table1[[#This Row],[Mid15]],Table1[[#This Row],[Mid12]],Table1[[#This Row],[Mid9]],Table1[[#This Row],[Mid6]],Table1[[#This Row],[Mid3]],Table1[[#This Row],[Mid]])</f>
        <v>234</v>
      </c>
      <c r="CG59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632</v>
      </c>
      <c r="CH590" t="s">
        <v>157</v>
      </c>
      <c r="CI590" t="s">
        <v>134</v>
      </c>
      <c r="CJ590" t="s">
        <v>135</v>
      </c>
      <c r="CL590" s="19">
        <f>IF(Table1[[#This Row],[Type]]="Petroleum",1,IF(ISERROR(Table1[[#This Row],[Well Density]]*Table1[[#This Row],[Single Well Discovery Area]]),"",IF(Table1[[#This Row],[Well Density]]*Table1[[#This Row],[Single Well Discovery Area]]&gt;1,1,Table1[[#This Row],[Well Density]]*Table1[[#This Row],[Single Well Discovery Area]])))</f>
        <v>1</v>
      </c>
      <c r="CM590" t="s">
        <v>158</v>
      </c>
      <c r="CN590" s="19">
        <f>Table1[[#This Row],[Mid]]</f>
        <v>0</v>
      </c>
      <c r="CO590" s="19">
        <f>Table1[[#This Row],[Mid3]]+Table1[[#This Row],[Mid6]]+Table1[[#This Row],[Mid9]]</f>
        <v>0</v>
      </c>
      <c r="CP590" s="19">
        <f>Table1[[#This Row],[Mid12]]+Table1[[#This Row],[Mid15]]+Table1[[#This Row],[Mid18]]+Table1[[#This Row],[Mid21]]+Table1[[#This Row],[Mid24]]</f>
        <v>234</v>
      </c>
      <c r="CQ590" s="19">
        <f>Table1[[#This Row],[Mid27]]+Table1[[#This Row],[Mid30]]+Table1[[#This Row],[Mid33]]+Table1[[#This Row],[Mid36]]+Table1[[#This Row],[Mid39]]</f>
        <v>0</v>
      </c>
      <c r="CR590" t="s">
        <v>471</v>
      </c>
      <c r="CS590" s="19" t="str">
        <f>IF(AND(Table1[[#This Row],[Low41]]=0, Table1[[#This Row],[High43]]=0),"N","Y")</f>
        <v>Y</v>
      </c>
    </row>
    <row r="591" spans="1:97" ht="19.5" customHeight="1" x14ac:dyDescent="0.25">
      <c r="A591">
        <v>10589</v>
      </c>
      <c r="B591" t="s">
        <v>1897</v>
      </c>
      <c r="C591" t="s">
        <v>1950</v>
      </c>
      <c r="D591">
        <v>38.997222219999998</v>
      </c>
      <c r="E591">
        <v>-105.54777780000001</v>
      </c>
      <c r="F591" t="s">
        <v>1951</v>
      </c>
      <c r="H591" t="s">
        <v>189</v>
      </c>
      <c r="I591" t="s">
        <v>201</v>
      </c>
      <c r="J591" t="s">
        <v>202</v>
      </c>
      <c r="K591" t="s">
        <v>203</v>
      </c>
      <c r="L591" t="s">
        <v>121</v>
      </c>
      <c r="N591" s="6" t="s">
        <v>521</v>
      </c>
      <c r="O591" t="s">
        <v>1932</v>
      </c>
      <c r="P591" t="s">
        <v>436</v>
      </c>
      <c r="Q591" t="s">
        <v>1901</v>
      </c>
      <c r="R591" t="s">
        <v>1939</v>
      </c>
      <c r="S591">
        <v>2015</v>
      </c>
      <c r="T591" t="s">
        <v>153</v>
      </c>
      <c r="U591" t="s">
        <v>129</v>
      </c>
      <c r="V591"/>
      <c r="AD591">
        <v>0</v>
      </c>
      <c r="AF591">
        <v>200</v>
      </c>
      <c r="AG591">
        <v>0</v>
      </c>
      <c r="AH591" t="s">
        <v>1903</v>
      </c>
      <c r="AK591">
        <v>0</v>
      </c>
      <c r="AL591">
        <v>0</v>
      </c>
      <c r="AN591" t="s">
        <v>132</v>
      </c>
      <c r="BM591">
        <v>1310</v>
      </c>
      <c r="BN591">
        <v>2350</v>
      </c>
      <c r="BO591">
        <v>2660</v>
      </c>
      <c r="CE591" s="19">
        <f>SUM(Table1[[#This Row],[Low38]],Table1[[#This Row],[Low35]],Table1[[#This Row],[Low32]],Table1[[#This Row],[Low29]],Table1[[#This Row],[Low26]],Table1[[#This Row],[Low23]],Table1[[#This Row],[Low20]],Table1[[#This Row],[Low17]],Table1[[#This Row],[Low14]],Table1[[#This Row],[Low11]],Table1[[#This Row],[Low8]],Table1[[#This Row],[Low5]],Table1[[#This Row],[Low2]],Table1[[#This Row],[Low]])</f>
        <v>1310</v>
      </c>
      <c r="CF591" s="19">
        <f>SUM(Table1[[#This Row],[Mid39]],Table1[[#This Row],[Mid36]],Table1[[#This Row],[Mid33]],Table1[[#This Row],[Mid30]],Table1[[#This Row],[Mid27]],Table1[[#This Row],[Mid24]],Table1[[#This Row],[Mid21]],Table1[[#This Row],[Mid18]],Table1[[#This Row],[Mid15]],Table1[[#This Row],[Mid12]],Table1[[#This Row],[Mid9]],Table1[[#This Row],[Mid6]],Table1[[#This Row],[Mid3]],Table1[[#This Row],[Mid]])</f>
        <v>2350</v>
      </c>
      <c r="CG59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2660</v>
      </c>
      <c r="CH591" t="s">
        <v>157</v>
      </c>
      <c r="CI591" t="s">
        <v>176</v>
      </c>
      <c r="CJ591" t="s">
        <v>158</v>
      </c>
      <c r="CL591" s="19">
        <f>IF(Table1[[#This Row],[Type]]="Petroleum",1,IF(ISERROR(Table1[[#This Row],[Well Density]]*Table1[[#This Row],[Single Well Discovery Area]]),"",IF(Table1[[#This Row],[Well Density]]*Table1[[#This Row],[Single Well Discovery Area]]&gt;1,1,Table1[[#This Row],[Well Density]]*Table1[[#This Row],[Single Well Discovery Area]])))</f>
        <v>1</v>
      </c>
      <c r="CM591" t="s">
        <v>158</v>
      </c>
      <c r="CN591" s="19">
        <f>Table1[[#This Row],[Mid]]</f>
        <v>0</v>
      </c>
      <c r="CO591" s="19">
        <f>Table1[[#This Row],[Mid3]]+Table1[[#This Row],[Mid6]]+Table1[[#This Row],[Mid9]]</f>
        <v>0</v>
      </c>
      <c r="CP591" s="19">
        <f>Table1[[#This Row],[Mid12]]+Table1[[#This Row],[Mid15]]+Table1[[#This Row],[Mid18]]+Table1[[#This Row],[Mid21]]+Table1[[#This Row],[Mid24]]</f>
        <v>2350</v>
      </c>
      <c r="CQ591" s="19">
        <f>Table1[[#This Row],[Mid27]]+Table1[[#This Row],[Mid30]]+Table1[[#This Row],[Mid33]]+Table1[[#This Row],[Mid36]]+Table1[[#This Row],[Mid39]]</f>
        <v>0</v>
      </c>
      <c r="CR591" t="s">
        <v>471</v>
      </c>
      <c r="CS591" s="19" t="str">
        <f>IF(AND(Table1[[#This Row],[Low41]]=0, Table1[[#This Row],[High43]]=0),"N","Y")</f>
        <v>Y</v>
      </c>
    </row>
    <row r="592" spans="1:97" ht="19.5" customHeight="1" x14ac:dyDescent="0.25">
      <c r="A592">
        <v>10590</v>
      </c>
      <c r="B592" t="s">
        <v>1897</v>
      </c>
      <c r="C592" t="s">
        <v>1950</v>
      </c>
      <c r="D592">
        <v>38.998333330000001</v>
      </c>
      <c r="E592">
        <v>-105.54888889999999</v>
      </c>
      <c r="F592" t="s">
        <v>1952</v>
      </c>
      <c r="H592" t="s">
        <v>189</v>
      </c>
      <c r="I592" t="s">
        <v>118</v>
      </c>
      <c r="J592" t="s">
        <v>119</v>
      </c>
      <c r="K592" t="s">
        <v>190</v>
      </c>
      <c r="L592" t="s">
        <v>18</v>
      </c>
      <c r="N592" s="6" t="s">
        <v>521</v>
      </c>
      <c r="O592" t="s">
        <v>1953</v>
      </c>
      <c r="P592" t="s">
        <v>436</v>
      </c>
      <c r="Q592" t="s">
        <v>195</v>
      </c>
      <c r="R592" t="s">
        <v>1954</v>
      </c>
      <c r="S592">
        <v>2015</v>
      </c>
      <c r="T592" t="s">
        <v>153</v>
      </c>
      <c r="U592" t="s">
        <v>129</v>
      </c>
      <c r="V592"/>
      <c r="AD592">
        <v>0</v>
      </c>
      <c r="AF592">
        <v>200</v>
      </c>
      <c r="AG592">
        <v>0</v>
      </c>
      <c r="AH592" t="s">
        <v>525</v>
      </c>
      <c r="AI592">
        <v>2</v>
      </c>
      <c r="AK592">
        <v>0</v>
      </c>
      <c r="AL592">
        <v>0</v>
      </c>
      <c r="AN592" t="s">
        <v>132</v>
      </c>
      <c r="BY592">
        <v>33480</v>
      </c>
      <c r="BZ592">
        <v>131110</v>
      </c>
      <c r="CA592">
        <v>353820</v>
      </c>
      <c r="CE592" s="19">
        <f>SUM(Table1[[#This Row],[Low38]],Table1[[#This Row],[Low35]],Table1[[#This Row],[Low32]],Table1[[#This Row],[Low29]],Table1[[#This Row],[Low26]],Table1[[#This Row],[Low23]],Table1[[#This Row],[Low20]],Table1[[#This Row],[Low17]],Table1[[#This Row],[Low14]],Table1[[#This Row],[Low11]],Table1[[#This Row],[Low8]],Table1[[#This Row],[Low5]],Table1[[#This Row],[Low2]],Table1[[#This Row],[Low]])</f>
        <v>33480</v>
      </c>
      <c r="CF592" s="19">
        <f>SUM(Table1[[#This Row],[Mid39]],Table1[[#This Row],[Mid36]],Table1[[#This Row],[Mid33]],Table1[[#This Row],[Mid30]],Table1[[#This Row],[Mid27]],Table1[[#This Row],[Mid24]],Table1[[#This Row],[Mid21]],Table1[[#This Row],[Mid18]],Table1[[#This Row],[Mid15]],Table1[[#This Row],[Mid12]],Table1[[#This Row],[Mid9]],Table1[[#This Row],[Mid6]],Table1[[#This Row],[Mid3]],Table1[[#This Row],[Mid]])</f>
        <v>131110</v>
      </c>
      <c r="CG59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353820</v>
      </c>
      <c r="CH592" t="s">
        <v>157</v>
      </c>
      <c r="CI592" t="s">
        <v>176</v>
      </c>
      <c r="CJ592" t="s">
        <v>158</v>
      </c>
      <c r="CL592" s="19">
        <f>IF(Table1[[#This Row],[Type]]="Petroleum",1,IF(ISERROR(Table1[[#This Row],[Well Density]]*Table1[[#This Row],[Single Well Discovery Area]]),"",IF(Table1[[#This Row],[Well Density]]*Table1[[#This Row],[Single Well Discovery Area]]&gt;1,1,Table1[[#This Row],[Well Density]]*Table1[[#This Row],[Single Well Discovery Area]])))</f>
        <v>0</v>
      </c>
      <c r="CM592" t="s">
        <v>158</v>
      </c>
      <c r="CN592" s="19">
        <f>Table1[[#This Row],[Mid]]</f>
        <v>0</v>
      </c>
      <c r="CO592" s="19">
        <f>Table1[[#This Row],[Mid3]]+Table1[[#This Row],[Mid6]]+Table1[[#This Row],[Mid9]]</f>
        <v>0</v>
      </c>
      <c r="CP592" s="19">
        <f>Table1[[#This Row],[Mid12]]+Table1[[#This Row],[Mid15]]+Table1[[#This Row],[Mid18]]+Table1[[#This Row],[Mid21]]+Table1[[#This Row],[Mid24]]</f>
        <v>0</v>
      </c>
      <c r="CQ592" s="19">
        <f>Table1[[#This Row],[Mid27]]+Table1[[#This Row],[Mid30]]+Table1[[#This Row],[Mid33]]+Table1[[#This Row],[Mid36]]+Table1[[#This Row],[Mid39]]</f>
        <v>131110</v>
      </c>
      <c r="CR592" t="s">
        <v>471</v>
      </c>
      <c r="CS592" s="19" t="str">
        <f>IF(AND(Table1[[#This Row],[Low41]]=0, Table1[[#This Row],[High43]]=0),"N","Y")</f>
        <v>Y</v>
      </c>
    </row>
    <row r="593" spans="1:97" ht="19.5" customHeight="1" x14ac:dyDescent="0.25">
      <c r="A593">
        <v>10591</v>
      </c>
      <c r="B593" t="s">
        <v>1897</v>
      </c>
      <c r="C593" t="s">
        <v>1950</v>
      </c>
      <c r="D593">
        <v>40.515277779999998</v>
      </c>
      <c r="E593">
        <v>-107.5463889</v>
      </c>
      <c r="F593" t="s">
        <v>1955</v>
      </c>
      <c r="G593" t="s">
        <v>1956</v>
      </c>
      <c r="H593" t="s">
        <v>1957</v>
      </c>
      <c r="I593" t="s">
        <v>118</v>
      </c>
      <c r="J593" t="s">
        <v>119</v>
      </c>
      <c r="K593" t="s">
        <v>120</v>
      </c>
      <c r="L593" t="s">
        <v>121</v>
      </c>
      <c r="M593" t="s">
        <v>1444</v>
      </c>
      <c r="N593" s="6" t="s">
        <v>521</v>
      </c>
      <c r="O593" t="s">
        <v>1958</v>
      </c>
      <c r="P593" t="s">
        <v>1959</v>
      </c>
      <c r="Q593"/>
      <c r="R593" t="s">
        <v>1960</v>
      </c>
      <c r="T593" t="s">
        <v>153</v>
      </c>
      <c r="U593" t="s">
        <v>129</v>
      </c>
      <c r="V593"/>
      <c r="W593">
        <v>2735</v>
      </c>
      <c r="X593">
        <v>45</v>
      </c>
      <c r="Z593">
        <v>10</v>
      </c>
      <c r="AA593">
        <v>1</v>
      </c>
      <c r="AD593">
        <v>20</v>
      </c>
      <c r="AF593">
        <v>200</v>
      </c>
      <c r="AG593">
        <v>0</v>
      </c>
      <c r="AI593">
        <v>2</v>
      </c>
      <c r="AK593">
        <v>0</v>
      </c>
      <c r="AL593">
        <v>0</v>
      </c>
      <c r="AN593" t="s">
        <v>132</v>
      </c>
      <c r="BG593">
        <v>13570</v>
      </c>
      <c r="BH593">
        <v>38000</v>
      </c>
      <c r="CE593" s="19">
        <f>SUM(Table1[[#This Row],[Low38]],Table1[[#This Row],[Low35]],Table1[[#This Row],[Low32]],Table1[[#This Row],[Low29]],Table1[[#This Row],[Low26]],Table1[[#This Row],[Low23]],Table1[[#This Row],[Low20]],Table1[[#This Row],[Low17]],Table1[[#This Row],[Low14]],Table1[[#This Row],[Low11]],Table1[[#This Row],[Low8]],Table1[[#This Row],[Low5]],Table1[[#This Row],[Low2]],Table1[[#This Row],[Low]])</f>
        <v>13570</v>
      </c>
      <c r="CF593" s="19">
        <f>SUM(Table1[[#This Row],[Mid39]],Table1[[#This Row],[Mid36]],Table1[[#This Row],[Mid33]],Table1[[#This Row],[Mid30]],Table1[[#This Row],[Mid27]],Table1[[#This Row],[Mid24]],Table1[[#This Row],[Mid21]],Table1[[#This Row],[Mid18]],Table1[[#This Row],[Mid15]],Table1[[#This Row],[Mid12]],Table1[[#This Row],[Mid9]],Table1[[#This Row],[Mid6]],Table1[[#This Row],[Mid3]],Table1[[#This Row],[Mid]])</f>
        <v>38000</v>
      </c>
      <c r="CG59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93" t="s">
        <v>157</v>
      </c>
      <c r="CI593" t="s">
        <v>134</v>
      </c>
      <c r="CJ593" t="s">
        <v>135</v>
      </c>
      <c r="CL593" s="19">
        <f>IF(Table1[[#This Row],[Type]]="Petroleum",1,IF(ISERROR(Table1[[#This Row],[Well Density]]*Table1[[#This Row],[Single Well Discovery Area]]),"",IF(Table1[[#This Row],[Well Density]]*Table1[[#This Row],[Single Well Discovery Area]]&gt;1,1,Table1[[#This Row],[Well Density]]*Table1[[#This Row],[Single Well Discovery Area]])))</f>
        <v>0</v>
      </c>
      <c r="CM593" t="s">
        <v>135</v>
      </c>
      <c r="CN593" s="19">
        <f>Table1[[#This Row],[Mid]]</f>
        <v>0</v>
      </c>
      <c r="CO593" s="19">
        <f>Table1[[#This Row],[Mid3]]+Table1[[#This Row],[Mid6]]+Table1[[#This Row],[Mid9]]</f>
        <v>0</v>
      </c>
      <c r="CP593" s="19">
        <f>Table1[[#This Row],[Mid12]]+Table1[[#This Row],[Mid15]]+Table1[[#This Row],[Mid18]]+Table1[[#This Row],[Mid21]]+Table1[[#This Row],[Mid24]]</f>
        <v>38000</v>
      </c>
      <c r="CQ593" s="19">
        <f>Table1[[#This Row],[Mid27]]+Table1[[#This Row],[Mid30]]+Table1[[#This Row],[Mid33]]+Table1[[#This Row],[Mid36]]+Table1[[#This Row],[Mid39]]</f>
        <v>0</v>
      </c>
      <c r="CR593" t="s">
        <v>471</v>
      </c>
      <c r="CS593" s="19" t="str">
        <f>IF(AND(Table1[[#This Row],[Low41]]=0, Table1[[#This Row],[High43]]=0),"N","Y")</f>
        <v>Y</v>
      </c>
    </row>
    <row r="594" spans="1:97" ht="19.5" customHeight="1" x14ac:dyDescent="0.25">
      <c r="A594">
        <v>10592</v>
      </c>
      <c r="B594" t="s">
        <v>1897</v>
      </c>
      <c r="C594" t="s">
        <v>1961</v>
      </c>
      <c r="D594">
        <v>41.62194444</v>
      </c>
      <c r="E594">
        <v>-72.727222220000002</v>
      </c>
      <c r="F594" t="s">
        <v>1962</v>
      </c>
      <c r="H594" t="s">
        <v>189</v>
      </c>
      <c r="I594" t="s">
        <v>201</v>
      </c>
      <c r="J594" t="s">
        <v>202</v>
      </c>
      <c r="K594" t="s">
        <v>203</v>
      </c>
      <c r="L594" t="s">
        <v>121</v>
      </c>
      <c r="N594" s="6" t="s">
        <v>521</v>
      </c>
      <c r="O594" t="s">
        <v>1932</v>
      </c>
      <c r="P594" t="s">
        <v>436</v>
      </c>
      <c r="Q594" t="s">
        <v>1901</v>
      </c>
      <c r="R594" t="s">
        <v>1963</v>
      </c>
      <c r="S594">
        <v>2015</v>
      </c>
      <c r="T594" t="s">
        <v>153</v>
      </c>
      <c r="U594" t="s">
        <v>129</v>
      </c>
      <c r="V594"/>
      <c r="AD594">
        <v>0</v>
      </c>
      <c r="AF594">
        <v>200</v>
      </c>
      <c r="AG594">
        <v>0</v>
      </c>
      <c r="AH594" t="s">
        <v>1903</v>
      </c>
      <c r="AK594">
        <v>0</v>
      </c>
      <c r="AL594">
        <v>0</v>
      </c>
      <c r="AN594" t="s">
        <v>132</v>
      </c>
      <c r="CE59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9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59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94" t="s">
        <v>157</v>
      </c>
      <c r="CI594" t="s">
        <v>176</v>
      </c>
      <c r="CJ594" t="s">
        <v>158</v>
      </c>
      <c r="CL594" s="19">
        <f>IF(Table1[[#This Row],[Type]]="Petroleum",1,IF(ISERROR(Table1[[#This Row],[Well Density]]*Table1[[#This Row],[Single Well Discovery Area]]),"",IF(Table1[[#This Row],[Well Density]]*Table1[[#This Row],[Single Well Discovery Area]]&gt;1,1,Table1[[#This Row],[Well Density]]*Table1[[#This Row],[Single Well Discovery Area]])))</f>
        <v>1</v>
      </c>
      <c r="CM594" t="s">
        <v>158</v>
      </c>
      <c r="CN594" s="19">
        <f>Table1[[#This Row],[Mid]]</f>
        <v>0</v>
      </c>
      <c r="CO594" s="19">
        <f>Table1[[#This Row],[Mid3]]+Table1[[#This Row],[Mid6]]+Table1[[#This Row],[Mid9]]</f>
        <v>0</v>
      </c>
      <c r="CP594" s="19">
        <f>Table1[[#This Row],[Mid12]]+Table1[[#This Row],[Mid15]]+Table1[[#This Row],[Mid18]]+Table1[[#This Row],[Mid21]]+Table1[[#This Row],[Mid24]]</f>
        <v>0</v>
      </c>
      <c r="CQ594" s="19">
        <f>Table1[[#This Row],[Mid27]]+Table1[[#This Row],[Mid30]]+Table1[[#This Row],[Mid33]]+Table1[[#This Row],[Mid36]]+Table1[[#This Row],[Mid39]]</f>
        <v>0</v>
      </c>
      <c r="CR594" t="s">
        <v>471</v>
      </c>
      <c r="CS594" s="19" t="str">
        <f>IF(AND(Table1[[#This Row],[Low41]]=0, Table1[[#This Row],[High43]]=0),"N","Y")</f>
        <v>N</v>
      </c>
    </row>
    <row r="595" spans="1:97" ht="19.5" customHeight="1" x14ac:dyDescent="0.25">
      <c r="A595">
        <v>10593</v>
      </c>
      <c r="B595" t="s">
        <v>1897</v>
      </c>
      <c r="C595" t="s">
        <v>1961</v>
      </c>
      <c r="D595">
        <v>41.623055559999997</v>
      </c>
      <c r="E595">
        <v>-72.728333329999998</v>
      </c>
      <c r="F595" t="s">
        <v>1964</v>
      </c>
      <c r="H595" t="s">
        <v>189</v>
      </c>
      <c r="I595" t="s">
        <v>118</v>
      </c>
      <c r="J595" t="s">
        <v>119</v>
      </c>
      <c r="K595" t="s">
        <v>190</v>
      </c>
      <c r="L595" t="s">
        <v>18</v>
      </c>
      <c r="N595" s="6" t="s">
        <v>521</v>
      </c>
      <c r="O595" t="s">
        <v>1932</v>
      </c>
      <c r="P595" t="s">
        <v>436</v>
      </c>
      <c r="Q595" t="s">
        <v>195</v>
      </c>
      <c r="R595" t="s">
        <v>1965</v>
      </c>
      <c r="S595">
        <v>2015</v>
      </c>
      <c r="T595" t="s">
        <v>153</v>
      </c>
      <c r="U595" t="s">
        <v>129</v>
      </c>
      <c r="V595"/>
      <c r="AD595">
        <v>0</v>
      </c>
      <c r="AF595">
        <v>200</v>
      </c>
      <c r="AG595">
        <v>0</v>
      </c>
      <c r="AH595" t="s">
        <v>525</v>
      </c>
      <c r="AI595">
        <v>2</v>
      </c>
      <c r="AK595">
        <v>0</v>
      </c>
      <c r="AL595">
        <v>0</v>
      </c>
      <c r="AN595" t="s">
        <v>132</v>
      </c>
      <c r="CE59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9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59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95" t="s">
        <v>157</v>
      </c>
      <c r="CI595" t="s">
        <v>176</v>
      </c>
      <c r="CJ595" t="s">
        <v>158</v>
      </c>
      <c r="CL595" s="19">
        <f>IF(Table1[[#This Row],[Type]]="Petroleum",1,IF(ISERROR(Table1[[#This Row],[Well Density]]*Table1[[#This Row],[Single Well Discovery Area]]),"",IF(Table1[[#This Row],[Well Density]]*Table1[[#This Row],[Single Well Discovery Area]]&gt;1,1,Table1[[#This Row],[Well Density]]*Table1[[#This Row],[Single Well Discovery Area]])))</f>
        <v>0</v>
      </c>
      <c r="CM595" t="s">
        <v>158</v>
      </c>
      <c r="CN595" s="19">
        <f>Table1[[#This Row],[Mid]]</f>
        <v>0</v>
      </c>
      <c r="CO595" s="19">
        <f>Table1[[#This Row],[Mid3]]+Table1[[#This Row],[Mid6]]+Table1[[#This Row],[Mid9]]</f>
        <v>0</v>
      </c>
      <c r="CP595" s="19">
        <f>Table1[[#This Row],[Mid12]]+Table1[[#This Row],[Mid15]]+Table1[[#This Row],[Mid18]]+Table1[[#This Row],[Mid21]]+Table1[[#This Row],[Mid24]]</f>
        <v>0</v>
      </c>
      <c r="CQ595" s="19">
        <f>Table1[[#This Row],[Mid27]]+Table1[[#This Row],[Mid30]]+Table1[[#This Row],[Mid33]]+Table1[[#This Row],[Mid36]]+Table1[[#This Row],[Mid39]]</f>
        <v>0</v>
      </c>
      <c r="CR595" t="s">
        <v>471</v>
      </c>
      <c r="CS595" s="19" t="str">
        <f>IF(AND(Table1[[#This Row],[Low41]]=0, Table1[[#This Row],[High43]]=0),"N","Y")</f>
        <v>N</v>
      </c>
    </row>
    <row r="596" spans="1:97" ht="19.5" customHeight="1" x14ac:dyDescent="0.25">
      <c r="A596">
        <v>10594</v>
      </c>
      <c r="B596" t="s">
        <v>1897</v>
      </c>
      <c r="C596" t="s">
        <v>1966</v>
      </c>
      <c r="D596">
        <v>38.989722219999997</v>
      </c>
      <c r="E596">
        <v>-75.504999999999995</v>
      </c>
      <c r="F596" t="s">
        <v>1967</v>
      </c>
      <c r="H596" t="s">
        <v>189</v>
      </c>
      <c r="I596" t="s">
        <v>201</v>
      </c>
      <c r="J596" t="s">
        <v>202</v>
      </c>
      <c r="K596" t="s">
        <v>203</v>
      </c>
      <c r="L596" t="s">
        <v>121</v>
      </c>
      <c r="N596" s="6" t="s">
        <v>521</v>
      </c>
      <c r="O596" t="s">
        <v>1932</v>
      </c>
      <c r="P596" t="s">
        <v>436</v>
      </c>
      <c r="Q596" t="s">
        <v>1901</v>
      </c>
      <c r="R596" t="s">
        <v>1968</v>
      </c>
      <c r="S596">
        <v>2015</v>
      </c>
      <c r="T596" t="s">
        <v>153</v>
      </c>
      <c r="U596" t="s">
        <v>129</v>
      </c>
      <c r="V596"/>
      <c r="AD596">
        <v>0</v>
      </c>
      <c r="AF596">
        <v>200</v>
      </c>
      <c r="AG596">
        <v>0</v>
      </c>
      <c r="AH596" t="s">
        <v>1903</v>
      </c>
      <c r="AK596">
        <v>0</v>
      </c>
      <c r="AL596">
        <v>0</v>
      </c>
      <c r="AN596" t="s">
        <v>132</v>
      </c>
      <c r="CE59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9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59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96" t="s">
        <v>157</v>
      </c>
      <c r="CI596" t="s">
        <v>176</v>
      </c>
      <c r="CJ596" t="s">
        <v>158</v>
      </c>
      <c r="CL596" s="19">
        <f>IF(Table1[[#This Row],[Type]]="Petroleum",1,IF(ISERROR(Table1[[#This Row],[Well Density]]*Table1[[#This Row],[Single Well Discovery Area]]),"",IF(Table1[[#This Row],[Well Density]]*Table1[[#This Row],[Single Well Discovery Area]]&gt;1,1,Table1[[#This Row],[Well Density]]*Table1[[#This Row],[Single Well Discovery Area]])))</f>
        <v>1</v>
      </c>
      <c r="CM596" t="s">
        <v>135</v>
      </c>
      <c r="CN596" s="19">
        <f>Table1[[#This Row],[Mid]]</f>
        <v>0</v>
      </c>
      <c r="CO596" s="19">
        <f>Table1[[#This Row],[Mid3]]+Table1[[#This Row],[Mid6]]+Table1[[#This Row],[Mid9]]</f>
        <v>0</v>
      </c>
      <c r="CP596" s="19">
        <f>Table1[[#This Row],[Mid12]]+Table1[[#This Row],[Mid15]]+Table1[[#This Row],[Mid18]]+Table1[[#This Row],[Mid21]]+Table1[[#This Row],[Mid24]]</f>
        <v>0</v>
      </c>
      <c r="CQ596" s="19">
        <f>Table1[[#This Row],[Mid27]]+Table1[[#This Row],[Mid30]]+Table1[[#This Row],[Mid33]]+Table1[[#This Row],[Mid36]]+Table1[[#This Row],[Mid39]]</f>
        <v>0</v>
      </c>
      <c r="CR596" t="s">
        <v>471</v>
      </c>
      <c r="CS596" s="19" t="str">
        <f>IF(AND(Table1[[#This Row],[Low41]]=0, Table1[[#This Row],[High43]]=0),"N","Y")</f>
        <v>N</v>
      </c>
    </row>
    <row r="597" spans="1:97" ht="19.5" customHeight="1" x14ac:dyDescent="0.25">
      <c r="A597">
        <v>10595</v>
      </c>
      <c r="B597" t="s">
        <v>1897</v>
      </c>
      <c r="C597" t="s">
        <v>1966</v>
      </c>
      <c r="D597">
        <v>38.990833330000001</v>
      </c>
      <c r="E597">
        <v>-75.506111110000006</v>
      </c>
      <c r="F597" t="s">
        <v>1969</v>
      </c>
      <c r="H597" t="s">
        <v>189</v>
      </c>
      <c r="I597" t="s">
        <v>118</v>
      </c>
      <c r="J597" t="s">
        <v>119</v>
      </c>
      <c r="K597" t="s">
        <v>190</v>
      </c>
      <c r="L597" t="s">
        <v>18</v>
      </c>
      <c r="N597" s="6" t="s">
        <v>521</v>
      </c>
      <c r="O597" t="s">
        <v>1932</v>
      </c>
      <c r="P597" t="s">
        <v>436</v>
      </c>
      <c r="Q597" t="s">
        <v>195</v>
      </c>
      <c r="R597" t="s">
        <v>1936</v>
      </c>
      <c r="S597">
        <v>2015</v>
      </c>
      <c r="T597" t="s">
        <v>153</v>
      </c>
      <c r="U597" t="s">
        <v>129</v>
      </c>
      <c r="V597"/>
      <c r="AD597">
        <v>0</v>
      </c>
      <c r="AF597">
        <v>200</v>
      </c>
      <c r="AG597">
        <v>0</v>
      </c>
      <c r="AH597" t="s">
        <v>525</v>
      </c>
      <c r="AI597">
        <v>2</v>
      </c>
      <c r="AK597">
        <v>0</v>
      </c>
      <c r="AL597">
        <v>0</v>
      </c>
      <c r="AN597" t="s">
        <v>132</v>
      </c>
      <c r="BY597">
        <v>40</v>
      </c>
      <c r="BZ597">
        <v>40</v>
      </c>
      <c r="CA597">
        <v>40</v>
      </c>
      <c r="CE597" s="19">
        <f>SUM(Table1[[#This Row],[Low38]],Table1[[#This Row],[Low35]],Table1[[#This Row],[Low32]],Table1[[#This Row],[Low29]],Table1[[#This Row],[Low26]],Table1[[#This Row],[Low23]],Table1[[#This Row],[Low20]],Table1[[#This Row],[Low17]],Table1[[#This Row],[Low14]],Table1[[#This Row],[Low11]],Table1[[#This Row],[Low8]],Table1[[#This Row],[Low5]],Table1[[#This Row],[Low2]],Table1[[#This Row],[Low]])</f>
        <v>40</v>
      </c>
      <c r="CF597" s="19">
        <f>SUM(Table1[[#This Row],[Mid39]],Table1[[#This Row],[Mid36]],Table1[[#This Row],[Mid33]],Table1[[#This Row],[Mid30]],Table1[[#This Row],[Mid27]],Table1[[#This Row],[Mid24]],Table1[[#This Row],[Mid21]],Table1[[#This Row],[Mid18]],Table1[[#This Row],[Mid15]],Table1[[#This Row],[Mid12]],Table1[[#This Row],[Mid9]],Table1[[#This Row],[Mid6]],Table1[[#This Row],[Mid3]],Table1[[#This Row],[Mid]])</f>
        <v>40</v>
      </c>
      <c r="CG59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40</v>
      </c>
      <c r="CH597" t="s">
        <v>157</v>
      </c>
      <c r="CI597" t="s">
        <v>176</v>
      </c>
      <c r="CJ597" t="s">
        <v>158</v>
      </c>
      <c r="CL597" s="19">
        <f>IF(Table1[[#This Row],[Type]]="Petroleum",1,IF(ISERROR(Table1[[#This Row],[Well Density]]*Table1[[#This Row],[Single Well Discovery Area]]),"",IF(Table1[[#This Row],[Well Density]]*Table1[[#This Row],[Single Well Discovery Area]]&gt;1,1,Table1[[#This Row],[Well Density]]*Table1[[#This Row],[Single Well Discovery Area]])))</f>
        <v>0</v>
      </c>
      <c r="CM597" t="s">
        <v>158</v>
      </c>
      <c r="CN597" s="19">
        <f>Table1[[#This Row],[Mid]]</f>
        <v>0</v>
      </c>
      <c r="CO597" s="19">
        <f>Table1[[#This Row],[Mid3]]+Table1[[#This Row],[Mid6]]+Table1[[#This Row],[Mid9]]</f>
        <v>0</v>
      </c>
      <c r="CP597" s="19">
        <f>Table1[[#This Row],[Mid12]]+Table1[[#This Row],[Mid15]]+Table1[[#This Row],[Mid18]]+Table1[[#This Row],[Mid21]]+Table1[[#This Row],[Mid24]]</f>
        <v>0</v>
      </c>
      <c r="CQ597" s="19">
        <f>Table1[[#This Row],[Mid27]]+Table1[[#This Row],[Mid30]]+Table1[[#This Row],[Mid33]]+Table1[[#This Row],[Mid36]]+Table1[[#This Row],[Mid39]]</f>
        <v>40</v>
      </c>
      <c r="CR597" t="s">
        <v>471</v>
      </c>
      <c r="CS597" s="19" t="str">
        <f>IF(AND(Table1[[#This Row],[Low41]]=0, Table1[[#This Row],[High43]]=0),"N","Y")</f>
        <v>Y</v>
      </c>
    </row>
    <row r="598" spans="1:97" ht="19.5" customHeight="1" x14ac:dyDescent="0.25">
      <c r="A598">
        <v>10596</v>
      </c>
      <c r="B598" t="s">
        <v>1897</v>
      </c>
      <c r="C598" t="s">
        <v>1970</v>
      </c>
      <c r="D598">
        <v>38.909999999999997</v>
      </c>
      <c r="E598">
        <v>-77.014722219999996</v>
      </c>
      <c r="F598" t="s">
        <v>1971</v>
      </c>
      <c r="H598" t="s">
        <v>189</v>
      </c>
      <c r="I598" t="s">
        <v>201</v>
      </c>
      <c r="J598" t="s">
        <v>202</v>
      </c>
      <c r="K598" t="s">
        <v>203</v>
      </c>
      <c r="L598" t="s">
        <v>121</v>
      </c>
      <c r="N598" s="6" t="s">
        <v>521</v>
      </c>
      <c r="O598" t="s">
        <v>1932</v>
      </c>
      <c r="P598" t="s">
        <v>436</v>
      </c>
      <c r="Q598" t="s">
        <v>1901</v>
      </c>
      <c r="R598" t="s">
        <v>1968</v>
      </c>
      <c r="S598">
        <v>2015</v>
      </c>
      <c r="T598" t="s">
        <v>153</v>
      </c>
      <c r="U598" t="s">
        <v>129</v>
      </c>
      <c r="V598"/>
      <c r="AD598">
        <v>0</v>
      </c>
      <c r="AF598">
        <v>200</v>
      </c>
      <c r="AG598">
        <v>0</v>
      </c>
      <c r="AH598" t="s">
        <v>1903</v>
      </c>
      <c r="AK598">
        <v>0</v>
      </c>
      <c r="AL598">
        <v>0</v>
      </c>
      <c r="AN598" t="s">
        <v>132</v>
      </c>
      <c r="CE59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98"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59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98" t="s">
        <v>157</v>
      </c>
      <c r="CI598" t="s">
        <v>176</v>
      </c>
      <c r="CJ598" t="s">
        <v>158</v>
      </c>
      <c r="CL598" s="19">
        <f>IF(Table1[[#This Row],[Type]]="Petroleum",1,IF(ISERROR(Table1[[#This Row],[Well Density]]*Table1[[#This Row],[Single Well Discovery Area]]),"",IF(Table1[[#This Row],[Well Density]]*Table1[[#This Row],[Single Well Discovery Area]]&gt;1,1,Table1[[#This Row],[Well Density]]*Table1[[#This Row],[Single Well Discovery Area]])))</f>
        <v>1</v>
      </c>
      <c r="CM598" t="s">
        <v>158</v>
      </c>
      <c r="CN598" s="19">
        <f>Table1[[#This Row],[Mid]]</f>
        <v>0</v>
      </c>
      <c r="CO598" s="19">
        <f>Table1[[#This Row],[Mid3]]+Table1[[#This Row],[Mid6]]+Table1[[#This Row],[Mid9]]</f>
        <v>0</v>
      </c>
      <c r="CP598" s="19">
        <f>Table1[[#This Row],[Mid12]]+Table1[[#This Row],[Mid15]]+Table1[[#This Row],[Mid18]]+Table1[[#This Row],[Mid21]]+Table1[[#This Row],[Mid24]]</f>
        <v>0</v>
      </c>
      <c r="CQ598" s="19">
        <f>Table1[[#This Row],[Mid27]]+Table1[[#This Row],[Mid30]]+Table1[[#This Row],[Mid33]]+Table1[[#This Row],[Mid36]]+Table1[[#This Row],[Mid39]]</f>
        <v>0</v>
      </c>
      <c r="CR598" t="s">
        <v>471</v>
      </c>
      <c r="CS598" s="19" t="str">
        <f>IF(AND(Table1[[#This Row],[Low41]]=0, Table1[[#This Row],[High43]]=0),"N","Y")</f>
        <v>N</v>
      </c>
    </row>
    <row r="599" spans="1:97" ht="19.5" customHeight="1" x14ac:dyDescent="0.25">
      <c r="A599">
        <v>10597</v>
      </c>
      <c r="B599" t="s">
        <v>1897</v>
      </c>
      <c r="C599" t="s">
        <v>1970</v>
      </c>
      <c r="D599">
        <v>38.91111111</v>
      </c>
      <c r="E599">
        <v>-77.015833330000007</v>
      </c>
      <c r="F599" t="s">
        <v>1972</v>
      </c>
      <c r="H599" t="s">
        <v>189</v>
      </c>
      <c r="I599" t="s">
        <v>118</v>
      </c>
      <c r="J599" t="s">
        <v>119</v>
      </c>
      <c r="K599" t="s">
        <v>190</v>
      </c>
      <c r="L599" t="s">
        <v>18</v>
      </c>
      <c r="N599" s="6" t="s">
        <v>521</v>
      </c>
      <c r="O599" t="s">
        <v>1932</v>
      </c>
      <c r="P599" t="s">
        <v>436</v>
      </c>
      <c r="Q599" t="s">
        <v>195</v>
      </c>
      <c r="R599" t="s">
        <v>1965</v>
      </c>
      <c r="S599">
        <v>2015</v>
      </c>
      <c r="T599" t="s">
        <v>153</v>
      </c>
      <c r="U599" t="s">
        <v>129</v>
      </c>
      <c r="V599"/>
      <c r="AD599">
        <v>0</v>
      </c>
      <c r="AF599">
        <v>200</v>
      </c>
      <c r="AG599">
        <v>0</v>
      </c>
      <c r="AH599" t="s">
        <v>525</v>
      </c>
      <c r="AI599">
        <v>2</v>
      </c>
      <c r="AK599">
        <v>0</v>
      </c>
      <c r="AL599">
        <v>0</v>
      </c>
      <c r="AN599" t="s">
        <v>132</v>
      </c>
      <c r="CE59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59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59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599" t="s">
        <v>157</v>
      </c>
      <c r="CI599" t="s">
        <v>176</v>
      </c>
      <c r="CJ599" t="s">
        <v>158</v>
      </c>
      <c r="CL599" s="19">
        <f>IF(Table1[[#This Row],[Type]]="Petroleum",1,IF(ISERROR(Table1[[#This Row],[Well Density]]*Table1[[#This Row],[Single Well Discovery Area]]),"",IF(Table1[[#This Row],[Well Density]]*Table1[[#This Row],[Single Well Discovery Area]]&gt;1,1,Table1[[#This Row],[Well Density]]*Table1[[#This Row],[Single Well Discovery Area]])))</f>
        <v>0</v>
      </c>
      <c r="CM599" t="s">
        <v>158</v>
      </c>
      <c r="CN599" s="19">
        <f>Table1[[#This Row],[Mid]]</f>
        <v>0</v>
      </c>
      <c r="CO599" s="19">
        <f>Table1[[#This Row],[Mid3]]+Table1[[#This Row],[Mid6]]+Table1[[#This Row],[Mid9]]</f>
        <v>0</v>
      </c>
      <c r="CP599" s="19">
        <f>Table1[[#This Row],[Mid12]]+Table1[[#This Row],[Mid15]]+Table1[[#This Row],[Mid18]]+Table1[[#This Row],[Mid21]]+Table1[[#This Row],[Mid24]]</f>
        <v>0</v>
      </c>
      <c r="CQ599" s="19">
        <f>Table1[[#This Row],[Mid27]]+Table1[[#This Row],[Mid30]]+Table1[[#This Row],[Mid33]]+Table1[[#This Row],[Mid36]]+Table1[[#This Row],[Mid39]]</f>
        <v>0</v>
      </c>
      <c r="CR599" t="s">
        <v>471</v>
      </c>
      <c r="CS599" s="19" t="str">
        <f>IF(AND(Table1[[#This Row],[Low41]]=0, Table1[[#This Row],[High43]]=0),"N","Y")</f>
        <v>N</v>
      </c>
    </row>
    <row r="600" spans="1:97" ht="19.5" customHeight="1" x14ac:dyDescent="0.25">
      <c r="A600">
        <v>10598</v>
      </c>
      <c r="B600" t="s">
        <v>1897</v>
      </c>
      <c r="C600" t="s">
        <v>1973</v>
      </c>
      <c r="D600">
        <v>28.630555560000001</v>
      </c>
      <c r="E600">
        <v>-82.449722219999998</v>
      </c>
      <c r="F600" t="s">
        <v>1974</v>
      </c>
      <c r="H600" t="s">
        <v>189</v>
      </c>
      <c r="I600" t="s">
        <v>201</v>
      </c>
      <c r="J600" t="s">
        <v>202</v>
      </c>
      <c r="K600" t="s">
        <v>203</v>
      </c>
      <c r="L600" t="s">
        <v>121</v>
      </c>
      <c r="N600" s="6" t="s">
        <v>521</v>
      </c>
      <c r="O600" t="s">
        <v>1932</v>
      </c>
      <c r="P600" t="s">
        <v>436</v>
      </c>
      <c r="Q600" t="s">
        <v>1901</v>
      </c>
      <c r="R600" t="s">
        <v>1963</v>
      </c>
      <c r="S600">
        <v>2015</v>
      </c>
      <c r="T600" t="s">
        <v>153</v>
      </c>
      <c r="U600" t="s">
        <v>129</v>
      </c>
      <c r="V600"/>
      <c r="AD600">
        <v>0</v>
      </c>
      <c r="AF600">
        <v>200</v>
      </c>
      <c r="AG600">
        <v>0</v>
      </c>
      <c r="AH600" t="s">
        <v>1903</v>
      </c>
      <c r="AK600">
        <v>0</v>
      </c>
      <c r="AL600">
        <v>0</v>
      </c>
      <c r="AN600" t="s">
        <v>132</v>
      </c>
      <c r="BM600">
        <v>20</v>
      </c>
      <c r="BN600">
        <v>30</v>
      </c>
      <c r="BO600">
        <v>50</v>
      </c>
      <c r="CE600" s="19">
        <f>SUM(Table1[[#This Row],[Low38]],Table1[[#This Row],[Low35]],Table1[[#This Row],[Low32]],Table1[[#This Row],[Low29]],Table1[[#This Row],[Low26]],Table1[[#This Row],[Low23]],Table1[[#This Row],[Low20]],Table1[[#This Row],[Low17]],Table1[[#This Row],[Low14]],Table1[[#This Row],[Low11]],Table1[[#This Row],[Low8]],Table1[[#This Row],[Low5]],Table1[[#This Row],[Low2]],Table1[[#This Row],[Low]])</f>
        <v>20</v>
      </c>
      <c r="CF600" s="19">
        <f>SUM(Table1[[#This Row],[Mid39]],Table1[[#This Row],[Mid36]],Table1[[#This Row],[Mid33]],Table1[[#This Row],[Mid30]],Table1[[#This Row],[Mid27]],Table1[[#This Row],[Mid24]],Table1[[#This Row],[Mid21]],Table1[[#This Row],[Mid18]],Table1[[#This Row],[Mid15]],Table1[[#This Row],[Mid12]],Table1[[#This Row],[Mid9]],Table1[[#This Row],[Mid6]],Table1[[#This Row],[Mid3]],Table1[[#This Row],[Mid]])</f>
        <v>30</v>
      </c>
      <c r="CG60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50</v>
      </c>
      <c r="CH600" t="s">
        <v>157</v>
      </c>
      <c r="CI600" t="s">
        <v>176</v>
      </c>
      <c r="CJ600" t="s">
        <v>158</v>
      </c>
      <c r="CL600" s="19">
        <f>IF(Table1[[#This Row],[Type]]="Petroleum",1,IF(ISERROR(Table1[[#This Row],[Well Density]]*Table1[[#This Row],[Single Well Discovery Area]]),"",IF(Table1[[#This Row],[Well Density]]*Table1[[#This Row],[Single Well Discovery Area]]&gt;1,1,Table1[[#This Row],[Well Density]]*Table1[[#This Row],[Single Well Discovery Area]])))</f>
        <v>1</v>
      </c>
      <c r="CM600" t="s">
        <v>158</v>
      </c>
      <c r="CN600" s="19">
        <f>Table1[[#This Row],[Mid]]</f>
        <v>0</v>
      </c>
      <c r="CO600" s="19">
        <f>Table1[[#This Row],[Mid3]]+Table1[[#This Row],[Mid6]]+Table1[[#This Row],[Mid9]]</f>
        <v>0</v>
      </c>
      <c r="CP600" s="19">
        <f>Table1[[#This Row],[Mid12]]+Table1[[#This Row],[Mid15]]+Table1[[#This Row],[Mid18]]+Table1[[#This Row],[Mid21]]+Table1[[#This Row],[Mid24]]</f>
        <v>30</v>
      </c>
      <c r="CQ600" s="19">
        <f>Table1[[#This Row],[Mid27]]+Table1[[#This Row],[Mid30]]+Table1[[#This Row],[Mid33]]+Table1[[#This Row],[Mid36]]+Table1[[#This Row],[Mid39]]</f>
        <v>0</v>
      </c>
      <c r="CR600" t="s">
        <v>471</v>
      </c>
      <c r="CS600" s="19" t="str">
        <f>IF(AND(Table1[[#This Row],[Low41]]=0, Table1[[#This Row],[High43]]=0),"N","Y")</f>
        <v>Y</v>
      </c>
    </row>
    <row r="601" spans="1:97" ht="19.5" customHeight="1" x14ac:dyDescent="0.25">
      <c r="A601">
        <v>10599</v>
      </c>
      <c r="B601" t="s">
        <v>1897</v>
      </c>
      <c r="C601" t="s">
        <v>1973</v>
      </c>
      <c r="D601">
        <v>28.631666670000001</v>
      </c>
      <c r="E601">
        <v>-82.448611110000002</v>
      </c>
      <c r="F601" t="s">
        <v>1975</v>
      </c>
      <c r="H601" t="s">
        <v>189</v>
      </c>
      <c r="I601" t="s">
        <v>118</v>
      </c>
      <c r="J601" t="s">
        <v>119</v>
      </c>
      <c r="K601" t="s">
        <v>190</v>
      </c>
      <c r="L601" t="s">
        <v>18</v>
      </c>
      <c r="N601" s="6" t="s">
        <v>521</v>
      </c>
      <c r="O601" t="s">
        <v>1976</v>
      </c>
      <c r="P601" t="s">
        <v>436</v>
      </c>
      <c r="Q601" t="s">
        <v>195</v>
      </c>
      <c r="R601" t="s">
        <v>1942</v>
      </c>
      <c r="S601">
        <v>2015</v>
      </c>
      <c r="T601" t="s">
        <v>153</v>
      </c>
      <c r="U601" t="s">
        <v>129</v>
      </c>
      <c r="V601"/>
      <c r="AD601">
        <v>0</v>
      </c>
      <c r="AF601">
        <v>200</v>
      </c>
      <c r="AG601">
        <v>0</v>
      </c>
      <c r="AH601" t="s">
        <v>525</v>
      </c>
      <c r="AI601">
        <v>2</v>
      </c>
      <c r="AK601">
        <v>0</v>
      </c>
      <c r="AL601">
        <v>0</v>
      </c>
      <c r="AN601" t="s">
        <v>132</v>
      </c>
      <c r="BY601">
        <v>101370</v>
      </c>
      <c r="BZ601">
        <v>246450</v>
      </c>
      <c r="CA601">
        <v>552050</v>
      </c>
      <c r="CE601" s="19">
        <f>SUM(Table1[[#This Row],[Low38]],Table1[[#This Row],[Low35]],Table1[[#This Row],[Low32]],Table1[[#This Row],[Low29]],Table1[[#This Row],[Low26]],Table1[[#This Row],[Low23]],Table1[[#This Row],[Low20]],Table1[[#This Row],[Low17]],Table1[[#This Row],[Low14]],Table1[[#This Row],[Low11]],Table1[[#This Row],[Low8]],Table1[[#This Row],[Low5]],Table1[[#This Row],[Low2]],Table1[[#This Row],[Low]])</f>
        <v>101370</v>
      </c>
      <c r="CF601" s="19">
        <f>SUM(Table1[[#This Row],[Mid39]],Table1[[#This Row],[Mid36]],Table1[[#This Row],[Mid33]],Table1[[#This Row],[Mid30]],Table1[[#This Row],[Mid27]],Table1[[#This Row],[Mid24]],Table1[[#This Row],[Mid21]],Table1[[#This Row],[Mid18]],Table1[[#This Row],[Mid15]],Table1[[#This Row],[Mid12]],Table1[[#This Row],[Mid9]],Table1[[#This Row],[Mid6]],Table1[[#This Row],[Mid3]],Table1[[#This Row],[Mid]])</f>
        <v>246450</v>
      </c>
      <c r="CG60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552050</v>
      </c>
      <c r="CH601" t="s">
        <v>157</v>
      </c>
      <c r="CI601" t="s">
        <v>176</v>
      </c>
      <c r="CJ601" t="s">
        <v>158</v>
      </c>
      <c r="CL601" s="19">
        <f>IF(Table1[[#This Row],[Type]]="Petroleum",1,IF(ISERROR(Table1[[#This Row],[Well Density]]*Table1[[#This Row],[Single Well Discovery Area]]),"",IF(Table1[[#This Row],[Well Density]]*Table1[[#This Row],[Single Well Discovery Area]]&gt;1,1,Table1[[#This Row],[Well Density]]*Table1[[#This Row],[Single Well Discovery Area]])))</f>
        <v>0</v>
      </c>
      <c r="CM601" t="s">
        <v>158</v>
      </c>
      <c r="CN601" s="19">
        <f>Table1[[#This Row],[Mid]]</f>
        <v>0</v>
      </c>
      <c r="CO601" s="19">
        <f>Table1[[#This Row],[Mid3]]+Table1[[#This Row],[Mid6]]+Table1[[#This Row],[Mid9]]</f>
        <v>0</v>
      </c>
      <c r="CP601" s="19">
        <f>Table1[[#This Row],[Mid12]]+Table1[[#This Row],[Mid15]]+Table1[[#This Row],[Mid18]]+Table1[[#This Row],[Mid21]]+Table1[[#This Row],[Mid24]]</f>
        <v>0</v>
      </c>
      <c r="CQ601" s="19">
        <f>Table1[[#This Row],[Mid27]]+Table1[[#This Row],[Mid30]]+Table1[[#This Row],[Mid33]]+Table1[[#This Row],[Mid36]]+Table1[[#This Row],[Mid39]]</f>
        <v>246450</v>
      </c>
      <c r="CR601" t="s">
        <v>471</v>
      </c>
      <c r="CS601" s="19" t="str">
        <f>IF(AND(Table1[[#This Row],[Low41]]=0, Table1[[#This Row],[High43]]=0),"N","Y")</f>
        <v>Y</v>
      </c>
    </row>
    <row r="602" spans="1:97" ht="19.5" customHeight="1" x14ac:dyDescent="0.25">
      <c r="A602">
        <v>10600</v>
      </c>
      <c r="B602" t="s">
        <v>1897</v>
      </c>
      <c r="C602" t="s">
        <v>1977</v>
      </c>
      <c r="D602">
        <v>32.641388890000002</v>
      </c>
      <c r="E602">
        <v>-83.442499999999995</v>
      </c>
      <c r="F602" t="s">
        <v>1978</v>
      </c>
      <c r="H602" t="s">
        <v>189</v>
      </c>
      <c r="I602" t="s">
        <v>201</v>
      </c>
      <c r="J602" t="s">
        <v>202</v>
      </c>
      <c r="K602" t="s">
        <v>203</v>
      </c>
      <c r="L602" t="s">
        <v>121</v>
      </c>
      <c r="N602" s="6" t="s">
        <v>521</v>
      </c>
      <c r="O602" t="s">
        <v>1932</v>
      </c>
      <c r="P602" t="s">
        <v>436</v>
      </c>
      <c r="Q602" t="s">
        <v>1901</v>
      </c>
      <c r="R602" t="s">
        <v>1979</v>
      </c>
      <c r="S602">
        <v>2015</v>
      </c>
      <c r="T602" t="s">
        <v>153</v>
      </c>
      <c r="U602" t="s">
        <v>129</v>
      </c>
      <c r="V602"/>
      <c r="AD602">
        <v>0</v>
      </c>
      <c r="AF602">
        <v>200</v>
      </c>
      <c r="AG602">
        <v>0</v>
      </c>
      <c r="AH602" t="s">
        <v>1903</v>
      </c>
      <c r="AK602">
        <v>0</v>
      </c>
      <c r="AL602">
        <v>0</v>
      </c>
      <c r="AN602" t="s">
        <v>132</v>
      </c>
      <c r="CE60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0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0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02" t="s">
        <v>157</v>
      </c>
      <c r="CI602" t="s">
        <v>176</v>
      </c>
      <c r="CJ602" t="s">
        <v>158</v>
      </c>
      <c r="CL602" s="19">
        <f>IF(Table1[[#This Row],[Type]]="Petroleum",1,IF(ISERROR(Table1[[#This Row],[Well Density]]*Table1[[#This Row],[Single Well Discovery Area]]),"",IF(Table1[[#This Row],[Well Density]]*Table1[[#This Row],[Single Well Discovery Area]]&gt;1,1,Table1[[#This Row],[Well Density]]*Table1[[#This Row],[Single Well Discovery Area]])))</f>
        <v>1</v>
      </c>
      <c r="CM602" t="s">
        <v>158</v>
      </c>
      <c r="CN602" s="19">
        <f>Table1[[#This Row],[Mid]]</f>
        <v>0</v>
      </c>
      <c r="CO602" s="19">
        <f>Table1[[#This Row],[Mid3]]+Table1[[#This Row],[Mid6]]+Table1[[#This Row],[Mid9]]</f>
        <v>0</v>
      </c>
      <c r="CP602" s="19">
        <f>Table1[[#This Row],[Mid12]]+Table1[[#This Row],[Mid15]]+Table1[[#This Row],[Mid18]]+Table1[[#This Row],[Mid21]]+Table1[[#This Row],[Mid24]]</f>
        <v>0</v>
      </c>
      <c r="CQ602" s="19">
        <f>Table1[[#This Row],[Mid27]]+Table1[[#This Row],[Mid30]]+Table1[[#This Row],[Mid33]]+Table1[[#This Row],[Mid36]]+Table1[[#This Row],[Mid39]]</f>
        <v>0</v>
      </c>
      <c r="CR602" t="s">
        <v>471</v>
      </c>
      <c r="CS602" s="19" t="str">
        <f>IF(AND(Table1[[#This Row],[Low41]]=0, Table1[[#This Row],[High43]]=0),"N","Y")</f>
        <v>N</v>
      </c>
    </row>
    <row r="603" spans="1:97" ht="19.5" customHeight="1" x14ac:dyDescent="0.25">
      <c r="A603">
        <v>10601</v>
      </c>
      <c r="B603" t="s">
        <v>1897</v>
      </c>
      <c r="C603" t="s">
        <v>1977</v>
      </c>
      <c r="D603">
        <v>32.642499999999998</v>
      </c>
      <c r="E603">
        <v>-83.443611110000006</v>
      </c>
      <c r="F603" t="s">
        <v>1980</v>
      </c>
      <c r="H603" t="s">
        <v>189</v>
      </c>
      <c r="I603" t="s">
        <v>118</v>
      </c>
      <c r="J603" t="s">
        <v>119</v>
      </c>
      <c r="K603" t="s">
        <v>190</v>
      </c>
      <c r="L603" t="s">
        <v>18</v>
      </c>
      <c r="N603" s="6" t="s">
        <v>521</v>
      </c>
      <c r="O603" t="s">
        <v>1976</v>
      </c>
      <c r="P603" t="s">
        <v>436</v>
      </c>
      <c r="Q603" t="s">
        <v>195</v>
      </c>
      <c r="R603" t="s">
        <v>1942</v>
      </c>
      <c r="S603">
        <v>2015</v>
      </c>
      <c r="T603" t="s">
        <v>153</v>
      </c>
      <c r="U603" t="s">
        <v>129</v>
      </c>
      <c r="V603"/>
      <c r="AD603">
        <v>0</v>
      </c>
      <c r="AF603">
        <v>200</v>
      </c>
      <c r="AG603">
        <v>0</v>
      </c>
      <c r="AH603" t="s">
        <v>525</v>
      </c>
      <c r="AI603">
        <v>2</v>
      </c>
      <c r="AK603">
        <v>0</v>
      </c>
      <c r="AL603">
        <v>0</v>
      </c>
      <c r="AN603" t="s">
        <v>132</v>
      </c>
      <c r="BY603">
        <v>145330</v>
      </c>
      <c r="BZ603">
        <v>148700</v>
      </c>
      <c r="CA603">
        <v>159020</v>
      </c>
      <c r="CE603" s="19">
        <f>SUM(Table1[[#This Row],[Low38]],Table1[[#This Row],[Low35]],Table1[[#This Row],[Low32]],Table1[[#This Row],[Low29]],Table1[[#This Row],[Low26]],Table1[[#This Row],[Low23]],Table1[[#This Row],[Low20]],Table1[[#This Row],[Low17]],Table1[[#This Row],[Low14]],Table1[[#This Row],[Low11]],Table1[[#This Row],[Low8]],Table1[[#This Row],[Low5]],Table1[[#This Row],[Low2]],Table1[[#This Row],[Low]])</f>
        <v>145330</v>
      </c>
      <c r="CF603" s="19">
        <f>SUM(Table1[[#This Row],[Mid39]],Table1[[#This Row],[Mid36]],Table1[[#This Row],[Mid33]],Table1[[#This Row],[Mid30]],Table1[[#This Row],[Mid27]],Table1[[#This Row],[Mid24]],Table1[[#This Row],[Mid21]],Table1[[#This Row],[Mid18]],Table1[[#This Row],[Mid15]],Table1[[#This Row],[Mid12]],Table1[[#This Row],[Mid9]],Table1[[#This Row],[Mid6]],Table1[[#This Row],[Mid3]],Table1[[#This Row],[Mid]])</f>
        <v>148700</v>
      </c>
      <c r="CG60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159020</v>
      </c>
      <c r="CH603" t="s">
        <v>157</v>
      </c>
      <c r="CI603" t="s">
        <v>176</v>
      </c>
      <c r="CJ603" t="s">
        <v>158</v>
      </c>
      <c r="CL603" s="19">
        <f>IF(Table1[[#This Row],[Type]]="Petroleum",1,IF(ISERROR(Table1[[#This Row],[Well Density]]*Table1[[#This Row],[Single Well Discovery Area]]),"",IF(Table1[[#This Row],[Well Density]]*Table1[[#This Row],[Single Well Discovery Area]]&gt;1,1,Table1[[#This Row],[Well Density]]*Table1[[#This Row],[Single Well Discovery Area]])))</f>
        <v>0</v>
      </c>
      <c r="CM603" t="s">
        <v>158</v>
      </c>
      <c r="CN603" s="19">
        <f>Table1[[#This Row],[Mid]]</f>
        <v>0</v>
      </c>
      <c r="CO603" s="19">
        <f>Table1[[#This Row],[Mid3]]+Table1[[#This Row],[Mid6]]+Table1[[#This Row],[Mid9]]</f>
        <v>0</v>
      </c>
      <c r="CP603" s="19">
        <f>Table1[[#This Row],[Mid12]]+Table1[[#This Row],[Mid15]]+Table1[[#This Row],[Mid18]]+Table1[[#This Row],[Mid21]]+Table1[[#This Row],[Mid24]]</f>
        <v>0</v>
      </c>
      <c r="CQ603" s="19">
        <f>Table1[[#This Row],[Mid27]]+Table1[[#This Row],[Mid30]]+Table1[[#This Row],[Mid33]]+Table1[[#This Row],[Mid36]]+Table1[[#This Row],[Mid39]]</f>
        <v>148700</v>
      </c>
      <c r="CR603" t="s">
        <v>471</v>
      </c>
      <c r="CS603" s="19" t="str">
        <f>IF(AND(Table1[[#This Row],[Low41]]=0, Table1[[#This Row],[High43]]=0),"N","Y")</f>
        <v>Y</v>
      </c>
    </row>
    <row r="604" spans="1:97" ht="19.5" customHeight="1" x14ac:dyDescent="0.25">
      <c r="A604">
        <v>10602</v>
      </c>
      <c r="B604" t="s">
        <v>1897</v>
      </c>
      <c r="C604" t="s">
        <v>1981</v>
      </c>
      <c r="D604">
        <v>20.292777780000002</v>
      </c>
      <c r="E604">
        <v>-156.37361110000001</v>
      </c>
      <c r="F604" t="s">
        <v>1982</v>
      </c>
      <c r="H604" t="s">
        <v>189</v>
      </c>
      <c r="I604" t="s">
        <v>201</v>
      </c>
      <c r="J604" t="s">
        <v>202</v>
      </c>
      <c r="K604" t="s">
        <v>203</v>
      </c>
      <c r="L604" t="s">
        <v>121</v>
      </c>
      <c r="N604" s="6" t="s">
        <v>521</v>
      </c>
      <c r="O604" t="s">
        <v>1932</v>
      </c>
      <c r="P604" t="s">
        <v>436</v>
      </c>
      <c r="Q604" t="s">
        <v>1901</v>
      </c>
      <c r="R604" t="s">
        <v>1979</v>
      </c>
      <c r="S604">
        <v>2015</v>
      </c>
      <c r="T604" t="s">
        <v>153</v>
      </c>
      <c r="U604" t="s">
        <v>129</v>
      </c>
      <c r="V604"/>
      <c r="AD604">
        <v>0</v>
      </c>
      <c r="AF604">
        <v>200</v>
      </c>
      <c r="AG604">
        <v>0</v>
      </c>
      <c r="AH604" t="s">
        <v>1903</v>
      </c>
      <c r="AK604">
        <v>0</v>
      </c>
      <c r="AL604">
        <v>0</v>
      </c>
      <c r="AN604" t="s">
        <v>132</v>
      </c>
      <c r="CE60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0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0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04" t="s">
        <v>157</v>
      </c>
      <c r="CI604" t="s">
        <v>176</v>
      </c>
      <c r="CJ604" t="s">
        <v>158</v>
      </c>
      <c r="CL604" s="19">
        <f>IF(Table1[[#This Row],[Type]]="Petroleum",1,IF(ISERROR(Table1[[#This Row],[Well Density]]*Table1[[#This Row],[Single Well Discovery Area]]),"",IF(Table1[[#This Row],[Well Density]]*Table1[[#This Row],[Single Well Discovery Area]]&gt;1,1,Table1[[#This Row],[Well Density]]*Table1[[#This Row],[Single Well Discovery Area]])))</f>
        <v>1</v>
      </c>
      <c r="CM604" t="s">
        <v>158</v>
      </c>
      <c r="CN604" s="19">
        <f>Table1[[#This Row],[Mid]]</f>
        <v>0</v>
      </c>
      <c r="CO604" s="19">
        <f>Table1[[#This Row],[Mid3]]+Table1[[#This Row],[Mid6]]+Table1[[#This Row],[Mid9]]</f>
        <v>0</v>
      </c>
      <c r="CP604" s="19">
        <f>Table1[[#This Row],[Mid12]]+Table1[[#This Row],[Mid15]]+Table1[[#This Row],[Mid18]]+Table1[[#This Row],[Mid21]]+Table1[[#This Row],[Mid24]]</f>
        <v>0</v>
      </c>
      <c r="CQ604" s="19">
        <f>Table1[[#This Row],[Mid27]]+Table1[[#This Row],[Mid30]]+Table1[[#This Row],[Mid33]]+Table1[[#This Row],[Mid36]]+Table1[[#This Row],[Mid39]]</f>
        <v>0</v>
      </c>
      <c r="CR604" t="s">
        <v>471</v>
      </c>
      <c r="CS604" s="19" t="str">
        <f>IF(AND(Table1[[#This Row],[Low41]]=0, Table1[[#This Row],[High43]]=0),"N","Y")</f>
        <v>N</v>
      </c>
    </row>
    <row r="605" spans="1:97" s="24" customFormat="1" ht="19.5" customHeight="1" x14ac:dyDescent="0.25">
      <c r="A605">
        <v>10603</v>
      </c>
      <c r="B605" t="s">
        <v>1897</v>
      </c>
      <c r="C605" t="s">
        <v>1981</v>
      </c>
      <c r="D605">
        <v>20.293888890000002</v>
      </c>
      <c r="E605">
        <v>-156.37472220000001</v>
      </c>
      <c r="F605" t="s">
        <v>1983</v>
      </c>
      <c r="G605"/>
      <c r="H605" t="s">
        <v>189</v>
      </c>
      <c r="I605" t="s">
        <v>118</v>
      </c>
      <c r="J605" t="s">
        <v>119</v>
      </c>
      <c r="K605" t="s">
        <v>190</v>
      </c>
      <c r="L605" t="s">
        <v>18</v>
      </c>
      <c r="M605"/>
      <c r="N605" s="6" t="s">
        <v>521</v>
      </c>
      <c r="O605" t="s">
        <v>1932</v>
      </c>
      <c r="P605" t="s">
        <v>436</v>
      </c>
      <c r="Q605" t="s">
        <v>195</v>
      </c>
      <c r="R605" t="s">
        <v>1979</v>
      </c>
      <c r="S605">
        <v>2015</v>
      </c>
      <c r="T605" t="s">
        <v>153</v>
      </c>
      <c r="U605" t="s">
        <v>129</v>
      </c>
      <c r="V605"/>
      <c r="W605"/>
      <c r="X605"/>
      <c r="Y605"/>
      <c r="Z605"/>
      <c r="AA605"/>
      <c r="AB605"/>
      <c r="AC605"/>
      <c r="AD605">
        <v>0</v>
      </c>
      <c r="AE605"/>
      <c r="AF605">
        <v>200</v>
      </c>
      <c r="AG605">
        <v>0</v>
      </c>
      <c r="AH605" t="s">
        <v>525</v>
      </c>
      <c r="AI605">
        <v>2</v>
      </c>
      <c r="AJ605"/>
      <c r="AK605">
        <v>0</v>
      </c>
      <c r="AL605">
        <v>0</v>
      </c>
      <c r="AM605"/>
      <c r="AN605" t="s">
        <v>132</v>
      </c>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c r="CE60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0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0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05" t="s">
        <v>157</v>
      </c>
      <c r="CI605" t="s">
        <v>176</v>
      </c>
      <c r="CJ605" t="s">
        <v>158</v>
      </c>
      <c r="CK605"/>
      <c r="CL605" s="19">
        <f>IF(Table1[[#This Row],[Type]]="Petroleum",1,IF(ISERROR(Table1[[#This Row],[Well Density]]*Table1[[#This Row],[Single Well Discovery Area]]),"",IF(Table1[[#This Row],[Well Density]]*Table1[[#This Row],[Single Well Discovery Area]]&gt;1,1,Table1[[#This Row],[Well Density]]*Table1[[#This Row],[Single Well Discovery Area]])))</f>
        <v>0</v>
      </c>
      <c r="CM605" t="s">
        <v>158</v>
      </c>
      <c r="CN605" s="19">
        <f>Table1[[#This Row],[Mid]]</f>
        <v>0</v>
      </c>
      <c r="CO605" s="19">
        <f>Table1[[#This Row],[Mid3]]+Table1[[#This Row],[Mid6]]+Table1[[#This Row],[Mid9]]</f>
        <v>0</v>
      </c>
      <c r="CP605" s="19">
        <f>Table1[[#This Row],[Mid12]]+Table1[[#This Row],[Mid15]]+Table1[[#This Row],[Mid18]]+Table1[[#This Row],[Mid21]]+Table1[[#This Row],[Mid24]]</f>
        <v>0</v>
      </c>
      <c r="CQ605" s="19">
        <f>Table1[[#This Row],[Mid27]]+Table1[[#This Row],[Mid30]]+Table1[[#This Row],[Mid33]]+Table1[[#This Row],[Mid36]]+Table1[[#This Row],[Mid39]]</f>
        <v>0</v>
      </c>
      <c r="CR605" t="s">
        <v>471</v>
      </c>
      <c r="CS605" s="26" t="str">
        <f>IF(AND(Table1[[#This Row],[Low41]]=0, Table1[[#This Row],[High43]]=0),"N","Y")</f>
        <v>N</v>
      </c>
    </row>
    <row r="606" spans="1:97" s="24" customFormat="1" ht="19.5" customHeight="1" x14ac:dyDescent="0.25">
      <c r="A606">
        <v>10604</v>
      </c>
      <c r="B606" t="s">
        <v>1897</v>
      </c>
      <c r="C606" t="s">
        <v>1984</v>
      </c>
      <c r="D606">
        <v>44.35083333</v>
      </c>
      <c r="E606">
        <v>-114.6130556</v>
      </c>
      <c r="F606" t="s">
        <v>1985</v>
      </c>
      <c r="G606"/>
      <c r="H606" t="s">
        <v>189</v>
      </c>
      <c r="I606" t="s">
        <v>201</v>
      </c>
      <c r="J606" t="s">
        <v>202</v>
      </c>
      <c r="K606" t="s">
        <v>203</v>
      </c>
      <c r="L606" t="s">
        <v>121</v>
      </c>
      <c r="M606"/>
      <c r="N606" s="6" t="s">
        <v>521</v>
      </c>
      <c r="O606" t="s">
        <v>1932</v>
      </c>
      <c r="P606" t="s">
        <v>436</v>
      </c>
      <c r="Q606" t="s">
        <v>1901</v>
      </c>
      <c r="R606" t="s">
        <v>1979</v>
      </c>
      <c r="S606">
        <v>2015</v>
      </c>
      <c r="T606" t="s">
        <v>153</v>
      </c>
      <c r="U606" t="s">
        <v>129</v>
      </c>
      <c r="V606"/>
      <c r="W606"/>
      <c r="X606"/>
      <c r="Y606"/>
      <c r="Z606"/>
      <c r="AA606"/>
      <c r="AB606"/>
      <c r="AC606"/>
      <c r="AD606">
        <v>0</v>
      </c>
      <c r="AE606"/>
      <c r="AF606">
        <v>200</v>
      </c>
      <c r="AG606">
        <v>0</v>
      </c>
      <c r="AH606" t="s">
        <v>1903</v>
      </c>
      <c r="AI606"/>
      <c r="AJ606"/>
      <c r="AK606">
        <v>0</v>
      </c>
      <c r="AL606">
        <v>0</v>
      </c>
      <c r="AM606"/>
      <c r="AN606" t="s">
        <v>132</v>
      </c>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0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0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06" t="s">
        <v>157</v>
      </c>
      <c r="CI606" t="s">
        <v>176</v>
      </c>
      <c r="CJ606" t="s">
        <v>158</v>
      </c>
      <c r="CK606"/>
      <c r="CL606" s="19">
        <f>IF(Table1[[#This Row],[Type]]="Petroleum",1,IF(ISERROR(Table1[[#This Row],[Well Density]]*Table1[[#This Row],[Single Well Discovery Area]]),"",IF(Table1[[#This Row],[Well Density]]*Table1[[#This Row],[Single Well Discovery Area]]&gt;1,1,Table1[[#This Row],[Well Density]]*Table1[[#This Row],[Single Well Discovery Area]])))</f>
        <v>1</v>
      </c>
      <c r="CM606" t="s">
        <v>158</v>
      </c>
      <c r="CN606" s="19">
        <f>Table1[[#This Row],[Mid]]</f>
        <v>0</v>
      </c>
      <c r="CO606" s="19">
        <f>Table1[[#This Row],[Mid3]]+Table1[[#This Row],[Mid6]]+Table1[[#This Row],[Mid9]]</f>
        <v>0</v>
      </c>
      <c r="CP606" s="19">
        <f>Table1[[#This Row],[Mid12]]+Table1[[#This Row],[Mid15]]+Table1[[#This Row],[Mid18]]+Table1[[#This Row],[Mid21]]+Table1[[#This Row],[Mid24]]</f>
        <v>0</v>
      </c>
      <c r="CQ606" s="19">
        <f>Table1[[#This Row],[Mid27]]+Table1[[#This Row],[Mid30]]+Table1[[#This Row],[Mid33]]+Table1[[#This Row],[Mid36]]+Table1[[#This Row],[Mid39]]</f>
        <v>0</v>
      </c>
      <c r="CR606" t="s">
        <v>471</v>
      </c>
      <c r="CS606" s="26" t="str">
        <f>IF(AND(Table1[[#This Row],[Low41]]=0, Table1[[#This Row],[High43]]=0),"N","Y")</f>
        <v>N</v>
      </c>
    </row>
    <row r="607" spans="1:97" s="24" customFormat="1" ht="19.5" customHeight="1" x14ac:dyDescent="0.25">
      <c r="A607">
        <v>10605</v>
      </c>
      <c r="B607" t="s">
        <v>1897</v>
      </c>
      <c r="C607" t="s">
        <v>1984</v>
      </c>
      <c r="D607">
        <v>44.351944439999997</v>
      </c>
      <c r="E607">
        <v>-114.6141667</v>
      </c>
      <c r="F607" t="s">
        <v>1986</v>
      </c>
      <c r="G607"/>
      <c r="H607" t="s">
        <v>189</v>
      </c>
      <c r="I607" t="s">
        <v>118</v>
      </c>
      <c r="J607" t="s">
        <v>119</v>
      </c>
      <c r="K607" t="s">
        <v>190</v>
      </c>
      <c r="L607" t="s">
        <v>18</v>
      </c>
      <c r="M607"/>
      <c r="N607" s="6" t="s">
        <v>521</v>
      </c>
      <c r="O607" t="s">
        <v>1932</v>
      </c>
      <c r="P607" t="s">
        <v>436</v>
      </c>
      <c r="Q607" t="s">
        <v>195</v>
      </c>
      <c r="R607" t="s">
        <v>1942</v>
      </c>
      <c r="S607">
        <v>2015</v>
      </c>
      <c r="T607" t="s">
        <v>153</v>
      </c>
      <c r="U607" t="s">
        <v>129</v>
      </c>
      <c r="V607"/>
      <c r="W607"/>
      <c r="X607"/>
      <c r="Y607"/>
      <c r="Z607"/>
      <c r="AA607"/>
      <c r="AB607"/>
      <c r="AC607"/>
      <c r="AD607">
        <v>0</v>
      </c>
      <c r="AE607"/>
      <c r="AF607">
        <v>200</v>
      </c>
      <c r="AG607">
        <v>0</v>
      </c>
      <c r="AH607" t="s">
        <v>525</v>
      </c>
      <c r="AI607">
        <v>2</v>
      </c>
      <c r="AJ607"/>
      <c r="AK607">
        <v>0</v>
      </c>
      <c r="AL607">
        <v>0</v>
      </c>
      <c r="AM607"/>
      <c r="AN607" t="s">
        <v>132</v>
      </c>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v>40</v>
      </c>
      <c r="BZ607">
        <v>150</v>
      </c>
      <c r="CA607">
        <v>390</v>
      </c>
      <c r="CB607"/>
      <c r="CC607"/>
      <c r="CD607"/>
      <c r="CE607" s="19">
        <f>SUM(Table1[[#This Row],[Low38]],Table1[[#This Row],[Low35]],Table1[[#This Row],[Low32]],Table1[[#This Row],[Low29]],Table1[[#This Row],[Low26]],Table1[[#This Row],[Low23]],Table1[[#This Row],[Low20]],Table1[[#This Row],[Low17]],Table1[[#This Row],[Low14]],Table1[[#This Row],[Low11]],Table1[[#This Row],[Low8]],Table1[[#This Row],[Low5]],Table1[[#This Row],[Low2]],Table1[[#This Row],[Low]])</f>
        <v>40</v>
      </c>
      <c r="CF607" s="19">
        <f>SUM(Table1[[#This Row],[Mid39]],Table1[[#This Row],[Mid36]],Table1[[#This Row],[Mid33]],Table1[[#This Row],[Mid30]],Table1[[#This Row],[Mid27]],Table1[[#This Row],[Mid24]],Table1[[#This Row],[Mid21]],Table1[[#This Row],[Mid18]],Table1[[#This Row],[Mid15]],Table1[[#This Row],[Mid12]],Table1[[#This Row],[Mid9]],Table1[[#This Row],[Mid6]],Table1[[#This Row],[Mid3]],Table1[[#This Row],[Mid]])</f>
        <v>150</v>
      </c>
      <c r="CG60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390</v>
      </c>
      <c r="CH607" t="s">
        <v>157</v>
      </c>
      <c r="CI607" t="s">
        <v>176</v>
      </c>
      <c r="CJ607" t="s">
        <v>158</v>
      </c>
      <c r="CK607"/>
      <c r="CL607" s="19">
        <f>IF(Table1[[#This Row],[Type]]="Petroleum",1,IF(ISERROR(Table1[[#This Row],[Well Density]]*Table1[[#This Row],[Single Well Discovery Area]]),"",IF(Table1[[#This Row],[Well Density]]*Table1[[#This Row],[Single Well Discovery Area]]&gt;1,1,Table1[[#This Row],[Well Density]]*Table1[[#This Row],[Single Well Discovery Area]])))</f>
        <v>0</v>
      </c>
      <c r="CM607" t="s">
        <v>158</v>
      </c>
      <c r="CN607" s="19">
        <f>Table1[[#This Row],[Mid]]</f>
        <v>0</v>
      </c>
      <c r="CO607" s="19">
        <f>Table1[[#This Row],[Mid3]]+Table1[[#This Row],[Mid6]]+Table1[[#This Row],[Mid9]]</f>
        <v>0</v>
      </c>
      <c r="CP607" s="19">
        <f>Table1[[#This Row],[Mid12]]+Table1[[#This Row],[Mid15]]+Table1[[#This Row],[Mid18]]+Table1[[#This Row],[Mid21]]+Table1[[#This Row],[Mid24]]</f>
        <v>0</v>
      </c>
      <c r="CQ607" s="19">
        <f>Table1[[#This Row],[Mid27]]+Table1[[#This Row],[Mid30]]+Table1[[#This Row],[Mid33]]+Table1[[#This Row],[Mid36]]+Table1[[#This Row],[Mid39]]</f>
        <v>150</v>
      </c>
      <c r="CR607" t="s">
        <v>471</v>
      </c>
      <c r="CS607" s="26" t="str">
        <f>IF(AND(Table1[[#This Row],[Low41]]=0, Table1[[#This Row],[High43]]=0),"N","Y")</f>
        <v>Y</v>
      </c>
    </row>
    <row r="608" spans="1:97" s="24" customFormat="1" ht="19.5" customHeight="1" x14ac:dyDescent="0.25">
      <c r="A608">
        <v>10606</v>
      </c>
      <c r="B608" t="s">
        <v>1897</v>
      </c>
      <c r="C608" t="s">
        <v>1987</v>
      </c>
      <c r="D608">
        <v>39.876944440000003</v>
      </c>
      <c r="E608">
        <v>-88.893333330000004</v>
      </c>
      <c r="F608" t="s">
        <v>1988</v>
      </c>
      <c r="G608" t="s">
        <v>1987</v>
      </c>
      <c r="H608" t="s">
        <v>816</v>
      </c>
      <c r="I608" t="s">
        <v>118</v>
      </c>
      <c r="J608" t="s">
        <v>119</v>
      </c>
      <c r="K608" t="s">
        <v>120</v>
      </c>
      <c r="L608" t="s">
        <v>18</v>
      </c>
      <c r="M608" t="s">
        <v>597</v>
      </c>
      <c r="N608" s="6" t="s">
        <v>1989</v>
      </c>
      <c r="O608" t="s">
        <v>1990</v>
      </c>
      <c r="P608"/>
      <c r="Q608"/>
      <c r="R608" t="s">
        <v>1991</v>
      </c>
      <c r="S608">
        <v>2015</v>
      </c>
      <c r="T608" t="s">
        <v>153</v>
      </c>
      <c r="U608" t="s">
        <v>129</v>
      </c>
      <c r="V608">
        <v>0.65</v>
      </c>
      <c r="W608">
        <v>2139</v>
      </c>
      <c r="X608">
        <v>459</v>
      </c>
      <c r="Y608"/>
      <c r="Z608">
        <v>21</v>
      </c>
      <c r="AA608">
        <v>170</v>
      </c>
      <c r="AB608"/>
      <c r="AC608"/>
      <c r="AD608">
        <v>0</v>
      </c>
      <c r="AE608">
        <v>0</v>
      </c>
      <c r="AF608">
        <v>200</v>
      </c>
      <c r="AG608">
        <v>0</v>
      </c>
      <c r="AH608"/>
      <c r="AI608"/>
      <c r="AJ608"/>
      <c r="AK608">
        <v>0</v>
      </c>
      <c r="AL608">
        <v>0</v>
      </c>
      <c r="AM608" t="s">
        <v>130</v>
      </c>
      <c r="AN608" t="s">
        <v>132</v>
      </c>
      <c r="AO608"/>
      <c r="AP608">
        <v>1</v>
      </c>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c r="CE60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08" s="19">
        <f>SUM(Table1[[#This Row],[Mid39]],Table1[[#This Row],[Mid36]],Table1[[#This Row],[Mid33]],Table1[[#This Row],[Mid30]],Table1[[#This Row],[Mid27]],Table1[[#This Row],[Mid24]],Table1[[#This Row],[Mid21]],Table1[[#This Row],[Mid18]],Table1[[#This Row],[Mid15]],Table1[[#This Row],[Mid12]],Table1[[#This Row],[Mid9]],Table1[[#This Row],[Mid6]],Table1[[#This Row],[Mid3]],Table1[[#This Row],[Mid]])</f>
        <v>1</v>
      </c>
      <c r="CG60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08" t="s">
        <v>157</v>
      </c>
      <c r="CI608" t="s">
        <v>134</v>
      </c>
      <c r="CJ608" t="s">
        <v>135</v>
      </c>
      <c r="CK608"/>
      <c r="CL608" s="19">
        <f>IF(Table1[[#This Row],[Type]]="Petroleum",1,IF(ISERROR(Table1[[#This Row],[Well Density]]*Table1[[#This Row],[Single Well Discovery Area]]),"",IF(Table1[[#This Row],[Well Density]]*Table1[[#This Row],[Single Well Discovery Area]]&gt;1,1,Table1[[#This Row],[Well Density]]*Table1[[#This Row],[Single Well Discovery Area]])))</f>
        <v>0</v>
      </c>
      <c r="CM608" t="s">
        <v>158</v>
      </c>
      <c r="CN608" s="19">
        <f>Table1[[#This Row],[Mid]]</f>
        <v>1</v>
      </c>
      <c r="CO608" s="19">
        <f>Table1[[#This Row],[Mid3]]+Table1[[#This Row],[Mid6]]+Table1[[#This Row],[Mid9]]</f>
        <v>0</v>
      </c>
      <c r="CP608" s="19">
        <f>Table1[[#This Row],[Mid12]]+Table1[[#This Row],[Mid15]]+Table1[[#This Row],[Mid18]]+Table1[[#This Row],[Mid21]]+Table1[[#This Row],[Mid24]]</f>
        <v>0</v>
      </c>
      <c r="CQ608" s="19">
        <f>Table1[[#This Row],[Mid27]]+Table1[[#This Row],[Mid30]]+Table1[[#This Row],[Mid33]]+Table1[[#This Row],[Mid36]]+Table1[[#This Row],[Mid39]]</f>
        <v>0</v>
      </c>
      <c r="CR608" t="s">
        <v>471</v>
      </c>
      <c r="CS608" s="26" t="str">
        <f>IF(AND(Table1[[#This Row],[Low41]]=0, Table1[[#This Row],[High43]]=0),"N","Y")</f>
        <v>N</v>
      </c>
    </row>
    <row r="609" spans="1:97" s="24" customFormat="1" ht="19.5" customHeight="1" x14ac:dyDescent="0.25">
      <c r="A609">
        <v>10607</v>
      </c>
      <c r="B609" t="s">
        <v>1897</v>
      </c>
      <c r="C609" t="s">
        <v>1987</v>
      </c>
      <c r="D609">
        <v>39.878333329999997</v>
      </c>
      <c r="E609">
        <v>-88.894444440000001</v>
      </c>
      <c r="F609" t="s">
        <v>1992</v>
      </c>
      <c r="G609" t="s">
        <v>1987</v>
      </c>
      <c r="H609" t="s">
        <v>816</v>
      </c>
      <c r="I609" t="s">
        <v>118</v>
      </c>
      <c r="J609" t="s">
        <v>119</v>
      </c>
      <c r="K609" t="s">
        <v>120</v>
      </c>
      <c r="L609" t="s">
        <v>121</v>
      </c>
      <c r="M609" t="s">
        <v>597</v>
      </c>
      <c r="N609" s="6" t="s">
        <v>1993</v>
      </c>
      <c r="O609" t="s">
        <v>1994</v>
      </c>
      <c r="P609" t="s">
        <v>1995</v>
      </c>
      <c r="Q609" t="s">
        <v>1996</v>
      </c>
      <c r="R609" t="s">
        <v>1997</v>
      </c>
      <c r="S609"/>
      <c r="T609" t="s">
        <v>153</v>
      </c>
      <c r="U609" t="s">
        <v>129</v>
      </c>
      <c r="V609">
        <v>2304</v>
      </c>
      <c r="W609">
        <v>2133</v>
      </c>
      <c r="X609"/>
      <c r="Y609"/>
      <c r="Z609">
        <v>20</v>
      </c>
      <c r="AA609">
        <v>26</v>
      </c>
      <c r="AB609"/>
      <c r="AC609"/>
      <c r="AD609">
        <v>3</v>
      </c>
      <c r="AE609">
        <v>1.3020830000000001E-3</v>
      </c>
      <c r="AF609">
        <v>200</v>
      </c>
      <c r="AG609">
        <v>0</v>
      </c>
      <c r="AH609" t="s">
        <v>130</v>
      </c>
      <c r="AI609"/>
      <c r="AJ609"/>
      <c r="AK609">
        <v>0</v>
      </c>
      <c r="AL609">
        <v>0</v>
      </c>
      <c r="AM609" t="s">
        <v>1998</v>
      </c>
      <c r="AN609" t="s">
        <v>132</v>
      </c>
      <c r="AO609">
        <v>0</v>
      </c>
      <c r="AP609">
        <v>4.5</v>
      </c>
      <c r="AQ609">
        <v>0</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0</v>
      </c>
      <c r="CB609">
        <v>0</v>
      </c>
      <c r="CC609">
        <v>0</v>
      </c>
      <c r="CD609">
        <v>0</v>
      </c>
      <c r="CE60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09" s="19">
        <f>SUM(Table1[[#This Row],[Mid39]],Table1[[#This Row],[Mid36]],Table1[[#This Row],[Mid33]],Table1[[#This Row],[Mid30]],Table1[[#This Row],[Mid27]],Table1[[#This Row],[Mid24]],Table1[[#This Row],[Mid21]],Table1[[#This Row],[Mid18]],Table1[[#This Row],[Mid15]],Table1[[#This Row],[Mid12]],Table1[[#This Row],[Mid9]],Table1[[#This Row],[Mid6]],Table1[[#This Row],[Mid3]],Table1[[#This Row],[Mid]])</f>
        <v>4.5</v>
      </c>
      <c r="CG60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09" t="s">
        <v>157</v>
      </c>
      <c r="CI609" t="s">
        <v>134</v>
      </c>
      <c r="CJ609" t="s">
        <v>135</v>
      </c>
      <c r="CK609"/>
      <c r="CL609" s="19">
        <f>IF(Table1[[#This Row],[Type]]="Petroleum",1,IF(ISERROR(Table1[[#This Row],[Well Density]]*Table1[[#This Row],[Single Well Discovery Area]]),"",IF(Table1[[#This Row],[Well Density]]*Table1[[#This Row],[Single Well Discovery Area]]&gt;1,1,Table1[[#This Row],[Well Density]]*Table1[[#This Row],[Single Well Discovery Area]])))</f>
        <v>0.2604166</v>
      </c>
      <c r="CM609" t="s">
        <v>158</v>
      </c>
      <c r="CN609" s="19">
        <f>Table1[[#This Row],[Mid]]</f>
        <v>4.5</v>
      </c>
      <c r="CO609" s="19">
        <f>Table1[[#This Row],[Mid3]]+Table1[[#This Row],[Mid6]]+Table1[[#This Row],[Mid9]]</f>
        <v>0</v>
      </c>
      <c r="CP609" s="19">
        <f>Table1[[#This Row],[Mid12]]+Table1[[#This Row],[Mid15]]+Table1[[#This Row],[Mid18]]+Table1[[#This Row],[Mid21]]+Table1[[#This Row],[Mid24]]</f>
        <v>0</v>
      </c>
      <c r="CQ609" s="19">
        <f>Table1[[#This Row],[Mid27]]+Table1[[#This Row],[Mid30]]+Table1[[#This Row],[Mid33]]+Table1[[#This Row],[Mid36]]+Table1[[#This Row],[Mid39]]</f>
        <v>0</v>
      </c>
      <c r="CR609" t="s">
        <v>471</v>
      </c>
      <c r="CS609" s="26" t="str">
        <f>IF(AND(Table1[[#This Row],[Low41]]=0, Table1[[#This Row],[High43]]=0),"N","Y")</f>
        <v>N</v>
      </c>
    </row>
    <row r="610" spans="1:97" s="24" customFormat="1" ht="19.5" customHeight="1" x14ac:dyDescent="0.25">
      <c r="A610">
        <v>10608</v>
      </c>
      <c r="B610" t="s">
        <v>1897</v>
      </c>
      <c r="C610" t="s">
        <v>1987</v>
      </c>
      <c r="D610">
        <v>39.1325</v>
      </c>
      <c r="E610">
        <v>-88.884166669999999</v>
      </c>
      <c r="F610" t="s">
        <v>1999</v>
      </c>
      <c r="G610" t="s">
        <v>1987</v>
      </c>
      <c r="H610" t="s">
        <v>2000</v>
      </c>
      <c r="I610" t="s">
        <v>118</v>
      </c>
      <c r="J610" t="s">
        <v>119</v>
      </c>
      <c r="K610" t="s">
        <v>190</v>
      </c>
      <c r="L610" t="s">
        <v>18</v>
      </c>
      <c r="M610" t="s">
        <v>597</v>
      </c>
      <c r="N610" s="6" t="s">
        <v>521</v>
      </c>
      <c r="O610" t="s">
        <v>2001</v>
      </c>
      <c r="P610" t="s">
        <v>170</v>
      </c>
      <c r="Q610"/>
      <c r="R610" t="s">
        <v>1911</v>
      </c>
      <c r="S610">
        <v>2015</v>
      </c>
      <c r="T610" t="s">
        <v>153</v>
      </c>
      <c r="U610" t="s">
        <v>129</v>
      </c>
      <c r="V610"/>
      <c r="W610"/>
      <c r="X610"/>
      <c r="Y610"/>
      <c r="Z610"/>
      <c r="AA610"/>
      <c r="AB610"/>
      <c r="AC610"/>
      <c r="AD610">
        <v>0</v>
      </c>
      <c r="AE610"/>
      <c r="AF610">
        <v>200</v>
      </c>
      <c r="AG610">
        <v>0</v>
      </c>
      <c r="AH610"/>
      <c r="AI610"/>
      <c r="AJ610"/>
      <c r="AK610">
        <v>0</v>
      </c>
      <c r="AL610">
        <v>0</v>
      </c>
      <c r="AM610"/>
      <c r="AN610" t="s">
        <v>132</v>
      </c>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v>27000</v>
      </c>
      <c r="BX610">
        <v>236000</v>
      </c>
      <c r="BY610"/>
      <c r="BZ610"/>
      <c r="CA610"/>
      <c r="CB610"/>
      <c r="CC610"/>
      <c r="CD610"/>
      <c r="CE61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10" s="19">
        <f>SUM(Table1[[#This Row],[Mid39]],Table1[[#This Row],[Mid36]],Table1[[#This Row],[Mid33]],Table1[[#This Row],[Mid30]],Table1[[#This Row],[Mid27]],Table1[[#This Row],[Mid24]],Table1[[#This Row],[Mid21]],Table1[[#This Row],[Mid18]],Table1[[#This Row],[Mid15]],Table1[[#This Row],[Mid12]],Table1[[#This Row],[Mid9]],Table1[[#This Row],[Mid6]],Table1[[#This Row],[Mid3]],Table1[[#This Row],[Mid]])</f>
        <v>27000</v>
      </c>
      <c r="CG6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236000</v>
      </c>
      <c r="CH610" t="s">
        <v>157</v>
      </c>
      <c r="CI610" t="s">
        <v>176</v>
      </c>
      <c r="CJ610" t="s">
        <v>158</v>
      </c>
      <c r="CK610"/>
      <c r="CL610" s="19">
        <f>IF(Table1[[#This Row],[Type]]="Petroleum",1,IF(ISERROR(Table1[[#This Row],[Well Density]]*Table1[[#This Row],[Single Well Discovery Area]]),"",IF(Table1[[#This Row],[Well Density]]*Table1[[#This Row],[Single Well Discovery Area]]&gt;1,1,Table1[[#This Row],[Well Density]]*Table1[[#This Row],[Single Well Discovery Area]])))</f>
        <v>0</v>
      </c>
      <c r="CM610" t="s">
        <v>158</v>
      </c>
      <c r="CN610" s="19">
        <f>Table1[[#This Row],[Mid]]</f>
        <v>0</v>
      </c>
      <c r="CO610" s="19">
        <f>Table1[[#This Row],[Mid3]]+Table1[[#This Row],[Mid6]]+Table1[[#This Row],[Mid9]]</f>
        <v>0</v>
      </c>
      <c r="CP610" s="19">
        <f>Table1[[#This Row],[Mid12]]+Table1[[#This Row],[Mid15]]+Table1[[#This Row],[Mid18]]+Table1[[#This Row],[Mid21]]+Table1[[#This Row],[Mid24]]</f>
        <v>0</v>
      </c>
      <c r="CQ610" s="19">
        <f>Table1[[#This Row],[Mid27]]+Table1[[#This Row],[Mid30]]+Table1[[#This Row],[Mid33]]+Table1[[#This Row],[Mid36]]+Table1[[#This Row],[Mid39]]</f>
        <v>27000</v>
      </c>
      <c r="CR610" t="s">
        <v>471</v>
      </c>
      <c r="CS610" s="26" t="str">
        <f>IF(AND(Table1[[#This Row],[Low41]]=0, Table1[[#This Row],[High43]]=0),"N","Y")</f>
        <v>Y</v>
      </c>
    </row>
    <row r="611" spans="1:97" s="24" customFormat="1" ht="19.5" customHeight="1" x14ac:dyDescent="0.25">
      <c r="A611">
        <v>10609</v>
      </c>
      <c r="B611" t="s">
        <v>1897</v>
      </c>
      <c r="C611" t="s">
        <v>1987</v>
      </c>
      <c r="D611">
        <v>39.131666670000001</v>
      </c>
      <c r="E611">
        <v>-88.885277779999996</v>
      </c>
      <c r="F611" t="s">
        <v>2002</v>
      </c>
      <c r="G611" t="s">
        <v>1987</v>
      </c>
      <c r="H611" t="s">
        <v>2003</v>
      </c>
      <c r="I611" t="s">
        <v>118</v>
      </c>
      <c r="J611" t="s">
        <v>119</v>
      </c>
      <c r="K611" t="s">
        <v>190</v>
      </c>
      <c r="L611" t="s">
        <v>18</v>
      </c>
      <c r="M611" t="s">
        <v>2004</v>
      </c>
      <c r="N611" s="6" t="s">
        <v>521</v>
      </c>
      <c r="O611" t="s">
        <v>2001</v>
      </c>
      <c r="P611" t="s">
        <v>170</v>
      </c>
      <c r="Q611"/>
      <c r="R611" t="s">
        <v>1911</v>
      </c>
      <c r="S611">
        <v>2015</v>
      </c>
      <c r="T611" t="s">
        <v>153</v>
      </c>
      <c r="U611" t="s">
        <v>129</v>
      </c>
      <c r="V611"/>
      <c r="W611"/>
      <c r="X611"/>
      <c r="Y611"/>
      <c r="Z611"/>
      <c r="AA611"/>
      <c r="AB611"/>
      <c r="AC611"/>
      <c r="AD611">
        <v>0</v>
      </c>
      <c r="AE611"/>
      <c r="AF611">
        <v>200</v>
      </c>
      <c r="AG611">
        <v>0</v>
      </c>
      <c r="AH611"/>
      <c r="AI611"/>
      <c r="AJ611"/>
      <c r="AK611">
        <v>0</v>
      </c>
      <c r="AL611">
        <v>0</v>
      </c>
      <c r="AM611"/>
      <c r="AN611" t="s">
        <v>132</v>
      </c>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v>600</v>
      </c>
      <c r="BX611">
        <v>6100</v>
      </c>
      <c r="BY611"/>
      <c r="BZ611"/>
      <c r="CA611"/>
      <c r="CB611"/>
      <c r="CC611"/>
      <c r="CD611"/>
      <c r="CE61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11" s="19">
        <f>SUM(Table1[[#This Row],[Mid39]],Table1[[#This Row],[Mid36]],Table1[[#This Row],[Mid33]],Table1[[#This Row],[Mid30]],Table1[[#This Row],[Mid27]],Table1[[#This Row],[Mid24]],Table1[[#This Row],[Mid21]],Table1[[#This Row],[Mid18]],Table1[[#This Row],[Mid15]],Table1[[#This Row],[Mid12]],Table1[[#This Row],[Mid9]],Table1[[#This Row],[Mid6]],Table1[[#This Row],[Mid3]],Table1[[#This Row],[Mid]])</f>
        <v>600</v>
      </c>
      <c r="CG6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6100</v>
      </c>
      <c r="CH611" t="s">
        <v>157</v>
      </c>
      <c r="CI611" t="s">
        <v>134</v>
      </c>
      <c r="CJ611" t="s">
        <v>158</v>
      </c>
      <c r="CK611"/>
      <c r="CL611" s="19">
        <f>IF(Table1[[#This Row],[Type]]="Petroleum",1,IF(ISERROR(Table1[[#This Row],[Well Density]]*Table1[[#This Row],[Single Well Discovery Area]]),"",IF(Table1[[#This Row],[Well Density]]*Table1[[#This Row],[Single Well Discovery Area]]&gt;1,1,Table1[[#This Row],[Well Density]]*Table1[[#This Row],[Single Well Discovery Area]])))</f>
        <v>0</v>
      </c>
      <c r="CM611" t="s">
        <v>135</v>
      </c>
      <c r="CN611" s="19">
        <f>Table1[[#This Row],[Mid]]</f>
        <v>0</v>
      </c>
      <c r="CO611" s="19">
        <f>Table1[[#This Row],[Mid3]]+Table1[[#This Row],[Mid6]]+Table1[[#This Row],[Mid9]]</f>
        <v>0</v>
      </c>
      <c r="CP611" s="19">
        <f>Table1[[#This Row],[Mid12]]+Table1[[#This Row],[Mid15]]+Table1[[#This Row],[Mid18]]+Table1[[#This Row],[Mid21]]+Table1[[#This Row],[Mid24]]</f>
        <v>0</v>
      </c>
      <c r="CQ611" s="19">
        <f>Table1[[#This Row],[Mid27]]+Table1[[#This Row],[Mid30]]+Table1[[#This Row],[Mid33]]+Table1[[#This Row],[Mid36]]+Table1[[#This Row],[Mid39]]</f>
        <v>600</v>
      </c>
      <c r="CR611" t="s">
        <v>471</v>
      </c>
      <c r="CS611" s="26" t="str">
        <f>IF(AND(Table1[[#This Row],[Low41]]=0, Table1[[#This Row],[High43]]=0),"N","Y")</f>
        <v>Y</v>
      </c>
    </row>
    <row r="612" spans="1:97" s="24" customFormat="1" ht="19.5" customHeight="1" x14ac:dyDescent="0.25">
      <c r="A612">
        <v>10610</v>
      </c>
      <c r="B612" t="s">
        <v>1897</v>
      </c>
      <c r="C612" t="s">
        <v>1987</v>
      </c>
      <c r="D612">
        <v>40.041666669999998</v>
      </c>
      <c r="E612">
        <v>-89.196388889999994</v>
      </c>
      <c r="F612" t="s">
        <v>2005</v>
      </c>
      <c r="G612" t="s">
        <v>1987</v>
      </c>
      <c r="H612" t="s">
        <v>189</v>
      </c>
      <c r="I612" t="s">
        <v>201</v>
      </c>
      <c r="J612" t="s">
        <v>202</v>
      </c>
      <c r="K612" t="s">
        <v>203</v>
      </c>
      <c r="L612" t="s">
        <v>121</v>
      </c>
      <c r="M612"/>
      <c r="N612" s="6" t="s">
        <v>521</v>
      </c>
      <c r="O612" t="s">
        <v>1932</v>
      </c>
      <c r="P612" t="s">
        <v>436</v>
      </c>
      <c r="Q612" t="s">
        <v>1901</v>
      </c>
      <c r="R612" t="s">
        <v>1963</v>
      </c>
      <c r="S612">
        <v>2015</v>
      </c>
      <c r="T612" t="s">
        <v>153</v>
      </c>
      <c r="U612" t="s">
        <v>129</v>
      </c>
      <c r="V612"/>
      <c r="W612"/>
      <c r="X612"/>
      <c r="Y612"/>
      <c r="Z612"/>
      <c r="AA612"/>
      <c r="AB612"/>
      <c r="AC612"/>
      <c r="AD612">
        <v>0</v>
      </c>
      <c r="AE612"/>
      <c r="AF612">
        <v>200</v>
      </c>
      <c r="AG612">
        <v>0</v>
      </c>
      <c r="AH612" t="s">
        <v>1903</v>
      </c>
      <c r="AI612"/>
      <c r="AJ612"/>
      <c r="AK612">
        <v>0</v>
      </c>
      <c r="AL612">
        <v>0</v>
      </c>
      <c r="AM612"/>
      <c r="AN612" t="s">
        <v>132</v>
      </c>
      <c r="AO612"/>
      <c r="AP612"/>
      <c r="AQ612"/>
      <c r="AR612"/>
      <c r="AS612"/>
      <c r="AT612"/>
      <c r="AU612"/>
      <c r="AV612"/>
      <c r="AW612"/>
      <c r="AX612"/>
      <c r="AY612"/>
      <c r="AZ612"/>
      <c r="BA612"/>
      <c r="BB612"/>
      <c r="BC612"/>
      <c r="BD612"/>
      <c r="BE612"/>
      <c r="BF612"/>
      <c r="BG612"/>
      <c r="BH612"/>
      <c r="BI612"/>
      <c r="BJ612"/>
      <c r="BK612"/>
      <c r="BL612"/>
      <c r="BM612">
        <v>100</v>
      </c>
      <c r="BN612">
        <v>200</v>
      </c>
      <c r="BO612">
        <v>340</v>
      </c>
      <c r="BP612"/>
      <c r="BQ612"/>
      <c r="BR612"/>
      <c r="BS612"/>
      <c r="BT612"/>
      <c r="BU612"/>
      <c r="BV612"/>
      <c r="BW612"/>
      <c r="BX612"/>
      <c r="BY612"/>
      <c r="BZ612"/>
      <c r="CA612"/>
      <c r="CB612"/>
      <c r="CC612"/>
      <c r="CD612"/>
      <c r="CE612" s="19">
        <f>SUM(Table1[[#This Row],[Low38]],Table1[[#This Row],[Low35]],Table1[[#This Row],[Low32]],Table1[[#This Row],[Low29]],Table1[[#This Row],[Low26]],Table1[[#This Row],[Low23]],Table1[[#This Row],[Low20]],Table1[[#This Row],[Low17]],Table1[[#This Row],[Low14]],Table1[[#This Row],[Low11]],Table1[[#This Row],[Low8]],Table1[[#This Row],[Low5]],Table1[[#This Row],[Low2]],Table1[[#This Row],[Low]])</f>
        <v>100</v>
      </c>
      <c r="CF612" s="19">
        <f>SUM(Table1[[#This Row],[Mid39]],Table1[[#This Row],[Mid36]],Table1[[#This Row],[Mid33]],Table1[[#This Row],[Mid30]],Table1[[#This Row],[Mid27]],Table1[[#This Row],[Mid24]],Table1[[#This Row],[Mid21]],Table1[[#This Row],[Mid18]],Table1[[#This Row],[Mid15]],Table1[[#This Row],[Mid12]],Table1[[#This Row],[Mid9]],Table1[[#This Row],[Mid6]],Table1[[#This Row],[Mid3]],Table1[[#This Row],[Mid]])</f>
        <v>200</v>
      </c>
      <c r="CG6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340</v>
      </c>
      <c r="CH612" t="s">
        <v>157</v>
      </c>
      <c r="CI612" t="s">
        <v>176</v>
      </c>
      <c r="CJ612" t="s">
        <v>158</v>
      </c>
      <c r="CK612"/>
      <c r="CL612" s="19">
        <f>IF(Table1[[#This Row],[Type]]="Petroleum",1,IF(ISERROR(Table1[[#This Row],[Well Density]]*Table1[[#This Row],[Single Well Discovery Area]]),"",IF(Table1[[#This Row],[Well Density]]*Table1[[#This Row],[Single Well Discovery Area]]&gt;1,1,Table1[[#This Row],[Well Density]]*Table1[[#This Row],[Single Well Discovery Area]])))</f>
        <v>1</v>
      </c>
      <c r="CM612" t="s">
        <v>135</v>
      </c>
      <c r="CN612" s="19">
        <f>Table1[[#This Row],[Mid]]</f>
        <v>0</v>
      </c>
      <c r="CO612" s="19">
        <f>Table1[[#This Row],[Mid3]]+Table1[[#This Row],[Mid6]]+Table1[[#This Row],[Mid9]]</f>
        <v>0</v>
      </c>
      <c r="CP612" s="19">
        <f>Table1[[#This Row],[Mid12]]+Table1[[#This Row],[Mid15]]+Table1[[#This Row],[Mid18]]+Table1[[#This Row],[Mid21]]+Table1[[#This Row],[Mid24]]</f>
        <v>200</v>
      </c>
      <c r="CQ612" s="19">
        <f>Table1[[#This Row],[Mid27]]+Table1[[#This Row],[Mid30]]+Table1[[#This Row],[Mid33]]+Table1[[#This Row],[Mid36]]+Table1[[#This Row],[Mid39]]</f>
        <v>0</v>
      </c>
      <c r="CR612" t="s">
        <v>471</v>
      </c>
      <c r="CS612" s="26" t="str">
        <f>IF(AND(Table1[[#This Row],[Low41]]=0, Table1[[#This Row],[High43]]=0),"N","Y")</f>
        <v>Y</v>
      </c>
    </row>
    <row r="613" spans="1:97" s="24" customFormat="1" ht="19.5" customHeight="1" x14ac:dyDescent="0.25">
      <c r="A613">
        <v>10611</v>
      </c>
      <c r="B613" t="s">
        <v>1897</v>
      </c>
      <c r="C613" t="s">
        <v>1987</v>
      </c>
      <c r="D613">
        <v>40.042777780000002</v>
      </c>
      <c r="E613">
        <v>-89.197500000000005</v>
      </c>
      <c r="F613" t="s">
        <v>2006</v>
      </c>
      <c r="G613" t="s">
        <v>1987</v>
      </c>
      <c r="H613" t="s">
        <v>189</v>
      </c>
      <c r="I613" t="s">
        <v>118</v>
      </c>
      <c r="J613" t="s">
        <v>119</v>
      </c>
      <c r="K613" t="s">
        <v>190</v>
      </c>
      <c r="L613" t="s">
        <v>18</v>
      </c>
      <c r="M613"/>
      <c r="N613" s="6" t="s">
        <v>521</v>
      </c>
      <c r="O613" t="s">
        <v>2007</v>
      </c>
      <c r="P613" t="s">
        <v>436</v>
      </c>
      <c r="Q613" t="s">
        <v>195</v>
      </c>
      <c r="R613" t="s">
        <v>2008</v>
      </c>
      <c r="S613">
        <v>2015</v>
      </c>
      <c r="T613" t="s">
        <v>153</v>
      </c>
      <c r="U613" t="s">
        <v>129</v>
      </c>
      <c r="V613"/>
      <c r="W613"/>
      <c r="X613"/>
      <c r="Y613"/>
      <c r="Z613"/>
      <c r="AA613"/>
      <c r="AB613"/>
      <c r="AC613"/>
      <c r="AD613">
        <v>0</v>
      </c>
      <c r="AE613"/>
      <c r="AF613">
        <v>200</v>
      </c>
      <c r="AG613">
        <v>0</v>
      </c>
      <c r="AH613" t="s">
        <v>525</v>
      </c>
      <c r="AI613">
        <v>2</v>
      </c>
      <c r="AJ613"/>
      <c r="AK613">
        <v>0</v>
      </c>
      <c r="AL613">
        <v>0</v>
      </c>
      <c r="AM613"/>
      <c r="AN613" t="s">
        <v>132</v>
      </c>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v>19680</v>
      </c>
      <c r="BZ613">
        <v>80750</v>
      </c>
      <c r="CA613">
        <v>213070</v>
      </c>
      <c r="CB613"/>
      <c r="CC613"/>
      <c r="CD613"/>
      <c r="CE613" s="19">
        <f>SUM(Table1[[#This Row],[Low38]],Table1[[#This Row],[Low35]],Table1[[#This Row],[Low32]],Table1[[#This Row],[Low29]],Table1[[#This Row],[Low26]],Table1[[#This Row],[Low23]],Table1[[#This Row],[Low20]],Table1[[#This Row],[Low17]],Table1[[#This Row],[Low14]],Table1[[#This Row],[Low11]],Table1[[#This Row],[Low8]],Table1[[#This Row],[Low5]],Table1[[#This Row],[Low2]],Table1[[#This Row],[Low]])</f>
        <v>19680</v>
      </c>
      <c r="CF613" s="19">
        <f>SUM(Table1[[#This Row],[Mid39]],Table1[[#This Row],[Mid36]],Table1[[#This Row],[Mid33]],Table1[[#This Row],[Mid30]],Table1[[#This Row],[Mid27]],Table1[[#This Row],[Mid24]],Table1[[#This Row],[Mid21]],Table1[[#This Row],[Mid18]],Table1[[#This Row],[Mid15]],Table1[[#This Row],[Mid12]],Table1[[#This Row],[Mid9]],Table1[[#This Row],[Mid6]],Table1[[#This Row],[Mid3]],Table1[[#This Row],[Mid]])</f>
        <v>80750</v>
      </c>
      <c r="CG6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213070</v>
      </c>
      <c r="CH613" t="s">
        <v>157</v>
      </c>
      <c r="CI613" t="s">
        <v>176</v>
      </c>
      <c r="CJ613" t="s">
        <v>158</v>
      </c>
      <c r="CK613"/>
      <c r="CL613" s="19">
        <f>IF(Table1[[#This Row],[Type]]="Petroleum",1,IF(ISERROR(Table1[[#This Row],[Well Density]]*Table1[[#This Row],[Single Well Discovery Area]]),"",IF(Table1[[#This Row],[Well Density]]*Table1[[#This Row],[Single Well Discovery Area]]&gt;1,1,Table1[[#This Row],[Well Density]]*Table1[[#This Row],[Single Well Discovery Area]])))</f>
        <v>0</v>
      </c>
      <c r="CM613" t="s">
        <v>158</v>
      </c>
      <c r="CN613" s="19">
        <f>Table1[[#This Row],[Mid]]</f>
        <v>0</v>
      </c>
      <c r="CO613" s="19">
        <f>Table1[[#This Row],[Mid3]]+Table1[[#This Row],[Mid6]]+Table1[[#This Row],[Mid9]]</f>
        <v>0</v>
      </c>
      <c r="CP613" s="19">
        <f>Table1[[#This Row],[Mid12]]+Table1[[#This Row],[Mid15]]+Table1[[#This Row],[Mid18]]+Table1[[#This Row],[Mid21]]+Table1[[#This Row],[Mid24]]</f>
        <v>0</v>
      </c>
      <c r="CQ613" s="19">
        <f>Table1[[#This Row],[Mid27]]+Table1[[#This Row],[Mid30]]+Table1[[#This Row],[Mid33]]+Table1[[#This Row],[Mid36]]+Table1[[#This Row],[Mid39]]</f>
        <v>80750</v>
      </c>
      <c r="CR613" t="s">
        <v>471</v>
      </c>
      <c r="CS613" s="26" t="str">
        <f>IF(AND(Table1[[#This Row],[Low41]]=0, Table1[[#This Row],[High43]]=0),"N","Y")</f>
        <v>Y</v>
      </c>
    </row>
    <row r="614" spans="1:97" s="24" customFormat="1" ht="19.5" customHeight="1" x14ac:dyDescent="0.25">
      <c r="A614">
        <v>10612</v>
      </c>
      <c r="B614" t="s">
        <v>1897</v>
      </c>
      <c r="C614" t="s">
        <v>2009</v>
      </c>
      <c r="D614">
        <v>39.894166669999997</v>
      </c>
      <c r="E614">
        <v>-86.281666670000007</v>
      </c>
      <c r="F614" t="s">
        <v>2010</v>
      </c>
      <c r="G614" t="s">
        <v>1987</v>
      </c>
      <c r="H614" t="s">
        <v>189</v>
      </c>
      <c r="I614" t="s">
        <v>201</v>
      </c>
      <c r="J614" t="s">
        <v>202</v>
      </c>
      <c r="K614" t="s">
        <v>203</v>
      </c>
      <c r="L614" t="s">
        <v>121</v>
      </c>
      <c r="M614"/>
      <c r="N614" s="6" t="s">
        <v>521</v>
      </c>
      <c r="O614" t="s">
        <v>1932</v>
      </c>
      <c r="P614" t="s">
        <v>436</v>
      </c>
      <c r="Q614" t="s">
        <v>1901</v>
      </c>
      <c r="R614" t="s">
        <v>1963</v>
      </c>
      <c r="S614">
        <v>2015</v>
      </c>
      <c r="T614" t="s">
        <v>153</v>
      </c>
      <c r="U614" t="s">
        <v>129</v>
      </c>
      <c r="V614"/>
      <c r="W614"/>
      <c r="X614"/>
      <c r="Y614"/>
      <c r="Z614"/>
      <c r="AA614"/>
      <c r="AB614"/>
      <c r="AC614"/>
      <c r="AD614">
        <v>0</v>
      </c>
      <c r="AE614"/>
      <c r="AF614">
        <v>200</v>
      </c>
      <c r="AG614">
        <v>0</v>
      </c>
      <c r="AH614" t="s">
        <v>1903</v>
      </c>
      <c r="AI614"/>
      <c r="AJ614"/>
      <c r="AK614">
        <v>0</v>
      </c>
      <c r="AL614">
        <v>0</v>
      </c>
      <c r="AM614"/>
      <c r="AN614" t="s">
        <v>132</v>
      </c>
      <c r="AO614"/>
      <c r="AP614"/>
      <c r="AQ614"/>
      <c r="AR614"/>
      <c r="AS614"/>
      <c r="AT614"/>
      <c r="AU614"/>
      <c r="AV614"/>
      <c r="AW614"/>
      <c r="AX614"/>
      <c r="AY614"/>
      <c r="AZ614"/>
      <c r="BA614"/>
      <c r="BB614"/>
      <c r="BC614"/>
      <c r="BD614"/>
      <c r="BE614"/>
      <c r="BF614"/>
      <c r="BG614"/>
      <c r="BH614"/>
      <c r="BI614"/>
      <c r="BJ614"/>
      <c r="BK614"/>
      <c r="BL614"/>
      <c r="BM614">
        <v>20</v>
      </c>
      <c r="BN614">
        <v>40</v>
      </c>
      <c r="BO614">
        <v>70</v>
      </c>
      <c r="BP614"/>
      <c r="BQ614"/>
      <c r="BR614"/>
      <c r="BS614"/>
      <c r="BT614"/>
      <c r="BU614"/>
      <c r="BV614"/>
      <c r="BW614"/>
      <c r="BX614"/>
      <c r="BY614"/>
      <c r="BZ614"/>
      <c r="CA614"/>
      <c r="CB614"/>
      <c r="CC614"/>
      <c r="CD614"/>
      <c r="CE614" s="19">
        <f>SUM(Table1[[#This Row],[Low38]],Table1[[#This Row],[Low35]],Table1[[#This Row],[Low32]],Table1[[#This Row],[Low29]],Table1[[#This Row],[Low26]],Table1[[#This Row],[Low23]],Table1[[#This Row],[Low20]],Table1[[#This Row],[Low17]],Table1[[#This Row],[Low14]],Table1[[#This Row],[Low11]],Table1[[#This Row],[Low8]],Table1[[#This Row],[Low5]],Table1[[#This Row],[Low2]],Table1[[#This Row],[Low]])</f>
        <v>20</v>
      </c>
      <c r="CF614" s="19">
        <f>SUM(Table1[[#This Row],[Mid39]],Table1[[#This Row],[Mid36]],Table1[[#This Row],[Mid33]],Table1[[#This Row],[Mid30]],Table1[[#This Row],[Mid27]],Table1[[#This Row],[Mid24]],Table1[[#This Row],[Mid21]],Table1[[#This Row],[Mid18]],Table1[[#This Row],[Mid15]],Table1[[#This Row],[Mid12]],Table1[[#This Row],[Mid9]],Table1[[#This Row],[Mid6]],Table1[[#This Row],[Mid3]],Table1[[#This Row],[Mid]])</f>
        <v>40</v>
      </c>
      <c r="CG6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70</v>
      </c>
      <c r="CH614" t="s">
        <v>157</v>
      </c>
      <c r="CI614" t="s">
        <v>176</v>
      </c>
      <c r="CJ614" t="s">
        <v>158</v>
      </c>
      <c r="CK614"/>
      <c r="CL614" s="19">
        <f>IF(Table1[[#This Row],[Type]]="Petroleum",1,IF(ISERROR(Table1[[#This Row],[Well Density]]*Table1[[#This Row],[Single Well Discovery Area]]),"",IF(Table1[[#This Row],[Well Density]]*Table1[[#This Row],[Single Well Discovery Area]]&gt;1,1,Table1[[#This Row],[Well Density]]*Table1[[#This Row],[Single Well Discovery Area]])))</f>
        <v>1</v>
      </c>
      <c r="CM614" t="s">
        <v>158</v>
      </c>
      <c r="CN614" s="19">
        <f>Table1[[#This Row],[Mid]]</f>
        <v>0</v>
      </c>
      <c r="CO614" s="19">
        <f>Table1[[#This Row],[Mid3]]+Table1[[#This Row],[Mid6]]+Table1[[#This Row],[Mid9]]</f>
        <v>0</v>
      </c>
      <c r="CP614" s="19">
        <f>Table1[[#This Row],[Mid12]]+Table1[[#This Row],[Mid15]]+Table1[[#This Row],[Mid18]]+Table1[[#This Row],[Mid21]]+Table1[[#This Row],[Mid24]]</f>
        <v>40</v>
      </c>
      <c r="CQ614" s="19">
        <f>Table1[[#This Row],[Mid27]]+Table1[[#This Row],[Mid30]]+Table1[[#This Row],[Mid33]]+Table1[[#This Row],[Mid36]]+Table1[[#This Row],[Mid39]]</f>
        <v>0</v>
      </c>
      <c r="CR614" t="s">
        <v>471</v>
      </c>
      <c r="CS614" s="26" t="str">
        <f>IF(AND(Table1[[#This Row],[Low41]]=0, Table1[[#This Row],[High43]]=0),"N","Y")</f>
        <v>Y</v>
      </c>
    </row>
    <row r="615" spans="1:97" s="24" customFormat="1" ht="19.5" customHeight="1" x14ac:dyDescent="0.25">
      <c r="A615">
        <v>10613</v>
      </c>
      <c r="B615" t="s">
        <v>1897</v>
      </c>
      <c r="C615" t="s">
        <v>2009</v>
      </c>
      <c r="D615">
        <v>39.895277780000001</v>
      </c>
      <c r="E615">
        <v>-86.282777780000004</v>
      </c>
      <c r="F615" t="s">
        <v>2011</v>
      </c>
      <c r="G615" t="s">
        <v>1987</v>
      </c>
      <c r="H615" t="s">
        <v>189</v>
      </c>
      <c r="I615" t="s">
        <v>118</v>
      </c>
      <c r="J615" t="s">
        <v>119</v>
      </c>
      <c r="K615" t="s">
        <v>190</v>
      </c>
      <c r="L615" t="s">
        <v>18</v>
      </c>
      <c r="M615"/>
      <c r="N615" s="6" t="s">
        <v>521</v>
      </c>
      <c r="O615" t="s">
        <v>2007</v>
      </c>
      <c r="P615" t="s">
        <v>436</v>
      </c>
      <c r="Q615" t="s">
        <v>195</v>
      </c>
      <c r="R615" t="s">
        <v>2008</v>
      </c>
      <c r="S615">
        <v>2015</v>
      </c>
      <c r="T615" t="s">
        <v>153</v>
      </c>
      <c r="U615" t="s">
        <v>129</v>
      </c>
      <c r="V615"/>
      <c r="W615"/>
      <c r="X615"/>
      <c r="Y615"/>
      <c r="Z615"/>
      <c r="AA615"/>
      <c r="AB615"/>
      <c r="AC615"/>
      <c r="AD615">
        <v>0</v>
      </c>
      <c r="AE615"/>
      <c r="AF615">
        <v>200</v>
      </c>
      <c r="AG615">
        <v>0</v>
      </c>
      <c r="AH615" t="s">
        <v>525</v>
      </c>
      <c r="AI615">
        <v>2</v>
      </c>
      <c r="AJ615"/>
      <c r="AK615">
        <v>0</v>
      </c>
      <c r="AL615">
        <v>0</v>
      </c>
      <c r="AM615"/>
      <c r="AN615" t="s">
        <v>132</v>
      </c>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v>38140</v>
      </c>
      <c r="BZ615">
        <v>66670</v>
      </c>
      <c r="CA615">
        <v>128520</v>
      </c>
      <c r="CB615"/>
      <c r="CC615"/>
      <c r="CD615"/>
      <c r="CE615" s="19">
        <f>SUM(Table1[[#This Row],[Low38]],Table1[[#This Row],[Low35]],Table1[[#This Row],[Low32]],Table1[[#This Row],[Low29]],Table1[[#This Row],[Low26]],Table1[[#This Row],[Low23]],Table1[[#This Row],[Low20]],Table1[[#This Row],[Low17]],Table1[[#This Row],[Low14]],Table1[[#This Row],[Low11]],Table1[[#This Row],[Low8]],Table1[[#This Row],[Low5]],Table1[[#This Row],[Low2]],Table1[[#This Row],[Low]])</f>
        <v>38140</v>
      </c>
      <c r="CF615" s="19">
        <f>SUM(Table1[[#This Row],[Mid39]],Table1[[#This Row],[Mid36]],Table1[[#This Row],[Mid33]],Table1[[#This Row],[Mid30]],Table1[[#This Row],[Mid27]],Table1[[#This Row],[Mid24]],Table1[[#This Row],[Mid21]],Table1[[#This Row],[Mid18]],Table1[[#This Row],[Mid15]],Table1[[#This Row],[Mid12]],Table1[[#This Row],[Mid9]],Table1[[#This Row],[Mid6]],Table1[[#This Row],[Mid3]],Table1[[#This Row],[Mid]])</f>
        <v>66670</v>
      </c>
      <c r="CG6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128520</v>
      </c>
      <c r="CH615" t="s">
        <v>157</v>
      </c>
      <c r="CI615" t="s">
        <v>176</v>
      </c>
      <c r="CJ615" t="s">
        <v>158</v>
      </c>
      <c r="CK615"/>
      <c r="CL615" s="19">
        <f>IF(Table1[[#This Row],[Type]]="Petroleum",1,IF(ISERROR(Table1[[#This Row],[Well Density]]*Table1[[#This Row],[Single Well Discovery Area]]),"",IF(Table1[[#This Row],[Well Density]]*Table1[[#This Row],[Single Well Discovery Area]]&gt;1,1,Table1[[#This Row],[Well Density]]*Table1[[#This Row],[Single Well Discovery Area]])))</f>
        <v>0</v>
      </c>
      <c r="CM615" t="s">
        <v>158</v>
      </c>
      <c r="CN615" s="19">
        <f>Table1[[#This Row],[Mid]]</f>
        <v>0</v>
      </c>
      <c r="CO615" s="19">
        <f>Table1[[#This Row],[Mid3]]+Table1[[#This Row],[Mid6]]+Table1[[#This Row],[Mid9]]</f>
        <v>0</v>
      </c>
      <c r="CP615" s="19">
        <f>Table1[[#This Row],[Mid12]]+Table1[[#This Row],[Mid15]]+Table1[[#This Row],[Mid18]]+Table1[[#This Row],[Mid21]]+Table1[[#This Row],[Mid24]]</f>
        <v>0</v>
      </c>
      <c r="CQ615" s="19">
        <f>Table1[[#This Row],[Mid27]]+Table1[[#This Row],[Mid30]]+Table1[[#This Row],[Mid33]]+Table1[[#This Row],[Mid36]]+Table1[[#This Row],[Mid39]]</f>
        <v>66670</v>
      </c>
      <c r="CR615" t="s">
        <v>471</v>
      </c>
      <c r="CS615" s="26" t="str">
        <f>IF(AND(Table1[[#This Row],[Low41]]=0, Table1[[#This Row],[High43]]=0),"N","Y")</f>
        <v>Y</v>
      </c>
    </row>
    <row r="616" spans="1:97" s="24" customFormat="1" ht="19.5" customHeight="1" x14ac:dyDescent="0.25">
      <c r="A616">
        <v>10614</v>
      </c>
      <c r="B616" t="s">
        <v>1897</v>
      </c>
      <c r="C616" t="s">
        <v>2012</v>
      </c>
      <c r="D616">
        <v>42.075000000000003</v>
      </c>
      <c r="E616">
        <v>-93.496111110000001</v>
      </c>
      <c r="F616" t="s">
        <v>2013</v>
      </c>
      <c r="G616" t="s">
        <v>2014</v>
      </c>
      <c r="H616" t="s">
        <v>189</v>
      </c>
      <c r="I616" t="s">
        <v>201</v>
      </c>
      <c r="J616" t="s">
        <v>202</v>
      </c>
      <c r="K616" t="s">
        <v>203</v>
      </c>
      <c r="L616" t="s">
        <v>121</v>
      </c>
      <c r="M616"/>
      <c r="N616" s="6" t="s">
        <v>521</v>
      </c>
      <c r="O616" t="s">
        <v>1932</v>
      </c>
      <c r="P616" t="s">
        <v>436</v>
      </c>
      <c r="Q616" t="s">
        <v>1901</v>
      </c>
      <c r="R616" t="s">
        <v>2015</v>
      </c>
      <c r="S616">
        <v>2015</v>
      </c>
      <c r="T616" t="s">
        <v>153</v>
      </c>
      <c r="U616" t="s">
        <v>129</v>
      </c>
      <c r="V616"/>
      <c r="W616"/>
      <c r="X616"/>
      <c r="Y616"/>
      <c r="Z616"/>
      <c r="AA616"/>
      <c r="AB616"/>
      <c r="AC616"/>
      <c r="AD616">
        <v>0</v>
      </c>
      <c r="AE616"/>
      <c r="AF616">
        <v>200</v>
      </c>
      <c r="AG616">
        <v>0</v>
      </c>
      <c r="AH616" t="s">
        <v>1903</v>
      </c>
      <c r="AI616"/>
      <c r="AJ616"/>
      <c r="AK616">
        <v>0</v>
      </c>
      <c r="AL616">
        <v>0</v>
      </c>
      <c r="AM616"/>
      <c r="AN616" t="s">
        <v>132</v>
      </c>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c r="CE61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1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16" t="s">
        <v>157</v>
      </c>
      <c r="CI616" t="s">
        <v>176</v>
      </c>
      <c r="CJ616" t="s">
        <v>158</v>
      </c>
      <c r="CK616"/>
      <c r="CL616" s="19">
        <f>IF(Table1[[#This Row],[Type]]="Petroleum",1,IF(ISERROR(Table1[[#This Row],[Well Density]]*Table1[[#This Row],[Single Well Discovery Area]]),"",IF(Table1[[#This Row],[Well Density]]*Table1[[#This Row],[Single Well Discovery Area]]&gt;1,1,Table1[[#This Row],[Well Density]]*Table1[[#This Row],[Single Well Discovery Area]])))</f>
        <v>1</v>
      </c>
      <c r="CM616" t="s">
        <v>158</v>
      </c>
      <c r="CN616" s="19">
        <f>Table1[[#This Row],[Mid]]</f>
        <v>0</v>
      </c>
      <c r="CO616" s="19">
        <f>Table1[[#This Row],[Mid3]]+Table1[[#This Row],[Mid6]]+Table1[[#This Row],[Mid9]]</f>
        <v>0</v>
      </c>
      <c r="CP616" s="19">
        <f>Table1[[#This Row],[Mid12]]+Table1[[#This Row],[Mid15]]+Table1[[#This Row],[Mid18]]+Table1[[#This Row],[Mid21]]+Table1[[#This Row],[Mid24]]</f>
        <v>0</v>
      </c>
      <c r="CQ616" s="19">
        <f>Table1[[#This Row],[Mid27]]+Table1[[#This Row],[Mid30]]+Table1[[#This Row],[Mid33]]+Table1[[#This Row],[Mid36]]+Table1[[#This Row],[Mid39]]</f>
        <v>0</v>
      </c>
      <c r="CR616" t="s">
        <v>471</v>
      </c>
      <c r="CS616" s="26" t="str">
        <f>IF(AND(Table1[[#This Row],[Low41]]=0, Table1[[#This Row],[High43]]=0),"N","Y")</f>
        <v>N</v>
      </c>
    </row>
    <row r="617" spans="1:97" s="24" customFormat="1" ht="19.5" customHeight="1" x14ac:dyDescent="0.25">
      <c r="A617">
        <v>10615</v>
      </c>
      <c r="B617" t="s">
        <v>1897</v>
      </c>
      <c r="C617" t="s">
        <v>2012</v>
      </c>
      <c r="D617">
        <v>42.076111109999999</v>
      </c>
      <c r="E617">
        <v>-93.497222219999998</v>
      </c>
      <c r="F617" t="s">
        <v>2016</v>
      </c>
      <c r="G617" t="s">
        <v>2014</v>
      </c>
      <c r="H617" t="s">
        <v>189</v>
      </c>
      <c r="I617" t="s">
        <v>118</v>
      </c>
      <c r="J617" t="s">
        <v>119</v>
      </c>
      <c r="K617" t="s">
        <v>190</v>
      </c>
      <c r="L617" t="s">
        <v>18</v>
      </c>
      <c r="M617"/>
      <c r="N617" s="6" t="s">
        <v>521</v>
      </c>
      <c r="O617" t="s">
        <v>1932</v>
      </c>
      <c r="P617" t="s">
        <v>436</v>
      </c>
      <c r="Q617" t="s">
        <v>195</v>
      </c>
      <c r="R617" t="s">
        <v>2015</v>
      </c>
      <c r="S617">
        <v>2015</v>
      </c>
      <c r="T617" t="s">
        <v>153</v>
      </c>
      <c r="U617" t="s">
        <v>129</v>
      </c>
      <c r="V617"/>
      <c r="W617"/>
      <c r="X617"/>
      <c r="Y617"/>
      <c r="Z617"/>
      <c r="AA617"/>
      <c r="AB617"/>
      <c r="AC617"/>
      <c r="AD617">
        <v>0</v>
      </c>
      <c r="AE617"/>
      <c r="AF617">
        <v>200</v>
      </c>
      <c r="AG617">
        <v>0</v>
      </c>
      <c r="AH617" t="s">
        <v>525</v>
      </c>
      <c r="AI617">
        <v>2</v>
      </c>
      <c r="AJ617"/>
      <c r="AK617">
        <v>0</v>
      </c>
      <c r="AL617">
        <v>0</v>
      </c>
      <c r="AM617"/>
      <c r="AN617" t="s">
        <v>132</v>
      </c>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1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17" t="s">
        <v>157</v>
      </c>
      <c r="CI617" t="s">
        <v>176</v>
      </c>
      <c r="CJ617" t="s">
        <v>158</v>
      </c>
      <c r="CK617"/>
      <c r="CL617" s="19">
        <f>IF(Table1[[#This Row],[Type]]="Petroleum",1,IF(ISERROR(Table1[[#This Row],[Well Density]]*Table1[[#This Row],[Single Well Discovery Area]]),"",IF(Table1[[#This Row],[Well Density]]*Table1[[#This Row],[Single Well Discovery Area]]&gt;1,1,Table1[[#This Row],[Well Density]]*Table1[[#This Row],[Single Well Discovery Area]])))</f>
        <v>0</v>
      </c>
      <c r="CM617" t="s">
        <v>158</v>
      </c>
      <c r="CN617" s="19">
        <f>Table1[[#This Row],[Mid]]</f>
        <v>0</v>
      </c>
      <c r="CO617" s="19">
        <f>Table1[[#This Row],[Mid3]]+Table1[[#This Row],[Mid6]]+Table1[[#This Row],[Mid9]]</f>
        <v>0</v>
      </c>
      <c r="CP617" s="19">
        <f>Table1[[#This Row],[Mid12]]+Table1[[#This Row],[Mid15]]+Table1[[#This Row],[Mid18]]+Table1[[#This Row],[Mid21]]+Table1[[#This Row],[Mid24]]</f>
        <v>0</v>
      </c>
      <c r="CQ617" s="19">
        <f>Table1[[#This Row],[Mid27]]+Table1[[#This Row],[Mid30]]+Table1[[#This Row],[Mid33]]+Table1[[#This Row],[Mid36]]+Table1[[#This Row],[Mid39]]</f>
        <v>0</v>
      </c>
      <c r="CR617" t="s">
        <v>471</v>
      </c>
      <c r="CS617" s="26" t="str">
        <f>IF(AND(Table1[[#This Row],[Low41]]=0, Table1[[#This Row],[High43]]=0),"N","Y")</f>
        <v>N</v>
      </c>
    </row>
    <row r="618" spans="1:97" s="24" customFormat="1" ht="19.5" customHeight="1" x14ac:dyDescent="0.25">
      <c r="A618">
        <v>10616</v>
      </c>
      <c r="B618" t="s">
        <v>1897</v>
      </c>
      <c r="C618" t="s">
        <v>2017</v>
      </c>
      <c r="D618">
        <v>37.317500000000003</v>
      </c>
      <c r="E618">
        <v>-97.440277780000002</v>
      </c>
      <c r="F618" t="s">
        <v>2018</v>
      </c>
      <c r="G618" t="s">
        <v>2019</v>
      </c>
      <c r="H618" t="s">
        <v>2020</v>
      </c>
      <c r="I618" t="s">
        <v>118</v>
      </c>
      <c r="J618" t="s">
        <v>119</v>
      </c>
      <c r="K618" t="s">
        <v>190</v>
      </c>
      <c r="L618" t="s">
        <v>121</v>
      </c>
      <c r="M618" t="s">
        <v>535</v>
      </c>
      <c r="N618" s="6" t="s">
        <v>1946</v>
      </c>
      <c r="O618" t="s">
        <v>2021</v>
      </c>
      <c r="P618" t="s">
        <v>2022</v>
      </c>
      <c r="Q618" t="s">
        <v>2023</v>
      </c>
      <c r="R618" t="s">
        <v>2024</v>
      </c>
      <c r="S618">
        <v>2015</v>
      </c>
      <c r="T618" t="s">
        <v>153</v>
      </c>
      <c r="U618" t="s">
        <v>129</v>
      </c>
      <c r="V618">
        <v>26</v>
      </c>
      <c r="W618">
        <v>1112</v>
      </c>
      <c r="X618"/>
      <c r="Y618"/>
      <c r="Z618"/>
      <c r="AA618"/>
      <c r="AB618"/>
      <c r="AC618"/>
      <c r="AD618">
        <v>3</v>
      </c>
      <c r="AE618">
        <v>0.115384615</v>
      </c>
      <c r="AF618">
        <v>200</v>
      </c>
      <c r="AG618">
        <v>0</v>
      </c>
      <c r="AH618" t="s">
        <v>130</v>
      </c>
      <c r="AI618"/>
      <c r="AJ618"/>
      <c r="AK618">
        <v>0</v>
      </c>
      <c r="AL618">
        <v>0</v>
      </c>
      <c r="AM618"/>
      <c r="AN618" t="s">
        <v>132</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0.04</v>
      </c>
      <c r="BO618">
        <v>0</v>
      </c>
      <c r="BP618">
        <v>0</v>
      </c>
      <c r="BQ618">
        <v>0</v>
      </c>
      <c r="BR618">
        <v>0</v>
      </c>
      <c r="BS618">
        <v>0</v>
      </c>
      <c r="BT618">
        <v>0</v>
      </c>
      <c r="BU618">
        <v>0</v>
      </c>
      <c r="BV618">
        <v>0</v>
      </c>
      <c r="BW618">
        <v>0</v>
      </c>
      <c r="BX618">
        <v>0</v>
      </c>
      <c r="BY618">
        <v>0</v>
      </c>
      <c r="BZ618">
        <v>0</v>
      </c>
      <c r="CA618">
        <v>0</v>
      </c>
      <c r="CB618">
        <v>0</v>
      </c>
      <c r="CC618">
        <v>0</v>
      </c>
      <c r="CD618">
        <v>0</v>
      </c>
      <c r="CE61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18" s="19">
        <f>SUM(Table1[[#This Row],[Mid39]],Table1[[#This Row],[Mid36]],Table1[[#This Row],[Mid33]],Table1[[#This Row],[Mid30]],Table1[[#This Row],[Mid27]],Table1[[#This Row],[Mid24]],Table1[[#This Row],[Mid21]],Table1[[#This Row],[Mid18]],Table1[[#This Row],[Mid15]],Table1[[#This Row],[Mid12]],Table1[[#This Row],[Mid9]],Table1[[#This Row],[Mid6]],Table1[[#This Row],[Mid3]],Table1[[#This Row],[Mid]])</f>
        <v>0.04</v>
      </c>
      <c r="CG61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18" t="s">
        <v>157</v>
      </c>
      <c r="CI618" t="s">
        <v>134</v>
      </c>
      <c r="CJ618" t="s">
        <v>135</v>
      </c>
      <c r="CK618"/>
      <c r="CL618" s="19">
        <f>IF(Table1[[#This Row],[Type]]="Petroleum",1,IF(ISERROR(Table1[[#This Row],[Well Density]]*Table1[[#This Row],[Single Well Discovery Area]]),"",IF(Table1[[#This Row],[Well Density]]*Table1[[#This Row],[Single Well Discovery Area]]&gt;1,1,Table1[[#This Row],[Well Density]]*Table1[[#This Row],[Single Well Discovery Area]])))</f>
        <v>1</v>
      </c>
      <c r="CM618" t="s">
        <v>158</v>
      </c>
      <c r="CN618" s="19">
        <f>Table1[[#This Row],[Mid]]</f>
        <v>0</v>
      </c>
      <c r="CO618" s="19">
        <f>Table1[[#This Row],[Mid3]]+Table1[[#This Row],[Mid6]]+Table1[[#This Row],[Mid9]]</f>
        <v>0</v>
      </c>
      <c r="CP618" s="19">
        <f>Table1[[#This Row],[Mid12]]+Table1[[#This Row],[Mid15]]+Table1[[#This Row],[Mid18]]+Table1[[#This Row],[Mid21]]+Table1[[#This Row],[Mid24]]</f>
        <v>0.04</v>
      </c>
      <c r="CQ618" s="19">
        <f>Table1[[#This Row],[Mid27]]+Table1[[#This Row],[Mid30]]+Table1[[#This Row],[Mid33]]+Table1[[#This Row],[Mid36]]+Table1[[#This Row],[Mid39]]</f>
        <v>0</v>
      </c>
      <c r="CR618" t="s">
        <v>471</v>
      </c>
      <c r="CS618" s="26" t="str">
        <f>IF(AND(Table1[[#This Row],[Low41]]=0, Table1[[#This Row],[High43]]=0),"N","Y")</f>
        <v>N</v>
      </c>
    </row>
    <row r="619" spans="1:97" s="24" customFormat="1" ht="19.5" customHeight="1" x14ac:dyDescent="0.25">
      <c r="A619">
        <v>10617</v>
      </c>
      <c r="B619" t="s">
        <v>1897</v>
      </c>
      <c r="C619" t="s">
        <v>2017</v>
      </c>
      <c r="D619">
        <v>38.493611110000003</v>
      </c>
      <c r="E619">
        <v>-98.38027778</v>
      </c>
      <c r="F619" t="s">
        <v>2025</v>
      </c>
      <c r="G619" t="s">
        <v>2019</v>
      </c>
      <c r="H619" t="s">
        <v>189</v>
      </c>
      <c r="I619" t="s">
        <v>201</v>
      </c>
      <c r="J619" t="s">
        <v>202</v>
      </c>
      <c r="K619" t="s">
        <v>203</v>
      </c>
      <c r="L619" t="s">
        <v>121</v>
      </c>
      <c r="M619"/>
      <c r="N619" s="6" t="s">
        <v>521</v>
      </c>
      <c r="O619" t="s">
        <v>1932</v>
      </c>
      <c r="P619" t="s">
        <v>436</v>
      </c>
      <c r="Q619" t="s">
        <v>1901</v>
      </c>
      <c r="R619" t="s">
        <v>1963</v>
      </c>
      <c r="S619">
        <v>2015</v>
      </c>
      <c r="T619" t="s">
        <v>153</v>
      </c>
      <c r="U619" t="s">
        <v>129</v>
      </c>
      <c r="V619"/>
      <c r="W619"/>
      <c r="X619"/>
      <c r="Y619"/>
      <c r="Z619"/>
      <c r="AA619"/>
      <c r="AB619"/>
      <c r="AC619"/>
      <c r="AD619">
        <v>0</v>
      </c>
      <c r="AE619"/>
      <c r="AF619">
        <v>200</v>
      </c>
      <c r="AG619">
        <v>0</v>
      </c>
      <c r="AH619" t="s">
        <v>1903</v>
      </c>
      <c r="AI619"/>
      <c r="AJ619"/>
      <c r="AK619">
        <v>0</v>
      </c>
      <c r="AL619">
        <v>0</v>
      </c>
      <c r="AM619"/>
      <c r="AN619" t="s">
        <v>132</v>
      </c>
      <c r="AO619"/>
      <c r="AP619"/>
      <c r="AQ619"/>
      <c r="AR619"/>
      <c r="AS619"/>
      <c r="AT619"/>
      <c r="AU619"/>
      <c r="AV619"/>
      <c r="AW619"/>
      <c r="AX619"/>
      <c r="AY619"/>
      <c r="AZ619"/>
      <c r="BA619"/>
      <c r="BB619"/>
      <c r="BC619"/>
      <c r="BD619"/>
      <c r="BE619"/>
      <c r="BF619"/>
      <c r="BG619"/>
      <c r="BH619"/>
      <c r="BI619"/>
      <c r="BJ619"/>
      <c r="BK619"/>
      <c r="BL619"/>
      <c r="BM619">
        <v>1250</v>
      </c>
      <c r="BN619">
        <v>1250</v>
      </c>
      <c r="BO619">
        <v>1250</v>
      </c>
      <c r="BP619"/>
      <c r="BQ619"/>
      <c r="BR619"/>
      <c r="BS619"/>
      <c r="BT619"/>
      <c r="BU619"/>
      <c r="BV619"/>
      <c r="BW619"/>
      <c r="BX619"/>
      <c r="BY619"/>
      <c r="BZ619"/>
      <c r="CA619"/>
      <c r="CB619"/>
      <c r="CC619"/>
      <c r="CD619"/>
      <c r="CE619" s="19">
        <f>SUM(Table1[[#This Row],[Low38]],Table1[[#This Row],[Low35]],Table1[[#This Row],[Low32]],Table1[[#This Row],[Low29]],Table1[[#This Row],[Low26]],Table1[[#This Row],[Low23]],Table1[[#This Row],[Low20]],Table1[[#This Row],[Low17]],Table1[[#This Row],[Low14]],Table1[[#This Row],[Low11]],Table1[[#This Row],[Low8]],Table1[[#This Row],[Low5]],Table1[[#This Row],[Low2]],Table1[[#This Row],[Low]])</f>
        <v>1250</v>
      </c>
      <c r="CF619" s="19">
        <f>SUM(Table1[[#This Row],[Mid39]],Table1[[#This Row],[Mid36]],Table1[[#This Row],[Mid33]],Table1[[#This Row],[Mid30]],Table1[[#This Row],[Mid27]],Table1[[#This Row],[Mid24]],Table1[[#This Row],[Mid21]],Table1[[#This Row],[Mid18]],Table1[[#This Row],[Mid15]],Table1[[#This Row],[Mid12]],Table1[[#This Row],[Mid9]],Table1[[#This Row],[Mid6]],Table1[[#This Row],[Mid3]],Table1[[#This Row],[Mid]])</f>
        <v>1250</v>
      </c>
      <c r="CG6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1250</v>
      </c>
      <c r="CH619" t="s">
        <v>157</v>
      </c>
      <c r="CI619" t="s">
        <v>176</v>
      </c>
      <c r="CJ619" t="s">
        <v>158</v>
      </c>
      <c r="CK619"/>
      <c r="CL619" s="19">
        <f>IF(Table1[[#This Row],[Type]]="Petroleum",1,IF(ISERROR(Table1[[#This Row],[Well Density]]*Table1[[#This Row],[Single Well Discovery Area]]),"",IF(Table1[[#This Row],[Well Density]]*Table1[[#This Row],[Single Well Discovery Area]]&gt;1,1,Table1[[#This Row],[Well Density]]*Table1[[#This Row],[Single Well Discovery Area]])))</f>
        <v>1</v>
      </c>
      <c r="CM619" t="s">
        <v>158</v>
      </c>
      <c r="CN619" s="19">
        <f>Table1[[#This Row],[Mid]]</f>
        <v>0</v>
      </c>
      <c r="CO619" s="19">
        <f>Table1[[#This Row],[Mid3]]+Table1[[#This Row],[Mid6]]+Table1[[#This Row],[Mid9]]</f>
        <v>0</v>
      </c>
      <c r="CP619" s="19">
        <f>Table1[[#This Row],[Mid12]]+Table1[[#This Row],[Mid15]]+Table1[[#This Row],[Mid18]]+Table1[[#This Row],[Mid21]]+Table1[[#This Row],[Mid24]]</f>
        <v>1250</v>
      </c>
      <c r="CQ619" s="19">
        <f>Table1[[#This Row],[Mid27]]+Table1[[#This Row],[Mid30]]+Table1[[#This Row],[Mid33]]+Table1[[#This Row],[Mid36]]+Table1[[#This Row],[Mid39]]</f>
        <v>0</v>
      </c>
      <c r="CR619" t="s">
        <v>471</v>
      </c>
      <c r="CS619" s="26" t="str">
        <f>IF(AND(Table1[[#This Row],[Low41]]=0, Table1[[#This Row],[High43]]=0),"N","Y")</f>
        <v>Y</v>
      </c>
    </row>
    <row r="620" spans="1:97" ht="19.5" customHeight="1" x14ac:dyDescent="0.25">
      <c r="A620">
        <v>10618</v>
      </c>
      <c r="B620" t="s">
        <v>1897</v>
      </c>
      <c r="C620" t="s">
        <v>2017</v>
      </c>
      <c r="D620">
        <v>38.49472222</v>
      </c>
      <c r="E620">
        <v>-98.381388889999997</v>
      </c>
      <c r="F620" t="s">
        <v>2026</v>
      </c>
      <c r="G620" t="s">
        <v>2019</v>
      </c>
      <c r="H620" t="s">
        <v>189</v>
      </c>
      <c r="I620" t="s">
        <v>118</v>
      </c>
      <c r="J620" t="s">
        <v>119</v>
      </c>
      <c r="K620" t="s">
        <v>190</v>
      </c>
      <c r="L620" t="s">
        <v>18</v>
      </c>
      <c r="N620" s="6" t="s">
        <v>521</v>
      </c>
      <c r="O620" t="s">
        <v>1932</v>
      </c>
      <c r="P620" t="s">
        <v>436</v>
      </c>
      <c r="Q620" t="s">
        <v>195</v>
      </c>
      <c r="R620" t="s">
        <v>1942</v>
      </c>
      <c r="S620">
        <v>2015</v>
      </c>
      <c r="T620" t="s">
        <v>153</v>
      </c>
      <c r="U620" t="s">
        <v>129</v>
      </c>
      <c r="V620"/>
      <c r="AD620">
        <v>0</v>
      </c>
      <c r="AF620">
        <v>200</v>
      </c>
      <c r="AG620">
        <v>0</v>
      </c>
      <c r="AH620" t="s">
        <v>525</v>
      </c>
      <c r="AI620">
        <v>2</v>
      </c>
      <c r="AK620">
        <v>0</v>
      </c>
      <c r="AL620">
        <v>0</v>
      </c>
      <c r="AN620" t="s">
        <v>132</v>
      </c>
      <c r="BY620">
        <v>9630</v>
      </c>
      <c r="BZ620">
        <v>34400</v>
      </c>
      <c r="CA620">
        <v>85080</v>
      </c>
      <c r="CE620" s="19">
        <f>SUM(Table1[[#This Row],[Low38]],Table1[[#This Row],[Low35]],Table1[[#This Row],[Low32]],Table1[[#This Row],[Low29]],Table1[[#This Row],[Low26]],Table1[[#This Row],[Low23]],Table1[[#This Row],[Low20]],Table1[[#This Row],[Low17]],Table1[[#This Row],[Low14]],Table1[[#This Row],[Low11]],Table1[[#This Row],[Low8]],Table1[[#This Row],[Low5]],Table1[[#This Row],[Low2]],Table1[[#This Row],[Low]])</f>
        <v>9630</v>
      </c>
      <c r="CF620" s="19">
        <f>SUM(Table1[[#This Row],[Mid39]],Table1[[#This Row],[Mid36]],Table1[[#This Row],[Mid33]],Table1[[#This Row],[Mid30]],Table1[[#This Row],[Mid27]],Table1[[#This Row],[Mid24]],Table1[[#This Row],[Mid21]],Table1[[#This Row],[Mid18]],Table1[[#This Row],[Mid15]],Table1[[#This Row],[Mid12]],Table1[[#This Row],[Mid9]],Table1[[#This Row],[Mid6]],Table1[[#This Row],[Mid3]],Table1[[#This Row],[Mid]])</f>
        <v>34400</v>
      </c>
      <c r="CG6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85080</v>
      </c>
      <c r="CH620" t="s">
        <v>157</v>
      </c>
      <c r="CI620" t="s">
        <v>176</v>
      </c>
      <c r="CJ620" t="s">
        <v>158</v>
      </c>
      <c r="CL620" s="19">
        <f>IF(Table1[[#This Row],[Type]]="Petroleum",1,IF(ISERROR(Table1[[#This Row],[Well Density]]*Table1[[#This Row],[Single Well Discovery Area]]),"",IF(Table1[[#This Row],[Well Density]]*Table1[[#This Row],[Single Well Discovery Area]]&gt;1,1,Table1[[#This Row],[Well Density]]*Table1[[#This Row],[Single Well Discovery Area]])))</f>
        <v>0</v>
      </c>
      <c r="CM620" t="s">
        <v>158</v>
      </c>
      <c r="CN620" s="19">
        <f>Table1[[#This Row],[Mid]]</f>
        <v>0</v>
      </c>
      <c r="CO620" s="19">
        <f>Table1[[#This Row],[Mid3]]+Table1[[#This Row],[Mid6]]+Table1[[#This Row],[Mid9]]</f>
        <v>0</v>
      </c>
      <c r="CP620" s="19">
        <f>Table1[[#This Row],[Mid12]]+Table1[[#This Row],[Mid15]]+Table1[[#This Row],[Mid18]]+Table1[[#This Row],[Mid21]]+Table1[[#This Row],[Mid24]]</f>
        <v>0</v>
      </c>
      <c r="CQ620" s="19">
        <f>Table1[[#This Row],[Mid27]]+Table1[[#This Row],[Mid30]]+Table1[[#This Row],[Mid33]]+Table1[[#This Row],[Mid36]]+Table1[[#This Row],[Mid39]]</f>
        <v>34400</v>
      </c>
      <c r="CR620" t="s">
        <v>471</v>
      </c>
      <c r="CS620" s="19" t="str">
        <f>IF(AND(Table1[[#This Row],[Low41]]=0, Table1[[#This Row],[High43]]=0),"N","Y")</f>
        <v>Y</v>
      </c>
    </row>
    <row r="621" spans="1:97" ht="19.5" customHeight="1" x14ac:dyDescent="0.25">
      <c r="A621">
        <v>10619</v>
      </c>
      <c r="B621" t="s">
        <v>1897</v>
      </c>
      <c r="C621" t="s">
        <v>2027</v>
      </c>
      <c r="D621">
        <v>37.534722219999999</v>
      </c>
      <c r="E621">
        <v>-85.302222220000004</v>
      </c>
      <c r="F621" t="s">
        <v>2028</v>
      </c>
      <c r="H621" t="s">
        <v>189</v>
      </c>
      <c r="I621" t="s">
        <v>201</v>
      </c>
      <c r="J621" t="s">
        <v>202</v>
      </c>
      <c r="K621" t="s">
        <v>203</v>
      </c>
      <c r="L621" t="s">
        <v>121</v>
      </c>
      <c r="N621" s="6" t="s">
        <v>521</v>
      </c>
      <c r="O621" t="s">
        <v>1932</v>
      </c>
      <c r="P621" t="s">
        <v>436</v>
      </c>
      <c r="Q621" t="s">
        <v>1901</v>
      </c>
      <c r="R621" t="s">
        <v>1933</v>
      </c>
      <c r="S621">
        <v>2015</v>
      </c>
      <c r="T621" t="s">
        <v>153</v>
      </c>
      <c r="U621" t="s">
        <v>129</v>
      </c>
      <c r="V621"/>
      <c r="AD621">
        <v>0</v>
      </c>
      <c r="AF621">
        <v>200</v>
      </c>
      <c r="AG621">
        <v>0</v>
      </c>
      <c r="AH621" t="s">
        <v>1903</v>
      </c>
      <c r="AK621">
        <v>0</v>
      </c>
      <c r="AL621">
        <v>0</v>
      </c>
      <c r="AN621" t="s">
        <v>132</v>
      </c>
      <c r="BM621">
        <v>1050</v>
      </c>
      <c r="BN621">
        <v>1750</v>
      </c>
      <c r="BO621">
        <v>3210</v>
      </c>
      <c r="CE621" s="19">
        <f>SUM(Table1[[#This Row],[Low38]],Table1[[#This Row],[Low35]],Table1[[#This Row],[Low32]],Table1[[#This Row],[Low29]],Table1[[#This Row],[Low26]],Table1[[#This Row],[Low23]],Table1[[#This Row],[Low20]],Table1[[#This Row],[Low17]],Table1[[#This Row],[Low14]],Table1[[#This Row],[Low11]],Table1[[#This Row],[Low8]],Table1[[#This Row],[Low5]],Table1[[#This Row],[Low2]],Table1[[#This Row],[Low]])</f>
        <v>1050</v>
      </c>
      <c r="CF621" s="19">
        <f>SUM(Table1[[#This Row],[Mid39]],Table1[[#This Row],[Mid36]],Table1[[#This Row],[Mid33]],Table1[[#This Row],[Mid30]],Table1[[#This Row],[Mid27]],Table1[[#This Row],[Mid24]],Table1[[#This Row],[Mid21]],Table1[[#This Row],[Mid18]],Table1[[#This Row],[Mid15]],Table1[[#This Row],[Mid12]],Table1[[#This Row],[Mid9]],Table1[[#This Row],[Mid6]],Table1[[#This Row],[Mid3]],Table1[[#This Row],[Mid]])</f>
        <v>1750</v>
      </c>
      <c r="CG6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3210</v>
      </c>
      <c r="CH621" t="s">
        <v>157</v>
      </c>
      <c r="CI621" t="s">
        <v>176</v>
      </c>
      <c r="CJ621" t="s">
        <v>158</v>
      </c>
      <c r="CL621" s="19">
        <f>IF(Table1[[#This Row],[Type]]="Petroleum",1,IF(ISERROR(Table1[[#This Row],[Well Density]]*Table1[[#This Row],[Single Well Discovery Area]]),"",IF(Table1[[#This Row],[Well Density]]*Table1[[#This Row],[Single Well Discovery Area]]&gt;1,1,Table1[[#This Row],[Well Density]]*Table1[[#This Row],[Single Well Discovery Area]])))</f>
        <v>1</v>
      </c>
      <c r="CM621" t="s">
        <v>135</v>
      </c>
      <c r="CN621" s="19">
        <f>Table1[[#This Row],[Mid]]</f>
        <v>0</v>
      </c>
      <c r="CO621" s="19">
        <f>Table1[[#This Row],[Mid3]]+Table1[[#This Row],[Mid6]]+Table1[[#This Row],[Mid9]]</f>
        <v>0</v>
      </c>
      <c r="CP621" s="19">
        <f>Table1[[#This Row],[Mid12]]+Table1[[#This Row],[Mid15]]+Table1[[#This Row],[Mid18]]+Table1[[#This Row],[Mid21]]+Table1[[#This Row],[Mid24]]</f>
        <v>1750</v>
      </c>
      <c r="CQ621" s="19">
        <f>Table1[[#This Row],[Mid27]]+Table1[[#This Row],[Mid30]]+Table1[[#This Row],[Mid33]]+Table1[[#This Row],[Mid36]]+Table1[[#This Row],[Mid39]]</f>
        <v>0</v>
      </c>
      <c r="CR621" t="s">
        <v>471</v>
      </c>
      <c r="CS621" s="19" t="str">
        <f>IF(AND(Table1[[#This Row],[Low41]]=0, Table1[[#This Row],[High43]]=0),"N","Y")</f>
        <v>Y</v>
      </c>
    </row>
    <row r="622" spans="1:97" ht="19.5" customHeight="1" x14ac:dyDescent="0.25">
      <c r="A622">
        <v>10620</v>
      </c>
      <c r="B622" t="s">
        <v>1897</v>
      </c>
      <c r="C622" t="s">
        <v>2027</v>
      </c>
      <c r="D622">
        <v>37.535833330000003</v>
      </c>
      <c r="E622">
        <v>-85.303333330000001</v>
      </c>
      <c r="F622" t="s">
        <v>2029</v>
      </c>
      <c r="H622" t="s">
        <v>189</v>
      </c>
      <c r="I622" t="s">
        <v>118</v>
      </c>
      <c r="J622" t="s">
        <v>119</v>
      </c>
      <c r="K622" t="s">
        <v>190</v>
      </c>
      <c r="L622" t="s">
        <v>18</v>
      </c>
      <c r="N622" s="6" t="s">
        <v>521</v>
      </c>
      <c r="O622" t="s">
        <v>1932</v>
      </c>
      <c r="P622" t="s">
        <v>436</v>
      </c>
      <c r="Q622" t="s">
        <v>195</v>
      </c>
      <c r="R622" t="s">
        <v>2008</v>
      </c>
      <c r="S622">
        <v>2015</v>
      </c>
      <c r="T622" t="s">
        <v>153</v>
      </c>
      <c r="U622" t="s">
        <v>129</v>
      </c>
      <c r="V622"/>
      <c r="AD622">
        <v>0</v>
      </c>
      <c r="AF622">
        <v>200</v>
      </c>
      <c r="AG622">
        <v>0</v>
      </c>
      <c r="AH622" t="s">
        <v>525</v>
      </c>
      <c r="AI622">
        <v>2</v>
      </c>
      <c r="AK622">
        <v>0</v>
      </c>
      <c r="AL622">
        <v>0</v>
      </c>
      <c r="AN622" t="s">
        <v>132</v>
      </c>
      <c r="BY622">
        <v>142720</v>
      </c>
      <c r="BZ622">
        <v>46430</v>
      </c>
      <c r="CA622">
        <v>110200</v>
      </c>
      <c r="CE622" s="19">
        <f>SUM(Table1[[#This Row],[Low38]],Table1[[#This Row],[Low35]],Table1[[#This Row],[Low32]],Table1[[#This Row],[Low29]],Table1[[#This Row],[Low26]],Table1[[#This Row],[Low23]],Table1[[#This Row],[Low20]],Table1[[#This Row],[Low17]],Table1[[#This Row],[Low14]],Table1[[#This Row],[Low11]],Table1[[#This Row],[Low8]],Table1[[#This Row],[Low5]],Table1[[#This Row],[Low2]],Table1[[#This Row],[Low]])</f>
        <v>142720</v>
      </c>
      <c r="CF622" s="19">
        <f>SUM(Table1[[#This Row],[Mid39]],Table1[[#This Row],[Mid36]],Table1[[#This Row],[Mid33]],Table1[[#This Row],[Mid30]],Table1[[#This Row],[Mid27]],Table1[[#This Row],[Mid24]],Table1[[#This Row],[Mid21]],Table1[[#This Row],[Mid18]],Table1[[#This Row],[Mid15]],Table1[[#This Row],[Mid12]],Table1[[#This Row],[Mid9]],Table1[[#This Row],[Mid6]],Table1[[#This Row],[Mid3]],Table1[[#This Row],[Mid]])</f>
        <v>46430</v>
      </c>
      <c r="CG6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110200</v>
      </c>
      <c r="CH622" t="s">
        <v>157</v>
      </c>
      <c r="CI622" t="s">
        <v>176</v>
      </c>
      <c r="CJ622" t="s">
        <v>158</v>
      </c>
      <c r="CL622" s="19">
        <f>IF(Table1[[#This Row],[Type]]="Petroleum",1,IF(ISERROR(Table1[[#This Row],[Well Density]]*Table1[[#This Row],[Single Well Discovery Area]]),"",IF(Table1[[#This Row],[Well Density]]*Table1[[#This Row],[Single Well Discovery Area]]&gt;1,1,Table1[[#This Row],[Well Density]]*Table1[[#This Row],[Single Well Discovery Area]])))</f>
        <v>0</v>
      </c>
      <c r="CM622" t="s">
        <v>158</v>
      </c>
      <c r="CN622" s="19">
        <f>Table1[[#This Row],[Mid]]</f>
        <v>0</v>
      </c>
      <c r="CO622" s="19">
        <f>Table1[[#This Row],[Mid3]]+Table1[[#This Row],[Mid6]]+Table1[[#This Row],[Mid9]]</f>
        <v>0</v>
      </c>
      <c r="CP622" s="19">
        <f>Table1[[#This Row],[Mid12]]+Table1[[#This Row],[Mid15]]+Table1[[#This Row],[Mid18]]+Table1[[#This Row],[Mid21]]+Table1[[#This Row],[Mid24]]</f>
        <v>0</v>
      </c>
      <c r="CQ622" s="19">
        <f>Table1[[#This Row],[Mid27]]+Table1[[#This Row],[Mid30]]+Table1[[#This Row],[Mid33]]+Table1[[#This Row],[Mid36]]+Table1[[#This Row],[Mid39]]</f>
        <v>46430</v>
      </c>
      <c r="CR622" t="s">
        <v>471</v>
      </c>
      <c r="CS622" s="19" t="str">
        <f>IF(AND(Table1[[#This Row],[Low41]]=0, Table1[[#This Row],[High43]]=0),"N","Y")</f>
        <v>Y</v>
      </c>
    </row>
    <row r="623" spans="1:97" ht="19.5" customHeight="1" x14ac:dyDescent="0.25">
      <c r="A623">
        <v>10621</v>
      </c>
      <c r="B623" t="s">
        <v>1897</v>
      </c>
      <c r="C623" t="s">
        <v>2030</v>
      </c>
      <c r="D623">
        <v>31.06888889</v>
      </c>
      <c r="E623">
        <v>-91.996666669999996</v>
      </c>
      <c r="F623" t="s">
        <v>2031</v>
      </c>
      <c r="H623" t="s">
        <v>189</v>
      </c>
      <c r="I623" t="s">
        <v>201</v>
      </c>
      <c r="J623" t="s">
        <v>202</v>
      </c>
      <c r="K623" t="s">
        <v>203</v>
      </c>
      <c r="L623" t="s">
        <v>121</v>
      </c>
      <c r="N623" s="6" t="s">
        <v>521</v>
      </c>
      <c r="O623" t="s">
        <v>1935</v>
      </c>
      <c r="P623" t="s">
        <v>436</v>
      </c>
      <c r="Q623" t="s">
        <v>1901</v>
      </c>
      <c r="R623" t="s">
        <v>1963</v>
      </c>
      <c r="S623">
        <v>2015</v>
      </c>
      <c r="T623" t="s">
        <v>153</v>
      </c>
      <c r="U623" t="s">
        <v>129</v>
      </c>
      <c r="V623"/>
      <c r="AD623">
        <v>0</v>
      </c>
      <c r="AF623">
        <v>200</v>
      </c>
      <c r="AG623">
        <v>0</v>
      </c>
      <c r="AH623" t="s">
        <v>1903</v>
      </c>
      <c r="AK623">
        <v>0</v>
      </c>
      <c r="AL623">
        <v>0</v>
      </c>
      <c r="AN623" t="s">
        <v>132</v>
      </c>
      <c r="BM623">
        <v>3120</v>
      </c>
      <c r="BN623">
        <v>5700</v>
      </c>
      <c r="BO623">
        <v>8290</v>
      </c>
      <c r="CE623" s="19">
        <f>SUM(Table1[[#This Row],[Low38]],Table1[[#This Row],[Low35]],Table1[[#This Row],[Low32]],Table1[[#This Row],[Low29]],Table1[[#This Row],[Low26]],Table1[[#This Row],[Low23]],Table1[[#This Row],[Low20]],Table1[[#This Row],[Low17]],Table1[[#This Row],[Low14]],Table1[[#This Row],[Low11]],Table1[[#This Row],[Low8]],Table1[[#This Row],[Low5]],Table1[[#This Row],[Low2]],Table1[[#This Row],[Low]])</f>
        <v>3120</v>
      </c>
      <c r="CF623" s="19">
        <f>SUM(Table1[[#This Row],[Mid39]],Table1[[#This Row],[Mid36]],Table1[[#This Row],[Mid33]],Table1[[#This Row],[Mid30]],Table1[[#This Row],[Mid27]],Table1[[#This Row],[Mid24]],Table1[[#This Row],[Mid21]],Table1[[#This Row],[Mid18]],Table1[[#This Row],[Mid15]],Table1[[#This Row],[Mid12]],Table1[[#This Row],[Mid9]],Table1[[#This Row],[Mid6]],Table1[[#This Row],[Mid3]],Table1[[#This Row],[Mid]])</f>
        <v>5700</v>
      </c>
      <c r="CG6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8290</v>
      </c>
      <c r="CH623" t="s">
        <v>157</v>
      </c>
      <c r="CI623" t="s">
        <v>176</v>
      </c>
      <c r="CJ623" t="s">
        <v>158</v>
      </c>
      <c r="CL623" s="19">
        <f>IF(Table1[[#This Row],[Type]]="Petroleum",1,IF(ISERROR(Table1[[#This Row],[Well Density]]*Table1[[#This Row],[Single Well Discovery Area]]),"",IF(Table1[[#This Row],[Well Density]]*Table1[[#This Row],[Single Well Discovery Area]]&gt;1,1,Table1[[#This Row],[Well Density]]*Table1[[#This Row],[Single Well Discovery Area]])))</f>
        <v>1</v>
      </c>
      <c r="CM623" t="s">
        <v>158</v>
      </c>
      <c r="CN623" s="19">
        <f>Table1[[#This Row],[Mid]]</f>
        <v>0</v>
      </c>
      <c r="CO623" s="19">
        <f>Table1[[#This Row],[Mid3]]+Table1[[#This Row],[Mid6]]+Table1[[#This Row],[Mid9]]</f>
        <v>0</v>
      </c>
      <c r="CP623" s="19">
        <f>Table1[[#This Row],[Mid12]]+Table1[[#This Row],[Mid15]]+Table1[[#This Row],[Mid18]]+Table1[[#This Row],[Mid21]]+Table1[[#This Row],[Mid24]]</f>
        <v>5700</v>
      </c>
      <c r="CQ623" s="19">
        <f>Table1[[#This Row],[Mid27]]+Table1[[#This Row],[Mid30]]+Table1[[#This Row],[Mid33]]+Table1[[#This Row],[Mid36]]+Table1[[#This Row],[Mid39]]</f>
        <v>0</v>
      </c>
      <c r="CR623" t="s">
        <v>471</v>
      </c>
      <c r="CS623" s="19" t="str">
        <f>IF(AND(Table1[[#This Row],[Low41]]=0, Table1[[#This Row],[High43]]=0),"N","Y")</f>
        <v>Y</v>
      </c>
    </row>
    <row r="624" spans="1:97" ht="19.5" customHeight="1" x14ac:dyDescent="0.25">
      <c r="A624">
        <v>10622</v>
      </c>
      <c r="B624" t="s">
        <v>1897</v>
      </c>
      <c r="C624" t="s">
        <v>2030</v>
      </c>
      <c r="D624">
        <v>31.07</v>
      </c>
      <c r="E624">
        <v>-91.997777780000007</v>
      </c>
      <c r="F624" t="s">
        <v>2032</v>
      </c>
      <c r="H624" t="s">
        <v>189</v>
      </c>
      <c r="I624" t="s">
        <v>118</v>
      </c>
      <c r="J624" t="s">
        <v>119</v>
      </c>
      <c r="K624" t="s">
        <v>190</v>
      </c>
      <c r="L624" t="s">
        <v>18</v>
      </c>
      <c r="N624" s="6" t="s">
        <v>521</v>
      </c>
      <c r="O624" t="s">
        <v>2033</v>
      </c>
      <c r="P624" t="s">
        <v>436</v>
      </c>
      <c r="Q624" t="s">
        <v>195</v>
      </c>
      <c r="R624" t="s">
        <v>1942</v>
      </c>
      <c r="S624">
        <v>2015</v>
      </c>
      <c r="T624" t="s">
        <v>153</v>
      </c>
      <c r="U624" t="s">
        <v>129</v>
      </c>
      <c r="V624"/>
      <c r="AD624">
        <v>0</v>
      </c>
      <c r="AF624">
        <v>200</v>
      </c>
      <c r="AG624">
        <v>0</v>
      </c>
      <c r="AH624" t="s">
        <v>525</v>
      </c>
      <c r="AI624">
        <v>2</v>
      </c>
      <c r="AK624">
        <v>0</v>
      </c>
      <c r="AL624">
        <v>0</v>
      </c>
      <c r="AN624" t="s">
        <v>132</v>
      </c>
      <c r="BY624">
        <v>151360</v>
      </c>
      <c r="BZ624">
        <v>734550</v>
      </c>
      <c r="CA624">
        <v>2075230</v>
      </c>
      <c r="CE624" s="19">
        <f>SUM(Table1[[#This Row],[Low38]],Table1[[#This Row],[Low35]],Table1[[#This Row],[Low32]],Table1[[#This Row],[Low29]],Table1[[#This Row],[Low26]],Table1[[#This Row],[Low23]],Table1[[#This Row],[Low20]],Table1[[#This Row],[Low17]],Table1[[#This Row],[Low14]],Table1[[#This Row],[Low11]],Table1[[#This Row],[Low8]],Table1[[#This Row],[Low5]],Table1[[#This Row],[Low2]],Table1[[#This Row],[Low]])</f>
        <v>151360</v>
      </c>
      <c r="CF624" s="19">
        <f>SUM(Table1[[#This Row],[Mid39]],Table1[[#This Row],[Mid36]],Table1[[#This Row],[Mid33]],Table1[[#This Row],[Mid30]],Table1[[#This Row],[Mid27]],Table1[[#This Row],[Mid24]],Table1[[#This Row],[Mid21]],Table1[[#This Row],[Mid18]],Table1[[#This Row],[Mid15]],Table1[[#This Row],[Mid12]],Table1[[#This Row],[Mid9]],Table1[[#This Row],[Mid6]],Table1[[#This Row],[Mid3]],Table1[[#This Row],[Mid]])</f>
        <v>734550</v>
      </c>
      <c r="CG6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2075230</v>
      </c>
      <c r="CH624" t="s">
        <v>157</v>
      </c>
      <c r="CI624" t="s">
        <v>176</v>
      </c>
      <c r="CJ624" t="s">
        <v>158</v>
      </c>
      <c r="CL624" s="19">
        <f>IF(Table1[[#This Row],[Type]]="Petroleum",1,IF(ISERROR(Table1[[#This Row],[Well Density]]*Table1[[#This Row],[Single Well Discovery Area]]),"",IF(Table1[[#This Row],[Well Density]]*Table1[[#This Row],[Single Well Discovery Area]]&gt;1,1,Table1[[#This Row],[Well Density]]*Table1[[#This Row],[Single Well Discovery Area]])))</f>
        <v>0</v>
      </c>
      <c r="CM624" t="s">
        <v>158</v>
      </c>
      <c r="CN624" s="19">
        <f>Table1[[#This Row],[Mid]]</f>
        <v>0</v>
      </c>
      <c r="CO624" s="19">
        <f>Table1[[#This Row],[Mid3]]+Table1[[#This Row],[Mid6]]+Table1[[#This Row],[Mid9]]</f>
        <v>0</v>
      </c>
      <c r="CP624" s="19">
        <f>Table1[[#This Row],[Mid12]]+Table1[[#This Row],[Mid15]]+Table1[[#This Row],[Mid18]]+Table1[[#This Row],[Mid21]]+Table1[[#This Row],[Mid24]]</f>
        <v>0</v>
      </c>
      <c r="CQ624" s="19">
        <f>Table1[[#This Row],[Mid27]]+Table1[[#This Row],[Mid30]]+Table1[[#This Row],[Mid33]]+Table1[[#This Row],[Mid36]]+Table1[[#This Row],[Mid39]]</f>
        <v>734550</v>
      </c>
      <c r="CR624" t="s">
        <v>471</v>
      </c>
      <c r="CS624" s="19" t="str">
        <f>IF(AND(Table1[[#This Row],[Low41]]=0, Table1[[#This Row],[High43]]=0),"N","Y")</f>
        <v>Y</v>
      </c>
    </row>
    <row r="625" spans="1:97" ht="19.5" customHeight="1" x14ac:dyDescent="0.25">
      <c r="A625">
        <v>10623</v>
      </c>
      <c r="B625" t="s">
        <v>1897</v>
      </c>
      <c r="C625" t="s">
        <v>2034</v>
      </c>
      <c r="D625">
        <v>45.369444440000002</v>
      </c>
      <c r="E625">
        <v>-69.242777779999997</v>
      </c>
      <c r="F625" t="s">
        <v>2035</v>
      </c>
      <c r="H625" t="s">
        <v>189</v>
      </c>
      <c r="I625" t="s">
        <v>201</v>
      </c>
      <c r="J625" t="s">
        <v>202</v>
      </c>
      <c r="K625" t="s">
        <v>203</v>
      </c>
      <c r="L625" t="s">
        <v>121</v>
      </c>
      <c r="N625" s="6" t="s">
        <v>521</v>
      </c>
      <c r="O625" t="s">
        <v>1935</v>
      </c>
      <c r="P625" t="s">
        <v>436</v>
      </c>
      <c r="Q625" t="s">
        <v>1901</v>
      </c>
      <c r="R625" t="s">
        <v>2036</v>
      </c>
      <c r="S625">
        <v>2015</v>
      </c>
      <c r="T625" t="s">
        <v>153</v>
      </c>
      <c r="U625" t="s">
        <v>129</v>
      </c>
      <c r="V625"/>
      <c r="AD625">
        <v>0</v>
      </c>
      <c r="AF625">
        <v>200</v>
      </c>
      <c r="AG625">
        <v>0</v>
      </c>
      <c r="AH625" t="s">
        <v>1903</v>
      </c>
      <c r="AK625">
        <v>0</v>
      </c>
      <c r="AL625">
        <v>0</v>
      </c>
      <c r="AN625" t="s">
        <v>132</v>
      </c>
      <c r="CE62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2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25" t="s">
        <v>157</v>
      </c>
      <c r="CI625" t="s">
        <v>176</v>
      </c>
      <c r="CJ625" t="s">
        <v>158</v>
      </c>
      <c r="CL625" s="19">
        <f>IF(Table1[[#This Row],[Type]]="Petroleum",1,IF(ISERROR(Table1[[#This Row],[Well Density]]*Table1[[#This Row],[Single Well Discovery Area]]),"",IF(Table1[[#This Row],[Well Density]]*Table1[[#This Row],[Single Well Discovery Area]]&gt;1,1,Table1[[#This Row],[Well Density]]*Table1[[#This Row],[Single Well Discovery Area]])))</f>
        <v>1</v>
      </c>
      <c r="CM625" t="s">
        <v>158</v>
      </c>
      <c r="CN625" s="19">
        <f>Table1[[#This Row],[Mid]]</f>
        <v>0</v>
      </c>
      <c r="CO625" s="19">
        <f>Table1[[#This Row],[Mid3]]+Table1[[#This Row],[Mid6]]+Table1[[#This Row],[Mid9]]</f>
        <v>0</v>
      </c>
      <c r="CP625" s="19">
        <f>Table1[[#This Row],[Mid12]]+Table1[[#This Row],[Mid15]]+Table1[[#This Row],[Mid18]]+Table1[[#This Row],[Mid21]]+Table1[[#This Row],[Mid24]]</f>
        <v>0</v>
      </c>
      <c r="CQ625" s="19">
        <f>Table1[[#This Row],[Mid27]]+Table1[[#This Row],[Mid30]]+Table1[[#This Row],[Mid33]]+Table1[[#This Row],[Mid36]]+Table1[[#This Row],[Mid39]]</f>
        <v>0</v>
      </c>
      <c r="CR625" t="s">
        <v>471</v>
      </c>
      <c r="CS625" s="19" t="str">
        <f>IF(AND(Table1[[#This Row],[Low41]]=0, Table1[[#This Row],[High43]]=0),"N","Y")</f>
        <v>N</v>
      </c>
    </row>
    <row r="626" spans="1:97" ht="19.5" customHeight="1" x14ac:dyDescent="0.25">
      <c r="A626">
        <v>10624</v>
      </c>
      <c r="B626" t="s">
        <v>1897</v>
      </c>
      <c r="C626" t="s">
        <v>2034</v>
      </c>
      <c r="D626">
        <v>45.37055556</v>
      </c>
      <c r="E626">
        <v>-69.243888889999994</v>
      </c>
      <c r="F626" t="s">
        <v>2037</v>
      </c>
      <c r="H626" t="s">
        <v>189</v>
      </c>
      <c r="I626" t="s">
        <v>118</v>
      </c>
      <c r="J626" t="s">
        <v>119</v>
      </c>
      <c r="K626" t="s">
        <v>190</v>
      </c>
      <c r="L626" t="s">
        <v>18</v>
      </c>
      <c r="N626" s="6" t="s">
        <v>521</v>
      </c>
      <c r="O626" t="s">
        <v>1935</v>
      </c>
      <c r="P626" t="s">
        <v>436</v>
      </c>
      <c r="Q626" t="s">
        <v>195</v>
      </c>
      <c r="R626" t="s">
        <v>2036</v>
      </c>
      <c r="S626">
        <v>2015</v>
      </c>
      <c r="T626" t="s">
        <v>153</v>
      </c>
      <c r="U626" t="s">
        <v>129</v>
      </c>
      <c r="V626"/>
      <c r="AD626">
        <v>0</v>
      </c>
      <c r="AF626">
        <v>200</v>
      </c>
      <c r="AG626">
        <v>0</v>
      </c>
      <c r="AH626" t="s">
        <v>525</v>
      </c>
      <c r="AI626">
        <v>2</v>
      </c>
      <c r="AK626">
        <v>0</v>
      </c>
      <c r="AL626">
        <v>0</v>
      </c>
      <c r="AN626" t="s">
        <v>132</v>
      </c>
      <c r="CE62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2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26" t="s">
        <v>157</v>
      </c>
      <c r="CI626" t="s">
        <v>176</v>
      </c>
      <c r="CJ626" t="s">
        <v>158</v>
      </c>
      <c r="CL626" s="19">
        <f>IF(Table1[[#This Row],[Type]]="Petroleum",1,IF(ISERROR(Table1[[#This Row],[Well Density]]*Table1[[#This Row],[Single Well Discovery Area]]),"",IF(Table1[[#This Row],[Well Density]]*Table1[[#This Row],[Single Well Discovery Area]]&gt;1,1,Table1[[#This Row],[Well Density]]*Table1[[#This Row],[Single Well Discovery Area]])))</f>
        <v>0</v>
      </c>
      <c r="CM626" t="s">
        <v>158</v>
      </c>
      <c r="CN626" s="19">
        <f>Table1[[#This Row],[Mid]]</f>
        <v>0</v>
      </c>
      <c r="CO626" s="19">
        <f>Table1[[#This Row],[Mid3]]+Table1[[#This Row],[Mid6]]+Table1[[#This Row],[Mid9]]</f>
        <v>0</v>
      </c>
      <c r="CP626" s="19">
        <f>Table1[[#This Row],[Mid12]]+Table1[[#This Row],[Mid15]]+Table1[[#This Row],[Mid18]]+Table1[[#This Row],[Mid21]]+Table1[[#This Row],[Mid24]]</f>
        <v>0</v>
      </c>
      <c r="CQ626" s="19">
        <f>Table1[[#This Row],[Mid27]]+Table1[[#This Row],[Mid30]]+Table1[[#This Row],[Mid33]]+Table1[[#This Row],[Mid36]]+Table1[[#This Row],[Mid39]]</f>
        <v>0</v>
      </c>
      <c r="CR626" t="s">
        <v>471</v>
      </c>
      <c r="CS626" s="19" t="str">
        <f>IF(AND(Table1[[#This Row],[Low41]]=0, Table1[[#This Row],[High43]]=0),"N","Y")</f>
        <v>N</v>
      </c>
    </row>
    <row r="627" spans="1:97" ht="19.5" customHeight="1" x14ac:dyDescent="0.25">
      <c r="A627">
        <v>10625</v>
      </c>
      <c r="B627" t="s">
        <v>1897</v>
      </c>
      <c r="C627" t="s">
        <v>2038</v>
      </c>
      <c r="D627">
        <v>39.055</v>
      </c>
      <c r="E627">
        <v>-76.790833329999998</v>
      </c>
      <c r="F627" t="s">
        <v>2039</v>
      </c>
      <c r="H627" t="s">
        <v>189</v>
      </c>
      <c r="I627" t="s">
        <v>201</v>
      </c>
      <c r="J627" t="s">
        <v>202</v>
      </c>
      <c r="K627" t="s">
        <v>203</v>
      </c>
      <c r="L627" t="s">
        <v>121</v>
      </c>
      <c r="N627" s="6" t="s">
        <v>521</v>
      </c>
      <c r="O627" t="s">
        <v>2040</v>
      </c>
      <c r="P627" t="s">
        <v>436</v>
      </c>
      <c r="Q627" t="s">
        <v>1901</v>
      </c>
      <c r="R627" t="s">
        <v>2036</v>
      </c>
      <c r="S627">
        <v>2015</v>
      </c>
      <c r="T627" t="s">
        <v>153</v>
      </c>
      <c r="U627" t="s">
        <v>129</v>
      </c>
      <c r="V627"/>
      <c r="AD627">
        <v>0</v>
      </c>
      <c r="AF627">
        <v>200</v>
      </c>
      <c r="AG627">
        <v>0</v>
      </c>
      <c r="AH627" t="s">
        <v>1903</v>
      </c>
      <c r="AK627">
        <v>0</v>
      </c>
      <c r="AL627">
        <v>0</v>
      </c>
      <c r="AN627" t="s">
        <v>132</v>
      </c>
      <c r="CE62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2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27" t="s">
        <v>157</v>
      </c>
      <c r="CI627" t="s">
        <v>176</v>
      </c>
      <c r="CJ627" t="s">
        <v>158</v>
      </c>
      <c r="CL627" s="19">
        <f>IF(Table1[[#This Row],[Type]]="Petroleum",1,IF(ISERROR(Table1[[#This Row],[Well Density]]*Table1[[#This Row],[Single Well Discovery Area]]),"",IF(Table1[[#This Row],[Well Density]]*Table1[[#This Row],[Single Well Discovery Area]]&gt;1,1,Table1[[#This Row],[Well Density]]*Table1[[#This Row],[Single Well Discovery Area]])))</f>
        <v>1</v>
      </c>
      <c r="CM627" t="s">
        <v>158</v>
      </c>
      <c r="CN627" s="19">
        <f>Table1[[#This Row],[Mid]]</f>
        <v>0</v>
      </c>
      <c r="CO627" s="19">
        <f>Table1[[#This Row],[Mid3]]+Table1[[#This Row],[Mid6]]+Table1[[#This Row],[Mid9]]</f>
        <v>0</v>
      </c>
      <c r="CP627" s="19">
        <f>Table1[[#This Row],[Mid12]]+Table1[[#This Row],[Mid15]]+Table1[[#This Row],[Mid18]]+Table1[[#This Row],[Mid21]]+Table1[[#This Row],[Mid24]]</f>
        <v>0</v>
      </c>
      <c r="CQ627" s="19">
        <f>Table1[[#This Row],[Mid27]]+Table1[[#This Row],[Mid30]]+Table1[[#This Row],[Mid33]]+Table1[[#This Row],[Mid36]]+Table1[[#This Row],[Mid39]]</f>
        <v>0</v>
      </c>
      <c r="CR627" t="s">
        <v>471</v>
      </c>
      <c r="CS627" s="19" t="str">
        <f>IF(AND(Table1[[#This Row],[Low41]]=0, Table1[[#This Row],[High43]]=0),"N","Y")</f>
        <v>N</v>
      </c>
    </row>
    <row r="628" spans="1:97" ht="19.5" customHeight="1" x14ac:dyDescent="0.25">
      <c r="A628">
        <v>10626</v>
      </c>
      <c r="B628" t="s">
        <v>1897</v>
      </c>
      <c r="C628" t="s">
        <v>2038</v>
      </c>
      <c r="D628">
        <v>39.056111110000003</v>
      </c>
      <c r="E628">
        <v>-76.791944439999995</v>
      </c>
      <c r="F628" t="s">
        <v>2041</v>
      </c>
      <c r="H628" t="s">
        <v>189</v>
      </c>
      <c r="I628" t="s">
        <v>118</v>
      </c>
      <c r="J628" t="s">
        <v>119</v>
      </c>
      <c r="K628" t="s">
        <v>190</v>
      </c>
      <c r="L628" t="s">
        <v>18</v>
      </c>
      <c r="N628" s="6" t="s">
        <v>521</v>
      </c>
      <c r="O628" t="s">
        <v>2042</v>
      </c>
      <c r="P628" t="s">
        <v>436</v>
      </c>
      <c r="Q628" t="s">
        <v>195</v>
      </c>
      <c r="R628" t="s">
        <v>1942</v>
      </c>
      <c r="S628">
        <v>2015</v>
      </c>
      <c r="T628" t="s">
        <v>153</v>
      </c>
      <c r="U628" t="s">
        <v>129</v>
      </c>
      <c r="V628"/>
      <c r="AD628">
        <v>0</v>
      </c>
      <c r="AF628">
        <v>200</v>
      </c>
      <c r="AG628">
        <v>0</v>
      </c>
      <c r="AH628" t="s">
        <v>525</v>
      </c>
      <c r="AI628">
        <v>2</v>
      </c>
      <c r="AK628">
        <v>0</v>
      </c>
      <c r="AL628">
        <v>0</v>
      </c>
      <c r="AN628" t="s">
        <v>132</v>
      </c>
      <c r="BY628">
        <v>1860</v>
      </c>
      <c r="BZ628">
        <v>1880</v>
      </c>
      <c r="CA628">
        <v>1930</v>
      </c>
      <c r="CE628" s="19">
        <f>SUM(Table1[[#This Row],[Low38]],Table1[[#This Row],[Low35]],Table1[[#This Row],[Low32]],Table1[[#This Row],[Low29]],Table1[[#This Row],[Low26]],Table1[[#This Row],[Low23]],Table1[[#This Row],[Low20]],Table1[[#This Row],[Low17]],Table1[[#This Row],[Low14]],Table1[[#This Row],[Low11]],Table1[[#This Row],[Low8]],Table1[[#This Row],[Low5]],Table1[[#This Row],[Low2]],Table1[[#This Row],[Low]])</f>
        <v>1860</v>
      </c>
      <c r="CF628" s="19">
        <f>SUM(Table1[[#This Row],[Mid39]],Table1[[#This Row],[Mid36]],Table1[[#This Row],[Mid33]],Table1[[#This Row],[Mid30]],Table1[[#This Row],[Mid27]],Table1[[#This Row],[Mid24]],Table1[[#This Row],[Mid21]],Table1[[#This Row],[Mid18]],Table1[[#This Row],[Mid15]],Table1[[#This Row],[Mid12]],Table1[[#This Row],[Mid9]],Table1[[#This Row],[Mid6]],Table1[[#This Row],[Mid3]],Table1[[#This Row],[Mid]])</f>
        <v>1880</v>
      </c>
      <c r="CG6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1930</v>
      </c>
      <c r="CH628" t="s">
        <v>157</v>
      </c>
      <c r="CI628" t="s">
        <v>176</v>
      </c>
      <c r="CJ628" t="s">
        <v>158</v>
      </c>
      <c r="CL628" s="19">
        <f>IF(Table1[[#This Row],[Type]]="Petroleum",1,IF(ISERROR(Table1[[#This Row],[Well Density]]*Table1[[#This Row],[Single Well Discovery Area]]),"",IF(Table1[[#This Row],[Well Density]]*Table1[[#This Row],[Single Well Discovery Area]]&gt;1,1,Table1[[#This Row],[Well Density]]*Table1[[#This Row],[Single Well Discovery Area]])))</f>
        <v>0</v>
      </c>
      <c r="CM628" t="s">
        <v>158</v>
      </c>
      <c r="CN628" s="19">
        <f>Table1[[#This Row],[Mid]]</f>
        <v>0</v>
      </c>
      <c r="CO628" s="19">
        <f>Table1[[#This Row],[Mid3]]+Table1[[#This Row],[Mid6]]+Table1[[#This Row],[Mid9]]</f>
        <v>0</v>
      </c>
      <c r="CP628" s="19">
        <f>Table1[[#This Row],[Mid12]]+Table1[[#This Row],[Mid15]]+Table1[[#This Row],[Mid18]]+Table1[[#This Row],[Mid21]]+Table1[[#This Row],[Mid24]]</f>
        <v>0</v>
      </c>
      <c r="CQ628" s="19">
        <f>Table1[[#This Row],[Mid27]]+Table1[[#This Row],[Mid30]]+Table1[[#This Row],[Mid33]]+Table1[[#This Row],[Mid36]]+Table1[[#This Row],[Mid39]]</f>
        <v>1880</v>
      </c>
      <c r="CR628" t="s">
        <v>471</v>
      </c>
      <c r="CS628" s="19" t="str">
        <f>IF(AND(Table1[[#This Row],[Low41]]=0, Table1[[#This Row],[High43]]=0),"N","Y")</f>
        <v>Y</v>
      </c>
    </row>
    <row r="629" spans="1:97" ht="19.5" customHeight="1" x14ac:dyDescent="0.25">
      <c r="A629">
        <v>10627</v>
      </c>
      <c r="B629" t="s">
        <v>1897</v>
      </c>
      <c r="C629" t="s">
        <v>2043</v>
      </c>
      <c r="D629">
        <v>42.25972222</v>
      </c>
      <c r="E629">
        <v>-71.808333329999996</v>
      </c>
      <c r="F629" t="s">
        <v>2044</v>
      </c>
      <c r="H629" t="s">
        <v>189</v>
      </c>
      <c r="I629" t="s">
        <v>201</v>
      </c>
      <c r="J629" t="s">
        <v>202</v>
      </c>
      <c r="K629" t="s">
        <v>203</v>
      </c>
      <c r="L629" t="s">
        <v>121</v>
      </c>
      <c r="N629" s="6" t="s">
        <v>521</v>
      </c>
      <c r="O629" t="s">
        <v>1935</v>
      </c>
      <c r="P629" t="s">
        <v>436</v>
      </c>
      <c r="Q629" t="s">
        <v>1901</v>
      </c>
      <c r="R629" t="s">
        <v>2036</v>
      </c>
      <c r="S629">
        <v>2015</v>
      </c>
      <c r="T629" t="s">
        <v>153</v>
      </c>
      <c r="U629" t="s">
        <v>129</v>
      </c>
      <c r="V629"/>
      <c r="AD629">
        <v>0</v>
      </c>
      <c r="AF629">
        <v>200</v>
      </c>
      <c r="AG629">
        <v>0</v>
      </c>
      <c r="AH629" t="s">
        <v>1903</v>
      </c>
      <c r="AK629">
        <v>0</v>
      </c>
      <c r="AL629">
        <v>0</v>
      </c>
      <c r="AN629" t="s">
        <v>132</v>
      </c>
      <c r="CE62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2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29" t="s">
        <v>157</v>
      </c>
      <c r="CI629" t="s">
        <v>176</v>
      </c>
      <c r="CJ629" t="s">
        <v>158</v>
      </c>
      <c r="CL629" s="19">
        <f>IF(Table1[[#This Row],[Type]]="Petroleum",1,IF(ISERROR(Table1[[#This Row],[Well Density]]*Table1[[#This Row],[Single Well Discovery Area]]),"",IF(Table1[[#This Row],[Well Density]]*Table1[[#This Row],[Single Well Discovery Area]]&gt;1,1,Table1[[#This Row],[Well Density]]*Table1[[#This Row],[Single Well Discovery Area]])))</f>
        <v>1</v>
      </c>
      <c r="CM629" t="s">
        <v>158</v>
      </c>
      <c r="CN629" s="19">
        <f>Table1[[#This Row],[Mid]]</f>
        <v>0</v>
      </c>
      <c r="CO629" s="19">
        <f>Table1[[#This Row],[Mid3]]+Table1[[#This Row],[Mid6]]+Table1[[#This Row],[Mid9]]</f>
        <v>0</v>
      </c>
      <c r="CP629" s="19">
        <f>Table1[[#This Row],[Mid12]]+Table1[[#This Row],[Mid15]]+Table1[[#This Row],[Mid18]]+Table1[[#This Row],[Mid21]]+Table1[[#This Row],[Mid24]]</f>
        <v>0</v>
      </c>
      <c r="CQ629" s="19">
        <f>Table1[[#This Row],[Mid27]]+Table1[[#This Row],[Mid30]]+Table1[[#This Row],[Mid33]]+Table1[[#This Row],[Mid36]]+Table1[[#This Row],[Mid39]]</f>
        <v>0</v>
      </c>
      <c r="CR629" t="s">
        <v>471</v>
      </c>
      <c r="CS629" s="19" t="str">
        <f>IF(AND(Table1[[#This Row],[Low41]]=0, Table1[[#This Row],[High43]]=0),"N","Y")</f>
        <v>N</v>
      </c>
    </row>
    <row r="630" spans="1:97" ht="19.5" customHeight="1" x14ac:dyDescent="0.25">
      <c r="A630">
        <v>10628</v>
      </c>
      <c r="B630" t="s">
        <v>1897</v>
      </c>
      <c r="C630" t="s">
        <v>2043</v>
      </c>
      <c r="D630">
        <v>42.260833329999997</v>
      </c>
      <c r="E630">
        <v>-71.809444439999993</v>
      </c>
      <c r="F630" t="s">
        <v>2045</v>
      </c>
      <c r="H630" t="s">
        <v>189</v>
      </c>
      <c r="I630" t="s">
        <v>118</v>
      </c>
      <c r="J630" t="s">
        <v>119</v>
      </c>
      <c r="K630" t="s">
        <v>190</v>
      </c>
      <c r="L630" t="s">
        <v>18</v>
      </c>
      <c r="N630" s="6" t="s">
        <v>521</v>
      </c>
      <c r="O630" t="s">
        <v>1935</v>
      </c>
      <c r="P630" t="s">
        <v>436</v>
      </c>
      <c r="Q630" t="s">
        <v>195</v>
      </c>
      <c r="R630" t="s">
        <v>2036</v>
      </c>
      <c r="S630">
        <v>2015</v>
      </c>
      <c r="T630" t="s">
        <v>153</v>
      </c>
      <c r="U630" t="s">
        <v>129</v>
      </c>
      <c r="V630"/>
      <c r="AD630">
        <v>0</v>
      </c>
      <c r="AF630">
        <v>200</v>
      </c>
      <c r="AG630">
        <v>0</v>
      </c>
      <c r="AH630" t="s">
        <v>525</v>
      </c>
      <c r="AI630">
        <v>2</v>
      </c>
      <c r="AK630">
        <v>0</v>
      </c>
      <c r="AL630">
        <v>0</v>
      </c>
      <c r="AN630" t="s">
        <v>132</v>
      </c>
      <c r="CE63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3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30" t="s">
        <v>157</v>
      </c>
      <c r="CI630" t="s">
        <v>176</v>
      </c>
      <c r="CJ630" t="s">
        <v>158</v>
      </c>
      <c r="CL630" s="19">
        <f>IF(Table1[[#This Row],[Type]]="Petroleum",1,IF(ISERROR(Table1[[#This Row],[Well Density]]*Table1[[#This Row],[Single Well Discovery Area]]),"",IF(Table1[[#This Row],[Well Density]]*Table1[[#This Row],[Single Well Discovery Area]]&gt;1,1,Table1[[#This Row],[Well Density]]*Table1[[#This Row],[Single Well Discovery Area]])))</f>
        <v>0</v>
      </c>
      <c r="CM630" t="s">
        <v>158</v>
      </c>
      <c r="CN630" s="19">
        <f>Table1[[#This Row],[Mid]]</f>
        <v>0</v>
      </c>
      <c r="CO630" s="19">
        <f>Table1[[#This Row],[Mid3]]+Table1[[#This Row],[Mid6]]+Table1[[#This Row],[Mid9]]</f>
        <v>0</v>
      </c>
      <c r="CP630" s="19">
        <f>Table1[[#This Row],[Mid12]]+Table1[[#This Row],[Mid15]]+Table1[[#This Row],[Mid18]]+Table1[[#This Row],[Mid21]]+Table1[[#This Row],[Mid24]]</f>
        <v>0</v>
      </c>
      <c r="CQ630" s="19">
        <f>Table1[[#This Row],[Mid27]]+Table1[[#This Row],[Mid30]]+Table1[[#This Row],[Mid33]]+Table1[[#This Row],[Mid36]]+Table1[[#This Row],[Mid39]]</f>
        <v>0</v>
      </c>
      <c r="CR630" t="s">
        <v>471</v>
      </c>
      <c r="CS630" s="19" t="str">
        <f>IF(AND(Table1[[#This Row],[Low41]]=0, Table1[[#This Row],[High43]]=0),"N","Y")</f>
        <v>N</v>
      </c>
    </row>
    <row r="631" spans="1:97" ht="19.5" customHeight="1" x14ac:dyDescent="0.25">
      <c r="A631">
        <v>10629</v>
      </c>
      <c r="B631" t="s">
        <v>1897</v>
      </c>
      <c r="C631" t="s">
        <v>812</v>
      </c>
      <c r="D631">
        <v>43.368055560000002</v>
      </c>
      <c r="E631">
        <v>-84.753611109999994</v>
      </c>
      <c r="F631" t="s">
        <v>2046</v>
      </c>
      <c r="G631" t="s">
        <v>812</v>
      </c>
      <c r="H631" t="s">
        <v>2003</v>
      </c>
      <c r="I631" t="s">
        <v>118</v>
      </c>
      <c r="J631" t="s">
        <v>119</v>
      </c>
      <c r="K631" t="s">
        <v>190</v>
      </c>
      <c r="L631" t="s">
        <v>18</v>
      </c>
      <c r="M631" t="s">
        <v>2004</v>
      </c>
      <c r="N631" s="6" t="s">
        <v>521</v>
      </c>
      <c r="O631" t="s">
        <v>2001</v>
      </c>
      <c r="P631" t="s">
        <v>170</v>
      </c>
      <c r="Q631"/>
      <c r="R631" t="s">
        <v>1911</v>
      </c>
      <c r="S631">
        <v>2015</v>
      </c>
      <c r="T631" t="s">
        <v>153</v>
      </c>
      <c r="U631" t="s">
        <v>129</v>
      </c>
      <c r="V631"/>
      <c r="AD631">
        <v>0</v>
      </c>
      <c r="AF631">
        <v>200</v>
      </c>
      <c r="AG631">
        <v>0</v>
      </c>
      <c r="AK631">
        <v>0</v>
      </c>
      <c r="AL631">
        <v>0</v>
      </c>
      <c r="AN631" t="s">
        <v>132</v>
      </c>
      <c r="BW631">
        <v>15400</v>
      </c>
      <c r="BX631">
        <v>50100</v>
      </c>
      <c r="CE6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31" s="19">
        <f>SUM(Table1[[#This Row],[Mid39]],Table1[[#This Row],[Mid36]],Table1[[#This Row],[Mid33]],Table1[[#This Row],[Mid30]],Table1[[#This Row],[Mid27]],Table1[[#This Row],[Mid24]],Table1[[#This Row],[Mid21]],Table1[[#This Row],[Mid18]],Table1[[#This Row],[Mid15]],Table1[[#This Row],[Mid12]],Table1[[#This Row],[Mid9]],Table1[[#This Row],[Mid6]],Table1[[#This Row],[Mid3]],Table1[[#This Row],[Mid]])</f>
        <v>15400</v>
      </c>
      <c r="CG6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50100</v>
      </c>
      <c r="CH631" t="s">
        <v>157</v>
      </c>
      <c r="CI631" t="s">
        <v>134</v>
      </c>
      <c r="CJ631" t="s">
        <v>158</v>
      </c>
      <c r="CL631" s="19">
        <f>IF(Table1[[#This Row],[Type]]="Petroleum",1,IF(ISERROR(Table1[[#This Row],[Well Density]]*Table1[[#This Row],[Single Well Discovery Area]]),"",IF(Table1[[#This Row],[Well Density]]*Table1[[#This Row],[Single Well Discovery Area]]&gt;1,1,Table1[[#This Row],[Well Density]]*Table1[[#This Row],[Single Well Discovery Area]])))</f>
        <v>0</v>
      </c>
      <c r="CM631" t="s">
        <v>158</v>
      </c>
      <c r="CN631" s="19">
        <f>Table1[[#This Row],[Mid]]</f>
        <v>0</v>
      </c>
      <c r="CO631" s="19">
        <f>Table1[[#This Row],[Mid3]]+Table1[[#This Row],[Mid6]]+Table1[[#This Row],[Mid9]]</f>
        <v>0</v>
      </c>
      <c r="CP631" s="19">
        <f>Table1[[#This Row],[Mid12]]+Table1[[#This Row],[Mid15]]+Table1[[#This Row],[Mid18]]+Table1[[#This Row],[Mid21]]+Table1[[#This Row],[Mid24]]</f>
        <v>0</v>
      </c>
      <c r="CQ631" s="19">
        <f>Table1[[#This Row],[Mid27]]+Table1[[#This Row],[Mid30]]+Table1[[#This Row],[Mid33]]+Table1[[#This Row],[Mid36]]+Table1[[#This Row],[Mid39]]</f>
        <v>15400</v>
      </c>
      <c r="CR631" t="s">
        <v>471</v>
      </c>
      <c r="CS631" s="19" t="str">
        <f>IF(AND(Table1[[#This Row],[Low41]]=0, Table1[[#This Row],[High43]]=0),"N","Y")</f>
        <v>Y</v>
      </c>
    </row>
    <row r="632" spans="1:97" ht="19.5" customHeight="1" x14ac:dyDescent="0.25">
      <c r="A632">
        <v>10630</v>
      </c>
      <c r="B632" t="s">
        <v>1897</v>
      </c>
      <c r="C632" t="s">
        <v>812</v>
      </c>
      <c r="D632">
        <v>45.099444439999999</v>
      </c>
      <c r="E632">
        <v>-84.64833333</v>
      </c>
      <c r="F632" t="s">
        <v>2047</v>
      </c>
      <c r="G632" t="s">
        <v>812</v>
      </c>
      <c r="H632" t="s">
        <v>2048</v>
      </c>
      <c r="I632" t="s">
        <v>118</v>
      </c>
      <c r="J632" t="s">
        <v>119</v>
      </c>
      <c r="K632" t="s">
        <v>203</v>
      </c>
      <c r="L632" t="s">
        <v>121</v>
      </c>
      <c r="M632" t="s">
        <v>2049</v>
      </c>
      <c r="N632" s="6" t="s">
        <v>2050</v>
      </c>
      <c r="O632" t="s">
        <v>2051</v>
      </c>
      <c r="P632" t="s">
        <v>2052</v>
      </c>
      <c r="Q632" t="s">
        <v>2053</v>
      </c>
      <c r="R632" t="s">
        <v>2054</v>
      </c>
      <c r="S632">
        <v>2018</v>
      </c>
      <c r="T632" t="s">
        <v>153</v>
      </c>
      <c r="U632" t="s">
        <v>129</v>
      </c>
      <c r="V632"/>
      <c r="W632">
        <v>1829</v>
      </c>
      <c r="AD632">
        <v>3</v>
      </c>
      <c r="AF632">
        <v>200</v>
      </c>
      <c r="AG632">
        <v>0</v>
      </c>
      <c r="AH632" t="s">
        <v>130</v>
      </c>
      <c r="AK632">
        <v>0</v>
      </c>
      <c r="AL632">
        <v>0</v>
      </c>
      <c r="AN632" t="s">
        <v>132</v>
      </c>
      <c r="AO632">
        <v>0</v>
      </c>
      <c r="AP632">
        <v>1.732</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32" s="19">
        <f>SUM(Table1[[#This Row],[Mid39]],Table1[[#This Row],[Mid36]],Table1[[#This Row],[Mid33]],Table1[[#This Row],[Mid30]],Table1[[#This Row],[Mid27]],Table1[[#This Row],[Mid24]],Table1[[#This Row],[Mid21]],Table1[[#This Row],[Mid18]],Table1[[#This Row],[Mid15]],Table1[[#This Row],[Mid12]],Table1[[#This Row],[Mid9]],Table1[[#This Row],[Mid6]],Table1[[#This Row],[Mid3]],Table1[[#This Row],[Mid]])</f>
        <v>1.732</v>
      </c>
      <c r="CG6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32" t="s">
        <v>157</v>
      </c>
      <c r="CI632" t="s">
        <v>176</v>
      </c>
      <c r="CJ632" t="s">
        <v>135</v>
      </c>
      <c r="CL632" s="19">
        <f>IF(Table1[[#This Row],[Type]]="Petroleum",1,IF(ISERROR(Table1[[#This Row],[Well Density]]*Table1[[#This Row],[Single Well Discovery Area]]),"",IF(Table1[[#This Row],[Well Density]]*Table1[[#This Row],[Single Well Discovery Area]]&gt;1,1,Table1[[#This Row],[Well Density]]*Table1[[#This Row],[Single Well Discovery Area]])))</f>
        <v>0</v>
      </c>
      <c r="CM632" t="s">
        <v>158</v>
      </c>
      <c r="CN632" s="19">
        <f>Table1[[#This Row],[Mid]]</f>
        <v>1.732</v>
      </c>
      <c r="CO632" s="19">
        <f>Table1[[#This Row],[Mid3]]+Table1[[#This Row],[Mid6]]+Table1[[#This Row],[Mid9]]</f>
        <v>0</v>
      </c>
      <c r="CP632" s="19">
        <f>Table1[[#This Row],[Mid12]]+Table1[[#This Row],[Mid15]]+Table1[[#This Row],[Mid18]]+Table1[[#This Row],[Mid21]]+Table1[[#This Row],[Mid24]]</f>
        <v>0</v>
      </c>
      <c r="CQ632" s="19">
        <f>Table1[[#This Row],[Mid27]]+Table1[[#This Row],[Mid30]]+Table1[[#This Row],[Mid33]]+Table1[[#This Row],[Mid36]]+Table1[[#This Row],[Mid39]]</f>
        <v>0</v>
      </c>
      <c r="CR632" t="s">
        <v>471</v>
      </c>
      <c r="CS632" s="19" t="str">
        <f>IF(AND(Table1[[#This Row],[Low41]]=0, Table1[[#This Row],[High43]]=0),"N","Y")</f>
        <v>N</v>
      </c>
    </row>
    <row r="633" spans="1:97" ht="19.5" customHeight="1" x14ac:dyDescent="0.25">
      <c r="A633">
        <v>10631</v>
      </c>
      <c r="B633" t="s">
        <v>1897</v>
      </c>
      <c r="C633" t="s">
        <v>812</v>
      </c>
      <c r="D633">
        <v>44.346666669999998</v>
      </c>
      <c r="E633">
        <v>-85.410277780000001</v>
      </c>
      <c r="F633" t="s">
        <v>2055</v>
      </c>
      <c r="G633" t="s">
        <v>812</v>
      </c>
      <c r="H633" t="s">
        <v>189</v>
      </c>
      <c r="I633" t="s">
        <v>201</v>
      </c>
      <c r="J633" t="s">
        <v>202</v>
      </c>
      <c r="K633" t="s">
        <v>203</v>
      </c>
      <c r="L633" t="s">
        <v>121</v>
      </c>
      <c r="N633" s="6" t="s">
        <v>521</v>
      </c>
      <c r="O633" t="s">
        <v>1932</v>
      </c>
      <c r="P633" t="s">
        <v>436</v>
      </c>
      <c r="Q633" t="s">
        <v>1901</v>
      </c>
      <c r="R633" t="s">
        <v>2056</v>
      </c>
      <c r="S633">
        <v>2015</v>
      </c>
      <c r="T633" t="s">
        <v>153</v>
      </c>
      <c r="U633" t="s">
        <v>129</v>
      </c>
      <c r="V633"/>
      <c r="AD633">
        <v>0</v>
      </c>
      <c r="AF633">
        <v>200</v>
      </c>
      <c r="AG633">
        <v>0</v>
      </c>
      <c r="AH633" t="s">
        <v>1903</v>
      </c>
      <c r="AK633">
        <v>0</v>
      </c>
      <c r="AL633">
        <v>0</v>
      </c>
      <c r="AN633" t="s">
        <v>132</v>
      </c>
      <c r="BM633">
        <v>170</v>
      </c>
      <c r="BN633">
        <v>260</v>
      </c>
      <c r="BO633">
        <v>320</v>
      </c>
      <c r="CE633" s="19">
        <f>SUM(Table1[[#This Row],[Low38]],Table1[[#This Row],[Low35]],Table1[[#This Row],[Low32]],Table1[[#This Row],[Low29]],Table1[[#This Row],[Low26]],Table1[[#This Row],[Low23]],Table1[[#This Row],[Low20]],Table1[[#This Row],[Low17]],Table1[[#This Row],[Low14]],Table1[[#This Row],[Low11]],Table1[[#This Row],[Low8]],Table1[[#This Row],[Low5]],Table1[[#This Row],[Low2]],Table1[[#This Row],[Low]])</f>
        <v>170</v>
      </c>
      <c r="CF633" s="19">
        <f>SUM(Table1[[#This Row],[Mid39]],Table1[[#This Row],[Mid36]],Table1[[#This Row],[Mid33]],Table1[[#This Row],[Mid30]],Table1[[#This Row],[Mid27]],Table1[[#This Row],[Mid24]],Table1[[#This Row],[Mid21]],Table1[[#This Row],[Mid18]],Table1[[#This Row],[Mid15]],Table1[[#This Row],[Mid12]],Table1[[#This Row],[Mid9]],Table1[[#This Row],[Mid6]],Table1[[#This Row],[Mid3]],Table1[[#This Row],[Mid]])</f>
        <v>260</v>
      </c>
      <c r="CG6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320</v>
      </c>
      <c r="CH633" t="s">
        <v>157</v>
      </c>
      <c r="CI633" t="s">
        <v>176</v>
      </c>
      <c r="CJ633" t="s">
        <v>158</v>
      </c>
      <c r="CL633" s="19">
        <f>IF(Table1[[#This Row],[Type]]="Petroleum",1,IF(ISERROR(Table1[[#This Row],[Well Density]]*Table1[[#This Row],[Single Well Discovery Area]]),"",IF(Table1[[#This Row],[Well Density]]*Table1[[#This Row],[Single Well Discovery Area]]&gt;1,1,Table1[[#This Row],[Well Density]]*Table1[[#This Row],[Single Well Discovery Area]])))</f>
        <v>1</v>
      </c>
      <c r="CM633" t="s">
        <v>158</v>
      </c>
      <c r="CN633" s="19">
        <f>Table1[[#This Row],[Mid]]</f>
        <v>0</v>
      </c>
      <c r="CO633" s="19">
        <f>Table1[[#This Row],[Mid3]]+Table1[[#This Row],[Mid6]]+Table1[[#This Row],[Mid9]]</f>
        <v>0</v>
      </c>
      <c r="CP633" s="19">
        <f>Table1[[#This Row],[Mid12]]+Table1[[#This Row],[Mid15]]+Table1[[#This Row],[Mid18]]+Table1[[#This Row],[Mid21]]+Table1[[#This Row],[Mid24]]</f>
        <v>260</v>
      </c>
      <c r="CQ633" s="19">
        <f>Table1[[#This Row],[Mid27]]+Table1[[#This Row],[Mid30]]+Table1[[#This Row],[Mid33]]+Table1[[#This Row],[Mid36]]+Table1[[#This Row],[Mid39]]</f>
        <v>0</v>
      </c>
      <c r="CR633" t="s">
        <v>471</v>
      </c>
      <c r="CS633" s="19" t="str">
        <f>IF(AND(Table1[[#This Row],[Low41]]=0, Table1[[#This Row],[High43]]=0),"N","Y")</f>
        <v>Y</v>
      </c>
    </row>
    <row r="634" spans="1:97" ht="19.5" customHeight="1" x14ac:dyDescent="0.25">
      <c r="A634">
        <v>10632</v>
      </c>
      <c r="B634" t="s">
        <v>1897</v>
      </c>
      <c r="C634" t="s">
        <v>812</v>
      </c>
      <c r="D634">
        <v>44.347777780000001</v>
      </c>
      <c r="E634">
        <v>-85.411388889999998</v>
      </c>
      <c r="F634" t="s">
        <v>2057</v>
      </c>
      <c r="G634" t="s">
        <v>812</v>
      </c>
      <c r="H634" t="s">
        <v>189</v>
      </c>
      <c r="I634" t="s">
        <v>118</v>
      </c>
      <c r="J634" t="s">
        <v>119</v>
      </c>
      <c r="K634" t="s">
        <v>190</v>
      </c>
      <c r="L634" t="s">
        <v>18</v>
      </c>
      <c r="N634" s="6" t="s">
        <v>521</v>
      </c>
      <c r="O634" t="s">
        <v>1932</v>
      </c>
      <c r="P634" t="s">
        <v>436</v>
      </c>
      <c r="Q634" t="s">
        <v>195</v>
      </c>
      <c r="R634" t="s">
        <v>2058</v>
      </c>
      <c r="S634">
        <v>2015</v>
      </c>
      <c r="T634" t="s">
        <v>153</v>
      </c>
      <c r="U634" t="s">
        <v>129</v>
      </c>
      <c r="V634"/>
      <c r="AD634">
        <v>0</v>
      </c>
      <c r="AF634">
        <v>200</v>
      </c>
      <c r="AG634">
        <v>0</v>
      </c>
      <c r="AH634" t="s">
        <v>525</v>
      </c>
      <c r="AI634">
        <v>2</v>
      </c>
      <c r="AK634">
        <v>0</v>
      </c>
      <c r="AL634">
        <v>0</v>
      </c>
      <c r="AN634" t="s">
        <v>132</v>
      </c>
      <c r="BY634">
        <v>16150</v>
      </c>
      <c r="BZ634">
        <v>30160</v>
      </c>
      <c r="CA634">
        <v>16100</v>
      </c>
      <c r="CE634" s="19">
        <f>SUM(Table1[[#This Row],[Low38]],Table1[[#This Row],[Low35]],Table1[[#This Row],[Low32]],Table1[[#This Row],[Low29]],Table1[[#This Row],[Low26]],Table1[[#This Row],[Low23]],Table1[[#This Row],[Low20]],Table1[[#This Row],[Low17]],Table1[[#This Row],[Low14]],Table1[[#This Row],[Low11]],Table1[[#This Row],[Low8]],Table1[[#This Row],[Low5]],Table1[[#This Row],[Low2]],Table1[[#This Row],[Low]])</f>
        <v>16150</v>
      </c>
      <c r="CF634" s="19">
        <f>SUM(Table1[[#This Row],[Mid39]],Table1[[#This Row],[Mid36]],Table1[[#This Row],[Mid33]],Table1[[#This Row],[Mid30]],Table1[[#This Row],[Mid27]],Table1[[#This Row],[Mid24]],Table1[[#This Row],[Mid21]],Table1[[#This Row],[Mid18]],Table1[[#This Row],[Mid15]],Table1[[#This Row],[Mid12]],Table1[[#This Row],[Mid9]],Table1[[#This Row],[Mid6]],Table1[[#This Row],[Mid3]],Table1[[#This Row],[Mid]])</f>
        <v>30160</v>
      </c>
      <c r="CG6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16100</v>
      </c>
      <c r="CH634" t="s">
        <v>157</v>
      </c>
      <c r="CI634" t="s">
        <v>176</v>
      </c>
      <c r="CJ634" t="s">
        <v>158</v>
      </c>
      <c r="CL634" s="19">
        <f>IF(Table1[[#This Row],[Type]]="Petroleum",1,IF(ISERROR(Table1[[#This Row],[Well Density]]*Table1[[#This Row],[Single Well Discovery Area]]),"",IF(Table1[[#This Row],[Well Density]]*Table1[[#This Row],[Single Well Discovery Area]]&gt;1,1,Table1[[#This Row],[Well Density]]*Table1[[#This Row],[Single Well Discovery Area]])))</f>
        <v>0</v>
      </c>
      <c r="CM634" t="s">
        <v>158</v>
      </c>
      <c r="CN634" s="19">
        <f>Table1[[#This Row],[Mid]]</f>
        <v>0</v>
      </c>
      <c r="CO634" s="19">
        <f>Table1[[#This Row],[Mid3]]+Table1[[#This Row],[Mid6]]+Table1[[#This Row],[Mid9]]</f>
        <v>0</v>
      </c>
      <c r="CP634" s="19">
        <f>Table1[[#This Row],[Mid12]]+Table1[[#This Row],[Mid15]]+Table1[[#This Row],[Mid18]]+Table1[[#This Row],[Mid21]]+Table1[[#This Row],[Mid24]]</f>
        <v>0</v>
      </c>
      <c r="CQ634" s="19">
        <f>Table1[[#This Row],[Mid27]]+Table1[[#This Row],[Mid30]]+Table1[[#This Row],[Mid33]]+Table1[[#This Row],[Mid36]]+Table1[[#This Row],[Mid39]]</f>
        <v>30160</v>
      </c>
      <c r="CR634" t="s">
        <v>471</v>
      </c>
      <c r="CS634" s="19" t="str">
        <f>IF(AND(Table1[[#This Row],[Low41]]=0, Table1[[#This Row],[High43]]=0),"N","Y")</f>
        <v>Y</v>
      </c>
    </row>
    <row r="635" spans="1:97" ht="19.5" customHeight="1" x14ac:dyDescent="0.25">
      <c r="A635">
        <v>10633</v>
      </c>
      <c r="B635" t="s">
        <v>1897</v>
      </c>
      <c r="C635" t="s">
        <v>2059</v>
      </c>
      <c r="D635">
        <v>46.28083333</v>
      </c>
      <c r="E635">
        <v>-94.305277779999997</v>
      </c>
      <c r="F635" t="s">
        <v>2060</v>
      </c>
      <c r="H635" t="s">
        <v>189</v>
      </c>
      <c r="I635" t="s">
        <v>201</v>
      </c>
      <c r="J635" t="s">
        <v>202</v>
      </c>
      <c r="K635" t="s">
        <v>203</v>
      </c>
      <c r="L635" t="s">
        <v>121</v>
      </c>
      <c r="N635" s="6" t="s">
        <v>521</v>
      </c>
      <c r="O635" t="s">
        <v>1932</v>
      </c>
      <c r="P635" t="s">
        <v>436</v>
      </c>
      <c r="Q635" t="s">
        <v>1901</v>
      </c>
      <c r="R635" t="s">
        <v>2036</v>
      </c>
      <c r="S635">
        <v>2015</v>
      </c>
      <c r="T635" t="s">
        <v>153</v>
      </c>
      <c r="U635" t="s">
        <v>129</v>
      </c>
      <c r="V635"/>
      <c r="AD635">
        <v>0</v>
      </c>
      <c r="AF635">
        <v>200</v>
      </c>
      <c r="AG635">
        <v>0</v>
      </c>
      <c r="AH635" t="s">
        <v>1903</v>
      </c>
      <c r="AK635">
        <v>0</v>
      </c>
      <c r="AL635">
        <v>0</v>
      </c>
      <c r="AN635" t="s">
        <v>132</v>
      </c>
      <c r="CE63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3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35" t="s">
        <v>157</v>
      </c>
      <c r="CI635" t="s">
        <v>176</v>
      </c>
      <c r="CJ635" t="s">
        <v>158</v>
      </c>
      <c r="CL635" s="19">
        <f>IF(Table1[[#This Row],[Type]]="Petroleum",1,IF(ISERROR(Table1[[#This Row],[Well Density]]*Table1[[#This Row],[Single Well Discovery Area]]),"",IF(Table1[[#This Row],[Well Density]]*Table1[[#This Row],[Single Well Discovery Area]]&gt;1,1,Table1[[#This Row],[Well Density]]*Table1[[#This Row],[Single Well Discovery Area]])))</f>
        <v>1</v>
      </c>
      <c r="CM635" t="s">
        <v>135</v>
      </c>
      <c r="CN635" s="19">
        <f>Table1[[#This Row],[Mid]]</f>
        <v>0</v>
      </c>
      <c r="CO635" s="19">
        <f>Table1[[#This Row],[Mid3]]+Table1[[#This Row],[Mid6]]+Table1[[#This Row],[Mid9]]</f>
        <v>0</v>
      </c>
      <c r="CP635" s="19">
        <f>Table1[[#This Row],[Mid12]]+Table1[[#This Row],[Mid15]]+Table1[[#This Row],[Mid18]]+Table1[[#This Row],[Mid21]]+Table1[[#This Row],[Mid24]]</f>
        <v>0</v>
      </c>
      <c r="CQ635" s="19">
        <f>Table1[[#This Row],[Mid27]]+Table1[[#This Row],[Mid30]]+Table1[[#This Row],[Mid33]]+Table1[[#This Row],[Mid36]]+Table1[[#This Row],[Mid39]]</f>
        <v>0</v>
      </c>
      <c r="CR635" t="s">
        <v>471</v>
      </c>
      <c r="CS635" s="19" t="str">
        <f>IF(AND(Table1[[#This Row],[Low41]]=0, Table1[[#This Row],[High43]]=0),"N","Y")</f>
        <v>N</v>
      </c>
    </row>
    <row r="636" spans="1:97" ht="19.5" customHeight="1" x14ac:dyDescent="0.25">
      <c r="A636">
        <v>10634</v>
      </c>
      <c r="B636" t="s">
        <v>1897</v>
      </c>
      <c r="C636" t="s">
        <v>2059</v>
      </c>
      <c r="D636">
        <v>46.281944439999997</v>
      </c>
      <c r="E636">
        <v>-94.306388889999994</v>
      </c>
      <c r="F636" t="s">
        <v>2061</v>
      </c>
      <c r="H636" t="s">
        <v>189</v>
      </c>
      <c r="I636" t="s">
        <v>118</v>
      </c>
      <c r="J636" t="s">
        <v>119</v>
      </c>
      <c r="K636" t="s">
        <v>190</v>
      </c>
      <c r="L636" t="s">
        <v>18</v>
      </c>
      <c r="N636" s="6" t="s">
        <v>521</v>
      </c>
      <c r="O636" t="s">
        <v>1932</v>
      </c>
      <c r="P636" t="s">
        <v>436</v>
      </c>
      <c r="Q636" t="s">
        <v>195</v>
      </c>
      <c r="R636" t="s">
        <v>2036</v>
      </c>
      <c r="S636">
        <v>2015</v>
      </c>
      <c r="T636" t="s">
        <v>153</v>
      </c>
      <c r="U636" t="s">
        <v>129</v>
      </c>
      <c r="V636"/>
      <c r="AD636">
        <v>0</v>
      </c>
      <c r="AF636">
        <v>200</v>
      </c>
      <c r="AG636">
        <v>0</v>
      </c>
      <c r="AH636" t="s">
        <v>525</v>
      </c>
      <c r="AI636">
        <v>2</v>
      </c>
      <c r="AK636">
        <v>0</v>
      </c>
      <c r="AL636">
        <v>0</v>
      </c>
      <c r="AN636" t="s">
        <v>132</v>
      </c>
      <c r="CE6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3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36" t="s">
        <v>157</v>
      </c>
      <c r="CI636" t="s">
        <v>176</v>
      </c>
      <c r="CJ636" t="s">
        <v>158</v>
      </c>
      <c r="CL636" s="19">
        <f>IF(Table1[[#This Row],[Type]]="Petroleum",1,IF(ISERROR(Table1[[#This Row],[Well Density]]*Table1[[#This Row],[Single Well Discovery Area]]),"",IF(Table1[[#This Row],[Well Density]]*Table1[[#This Row],[Single Well Discovery Area]]&gt;1,1,Table1[[#This Row],[Well Density]]*Table1[[#This Row],[Single Well Discovery Area]])))</f>
        <v>0</v>
      </c>
      <c r="CM636" t="s">
        <v>158</v>
      </c>
      <c r="CN636" s="19">
        <f>Table1[[#This Row],[Mid]]</f>
        <v>0</v>
      </c>
      <c r="CO636" s="19">
        <f>Table1[[#This Row],[Mid3]]+Table1[[#This Row],[Mid6]]+Table1[[#This Row],[Mid9]]</f>
        <v>0</v>
      </c>
      <c r="CP636" s="19">
        <f>Table1[[#This Row],[Mid12]]+Table1[[#This Row],[Mid15]]+Table1[[#This Row],[Mid18]]+Table1[[#This Row],[Mid21]]+Table1[[#This Row],[Mid24]]</f>
        <v>0</v>
      </c>
      <c r="CQ636" s="19">
        <f>Table1[[#This Row],[Mid27]]+Table1[[#This Row],[Mid30]]+Table1[[#This Row],[Mid33]]+Table1[[#This Row],[Mid36]]+Table1[[#This Row],[Mid39]]</f>
        <v>0</v>
      </c>
      <c r="CR636" t="s">
        <v>471</v>
      </c>
      <c r="CS636" s="19" t="str">
        <f>IF(AND(Table1[[#This Row],[Low41]]=0, Table1[[#This Row],[High43]]=0),"N","Y")</f>
        <v>N</v>
      </c>
    </row>
    <row r="637" spans="1:97" ht="19.5" customHeight="1" x14ac:dyDescent="0.25">
      <c r="A637">
        <v>10635</v>
      </c>
      <c r="B637" t="s">
        <v>1897</v>
      </c>
      <c r="C637" t="s">
        <v>2062</v>
      </c>
      <c r="D637">
        <v>32.736388890000001</v>
      </c>
      <c r="E637">
        <v>-89.667777779999994</v>
      </c>
      <c r="F637" t="s">
        <v>2063</v>
      </c>
      <c r="H637" t="s">
        <v>189</v>
      </c>
      <c r="I637" t="s">
        <v>201</v>
      </c>
      <c r="J637" t="s">
        <v>202</v>
      </c>
      <c r="K637" t="s">
        <v>203</v>
      </c>
      <c r="L637" t="s">
        <v>121</v>
      </c>
      <c r="N637" s="6" t="s">
        <v>521</v>
      </c>
      <c r="O637" t="s">
        <v>1932</v>
      </c>
      <c r="P637" t="s">
        <v>436</v>
      </c>
      <c r="Q637" t="s">
        <v>1901</v>
      </c>
      <c r="R637" t="s">
        <v>1963</v>
      </c>
      <c r="S637">
        <v>2015</v>
      </c>
      <c r="T637" t="s">
        <v>153</v>
      </c>
      <c r="U637" t="s">
        <v>129</v>
      </c>
      <c r="V637"/>
      <c r="AD637">
        <v>0</v>
      </c>
      <c r="AF637">
        <v>200</v>
      </c>
      <c r="AG637">
        <v>0</v>
      </c>
      <c r="AH637" t="s">
        <v>1903</v>
      </c>
      <c r="AK637">
        <v>0</v>
      </c>
      <c r="AL637">
        <v>0</v>
      </c>
      <c r="AN637" t="s">
        <v>132</v>
      </c>
      <c r="BM637">
        <v>280</v>
      </c>
      <c r="BN637">
        <v>450</v>
      </c>
      <c r="BO637">
        <v>620</v>
      </c>
      <c r="CE637" s="19">
        <f>SUM(Table1[[#This Row],[Low38]],Table1[[#This Row],[Low35]],Table1[[#This Row],[Low32]],Table1[[#This Row],[Low29]],Table1[[#This Row],[Low26]],Table1[[#This Row],[Low23]],Table1[[#This Row],[Low20]],Table1[[#This Row],[Low17]],Table1[[#This Row],[Low14]],Table1[[#This Row],[Low11]],Table1[[#This Row],[Low8]],Table1[[#This Row],[Low5]],Table1[[#This Row],[Low2]],Table1[[#This Row],[Low]])</f>
        <v>280</v>
      </c>
      <c r="CF637" s="19">
        <f>SUM(Table1[[#This Row],[Mid39]],Table1[[#This Row],[Mid36]],Table1[[#This Row],[Mid33]],Table1[[#This Row],[Mid30]],Table1[[#This Row],[Mid27]],Table1[[#This Row],[Mid24]],Table1[[#This Row],[Mid21]],Table1[[#This Row],[Mid18]],Table1[[#This Row],[Mid15]],Table1[[#This Row],[Mid12]],Table1[[#This Row],[Mid9]],Table1[[#This Row],[Mid6]],Table1[[#This Row],[Mid3]],Table1[[#This Row],[Mid]])</f>
        <v>450</v>
      </c>
      <c r="CG6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620</v>
      </c>
      <c r="CH637" t="s">
        <v>157</v>
      </c>
      <c r="CI637" t="s">
        <v>176</v>
      </c>
      <c r="CJ637" t="s">
        <v>158</v>
      </c>
      <c r="CL637" s="19">
        <f>IF(Table1[[#This Row],[Type]]="Petroleum",1,IF(ISERROR(Table1[[#This Row],[Well Density]]*Table1[[#This Row],[Single Well Discovery Area]]),"",IF(Table1[[#This Row],[Well Density]]*Table1[[#This Row],[Single Well Discovery Area]]&gt;1,1,Table1[[#This Row],[Well Density]]*Table1[[#This Row],[Single Well Discovery Area]])))</f>
        <v>1</v>
      </c>
      <c r="CM637" t="s">
        <v>158</v>
      </c>
      <c r="CN637" s="19">
        <f>Table1[[#This Row],[Mid]]</f>
        <v>0</v>
      </c>
      <c r="CO637" s="19">
        <f>Table1[[#This Row],[Mid3]]+Table1[[#This Row],[Mid6]]+Table1[[#This Row],[Mid9]]</f>
        <v>0</v>
      </c>
      <c r="CP637" s="19">
        <f>Table1[[#This Row],[Mid12]]+Table1[[#This Row],[Mid15]]+Table1[[#This Row],[Mid18]]+Table1[[#This Row],[Mid21]]+Table1[[#This Row],[Mid24]]</f>
        <v>450</v>
      </c>
      <c r="CQ637" s="19">
        <f>Table1[[#This Row],[Mid27]]+Table1[[#This Row],[Mid30]]+Table1[[#This Row],[Mid33]]+Table1[[#This Row],[Mid36]]+Table1[[#This Row],[Mid39]]</f>
        <v>0</v>
      </c>
      <c r="CR637" t="s">
        <v>471</v>
      </c>
      <c r="CS637" s="19" t="str">
        <f>IF(AND(Table1[[#This Row],[Low41]]=0, Table1[[#This Row],[High43]]=0),"N","Y")</f>
        <v>Y</v>
      </c>
    </row>
    <row r="638" spans="1:97" ht="19.5" customHeight="1" x14ac:dyDescent="0.25">
      <c r="A638">
        <v>10636</v>
      </c>
      <c r="B638" t="s">
        <v>1897</v>
      </c>
      <c r="C638" t="s">
        <v>2062</v>
      </c>
      <c r="D638">
        <v>32.737499999999997</v>
      </c>
      <c r="E638">
        <v>-89.668888890000005</v>
      </c>
      <c r="F638" t="s">
        <v>2064</v>
      </c>
      <c r="H638" t="s">
        <v>189</v>
      </c>
      <c r="I638" t="s">
        <v>118</v>
      </c>
      <c r="J638" t="s">
        <v>119</v>
      </c>
      <c r="K638" t="s">
        <v>190</v>
      </c>
      <c r="L638" t="s">
        <v>18</v>
      </c>
      <c r="N638" s="6" t="s">
        <v>521</v>
      </c>
      <c r="O638" t="s">
        <v>2065</v>
      </c>
      <c r="P638" t="s">
        <v>436</v>
      </c>
      <c r="Q638" t="s">
        <v>195</v>
      </c>
      <c r="R638" t="s">
        <v>1942</v>
      </c>
      <c r="S638">
        <v>2015</v>
      </c>
      <c r="T638" t="s">
        <v>153</v>
      </c>
      <c r="U638" t="s">
        <v>129</v>
      </c>
      <c r="V638"/>
      <c r="AD638">
        <v>0</v>
      </c>
      <c r="AF638">
        <v>200</v>
      </c>
      <c r="AG638">
        <v>0</v>
      </c>
      <c r="AH638" t="s">
        <v>525</v>
      </c>
      <c r="AI638">
        <v>2</v>
      </c>
      <c r="AK638">
        <v>0</v>
      </c>
      <c r="AL638">
        <v>0</v>
      </c>
      <c r="AN638" t="s">
        <v>132</v>
      </c>
      <c r="BY638">
        <v>139020</v>
      </c>
      <c r="BZ638">
        <v>459150</v>
      </c>
      <c r="CA638">
        <v>1172030</v>
      </c>
      <c r="CE638" s="19">
        <f>SUM(Table1[[#This Row],[Low38]],Table1[[#This Row],[Low35]],Table1[[#This Row],[Low32]],Table1[[#This Row],[Low29]],Table1[[#This Row],[Low26]],Table1[[#This Row],[Low23]],Table1[[#This Row],[Low20]],Table1[[#This Row],[Low17]],Table1[[#This Row],[Low14]],Table1[[#This Row],[Low11]],Table1[[#This Row],[Low8]],Table1[[#This Row],[Low5]],Table1[[#This Row],[Low2]],Table1[[#This Row],[Low]])</f>
        <v>139020</v>
      </c>
      <c r="CF638" s="19">
        <f>SUM(Table1[[#This Row],[Mid39]],Table1[[#This Row],[Mid36]],Table1[[#This Row],[Mid33]],Table1[[#This Row],[Mid30]],Table1[[#This Row],[Mid27]],Table1[[#This Row],[Mid24]],Table1[[#This Row],[Mid21]],Table1[[#This Row],[Mid18]],Table1[[#This Row],[Mid15]],Table1[[#This Row],[Mid12]],Table1[[#This Row],[Mid9]],Table1[[#This Row],[Mid6]],Table1[[#This Row],[Mid3]],Table1[[#This Row],[Mid]])</f>
        <v>459150</v>
      </c>
      <c r="CG6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1172030</v>
      </c>
      <c r="CH638" t="s">
        <v>157</v>
      </c>
      <c r="CI638" t="s">
        <v>176</v>
      </c>
      <c r="CJ638" t="s">
        <v>158</v>
      </c>
      <c r="CL638" s="19">
        <f>IF(Table1[[#This Row],[Type]]="Petroleum",1,IF(ISERROR(Table1[[#This Row],[Well Density]]*Table1[[#This Row],[Single Well Discovery Area]]),"",IF(Table1[[#This Row],[Well Density]]*Table1[[#This Row],[Single Well Discovery Area]]&gt;1,1,Table1[[#This Row],[Well Density]]*Table1[[#This Row],[Single Well Discovery Area]])))</f>
        <v>0</v>
      </c>
      <c r="CM638" t="s">
        <v>158</v>
      </c>
      <c r="CN638" s="19">
        <f>Table1[[#This Row],[Mid]]</f>
        <v>0</v>
      </c>
      <c r="CO638" s="19">
        <f>Table1[[#This Row],[Mid3]]+Table1[[#This Row],[Mid6]]+Table1[[#This Row],[Mid9]]</f>
        <v>0</v>
      </c>
      <c r="CP638" s="19">
        <f>Table1[[#This Row],[Mid12]]+Table1[[#This Row],[Mid15]]+Table1[[#This Row],[Mid18]]+Table1[[#This Row],[Mid21]]+Table1[[#This Row],[Mid24]]</f>
        <v>0</v>
      </c>
      <c r="CQ638" s="19">
        <f>Table1[[#This Row],[Mid27]]+Table1[[#This Row],[Mid30]]+Table1[[#This Row],[Mid33]]+Table1[[#This Row],[Mid36]]+Table1[[#This Row],[Mid39]]</f>
        <v>459150</v>
      </c>
      <c r="CR638" t="s">
        <v>471</v>
      </c>
      <c r="CS638" s="19" t="str">
        <f>IF(AND(Table1[[#This Row],[Low41]]=0, Table1[[#This Row],[High43]]=0),"N","Y")</f>
        <v>Y</v>
      </c>
    </row>
    <row r="639" spans="1:97" ht="19.5" customHeight="1" x14ac:dyDescent="0.25">
      <c r="A639">
        <v>10637</v>
      </c>
      <c r="B639" t="s">
        <v>1897</v>
      </c>
      <c r="C639" t="s">
        <v>2066</v>
      </c>
      <c r="D639">
        <v>38.356666670000003</v>
      </c>
      <c r="E639">
        <v>-92.458055560000005</v>
      </c>
      <c r="F639" t="s">
        <v>2067</v>
      </c>
      <c r="H639" t="s">
        <v>189</v>
      </c>
      <c r="I639" t="s">
        <v>201</v>
      </c>
      <c r="J639" t="s">
        <v>202</v>
      </c>
      <c r="K639" t="s">
        <v>203</v>
      </c>
      <c r="L639" t="s">
        <v>121</v>
      </c>
      <c r="N639" s="6" t="s">
        <v>521</v>
      </c>
      <c r="O639" t="s">
        <v>1932</v>
      </c>
      <c r="P639" t="s">
        <v>436</v>
      </c>
      <c r="Q639" t="s">
        <v>1901</v>
      </c>
      <c r="R639" t="s">
        <v>2036</v>
      </c>
      <c r="S639">
        <v>2015</v>
      </c>
      <c r="T639" t="s">
        <v>153</v>
      </c>
      <c r="U639" t="s">
        <v>129</v>
      </c>
      <c r="V639"/>
      <c r="AD639">
        <v>0</v>
      </c>
      <c r="AF639">
        <v>200</v>
      </c>
      <c r="AG639">
        <v>0</v>
      </c>
      <c r="AH639" t="s">
        <v>1903</v>
      </c>
      <c r="AK639">
        <v>0</v>
      </c>
      <c r="AL639">
        <v>0</v>
      </c>
      <c r="AN639" t="s">
        <v>132</v>
      </c>
      <c r="CE63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3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39" t="s">
        <v>157</v>
      </c>
      <c r="CI639" t="s">
        <v>176</v>
      </c>
      <c r="CJ639" t="s">
        <v>158</v>
      </c>
      <c r="CL639" s="19">
        <f>IF(Table1[[#This Row],[Type]]="Petroleum",1,IF(ISERROR(Table1[[#This Row],[Well Density]]*Table1[[#This Row],[Single Well Discovery Area]]),"",IF(Table1[[#This Row],[Well Density]]*Table1[[#This Row],[Single Well Discovery Area]]&gt;1,1,Table1[[#This Row],[Well Density]]*Table1[[#This Row],[Single Well Discovery Area]])))</f>
        <v>1</v>
      </c>
      <c r="CM639" t="s">
        <v>158</v>
      </c>
      <c r="CN639" s="19">
        <f>Table1[[#This Row],[Mid]]</f>
        <v>0</v>
      </c>
      <c r="CO639" s="19">
        <f>Table1[[#This Row],[Mid3]]+Table1[[#This Row],[Mid6]]+Table1[[#This Row],[Mid9]]</f>
        <v>0</v>
      </c>
      <c r="CP639" s="19">
        <f>Table1[[#This Row],[Mid12]]+Table1[[#This Row],[Mid15]]+Table1[[#This Row],[Mid18]]+Table1[[#This Row],[Mid21]]+Table1[[#This Row],[Mid24]]</f>
        <v>0</v>
      </c>
      <c r="CQ639" s="19">
        <f>Table1[[#This Row],[Mid27]]+Table1[[#This Row],[Mid30]]+Table1[[#This Row],[Mid33]]+Table1[[#This Row],[Mid36]]+Table1[[#This Row],[Mid39]]</f>
        <v>0</v>
      </c>
      <c r="CR639" t="s">
        <v>471</v>
      </c>
      <c r="CS639" s="19" t="str">
        <f>IF(AND(Table1[[#This Row],[Low41]]=0, Table1[[#This Row],[High43]]=0),"N","Y")</f>
        <v>N</v>
      </c>
    </row>
    <row r="640" spans="1:97" ht="19.5" customHeight="1" x14ac:dyDescent="0.25">
      <c r="A640">
        <v>10638</v>
      </c>
      <c r="B640" t="s">
        <v>1897</v>
      </c>
      <c r="C640" t="s">
        <v>2066</v>
      </c>
      <c r="D640">
        <v>38.357777779999999</v>
      </c>
      <c r="E640">
        <v>-92.459166670000002</v>
      </c>
      <c r="F640" t="s">
        <v>2068</v>
      </c>
      <c r="H640" t="s">
        <v>189</v>
      </c>
      <c r="I640" t="s">
        <v>118</v>
      </c>
      <c r="J640" t="s">
        <v>119</v>
      </c>
      <c r="K640" t="s">
        <v>190</v>
      </c>
      <c r="L640" t="s">
        <v>18</v>
      </c>
      <c r="N640" s="6" t="s">
        <v>521</v>
      </c>
      <c r="O640" t="s">
        <v>1932</v>
      </c>
      <c r="P640" t="s">
        <v>436</v>
      </c>
      <c r="Q640" t="s">
        <v>195</v>
      </c>
      <c r="R640" t="s">
        <v>1942</v>
      </c>
      <c r="S640">
        <v>2015</v>
      </c>
      <c r="T640" t="s">
        <v>153</v>
      </c>
      <c r="U640" t="s">
        <v>129</v>
      </c>
      <c r="V640"/>
      <c r="AD640">
        <v>0</v>
      </c>
      <c r="AF640">
        <v>200</v>
      </c>
      <c r="AG640">
        <v>0</v>
      </c>
      <c r="AH640" t="s">
        <v>525</v>
      </c>
      <c r="AI640">
        <v>2</v>
      </c>
      <c r="AK640">
        <v>0</v>
      </c>
      <c r="AL640">
        <v>0</v>
      </c>
      <c r="AN640" t="s">
        <v>132</v>
      </c>
      <c r="BY640">
        <v>20</v>
      </c>
      <c r="BZ640">
        <v>100</v>
      </c>
      <c r="CA640">
        <v>290</v>
      </c>
      <c r="CE640" s="19">
        <f>SUM(Table1[[#This Row],[Low38]],Table1[[#This Row],[Low35]],Table1[[#This Row],[Low32]],Table1[[#This Row],[Low29]],Table1[[#This Row],[Low26]],Table1[[#This Row],[Low23]],Table1[[#This Row],[Low20]],Table1[[#This Row],[Low17]],Table1[[#This Row],[Low14]],Table1[[#This Row],[Low11]],Table1[[#This Row],[Low8]],Table1[[#This Row],[Low5]],Table1[[#This Row],[Low2]],Table1[[#This Row],[Low]])</f>
        <v>20</v>
      </c>
      <c r="CF640"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6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290</v>
      </c>
      <c r="CH640" t="s">
        <v>157</v>
      </c>
      <c r="CI640" t="s">
        <v>176</v>
      </c>
      <c r="CJ640" t="s">
        <v>158</v>
      </c>
      <c r="CL640" s="19">
        <f>IF(Table1[[#This Row],[Type]]="Petroleum",1,IF(ISERROR(Table1[[#This Row],[Well Density]]*Table1[[#This Row],[Single Well Discovery Area]]),"",IF(Table1[[#This Row],[Well Density]]*Table1[[#This Row],[Single Well Discovery Area]]&gt;1,1,Table1[[#This Row],[Well Density]]*Table1[[#This Row],[Single Well Discovery Area]])))</f>
        <v>0</v>
      </c>
      <c r="CM640" t="s">
        <v>158</v>
      </c>
      <c r="CN640" s="19">
        <f>Table1[[#This Row],[Mid]]</f>
        <v>0</v>
      </c>
      <c r="CO640" s="19">
        <f>Table1[[#This Row],[Mid3]]+Table1[[#This Row],[Mid6]]+Table1[[#This Row],[Mid9]]</f>
        <v>0</v>
      </c>
      <c r="CP640" s="19">
        <f>Table1[[#This Row],[Mid12]]+Table1[[#This Row],[Mid15]]+Table1[[#This Row],[Mid18]]+Table1[[#This Row],[Mid21]]+Table1[[#This Row],[Mid24]]</f>
        <v>0</v>
      </c>
      <c r="CQ640" s="19">
        <f>Table1[[#This Row],[Mid27]]+Table1[[#This Row],[Mid30]]+Table1[[#This Row],[Mid33]]+Table1[[#This Row],[Mid36]]+Table1[[#This Row],[Mid39]]</f>
        <v>100</v>
      </c>
      <c r="CR640" t="s">
        <v>471</v>
      </c>
      <c r="CS640" s="19" t="str">
        <f>IF(AND(Table1[[#This Row],[Low41]]=0, Table1[[#This Row],[High43]]=0),"N","Y")</f>
        <v>Y</v>
      </c>
    </row>
    <row r="641" spans="1:97" ht="19.5" customHeight="1" x14ac:dyDescent="0.25">
      <c r="A641">
        <v>10639</v>
      </c>
      <c r="B641" t="s">
        <v>1897</v>
      </c>
      <c r="C641" t="s">
        <v>2069</v>
      </c>
      <c r="D641">
        <v>48.383611109999997</v>
      </c>
      <c r="E641">
        <v>-107.6027778</v>
      </c>
      <c r="F641" t="s">
        <v>2070</v>
      </c>
      <c r="G641" t="s">
        <v>595</v>
      </c>
      <c r="H641" t="s">
        <v>189</v>
      </c>
      <c r="I641" t="s">
        <v>118</v>
      </c>
      <c r="J641" t="s">
        <v>119</v>
      </c>
      <c r="K641" t="s">
        <v>203</v>
      </c>
      <c r="L641" t="s">
        <v>18</v>
      </c>
      <c r="M641" t="s">
        <v>191</v>
      </c>
      <c r="N641" s="6" t="s">
        <v>521</v>
      </c>
      <c r="O641" t="s">
        <v>2071</v>
      </c>
      <c r="P641" t="s">
        <v>170</v>
      </c>
      <c r="Q641"/>
      <c r="R641" t="s">
        <v>18</v>
      </c>
      <c r="S641">
        <v>2015</v>
      </c>
      <c r="T641" t="s">
        <v>153</v>
      </c>
      <c r="U641" t="s">
        <v>129</v>
      </c>
      <c r="V641"/>
      <c r="AD641">
        <v>0</v>
      </c>
      <c r="AF641">
        <v>200</v>
      </c>
      <c r="AG641">
        <v>0</v>
      </c>
      <c r="AK641">
        <v>0</v>
      </c>
      <c r="AL641">
        <v>0</v>
      </c>
      <c r="AN641" t="s">
        <v>132</v>
      </c>
      <c r="BW641">
        <v>2900</v>
      </c>
      <c r="CE64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41" s="19">
        <f>SUM(Table1[[#This Row],[Mid39]],Table1[[#This Row],[Mid36]],Table1[[#This Row],[Mid33]],Table1[[#This Row],[Mid30]],Table1[[#This Row],[Mid27]],Table1[[#This Row],[Mid24]],Table1[[#This Row],[Mid21]],Table1[[#This Row],[Mid18]],Table1[[#This Row],[Mid15]],Table1[[#This Row],[Mid12]],Table1[[#This Row],[Mid9]],Table1[[#This Row],[Mid6]],Table1[[#This Row],[Mid3]],Table1[[#This Row],[Mid]])</f>
        <v>2900</v>
      </c>
      <c r="CG6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41" t="s">
        <v>157</v>
      </c>
      <c r="CI641" t="s">
        <v>176</v>
      </c>
      <c r="CJ641" t="s">
        <v>158</v>
      </c>
      <c r="CL641" s="19">
        <f>IF(Table1[[#This Row],[Type]]="Petroleum",1,IF(ISERROR(Table1[[#This Row],[Well Density]]*Table1[[#This Row],[Single Well Discovery Area]]),"",IF(Table1[[#This Row],[Well Density]]*Table1[[#This Row],[Single Well Discovery Area]]&gt;1,1,Table1[[#This Row],[Well Density]]*Table1[[#This Row],[Single Well Discovery Area]])))</f>
        <v>0</v>
      </c>
      <c r="CM641" t="s">
        <v>158</v>
      </c>
      <c r="CN641" s="19">
        <f>Table1[[#This Row],[Mid]]</f>
        <v>0</v>
      </c>
      <c r="CO641" s="19">
        <f>Table1[[#This Row],[Mid3]]+Table1[[#This Row],[Mid6]]+Table1[[#This Row],[Mid9]]</f>
        <v>0</v>
      </c>
      <c r="CP641" s="19">
        <f>Table1[[#This Row],[Mid12]]+Table1[[#This Row],[Mid15]]+Table1[[#This Row],[Mid18]]+Table1[[#This Row],[Mid21]]+Table1[[#This Row],[Mid24]]</f>
        <v>0</v>
      </c>
      <c r="CQ641" s="19">
        <f>Table1[[#This Row],[Mid27]]+Table1[[#This Row],[Mid30]]+Table1[[#This Row],[Mid33]]+Table1[[#This Row],[Mid36]]+Table1[[#This Row],[Mid39]]</f>
        <v>2900</v>
      </c>
      <c r="CR641" t="s">
        <v>471</v>
      </c>
      <c r="CS641" s="19" t="str">
        <f>IF(AND(Table1[[#This Row],[Low41]]=0, Table1[[#This Row],[High43]]=0),"N","Y")</f>
        <v>N</v>
      </c>
    </row>
    <row r="642" spans="1:97" ht="19.5" customHeight="1" x14ac:dyDescent="0.25">
      <c r="A642">
        <v>10640</v>
      </c>
      <c r="B642" t="s">
        <v>1897</v>
      </c>
      <c r="C642" t="s">
        <v>2069</v>
      </c>
      <c r="D642">
        <v>47.108333330000001</v>
      </c>
      <c r="E642">
        <v>-104.7108333</v>
      </c>
      <c r="F642" t="s">
        <v>2072</v>
      </c>
      <c r="H642" t="s">
        <v>2073</v>
      </c>
      <c r="I642" t="s">
        <v>118</v>
      </c>
      <c r="J642" t="s">
        <v>119</v>
      </c>
      <c r="K642" t="s">
        <v>190</v>
      </c>
      <c r="L642" t="s">
        <v>18</v>
      </c>
      <c r="M642" t="s">
        <v>535</v>
      </c>
      <c r="N642" s="6" t="s">
        <v>521</v>
      </c>
      <c r="O642" t="s">
        <v>2074</v>
      </c>
      <c r="P642" t="s">
        <v>170</v>
      </c>
      <c r="Q642"/>
      <c r="R642" t="s">
        <v>1911</v>
      </c>
      <c r="S642">
        <v>2015</v>
      </c>
      <c r="T642" t="s">
        <v>153</v>
      </c>
      <c r="U642" t="s">
        <v>129</v>
      </c>
      <c r="V642"/>
      <c r="X642">
        <v>213</v>
      </c>
      <c r="AD642">
        <v>0</v>
      </c>
      <c r="AF642">
        <v>200</v>
      </c>
      <c r="AG642">
        <v>0</v>
      </c>
      <c r="AK642">
        <v>0</v>
      </c>
      <c r="AL642">
        <v>0</v>
      </c>
      <c r="AN642" t="s">
        <v>132</v>
      </c>
      <c r="BW642">
        <v>25000</v>
      </c>
      <c r="BX642">
        <v>102000</v>
      </c>
      <c r="CE6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42" s="19">
        <f>SUM(Table1[[#This Row],[Mid39]],Table1[[#This Row],[Mid36]],Table1[[#This Row],[Mid33]],Table1[[#This Row],[Mid30]],Table1[[#This Row],[Mid27]],Table1[[#This Row],[Mid24]],Table1[[#This Row],[Mid21]],Table1[[#This Row],[Mid18]],Table1[[#This Row],[Mid15]],Table1[[#This Row],[Mid12]],Table1[[#This Row],[Mid9]],Table1[[#This Row],[Mid6]],Table1[[#This Row],[Mid3]],Table1[[#This Row],[Mid]])</f>
        <v>25000</v>
      </c>
      <c r="CG6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102000</v>
      </c>
      <c r="CH642" t="s">
        <v>157</v>
      </c>
      <c r="CI642" t="s">
        <v>176</v>
      </c>
      <c r="CJ642" t="s">
        <v>158</v>
      </c>
      <c r="CL642" s="19">
        <f>IF(Table1[[#This Row],[Type]]="Petroleum",1,IF(ISERROR(Table1[[#This Row],[Well Density]]*Table1[[#This Row],[Single Well Discovery Area]]),"",IF(Table1[[#This Row],[Well Density]]*Table1[[#This Row],[Single Well Discovery Area]]&gt;1,1,Table1[[#This Row],[Well Density]]*Table1[[#This Row],[Single Well Discovery Area]])))</f>
        <v>0</v>
      </c>
      <c r="CM642" t="s">
        <v>158</v>
      </c>
      <c r="CN642" s="19">
        <f>Table1[[#This Row],[Mid]]</f>
        <v>0</v>
      </c>
      <c r="CO642" s="19">
        <f>Table1[[#This Row],[Mid3]]+Table1[[#This Row],[Mid6]]+Table1[[#This Row],[Mid9]]</f>
        <v>0</v>
      </c>
      <c r="CP642" s="19">
        <f>Table1[[#This Row],[Mid12]]+Table1[[#This Row],[Mid15]]+Table1[[#This Row],[Mid18]]+Table1[[#This Row],[Mid21]]+Table1[[#This Row],[Mid24]]</f>
        <v>0</v>
      </c>
      <c r="CQ642" s="19">
        <f>Table1[[#This Row],[Mid27]]+Table1[[#This Row],[Mid30]]+Table1[[#This Row],[Mid33]]+Table1[[#This Row],[Mid36]]+Table1[[#This Row],[Mid39]]</f>
        <v>25000</v>
      </c>
      <c r="CR642" t="s">
        <v>471</v>
      </c>
      <c r="CS642" s="19" t="str">
        <f>IF(AND(Table1[[#This Row],[Low41]]=0, Table1[[#This Row],[High43]]=0),"N","Y")</f>
        <v>Y</v>
      </c>
    </row>
    <row r="643" spans="1:97" ht="19.5" customHeight="1" x14ac:dyDescent="0.25">
      <c r="A643">
        <v>10641</v>
      </c>
      <c r="B643" t="s">
        <v>1897</v>
      </c>
      <c r="C643" t="s">
        <v>2069</v>
      </c>
      <c r="D643">
        <v>47.676111110000001</v>
      </c>
      <c r="E643">
        <v>-108.36583330000001</v>
      </c>
      <c r="F643" t="s">
        <v>2075</v>
      </c>
      <c r="H643" t="s">
        <v>2073</v>
      </c>
      <c r="I643" t="s">
        <v>118</v>
      </c>
      <c r="J643" t="s">
        <v>119</v>
      </c>
      <c r="K643" t="s">
        <v>190</v>
      </c>
      <c r="L643" t="s">
        <v>18</v>
      </c>
      <c r="M643" t="s">
        <v>535</v>
      </c>
      <c r="N643" s="6" t="s">
        <v>521</v>
      </c>
      <c r="O643" t="s">
        <v>2076</v>
      </c>
      <c r="P643" t="s">
        <v>170</v>
      </c>
      <c r="Q643" t="s">
        <v>195</v>
      </c>
      <c r="R643" t="s">
        <v>1911</v>
      </c>
      <c r="S643">
        <v>2015</v>
      </c>
      <c r="T643" t="s">
        <v>153</v>
      </c>
      <c r="U643" t="s">
        <v>129</v>
      </c>
      <c r="V643"/>
      <c r="X643">
        <v>150</v>
      </c>
      <c r="AD643">
        <v>0</v>
      </c>
      <c r="AF643">
        <v>200</v>
      </c>
      <c r="AG643">
        <v>0</v>
      </c>
      <c r="AK643">
        <v>0</v>
      </c>
      <c r="AL643">
        <v>0</v>
      </c>
      <c r="AN643" t="s">
        <v>132</v>
      </c>
      <c r="BW643">
        <v>15000</v>
      </c>
      <c r="BX643">
        <v>59000</v>
      </c>
      <c r="CE64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43" s="19">
        <f>SUM(Table1[[#This Row],[Mid39]],Table1[[#This Row],[Mid36]],Table1[[#This Row],[Mid33]],Table1[[#This Row],[Mid30]],Table1[[#This Row],[Mid27]],Table1[[#This Row],[Mid24]],Table1[[#This Row],[Mid21]],Table1[[#This Row],[Mid18]],Table1[[#This Row],[Mid15]],Table1[[#This Row],[Mid12]],Table1[[#This Row],[Mid9]],Table1[[#This Row],[Mid6]],Table1[[#This Row],[Mid3]],Table1[[#This Row],[Mid]])</f>
        <v>15000</v>
      </c>
      <c r="CG6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59000</v>
      </c>
      <c r="CH643" t="s">
        <v>157</v>
      </c>
      <c r="CI643" t="s">
        <v>176</v>
      </c>
      <c r="CJ643" t="s">
        <v>135</v>
      </c>
      <c r="CL643" s="19">
        <f>IF(Table1[[#This Row],[Type]]="Petroleum",1,IF(ISERROR(Table1[[#This Row],[Well Density]]*Table1[[#This Row],[Single Well Discovery Area]]),"",IF(Table1[[#This Row],[Well Density]]*Table1[[#This Row],[Single Well Discovery Area]]&gt;1,1,Table1[[#This Row],[Well Density]]*Table1[[#This Row],[Single Well Discovery Area]])))</f>
        <v>0</v>
      </c>
      <c r="CM643" t="s">
        <v>158</v>
      </c>
      <c r="CN643" s="19">
        <f>Table1[[#This Row],[Mid]]</f>
        <v>0</v>
      </c>
      <c r="CO643" s="19">
        <f>Table1[[#This Row],[Mid3]]+Table1[[#This Row],[Mid6]]+Table1[[#This Row],[Mid9]]</f>
        <v>0</v>
      </c>
      <c r="CP643" s="19">
        <f>Table1[[#This Row],[Mid12]]+Table1[[#This Row],[Mid15]]+Table1[[#This Row],[Mid18]]+Table1[[#This Row],[Mid21]]+Table1[[#This Row],[Mid24]]</f>
        <v>0</v>
      </c>
      <c r="CQ643" s="19">
        <f>Table1[[#This Row],[Mid27]]+Table1[[#This Row],[Mid30]]+Table1[[#This Row],[Mid33]]+Table1[[#This Row],[Mid36]]+Table1[[#This Row],[Mid39]]</f>
        <v>15000</v>
      </c>
      <c r="CR643" t="s">
        <v>471</v>
      </c>
      <c r="CS643" s="19" t="str">
        <f>IF(AND(Table1[[#This Row],[Low41]]=0, Table1[[#This Row],[High43]]=0),"N","Y")</f>
        <v>Y</v>
      </c>
    </row>
    <row r="644" spans="1:97" ht="19.5" customHeight="1" x14ac:dyDescent="0.25">
      <c r="A644">
        <v>10642</v>
      </c>
      <c r="B644" t="s">
        <v>1897</v>
      </c>
      <c r="C644" t="s">
        <v>2069</v>
      </c>
      <c r="D644">
        <v>48.744999999999997</v>
      </c>
      <c r="E644">
        <v>-111.96611110000001</v>
      </c>
      <c r="F644" t="s">
        <v>2077</v>
      </c>
      <c r="H644" t="s">
        <v>2073</v>
      </c>
      <c r="I644" t="s">
        <v>118</v>
      </c>
      <c r="J644" t="s">
        <v>119</v>
      </c>
      <c r="K644" t="s">
        <v>203</v>
      </c>
      <c r="L644" t="s">
        <v>121</v>
      </c>
      <c r="M644" t="s">
        <v>535</v>
      </c>
      <c r="N644" s="6" t="s">
        <v>521</v>
      </c>
      <c r="O644" t="s">
        <v>2078</v>
      </c>
      <c r="P644" t="s">
        <v>170</v>
      </c>
      <c r="Q644"/>
      <c r="R644" t="s">
        <v>2079</v>
      </c>
      <c r="S644">
        <v>2019</v>
      </c>
      <c r="T644" t="s">
        <v>153</v>
      </c>
      <c r="U644" t="s">
        <v>129</v>
      </c>
      <c r="V644">
        <v>1800</v>
      </c>
      <c r="W644">
        <v>1000</v>
      </c>
      <c r="X644">
        <v>30.5</v>
      </c>
      <c r="Z644">
        <v>15</v>
      </c>
      <c r="AD644">
        <v>5</v>
      </c>
      <c r="AE644">
        <v>2.7777779999999998E-3</v>
      </c>
      <c r="AF644">
        <v>200</v>
      </c>
      <c r="AG644">
        <v>6.8947599999999998E-2</v>
      </c>
      <c r="AK644">
        <v>0.12755306</v>
      </c>
      <c r="AL644">
        <v>0</v>
      </c>
      <c r="AN644" t="s">
        <v>132</v>
      </c>
      <c r="BM644">
        <v>0.7</v>
      </c>
      <c r="BN644">
        <v>1.1000000000000001</v>
      </c>
      <c r="BO644">
        <v>1.7</v>
      </c>
      <c r="CE644" s="19">
        <f>SUM(Table1[[#This Row],[Low38]],Table1[[#This Row],[Low35]],Table1[[#This Row],[Low32]],Table1[[#This Row],[Low29]],Table1[[#This Row],[Low26]],Table1[[#This Row],[Low23]],Table1[[#This Row],[Low20]],Table1[[#This Row],[Low17]],Table1[[#This Row],[Low14]],Table1[[#This Row],[Low11]],Table1[[#This Row],[Low8]],Table1[[#This Row],[Low5]],Table1[[#This Row],[Low2]],Table1[[#This Row],[Low]])</f>
        <v>0.7</v>
      </c>
      <c r="CF644" s="19">
        <f>SUM(Table1[[#This Row],[Mid39]],Table1[[#This Row],[Mid36]],Table1[[#This Row],[Mid33]],Table1[[#This Row],[Mid30]],Table1[[#This Row],[Mid27]],Table1[[#This Row],[Mid24]],Table1[[#This Row],[Mid21]],Table1[[#This Row],[Mid18]],Table1[[#This Row],[Mid15]],Table1[[#This Row],[Mid12]],Table1[[#This Row],[Mid9]],Table1[[#This Row],[Mid6]],Table1[[#This Row],[Mid3]],Table1[[#This Row],[Mid]])</f>
        <v>1.1000000000000001</v>
      </c>
      <c r="CG6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1.7</v>
      </c>
      <c r="CH644" t="s">
        <v>157</v>
      </c>
      <c r="CI644" t="s">
        <v>176</v>
      </c>
      <c r="CJ644" t="s">
        <v>135</v>
      </c>
      <c r="CL644" s="19">
        <f>IF(Table1[[#This Row],[Type]]="Petroleum",1,IF(ISERROR(Table1[[#This Row],[Well Density]]*Table1[[#This Row],[Single Well Discovery Area]]),"",IF(Table1[[#This Row],[Well Density]]*Table1[[#This Row],[Single Well Discovery Area]]&gt;1,1,Table1[[#This Row],[Well Density]]*Table1[[#This Row],[Single Well Discovery Area]])))</f>
        <v>0.55555559999999993</v>
      </c>
      <c r="CM644" t="s">
        <v>158</v>
      </c>
      <c r="CN644" s="19">
        <f>Table1[[#This Row],[Mid]]</f>
        <v>0</v>
      </c>
      <c r="CO644" s="19">
        <f>Table1[[#This Row],[Mid3]]+Table1[[#This Row],[Mid6]]+Table1[[#This Row],[Mid9]]</f>
        <v>0</v>
      </c>
      <c r="CP644" s="19">
        <f>Table1[[#This Row],[Mid12]]+Table1[[#This Row],[Mid15]]+Table1[[#This Row],[Mid18]]+Table1[[#This Row],[Mid21]]+Table1[[#This Row],[Mid24]]</f>
        <v>1.1000000000000001</v>
      </c>
      <c r="CQ644" s="19">
        <f>Table1[[#This Row],[Mid27]]+Table1[[#This Row],[Mid30]]+Table1[[#This Row],[Mid33]]+Table1[[#This Row],[Mid36]]+Table1[[#This Row],[Mid39]]</f>
        <v>0</v>
      </c>
      <c r="CR644" t="s">
        <v>471</v>
      </c>
      <c r="CS644" s="19" t="str">
        <f>IF(AND(Table1[[#This Row],[Low41]]=0, Table1[[#This Row],[High43]]=0),"N","Y")</f>
        <v>Y</v>
      </c>
    </row>
    <row r="645" spans="1:97" ht="19.5" customHeight="1" x14ac:dyDescent="0.25">
      <c r="A645">
        <v>10643</v>
      </c>
      <c r="B645" t="s">
        <v>1897</v>
      </c>
      <c r="C645" t="s">
        <v>2069</v>
      </c>
      <c r="D645">
        <v>47.05277778</v>
      </c>
      <c r="E645">
        <v>-109.6333333</v>
      </c>
      <c r="F645" t="s">
        <v>2080</v>
      </c>
      <c r="H645" t="s">
        <v>189</v>
      </c>
      <c r="I645" t="s">
        <v>201</v>
      </c>
      <c r="J645" t="s">
        <v>202</v>
      </c>
      <c r="K645" t="s">
        <v>203</v>
      </c>
      <c r="L645" t="s">
        <v>121</v>
      </c>
      <c r="N645" s="6" t="s">
        <v>521</v>
      </c>
      <c r="P645" t="s">
        <v>436</v>
      </c>
      <c r="Q645" t="s">
        <v>1901</v>
      </c>
      <c r="R645" t="s">
        <v>1963</v>
      </c>
      <c r="S645">
        <v>2015</v>
      </c>
      <c r="T645" t="s">
        <v>153</v>
      </c>
      <c r="U645" t="s">
        <v>129</v>
      </c>
      <c r="V645"/>
      <c r="AD645">
        <v>0</v>
      </c>
      <c r="AF645">
        <v>200</v>
      </c>
      <c r="AG645">
        <v>0</v>
      </c>
      <c r="AH645" t="s">
        <v>1903</v>
      </c>
      <c r="AK645">
        <v>0</v>
      </c>
      <c r="AL645">
        <v>0</v>
      </c>
      <c r="AN645" t="s">
        <v>132</v>
      </c>
      <c r="BM645">
        <v>150</v>
      </c>
      <c r="BN645">
        <v>380</v>
      </c>
      <c r="BO645">
        <v>900</v>
      </c>
      <c r="CE645" s="19">
        <f>SUM(Table1[[#This Row],[Low38]],Table1[[#This Row],[Low35]],Table1[[#This Row],[Low32]],Table1[[#This Row],[Low29]],Table1[[#This Row],[Low26]],Table1[[#This Row],[Low23]],Table1[[#This Row],[Low20]],Table1[[#This Row],[Low17]],Table1[[#This Row],[Low14]],Table1[[#This Row],[Low11]],Table1[[#This Row],[Low8]],Table1[[#This Row],[Low5]],Table1[[#This Row],[Low2]],Table1[[#This Row],[Low]])</f>
        <v>150</v>
      </c>
      <c r="CF645" s="19">
        <f>SUM(Table1[[#This Row],[Mid39]],Table1[[#This Row],[Mid36]],Table1[[#This Row],[Mid33]],Table1[[#This Row],[Mid30]],Table1[[#This Row],[Mid27]],Table1[[#This Row],[Mid24]],Table1[[#This Row],[Mid21]],Table1[[#This Row],[Mid18]],Table1[[#This Row],[Mid15]],Table1[[#This Row],[Mid12]],Table1[[#This Row],[Mid9]],Table1[[#This Row],[Mid6]],Table1[[#This Row],[Mid3]],Table1[[#This Row],[Mid]])</f>
        <v>380</v>
      </c>
      <c r="CG6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900</v>
      </c>
      <c r="CH645" t="s">
        <v>157</v>
      </c>
      <c r="CI645" t="s">
        <v>176</v>
      </c>
      <c r="CJ645" t="s">
        <v>158</v>
      </c>
      <c r="CL645" s="19">
        <f>IF(Table1[[#This Row],[Type]]="Petroleum",1,IF(ISERROR(Table1[[#This Row],[Well Density]]*Table1[[#This Row],[Single Well Discovery Area]]),"",IF(Table1[[#This Row],[Well Density]]*Table1[[#This Row],[Single Well Discovery Area]]&gt;1,1,Table1[[#This Row],[Well Density]]*Table1[[#This Row],[Single Well Discovery Area]])))</f>
        <v>1</v>
      </c>
      <c r="CM645" t="s">
        <v>158</v>
      </c>
      <c r="CN645" s="19">
        <f>Table1[[#This Row],[Mid]]</f>
        <v>0</v>
      </c>
      <c r="CO645" s="19">
        <f>Table1[[#This Row],[Mid3]]+Table1[[#This Row],[Mid6]]+Table1[[#This Row],[Mid9]]</f>
        <v>0</v>
      </c>
      <c r="CP645" s="19">
        <f>Table1[[#This Row],[Mid12]]+Table1[[#This Row],[Mid15]]+Table1[[#This Row],[Mid18]]+Table1[[#This Row],[Mid21]]+Table1[[#This Row],[Mid24]]</f>
        <v>380</v>
      </c>
      <c r="CQ645" s="19">
        <f>Table1[[#This Row],[Mid27]]+Table1[[#This Row],[Mid30]]+Table1[[#This Row],[Mid33]]+Table1[[#This Row],[Mid36]]+Table1[[#This Row],[Mid39]]</f>
        <v>0</v>
      </c>
      <c r="CR645" t="s">
        <v>471</v>
      </c>
      <c r="CS645" s="19" t="str">
        <f>IF(AND(Table1[[#This Row],[Low41]]=0, Table1[[#This Row],[High43]]=0),"N","Y")</f>
        <v>Y</v>
      </c>
    </row>
    <row r="646" spans="1:97" ht="19.5" customHeight="1" x14ac:dyDescent="0.25">
      <c r="A646">
        <v>10644</v>
      </c>
      <c r="B646" t="s">
        <v>1897</v>
      </c>
      <c r="C646" t="s">
        <v>2069</v>
      </c>
      <c r="D646">
        <v>47.051666670000003</v>
      </c>
      <c r="E646">
        <v>-109.6322222</v>
      </c>
      <c r="F646" t="s">
        <v>2081</v>
      </c>
      <c r="H646" t="s">
        <v>189</v>
      </c>
      <c r="I646" t="s">
        <v>118</v>
      </c>
      <c r="J646" t="s">
        <v>119</v>
      </c>
      <c r="K646" t="s">
        <v>190</v>
      </c>
      <c r="L646" t="s">
        <v>18</v>
      </c>
      <c r="N646" s="6" t="s">
        <v>521</v>
      </c>
      <c r="O646" t="s">
        <v>2082</v>
      </c>
      <c r="P646" t="s">
        <v>436</v>
      </c>
      <c r="Q646" t="s">
        <v>195</v>
      </c>
      <c r="R646" t="s">
        <v>2083</v>
      </c>
      <c r="S646">
        <v>2015</v>
      </c>
      <c r="T646" t="s">
        <v>153</v>
      </c>
      <c r="U646" t="s">
        <v>129</v>
      </c>
      <c r="V646"/>
      <c r="AD646">
        <v>0</v>
      </c>
      <c r="AF646">
        <v>200</v>
      </c>
      <c r="AG646">
        <v>0</v>
      </c>
      <c r="AH646" t="s">
        <v>525</v>
      </c>
      <c r="AI646">
        <v>2</v>
      </c>
      <c r="AK646">
        <v>0</v>
      </c>
      <c r="AL646">
        <v>0</v>
      </c>
      <c r="AN646" t="s">
        <v>132</v>
      </c>
      <c r="CE64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4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46" t="s">
        <v>157</v>
      </c>
      <c r="CI646" t="s">
        <v>176</v>
      </c>
      <c r="CJ646" t="s">
        <v>158</v>
      </c>
      <c r="CL646" s="19">
        <f>IF(Table1[[#This Row],[Type]]="Petroleum",1,IF(ISERROR(Table1[[#This Row],[Well Density]]*Table1[[#This Row],[Single Well Discovery Area]]),"",IF(Table1[[#This Row],[Well Density]]*Table1[[#This Row],[Single Well Discovery Area]]&gt;1,1,Table1[[#This Row],[Well Density]]*Table1[[#This Row],[Single Well Discovery Area]])))</f>
        <v>0</v>
      </c>
      <c r="CM646" t="s">
        <v>158</v>
      </c>
      <c r="CN646" s="19">
        <f>Table1[[#This Row],[Mid]]</f>
        <v>0</v>
      </c>
      <c r="CO646" s="19">
        <f>Table1[[#This Row],[Mid3]]+Table1[[#This Row],[Mid6]]+Table1[[#This Row],[Mid9]]</f>
        <v>0</v>
      </c>
      <c r="CP646" s="19">
        <f>Table1[[#This Row],[Mid12]]+Table1[[#This Row],[Mid15]]+Table1[[#This Row],[Mid18]]+Table1[[#This Row],[Mid21]]+Table1[[#This Row],[Mid24]]</f>
        <v>0</v>
      </c>
      <c r="CQ646" s="19">
        <f>Table1[[#This Row],[Mid27]]+Table1[[#This Row],[Mid30]]+Table1[[#This Row],[Mid33]]+Table1[[#This Row],[Mid36]]+Table1[[#This Row],[Mid39]]</f>
        <v>0</v>
      </c>
      <c r="CR646" t="s">
        <v>471</v>
      </c>
      <c r="CS646" s="19" t="str">
        <f>IF(AND(Table1[[#This Row],[Low41]]=0, Table1[[#This Row],[High43]]=0),"N","Y")</f>
        <v>N</v>
      </c>
    </row>
    <row r="647" spans="1:97" ht="19.5" customHeight="1" x14ac:dyDescent="0.25">
      <c r="A647">
        <v>10645</v>
      </c>
      <c r="B647" t="s">
        <v>1897</v>
      </c>
      <c r="C647" t="s">
        <v>2069</v>
      </c>
      <c r="D647">
        <v>46.651944440000001</v>
      </c>
      <c r="E647">
        <v>-106.81833330000001</v>
      </c>
      <c r="F647" t="s">
        <v>2084</v>
      </c>
      <c r="G647" t="s">
        <v>595</v>
      </c>
      <c r="H647" t="s">
        <v>2085</v>
      </c>
      <c r="I647" t="s">
        <v>118</v>
      </c>
      <c r="J647" t="s">
        <v>119</v>
      </c>
      <c r="K647" t="s">
        <v>203</v>
      </c>
      <c r="L647" t="s">
        <v>18</v>
      </c>
      <c r="M647" t="s">
        <v>191</v>
      </c>
      <c r="N647" s="6" t="s">
        <v>521</v>
      </c>
      <c r="O647" t="s">
        <v>2086</v>
      </c>
      <c r="P647" t="s">
        <v>170</v>
      </c>
      <c r="Q647"/>
      <c r="R647" t="s">
        <v>2087</v>
      </c>
      <c r="S647">
        <v>2015</v>
      </c>
      <c r="T647" t="s">
        <v>153</v>
      </c>
      <c r="U647" t="s">
        <v>129</v>
      </c>
      <c r="V647"/>
      <c r="AD647">
        <v>0</v>
      </c>
      <c r="AF647">
        <v>200</v>
      </c>
      <c r="AG647">
        <v>0</v>
      </c>
      <c r="AK647">
        <v>0</v>
      </c>
      <c r="AL647">
        <v>0</v>
      </c>
      <c r="AN647" t="s">
        <v>132</v>
      </c>
      <c r="BW647">
        <v>1000</v>
      </c>
      <c r="CE64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47" s="19">
        <f>SUM(Table1[[#This Row],[Mid39]],Table1[[#This Row],[Mid36]],Table1[[#This Row],[Mid33]],Table1[[#This Row],[Mid30]],Table1[[#This Row],[Mid27]],Table1[[#This Row],[Mid24]],Table1[[#This Row],[Mid21]],Table1[[#This Row],[Mid18]],Table1[[#This Row],[Mid15]],Table1[[#This Row],[Mid12]],Table1[[#This Row],[Mid9]],Table1[[#This Row],[Mid6]],Table1[[#This Row],[Mid3]],Table1[[#This Row],[Mid]])</f>
        <v>1000</v>
      </c>
      <c r="CG6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47" t="s">
        <v>157</v>
      </c>
      <c r="CI647" t="s">
        <v>176</v>
      </c>
      <c r="CJ647" t="s">
        <v>158</v>
      </c>
      <c r="CL647" s="19">
        <f>IF(Table1[[#This Row],[Type]]="Petroleum",1,IF(ISERROR(Table1[[#This Row],[Well Density]]*Table1[[#This Row],[Single Well Discovery Area]]),"",IF(Table1[[#This Row],[Well Density]]*Table1[[#This Row],[Single Well Discovery Area]]&gt;1,1,Table1[[#This Row],[Well Density]]*Table1[[#This Row],[Single Well Discovery Area]])))</f>
        <v>0</v>
      </c>
      <c r="CM647" t="s">
        <v>135</v>
      </c>
      <c r="CN647" s="19">
        <f>Table1[[#This Row],[Mid]]</f>
        <v>0</v>
      </c>
      <c r="CO647" s="19">
        <f>Table1[[#This Row],[Mid3]]+Table1[[#This Row],[Mid6]]+Table1[[#This Row],[Mid9]]</f>
        <v>0</v>
      </c>
      <c r="CP647" s="19">
        <f>Table1[[#This Row],[Mid12]]+Table1[[#This Row],[Mid15]]+Table1[[#This Row],[Mid18]]+Table1[[#This Row],[Mid21]]+Table1[[#This Row],[Mid24]]</f>
        <v>0</v>
      </c>
      <c r="CQ647" s="19">
        <f>Table1[[#This Row],[Mid27]]+Table1[[#This Row],[Mid30]]+Table1[[#This Row],[Mid33]]+Table1[[#This Row],[Mid36]]+Table1[[#This Row],[Mid39]]</f>
        <v>1000</v>
      </c>
      <c r="CR647" t="s">
        <v>471</v>
      </c>
      <c r="CS647" s="19" t="str">
        <f>IF(AND(Table1[[#This Row],[Low41]]=0, Table1[[#This Row],[High43]]=0),"N","Y")</f>
        <v>N</v>
      </c>
    </row>
    <row r="648" spans="1:97" ht="19.5" customHeight="1" x14ac:dyDescent="0.25">
      <c r="A648">
        <v>10646</v>
      </c>
      <c r="B648" t="s">
        <v>1897</v>
      </c>
      <c r="C648" t="s">
        <v>2088</v>
      </c>
      <c r="D648">
        <v>41.459166670000002</v>
      </c>
      <c r="E648">
        <v>-102.6291667</v>
      </c>
      <c r="F648" t="s">
        <v>2089</v>
      </c>
      <c r="G648" t="s">
        <v>2090</v>
      </c>
      <c r="H648" t="s">
        <v>2091</v>
      </c>
      <c r="I648" t="s">
        <v>118</v>
      </c>
      <c r="J648" t="s">
        <v>119</v>
      </c>
      <c r="K648" t="s">
        <v>190</v>
      </c>
      <c r="L648" t="s">
        <v>18</v>
      </c>
      <c r="M648" t="s">
        <v>148</v>
      </c>
      <c r="N648" s="6" t="s">
        <v>2092</v>
      </c>
      <c r="O648" t="s">
        <v>2093</v>
      </c>
      <c r="P648" t="s">
        <v>170</v>
      </c>
      <c r="Q648" t="s">
        <v>255</v>
      </c>
      <c r="R648" t="s">
        <v>2094</v>
      </c>
      <c r="S648">
        <v>2005</v>
      </c>
      <c r="T648" t="s">
        <v>153</v>
      </c>
      <c r="U648" t="s">
        <v>129</v>
      </c>
      <c r="V648"/>
      <c r="AD648">
        <v>0</v>
      </c>
      <c r="AF648">
        <v>200</v>
      </c>
      <c r="AG648">
        <v>0</v>
      </c>
      <c r="AH648" t="s">
        <v>2095</v>
      </c>
      <c r="AI648">
        <v>2</v>
      </c>
      <c r="AK648">
        <v>0</v>
      </c>
      <c r="AL648">
        <v>0</v>
      </c>
      <c r="AM648" t="s">
        <v>2096</v>
      </c>
      <c r="AN648" t="s">
        <v>132</v>
      </c>
      <c r="BV648">
        <v>20900</v>
      </c>
      <c r="BW648">
        <v>39500</v>
      </c>
      <c r="BX648">
        <v>67700</v>
      </c>
      <c r="CE648" s="19">
        <f>SUM(Table1[[#This Row],[Low38]],Table1[[#This Row],[Low35]],Table1[[#This Row],[Low32]],Table1[[#This Row],[Low29]],Table1[[#This Row],[Low26]],Table1[[#This Row],[Low23]],Table1[[#This Row],[Low20]],Table1[[#This Row],[Low17]],Table1[[#This Row],[Low14]],Table1[[#This Row],[Low11]],Table1[[#This Row],[Low8]],Table1[[#This Row],[Low5]],Table1[[#This Row],[Low2]],Table1[[#This Row],[Low]])</f>
        <v>20900</v>
      </c>
      <c r="CF648" s="19">
        <f>SUM(Table1[[#This Row],[Mid39]],Table1[[#This Row],[Mid36]],Table1[[#This Row],[Mid33]],Table1[[#This Row],[Mid30]],Table1[[#This Row],[Mid27]],Table1[[#This Row],[Mid24]],Table1[[#This Row],[Mid21]],Table1[[#This Row],[Mid18]],Table1[[#This Row],[Mid15]],Table1[[#This Row],[Mid12]],Table1[[#This Row],[Mid9]],Table1[[#This Row],[Mid6]],Table1[[#This Row],[Mid3]],Table1[[#This Row],[Mid]])</f>
        <v>39500</v>
      </c>
      <c r="CG64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67700</v>
      </c>
      <c r="CH648" t="s">
        <v>157</v>
      </c>
      <c r="CI648" t="s">
        <v>134</v>
      </c>
      <c r="CJ648" t="s">
        <v>158</v>
      </c>
      <c r="CL648" s="19">
        <f>IF(Table1[[#This Row],[Type]]="Petroleum",1,IF(ISERROR(Table1[[#This Row],[Well Density]]*Table1[[#This Row],[Single Well Discovery Area]]),"",IF(Table1[[#This Row],[Well Density]]*Table1[[#This Row],[Single Well Discovery Area]]&gt;1,1,Table1[[#This Row],[Well Density]]*Table1[[#This Row],[Single Well Discovery Area]])))</f>
        <v>0</v>
      </c>
      <c r="CM648" t="s">
        <v>158</v>
      </c>
      <c r="CN648" s="19">
        <f>Table1[[#This Row],[Mid]]</f>
        <v>0</v>
      </c>
      <c r="CO648" s="19">
        <f>Table1[[#This Row],[Mid3]]+Table1[[#This Row],[Mid6]]+Table1[[#This Row],[Mid9]]</f>
        <v>0</v>
      </c>
      <c r="CP648" s="19">
        <f>Table1[[#This Row],[Mid12]]+Table1[[#This Row],[Mid15]]+Table1[[#This Row],[Mid18]]+Table1[[#This Row],[Mid21]]+Table1[[#This Row],[Mid24]]</f>
        <v>0</v>
      </c>
      <c r="CQ648" s="19">
        <f>Table1[[#This Row],[Mid27]]+Table1[[#This Row],[Mid30]]+Table1[[#This Row],[Mid33]]+Table1[[#This Row],[Mid36]]+Table1[[#This Row],[Mid39]]</f>
        <v>39500</v>
      </c>
      <c r="CR648" t="s">
        <v>471</v>
      </c>
      <c r="CS648" s="19" t="str">
        <f>IF(AND(Table1[[#This Row],[Low41]]=0, Table1[[#This Row],[High43]]=0),"N","Y")</f>
        <v>Y</v>
      </c>
    </row>
    <row r="649" spans="1:97" ht="19.5" customHeight="1" x14ac:dyDescent="0.25">
      <c r="A649">
        <v>10647</v>
      </c>
      <c r="B649" t="s">
        <v>1897</v>
      </c>
      <c r="C649" t="s">
        <v>2088</v>
      </c>
      <c r="D649">
        <v>41.537777779999999</v>
      </c>
      <c r="E649">
        <v>-99.795000000000002</v>
      </c>
      <c r="F649" t="s">
        <v>2097</v>
      </c>
      <c r="H649" t="s">
        <v>189</v>
      </c>
      <c r="I649" t="s">
        <v>201</v>
      </c>
      <c r="J649" t="s">
        <v>202</v>
      </c>
      <c r="K649" t="s">
        <v>203</v>
      </c>
      <c r="L649" t="s">
        <v>121</v>
      </c>
      <c r="N649" s="6" t="s">
        <v>521</v>
      </c>
      <c r="O649" t="s">
        <v>1932</v>
      </c>
      <c r="P649" t="s">
        <v>436</v>
      </c>
      <c r="Q649" t="s">
        <v>1901</v>
      </c>
      <c r="R649" t="s">
        <v>1963</v>
      </c>
      <c r="S649">
        <v>2015</v>
      </c>
      <c r="T649" t="s">
        <v>153</v>
      </c>
      <c r="U649" t="s">
        <v>129</v>
      </c>
      <c r="V649"/>
      <c r="AD649">
        <v>0</v>
      </c>
      <c r="AF649">
        <v>200</v>
      </c>
      <c r="AG649">
        <v>0</v>
      </c>
      <c r="AH649" t="s">
        <v>1903</v>
      </c>
      <c r="AK649">
        <v>0</v>
      </c>
      <c r="AL649">
        <v>0</v>
      </c>
      <c r="AN649" t="s">
        <v>132</v>
      </c>
      <c r="BM649">
        <v>10</v>
      </c>
      <c r="BN649">
        <v>30</v>
      </c>
      <c r="BO649">
        <v>70</v>
      </c>
      <c r="CE649" s="19">
        <f>SUM(Table1[[#This Row],[Low38]],Table1[[#This Row],[Low35]],Table1[[#This Row],[Low32]],Table1[[#This Row],[Low29]],Table1[[#This Row],[Low26]],Table1[[#This Row],[Low23]],Table1[[#This Row],[Low20]],Table1[[#This Row],[Low17]],Table1[[#This Row],[Low14]],Table1[[#This Row],[Low11]],Table1[[#This Row],[Low8]],Table1[[#This Row],[Low5]],Table1[[#This Row],[Low2]],Table1[[#This Row],[Low]])</f>
        <v>10</v>
      </c>
      <c r="CF649" s="19">
        <f>SUM(Table1[[#This Row],[Mid39]],Table1[[#This Row],[Mid36]],Table1[[#This Row],[Mid33]],Table1[[#This Row],[Mid30]],Table1[[#This Row],[Mid27]],Table1[[#This Row],[Mid24]],Table1[[#This Row],[Mid21]],Table1[[#This Row],[Mid18]],Table1[[#This Row],[Mid15]],Table1[[#This Row],[Mid12]],Table1[[#This Row],[Mid9]],Table1[[#This Row],[Mid6]],Table1[[#This Row],[Mid3]],Table1[[#This Row],[Mid]])</f>
        <v>30</v>
      </c>
      <c r="CG6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70</v>
      </c>
      <c r="CH649" t="s">
        <v>157</v>
      </c>
      <c r="CI649" t="s">
        <v>176</v>
      </c>
      <c r="CJ649" t="s">
        <v>158</v>
      </c>
      <c r="CL649" s="19">
        <f>IF(Table1[[#This Row],[Type]]="Petroleum",1,IF(ISERROR(Table1[[#This Row],[Well Density]]*Table1[[#This Row],[Single Well Discovery Area]]),"",IF(Table1[[#This Row],[Well Density]]*Table1[[#This Row],[Single Well Discovery Area]]&gt;1,1,Table1[[#This Row],[Well Density]]*Table1[[#This Row],[Single Well Discovery Area]])))</f>
        <v>1</v>
      </c>
      <c r="CM649" t="s">
        <v>158</v>
      </c>
      <c r="CN649" s="19">
        <f>Table1[[#This Row],[Mid]]</f>
        <v>0</v>
      </c>
      <c r="CO649" s="19">
        <f>Table1[[#This Row],[Mid3]]+Table1[[#This Row],[Mid6]]+Table1[[#This Row],[Mid9]]</f>
        <v>0</v>
      </c>
      <c r="CP649" s="19">
        <f>Table1[[#This Row],[Mid12]]+Table1[[#This Row],[Mid15]]+Table1[[#This Row],[Mid18]]+Table1[[#This Row],[Mid21]]+Table1[[#This Row],[Mid24]]</f>
        <v>30</v>
      </c>
      <c r="CQ649" s="19">
        <f>Table1[[#This Row],[Mid27]]+Table1[[#This Row],[Mid30]]+Table1[[#This Row],[Mid33]]+Table1[[#This Row],[Mid36]]+Table1[[#This Row],[Mid39]]</f>
        <v>0</v>
      </c>
      <c r="CR649" t="s">
        <v>471</v>
      </c>
      <c r="CS649" s="19" t="str">
        <f>IF(AND(Table1[[#This Row],[Low41]]=0, Table1[[#This Row],[High43]]=0),"N","Y")</f>
        <v>Y</v>
      </c>
    </row>
    <row r="650" spans="1:97" ht="19.5" customHeight="1" x14ac:dyDescent="0.25">
      <c r="A650">
        <v>10648</v>
      </c>
      <c r="B650" t="s">
        <v>1897</v>
      </c>
      <c r="C650" t="s">
        <v>2088</v>
      </c>
      <c r="D650">
        <v>41.538888890000003</v>
      </c>
      <c r="E650">
        <v>-99.796111109999998</v>
      </c>
      <c r="F650" t="s">
        <v>2098</v>
      </c>
      <c r="H650" t="s">
        <v>189</v>
      </c>
      <c r="I650" t="s">
        <v>118</v>
      </c>
      <c r="J650" t="s">
        <v>119</v>
      </c>
      <c r="K650" t="s">
        <v>190</v>
      </c>
      <c r="L650" t="s">
        <v>18</v>
      </c>
      <c r="N650" s="6" t="s">
        <v>521</v>
      </c>
      <c r="O650" t="s">
        <v>1932</v>
      </c>
      <c r="P650" t="s">
        <v>436</v>
      </c>
      <c r="Q650" t="s">
        <v>195</v>
      </c>
      <c r="R650" t="s">
        <v>2099</v>
      </c>
      <c r="S650">
        <v>2015</v>
      </c>
      <c r="T650" t="s">
        <v>153</v>
      </c>
      <c r="U650" t="s">
        <v>129</v>
      </c>
      <c r="V650"/>
      <c r="AD650">
        <v>0</v>
      </c>
      <c r="AF650">
        <v>200</v>
      </c>
      <c r="AG650">
        <v>0</v>
      </c>
      <c r="AH650" t="s">
        <v>525</v>
      </c>
      <c r="AI650">
        <v>2</v>
      </c>
      <c r="AK650">
        <v>0</v>
      </c>
      <c r="AL650">
        <v>0</v>
      </c>
      <c r="AN650" t="s">
        <v>132</v>
      </c>
      <c r="BY650">
        <v>2750</v>
      </c>
      <c r="BZ650">
        <v>14970</v>
      </c>
      <c r="CA650">
        <v>44210</v>
      </c>
      <c r="CE650" s="19">
        <f>SUM(Table1[[#This Row],[Low38]],Table1[[#This Row],[Low35]],Table1[[#This Row],[Low32]],Table1[[#This Row],[Low29]],Table1[[#This Row],[Low26]],Table1[[#This Row],[Low23]],Table1[[#This Row],[Low20]],Table1[[#This Row],[Low17]],Table1[[#This Row],[Low14]],Table1[[#This Row],[Low11]],Table1[[#This Row],[Low8]],Table1[[#This Row],[Low5]],Table1[[#This Row],[Low2]],Table1[[#This Row],[Low]])</f>
        <v>2750</v>
      </c>
      <c r="CF650" s="19">
        <f>SUM(Table1[[#This Row],[Mid39]],Table1[[#This Row],[Mid36]],Table1[[#This Row],[Mid33]],Table1[[#This Row],[Mid30]],Table1[[#This Row],[Mid27]],Table1[[#This Row],[Mid24]],Table1[[#This Row],[Mid21]],Table1[[#This Row],[Mid18]],Table1[[#This Row],[Mid15]],Table1[[#This Row],[Mid12]],Table1[[#This Row],[Mid9]],Table1[[#This Row],[Mid6]],Table1[[#This Row],[Mid3]],Table1[[#This Row],[Mid]])</f>
        <v>14970</v>
      </c>
      <c r="CG6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44210</v>
      </c>
      <c r="CH650" t="s">
        <v>157</v>
      </c>
      <c r="CI650" t="s">
        <v>176</v>
      </c>
      <c r="CJ650" t="s">
        <v>158</v>
      </c>
      <c r="CL650" s="19">
        <f>IF(Table1[[#This Row],[Type]]="Petroleum",1,IF(ISERROR(Table1[[#This Row],[Well Density]]*Table1[[#This Row],[Single Well Discovery Area]]),"",IF(Table1[[#This Row],[Well Density]]*Table1[[#This Row],[Single Well Discovery Area]]&gt;1,1,Table1[[#This Row],[Well Density]]*Table1[[#This Row],[Single Well Discovery Area]])))</f>
        <v>0</v>
      </c>
      <c r="CM650" t="s">
        <v>158</v>
      </c>
      <c r="CN650" s="19">
        <f>Table1[[#This Row],[Mid]]</f>
        <v>0</v>
      </c>
      <c r="CO650" s="19">
        <f>Table1[[#This Row],[Mid3]]+Table1[[#This Row],[Mid6]]+Table1[[#This Row],[Mid9]]</f>
        <v>0</v>
      </c>
      <c r="CP650" s="19">
        <f>Table1[[#This Row],[Mid12]]+Table1[[#This Row],[Mid15]]+Table1[[#This Row],[Mid18]]+Table1[[#This Row],[Mid21]]+Table1[[#This Row],[Mid24]]</f>
        <v>0</v>
      </c>
      <c r="CQ650" s="19">
        <f>Table1[[#This Row],[Mid27]]+Table1[[#This Row],[Mid30]]+Table1[[#This Row],[Mid33]]+Table1[[#This Row],[Mid36]]+Table1[[#This Row],[Mid39]]</f>
        <v>14970</v>
      </c>
      <c r="CR650" t="s">
        <v>471</v>
      </c>
      <c r="CS650" s="19" t="str">
        <f>IF(AND(Table1[[#This Row],[Low41]]=0, Table1[[#This Row],[High43]]=0),"N","Y")</f>
        <v>Y</v>
      </c>
    </row>
    <row r="651" spans="1:97" ht="19.5" customHeight="1" x14ac:dyDescent="0.25">
      <c r="A651">
        <v>10649</v>
      </c>
      <c r="B651" t="s">
        <v>1897</v>
      </c>
      <c r="C651" t="s">
        <v>2100</v>
      </c>
      <c r="D651">
        <v>39.328888890000002</v>
      </c>
      <c r="E651">
        <v>-116.6311111</v>
      </c>
      <c r="F651" t="s">
        <v>2101</v>
      </c>
      <c r="H651" t="s">
        <v>189</v>
      </c>
      <c r="I651" t="s">
        <v>201</v>
      </c>
      <c r="J651" t="s">
        <v>202</v>
      </c>
      <c r="K651" t="s">
        <v>203</v>
      </c>
      <c r="L651" t="s">
        <v>121</v>
      </c>
      <c r="N651" s="6" t="s">
        <v>521</v>
      </c>
      <c r="O651" t="s">
        <v>1932</v>
      </c>
      <c r="P651" t="s">
        <v>436</v>
      </c>
      <c r="Q651" t="s">
        <v>1901</v>
      </c>
      <c r="R651" t="s">
        <v>2102</v>
      </c>
      <c r="S651">
        <v>2015</v>
      </c>
      <c r="T651" t="s">
        <v>153</v>
      </c>
      <c r="U651" t="s">
        <v>129</v>
      </c>
      <c r="V651"/>
      <c r="AD651">
        <v>0</v>
      </c>
      <c r="AF651">
        <v>200</v>
      </c>
      <c r="AG651">
        <v>0</v>
      </c>
      <c r="AH651" t="s">
        <v>1903</v>
      </c>
      <c r="AK651">
        <v>0</v>
      </c>
      <c r="AL651">
        <v>0</v>
      </c>
      <c r="AN651" t="s">
        <v>132</v>
      </c>
      <c r="CE6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5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51" t="s">
        <v>157</v>
      </c>
      <c r="CI651" t="s">
        <v>176</v>
      </c>
      <c r="CJ651" t="s">
        <v>158</v>
      </c>
      <c r="CL651" s="19">
        <f>IF(Table1[[#This Row],[Type]]="Petroleum",1,IF(ISERROR(Table1[[#This Row],[Well Density]]*Table1[[#This Row],[Single Well Discovery Area]]),"",IF(Table1[[#This Row],[Well Density]]*Table1[[#This Row],[Single Well Discovery Area]]&gt;1,1,Table1[[#This Row],[Well Density]]*Table1[[#This Row],[Single Well Discovery Area]])))</f>
        <v>1</v>
      </c>
      <c r="CM651" t="s">
        <v>158</v>
      </c>
      <c r="CN651" s="19">
        <f>Table1[[#This Row],[Mid]]</f>
        <v>0</v>
      </c>
      <c r="CO651" s="19">
        <f>Table1[[#This Row],[Mid3]]+Table1[[#This Row],[Mid6]]+Table1[[#This Row],[Mid9]]</f>
        <v>0</v>
      </c>
      <c r="CP651" s="19">
        <f>Table1[[#This Row],[Mid12]]+Table1[[#This Row],[Mid15]]+Table1[[#This Row],[Mid18]]+Table1[[#This Row],[Mid21]]+Table1[[#This Row],[Mid24]]</f>
        <v>0</v>
      </c>
      <c r="CQ651" s="19">
        <f>Table1[[#This Row],[Mid27]]+Table1[[#This Row],[Mid30]]+Table1[[#This Row],[Mid33]]+Table1[[#This Row],[Mid36]]+Table1[[#This Row],[Mid39]]</f>
        <v>0</v>
      </c>
      <c r="CR651" t="s">
        <v>471</v>
      </c>
      <c r="CS651" s="19" t="str">
        <f>IF(AND(Table1[[#This Row],[Low41]]=0, Table1[[#This Row],[High43]]=0),"N","Y")</f>
        <v>N</v>
      </c>
    </row>
    <row r="652" spans="1:97" ht="19.5" customHeight="1" x14ac:dyDescent="0.25">
      <c r="A652">
        <v>10650</v>
      </c>
      <c r="B652" t="s">
        <v>1897</v>
      </c>
      <c r="C652" t="s">
        <v>2100</v>
      </c>
      <c r="D652">
        <v>39.33</v>
      </c>
      <c r="E652">
        <v>-116.6322222</v>
      </c>
      <c r="F652" t="s">
        <v>2103</v>
      </c>
      <c r="H652" t="s">
        <v>189</v>
      </c>
      <c r="I652" t="s">
        <v>118</v>
      </c>
      <c r="J652" t="s">
        <v>119</v>
      </c>
      <c r="K652" t="s">
        <v>190</v>
      </c>
      <c r="L652" t="s">
        <v>18</v>
      </c>
      <c r="N652" s="6" t="s">
        <v>521</v>
      </c>
      <c r="O652" t="s">
        <v>1932</v>
      </c>
      <c r="P652" t="s">
        <v>436</v>
      </c>
      <c r="Q652" t="s">
        <v>195</v>
      </c>
      <c r="R652" t="s">
        <v>2102</v>
      </c>
      <c r="S652">
        <v>2015</v>
      </c>
      <c r="T652" t="s">
        <v>153</v>
      </c>
      <c r="U652" t="s">
        <v>129</v>
      </c>
      <c r="V652"/>
      <c r="AD652">
        <v>0</v>
      </c>
      <c r="AF652">
        <v>200</v>
      </c>
      <c r="AG652">
        <v>0</v>
      </c>
      <c r="AH652" t="s">
        <v>525</v>
      </c>
      <c r="AI652">
        <v>2</v>
      </c>
      <c r="AK652">
        <v>0</v>
      </c>
      <c r="AL652">
        <v>0</v>
      </c>
      <c r="AN652" t="s">
        <v>132</v>
      </c>
      <c r="CE6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5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52" t="s">
        <v>157</v>
      </c>
      <c r="CI652" t="s">
        <v>176</v>
      </c>
      <c r="CJ652" t="s">
        <v>158</v>
      </c>
      <c r="CL652" s="19">
        <f>IF(Table1[[#This Row],[Type]]="Petroleum",1,IF(ISERROR(Table1[[#This Row],[Well Density]]*Table1[[#This Row],[Single Well Discovery Area]]),"",IF(Table1[[#This Row],[Well Density]]*Table1[[#This Row],[Single Well Discovery Area]]&gt;1,1,Table1[[#This Row],[Well Density]]*Table1[[#This Row],[Single Well Discovery Area]])))</f>
        <v>0</v>
      </c>
      <c r="CM652" t="s">
        <v>158</v>
      </c>
      <c r="CN652" s="19">
        <f>Table1[[#This Row],[Mid]]</f>
        <v>0</v>
      </c>
      <c r="CO652" s="19">
        <f>Table1[[#This Row],[Mid3]]+Table1[[#This Row],[Mid6]]+Table1[[#This Row],[Mid9]]</f>
        <v>0</v>
      </c>
      <c r="CP652" s="19">
        <f>Table1[[#This Row],[Mid12]]+Table1[[#This Row],[Mid15]]+Table1[[#This Row],[Mid18]]+Table1[[#This Row],[Mid21]]+Table1[[#This Row],[Mid24]]</f>
        <v>0</v>
      </c>
      <c r="CQ652" s="19">
        <f>Table1[[#This Row],[Mid27]]+Table1[[#This Row],[Mid30]]+Table1[[#This Row],[Mid33]]+Table1[[#This Row],[Mid36]]+Table1[[#This Row],[Mid39]]</f>
        <v>0</v>
      </c>
      <c r="CR652" t="s">
        <v>471</v>
      </c>
      <c r="CS652" s="19" t="str">
        <f>IF(AND(Table1[[#This Row],[Low41]]=0, Table1[[#This Row],[High43]]=0),"N","Y")</f>
        <v>N</v>
      </c>
    </row>
    <row r="653" spans="1:97" ht="19.5" customHeight="1" x14ac:dyDescent="0.25">
      <c r="A653">
        <v>10651</v>
      </c>
      <c r="B653" t="s">
        <v>1897</v>
      </c>
      <c r="C653" t="s">
        <v>2104</v>
      </c>
      <c r="D653">
        <v>43.680555560000002</v>
      </c>
      <c r="E653">
        <v>-71.581111109999995</v>
      </c>
      <c r="F653" t="s">
        <v>2105</v>
      </c>
      <c r="H653" t="s">
        <v>189</v>
      </c>
      <c r="I653" t="s">
        <v>201</v>
      </c>
      <c r="J653" t="s">
        <v>202</v>
      </c>
      <c r="K653" t="s">
        <v>203</v>
      </c>
      <c r="L653" t="s">
        <v>121</v>
      </c>
      <c r="N653" s="6" t="s">
        <v>521</v>
      </c>
      <c r="O653" t="s">
        <v>1932</v>
      </c>
      <c r="P653" t="s">
        <v>436</v>
      </c>
      <c r="Q653" t="s">
        <v>1901</v>
      </c>
      <c r="R653" t="s">
        <v>2102</v>
      </c>
      <c r="S653">
        <v>2015</v>
      </c>
      <c r="T653" t="s">
        <v>153</v>
      </c>
      <c r="U653" t="s">
        <v>129</v>
      </c>
      <c r="V653"/>
      <c r="AD653">
        <v>0</v>
      </c>
      <c r="AF653">
        <v>200</v>
      </c>
      <c r="AG653">
        <v>0</v>
      </c>
      <c r="AH653" t="s">
        <v>1903</v>
      </c>
      <c r="AK653">
        <v>0</v>
      </c>
      <c r="AL653">
        <v>0</v>
      </c>
      <c r="AN653" t="s">
        <v>132</v>
      </c>
      <c r="CE6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53"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53" t="s">
        <v>157</v>
      </c>
      <c r="CI653" t="s">
        <v>176</v>
      </c>
      <c r="CJ653" t="s">
        <v>158</v>
      </c>
      <c r="CL653" s="19">
        <f>IF(Table1[[#This Row],[Type]]="Petroleum",1,IF(ISERROR(Table1[[#This Row],[Well Density]]*Table1[[#This Row],[Single Well Discovery Area]]),"",IF(Table1[[#This Row],[Well Density]]*Table1[[#This Row],[Single Well Discovery Area]]&gt;1,1,Table1[[#This Row],[Well Density]]*Table1[[#This Row],[Single Well Discovery Area]])))</f>
        <v>1</v>
      </c>
      <c r="CM653" t="s">
        <v>158</v>
      </c>
      <c r="CN653" s="19">
        <f>Table1[[#This Row],[Mid]]</f>
        <v>0</v>
      </c>
      <c r="CO653" s="19">
        <f>Table1[[#This Row],[Mid3]]+Table1[[#This Row],[Mid6]]+Table1[[#This Row],[Mid9]]</f>
        <v>0</v>
      </c>
      <c r="CP653" s="19">
        <f>Table1[[#This Row],[Mid12]]+Table1[[#This Row],[Mid15]]+Table1[[#This Row],[Mid18]]+Table1[[#This Row],[Mid21]]+Table1[[#This Row],[Mid24]]</f>
        <v>0</v>
      </c>
      <c r="CQ653" s="19">
        <f>Table1[[#This Row],[Mid27]]+Table1[[#This Row],[Mid30]]+Table1[[#This Row],[Mid33]]+Table1[[#This Row],[Mid36]]+Table1[[#This Row],[Mid39]]</f>
        <v>0</v>
      </c>
      <c r="CR653" t="s">
        <v>471</v>
      </c>
      <c r="CS653" s="19" t="str">
        <f>IF(AND(Table1[[#This Row],[Low41]]=0, Table1[[#This Row],[High43]]=0),"N","Y")</f>
        <v>N</v>
      </c>
    </row>
    <row r="654" spans="1:97" ht="19.5" customHeight="1" x14ac:dyDescent="0.25">
      <c r="A654">
        <v>10652</v>
      </c>
      <c r="B654" t="s">
        <v>1897</v>
      </c>
      <c r="C654" t="s">
        <v>2104</v>
      </c>
      <c r="D654">
        <v>43.681666669999998</v>
      </c>
      <c r="E654">
        <v>-71.582222220000006</v>
      </c>
      <c r="F654" t="s">
        <v>2106</v>
      </c>
      <c r="H654" t="s">
        <v>189</v>
      </c>
      <c r="I654" t="s">
        <v>118</v>
      </c>
      <c r="J654" t="s">
        <v>119</v>
      </c>
      <c r="K654" t="s">
        <v>190</v>
      </c>
      <c r="L654" t="s">
        <v>18</v>
      </c>
      <c r="N654" s="6" t="s">
        <v>521</v>
      </c>
      <c r="O654" t="s">
        <v>1932</v>
      </c>
      <c r="P654" t="s">
        <v>436</v>
      </c>
      <c r="Q654" t="s">
        <v>195</v>
      </c>
      <c r="R654" t="s">
        <v>2102</v>
      </c>
      <c r="S654">
        <v>2015</v>
      </c>
      <c r="T654" t="s">
        <v>153</v>
      </c>
      <c r="U654" t="s">
        <v>129</v>
      </c>
      <c r="V654"/>
      <c r="AD654">
        <v>0</v>
      </c>
      <c r="AF654">
        <v>200</v>
      </c>
      <c r="AG654">
        <v>0</v>
      </c>
      <c r="AH654" t="s">
        <v>525</v>
      </c>
      <c r="AI654">
        <v>2</v>
      </c>
      <c r="AK654">
        <v>0</v>
      </c>
      <c r="AL654">
        <v>0</v>
      </c>
      <c r="AN654" t="s">
        <v>132</v>
      </c>
      <c r="CE65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5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5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54" t="s">
        <v>157</v>
      </c>
      <c r="CI654" t="s">
        <v>176</v>
      </c>
      <c r="CJ654" t="s">
        <v>158</v>
      </c>
      <c r="CL654" s="19">
        <f>IF(Table1[[#This Row],[Type]]="Petroleum",1,IF(ISERROR(Table1[[#This Row],[Well Density]]*Table1[[#This Row],[Single Well Discovery Area]]),"",IF(Table1[[#This Row],[Well Density]]*Table1[[#This Row],[Single Well Discovery Area]]&gt;1,1,Table1[[#This Row],[Well Density]]*Table1[[#This Row],[Single Well Discovery Area]])))</f>
        <v>0</v>
      </c>
      <c r="CM654" t="s">
        <v>158</v>
      </c>
      <c r="CN654" s="19">
        <f>Table1[[#This Row],[Mid]]</f>
        <v>0</v>
      </c>
      <c r="CO654" s="19">
        <f>Table1[[#This Row],[Mid3]]+Table1[[#This Row],[Mid6]]+Table1[[#This Row],[Mid9]]</f>
        <v>0</v>
      </c>
      <c r="CP654" s="19">
        <f>Table1[[#This Row],[Mid12]]+Table1[[#This Row],[Mid15]]+Table1[[#This Row],[Mid18]]+Table1[[#This Row],[Mid21]]+Table1[[#This Row],[Mid24]]</f>
        <v>0</v>
      </c>
      <c r="CQ654" s="19">
        <f>Table1[[#This Row],[Mid27]]+Table1[[#This Row],[Mid30]]+Table1[[#This Row],[Mid33]]+Table1[[#This Row],[Mid36]]+Table1[[#This Row],[Mid39]]</f>
        <v>0</v>
      </c>
      <c r="CR654" t="s">
        <v>471</v>
      </c>
      <c r="CS654" s="19" t="str">
        <f>IF(AND(Table1[[#This Row],[Low41]]=0, Table1[[#This Row],[High43]]=0),"N","Y")</f>
        <v>N</v>
      </c>
    </row>
    <row r="655" spans="1:97" ht="19.5" customHeight="1" x14ac:dyDescent="0.25">
      <c r="A655">
        <v>10653</v>
      </c>
      <c r="B655" t="s">
        <v>1897</v>
      </c>
      <c r="C655" t="s">
        <v>2107</v>
      </c>
      <c r="D655">
        <v>40.190833329999997</v>
      </c>
      <c r="E655">
        <v>-74.672777780000004</v>
      </c>
      <c r="F655" t="s">
        <v>2108</v>
      </c>
      <c r="H655" t="s">
        <v>189</v>
      </c>
      <c r="I655" t="s">
        <v>201</v>
      </c>
      <c r="J655" t="s">
        <v>202</v>
      </c>
      <c r="K655" t="s">
        <v>203</v>
      </c>
      <c r="L655" t="s">
        <v>121</v>
      </c>
      <c r="N655" s="6" t="s">
        <v>521</v>
      </c>
      <c r="O655" t="s">
        <v>1932</v>
      </c>
      <c r="P655" t="s">
        <v>436</v>
      </c>
      <c r="Q655" t="s">
        <v>1901</v>
      </c>
      <c r="R655" t="s">
        <v>2102</v>
      </c>
      <c r="S655">
        <v>2015</v>
      </c>
      <c r="T655" t="s">
        <v>153</v>
      </c>
      <c r="U655" t="s">
        <v>129</v>
      </c>
      <c r="V655"/>
      <c r="AD655">
        <v>0</v>
      </c>
      <c r="AF655">
        <v>200</v>
      </c>
      <c r="AG655">
        <v>0</v>
      </c>
      <c r="AH655" t="s">
        <v>1903</v>
      </c>
      <c r="AK655">
        <v>0</v>
      </c>
      <c r="AL655">
        <v>0</v>
      </c>
      <c r="AN655" t="s">
        <v>132</v>
      </c>
      <c r="CE65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5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5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55" t="s">
        <v>157</v>
      </c>
      <c r="CI655" t="s">
        <v>176</v>
      </c>
      <c r="CJ655" t="s">
        <v>158</v>
      </c>
      <c r="CL655" s="19">
        <f>IF(Table1[[#This Row],[Type]]="Petroleum",1,IF(ISERROR(Table1[[#This Row],[Well Density]]*Table1[[#This Row],[Single Well Discovery Area]]),"",IF(Table1[[#This Row],[Well Density]]*Table1[[#This Row],[Single Well Discovery Area]]&gt;1,1,Table1[[#This Row],[Well Density]]*Table1[[#This Row],[Single Well Discovery Area]])))</f>
        <v>1</v>
      </c>
      <c r="CM655" t="s">
        <v>158</v>
      </c>
      <c r="CN655" s="19">
        <f>Table1[[#This Row],[Mid]]</f>
        <v>0</v>
      </c>
      <c r="CO655" s="19">
        <f>Table1[[#This Row],[Mid3]]+Table1[[#This Row],[Mid6]]+Table1[[#This Row],[Mid9]]</f>
        <v>0</v>
      </c>
      <c r="CP655" s="19">
        <f>Table1[[#This Row],[Mid12]]+Table1[[#This Row],[Mid15]]+Table1[[#This Row],[Mid18]]+Table1[[#This Row],[Mid21]]+Table1[[#This Row],[Mid24]]</f>
        <v>0</v>
      </c>
      <c r="CQ655" s="19">
        <f>Table1[[#This Row],[Mid27]]+Table1[[#This Row],[Mid30]]+Table1[[#This Row],[Mid33]]+Table1[[#This Row],[Mid36]]+Table1[[#This Row],[Mid39]]</f>
        <v>0</v>
      </c>
      <c r="CR655" t="s">
        <v>471</v>
      </c>
      <c r="CS655" s="19" t="str">
        <f>IF(AND(Table1[[#This Row],[Low41]]=0, Table1[[#This Row],[High43]]=0),"N","Y")</f>
        <v>N</v>
      </c>
    </row>
    <row r="656" spans="1:97" ht="19.5" customHeight="1" x14ac:dyDescent="0.25">
      <c r="A656">
        <v>10654</v>
      </c>
      <c r="B656" t="s">
        <v>1897</v>
      </c>
      <c r="C656" t="s">
        <v>2107</v>
      </c>
      <c r="D656">
        <v>40.19194444</v>
      </c>
      <c r="E656">
        <v>-74.673888890000001</v>
      </c>
      <c r="F656" t="s">
        <v>2109</v>
      </c>
      <c r="H656" t="s">
        <v>189</v>
      </c>
      <c r="I656" t="s">
        <v>118</v>
      </c>
      <c r="J656" t="s">
        <v>119</v>
      </c>
      <c r="K656" t="s">
        <v>190</v>
      </c>
      <c r="L656" t="s">
        <v>18</v>
      </c>
      <c r="N656" s="6" t="s">
        <v>521</v>
      </c>
      <c r="O656" t="s">
        <v>1932</v>
      </c>
      <c r="P656" t="s">
        <v>436</v>
      </c>
      <c r="Q656" t="s">
        <v>195</v>
      </c>
      <c r="R656" t="s">
        <v>2102</v>
      </c>
      <c r="S656">
        <v>2015</v>
      </c>
      <c r="T656" t="s">
        <v>153</v>
      </c>
      <c r="U656" t="s">
        <v>129</v>
      </c>
      <c r="V656"/>
      <c r="AD656">
        <v>0</v>
      </c>
      <c r="AF656">
        <v>200</v>
      </c>
      <c r="AG656">
        <v>0</v>
      </c>
      <c r="AH656" t="s">
        <v>525</v>
      </c>
      <c r="AI656">
        <v>2</v>
      </c>
      <c r="AK656">
        <v>0</v>
      </c>
      <c r="AL656">
        <v>0</v>
      </c>
      <c r="AN656" t="s">
        <v>132</v>
      </c>
      <c r="CE65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5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5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56" t="s">
        <v>157</v>
      </c>
      <c r="CI656" t="s">
        <v>176</v>
      </c>
      <c r="CJ656" t="s">
        <v>158</v>
      </c>
      <c r="CL656" s="19">
        <f>IF(Table1[[#This Row],[Type]]="Petroleum",1,IF(ISERROR(Table1[[#This Row],[Well Density]]*Table1[[#This Row],[Single Well Discovery Area]]),"",IF(Table1[[#This Row],[Well Density]]*Table1[[#This Row],[Single Well Discovery Area]]&gt;1,1,Table1[[#This Row],[Well Density]]*Table1[[#This Row],[Single Well Discovery Area]])))</f>
        <v>0</v>
      </c>
      <c r="CM656" t="s">
        <v>158</v>
      </c>
      <c r="CN656" s="19">
        <f>Table1[[#This Row],[Mid]]</f>
        <v>0</v>
      </c>
      <c r="CO656" s="19">
        <f>Table1[[#This Row],[Mid3]]+Table1[[#This Row],[Mid6]]+Table1[[#This Row],[Mid9]]</f>
        <v>0</v>
      </c>
      <c r="CP656" s="19">
        <f>Table1[[#This Row],[Mid12]]+Table1[[#This Row],[Mid15]]+Table1[[#This Row],[Mid18]]+Table1[[#This Row],[Mid21]]+Table1[[#This Row],[Mid24]]</f>
        <v>0</v>
      </c>
      <c r="CQ656" s="19">
        <f>Table1[[#This Row],[Mid27]]+Table1[[#This Row],[Mid30]]+Table1[[#This Row],[Mid33]]+Table1[[#This Row],[Mid36]]+Table1[[#This Row],[Mid39]]</f>
        <v>0</v>
      </c>
      <c r="CR656" t="s">
        <v>471</v>
      </c>
      <c r="CS656" s="19" t="str">
        <f>IF(AND(Table1[[#This Row],[Low41]]=0, Table1[[#This Row],[High43]]=0),"N","Y")</f>
        <v>N</v>
      </c>
    </row>
    <row r="657" spans="1:97" ht="19.5" customHeight="1" x14ac:dyDescent="0.25">
      <c r="A657">
        <v>10655</v>
      </c>
      <c r="B657" t="s">
        <v>1897</v>
      </c>
      <c r="C657" t="s">
        <v>2110</v>
      </c>
      <c r="D657">
        <v>34.407222220000001</v>
      </c>
      <c r="E657">
        <v>-106.1125</v>
      </c>
      <c r="F657" t="s">
        <v>2111</v>
      </c>
      <c r="H657" t="s">
        <v>189</v>
      </c>
      <c r="I657" t="s">
        <v>201</v>
      </c>
      <c r="J657" t="s">
        <v>202</v>
      </c>
      <c r="K657" t="s">
        <v>203</v>
      </c>
      <c r="L657" t="s">
        <v>121</v>
      </c>
      <c r="N657" s="6" t="s">
        <v>521</v>
      </c>
      <c r="O657" t="s">
        <v>1932</v>
      </c>
      <c r="P657" t="s">
        <v>436</v>
      </c>
      <c r="Q657" t="s">
        <v>1901</v>
      </c>
      <c r="R657" t="s">
        <v>1963</v>
      </c>
      <c r="S657">
        <v>2015</v>
      </c>
      <c r="T657" t="s">
        <v>153</v>
      </c>
      <c r="U657" t="s">
        <v>129</v>
      </c>
      <c r="V657"/>
      <c r="AD657">
        <v>0</v>
      </c>
      <c r="AF657">
        <v>200</v>
      </c>
      <c r="AG657">
        <v>0</v>
      </c>
      <c r="AH657" t="s">
        <v>1903</v>
      </c>
      <c r="AK657">
        <v>0</v>
      </c>
      <c r="AL657">
        <v>0</v>
      </c>
      <c r="AN657" t="s">
        <v>132</v>
      </c>
      <c r="BM657">
        <v>9710</v>
      </c>
      <c r="BN657">
        <v>9710</v>
      </c>
      <c r="BO657">
        <v>9710</v>
      </c>
      <c r="CE657" s="19">
        <f>SUM(Table1[[#This Row],[Low38]],Table1[[#This Row],[Low35]],Table1[[#This Row],[Low32]],Table1[[#This Row],[Low29]],Table1[[#This Row],[Low26]],Table1[[#This Row],[Low23]],Table1[[#This Row],[Low20]],Table1[[#This Row],[Low17]],Table1[[#This Row],[Low14]],Table1[[#This Row],[Low11]],Table1[[#This Row],[Low8]],Table1[[#This Row],[Low5]],Table1[[#This Row],[Low2]],Table1[[#This Row],[Low]])</f>
        <v>9710</v>
      </c>
      <c r="CF657" s="19">
        <f>SUM(Table1[[#This Row],[Mid39]],Table1[[#This Row],[Mid36]],Table1[[#This Row],[Mid33]],Table1[[#This Row],[Mid30]],Table1[[#This Row],[Mid27]],Table1[[#This Row],[Mid24]],Table1[[#This Row],[Mid21]],Table1[[#This Row],[Mid18]],Table1[[#This Row],[Mid15]],Table1[[#This Row],[Mid12]],Table1[[#This Row],[Mid9]],Table1[[#This Row],[Mid6]],Table1[[#This Row],[Mid3]],Table1[[#This Row],[Mid]])</f>
        <v>9710</v>
      </c>
      <c r="CG65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9710</v>
      </c>
      <c r="CH657" t="s">
        <v>157</v>
      </c>
      <c r="CI657" t="s">
        <v>176</v>
      </c>
      <c r="CJ657" t="s">
        <v>158</v>
      </c>
      <c r="CL657" s="19">
        <f>IF(Table1[[#This Row],[Type]]="Petroleum",1,IF(ISERROR(Table1[[#This Row],[Well Density]]*Table1[[#This Row],[Single Well Discovery Area]]),"",IF(Table1[[#This Row],[Well Density]]*Table1[[#This Row],[Single Well Discovery Area]]&gt;1,1,Table1[[#This Row],[Well Density]]*Table1[[#This Row],[Single Well Discovery Area]])))</f>
        <v>1</v>
      </c>
      <c r="CM657" t="s">
        <v>158</v>
      </c>
      <c r="CN657" s="19">
        <f>Table1[[#This Row],[Mid]]</f>
        <v>0</v>
      </c>
      <c r="CO657" s="19">
        <f>Table1[[#This Row],[Mid3]]+Table1[[#This Row],[Mid6]]+Table1[[#This Row],[Mid9]]</f>
        <v>0</v>
      </c>
      <c r="CP657" s="19">
        <f>Table1[[#This Row],[Mid12]]+Table1[[#This Row],[Mid15]]+Table1[[#This Row],[Mid18]]+Table1[[#This Row],[Mid21]]+Table1[[#This Row],[Mid24]]</f>
        <v>9710</v>
      </c>
      <c r="CQ657" s="19">
        <f>Table1[[#This Row],[Mid27]]+Table1[[#This Row],[Mid30]]+Table1[[#This Row],[Mid33]]+Table1[[#This Row],[Mid36]]+Table1[[#This Row],[Mid39]]</f>
        <v>0</v>
      </c>
      <c r="CR657" t="s">
        <v>471</v>
      </c>
      <c r="CS657" s="19" t="str">
        <f>IF(AND(Table1[[#This Row],[Low41]]=0, Table1[[#This Row],[High43]]=0),"N","Y")</f>
        <v>Y</v>
      </c>
    </row>
    <row r="658" spans="1:97" ht="19.5" customHeight="1" x14ac:dyDescent="0.25">
      <c r="A658">
        <v>10656</v>
      </c>
      <c r="B658" t="s">
        <v>1897</v>
      </c>
      <c r="C658" t="s">
        <v>2110</v>
      </c>
      <c r="D658">
        <v>34.408333329999998</v>
      </c>
      <c r="E658">
        <v>-106.1136111</v>
      </c>
      <c r="F658" t="s">
        <v>2112</v>
      </c>
      <c r="H658" t="s">
        <v>189</v>
      </c>
      <c r="I658" t="s">
        <v>118</v>
      </c>
      <c r="J658" t="s">
        <v>119</v>
      </c>
      <c r="K658" t="s">
        <v>190</v>
      </c>
      <c r="L658" t="s">
        <v>18</v>
      </c>
      <c r="N658" s="6" t="s">
        <v>521</v>
      </c>
      <c r="O658" t="s">
        <v>1935</v>
      </c>
      <c r="P658" t="s">
        <v>436</v>
      </c>
      <c r="Q658" t="s">
        <v>195</v>
      </c>
      <c r="R658" t="s">
        <v>1942</v>
      </c>
      <c r="S658">
        <v>2015</v>
      </c>
      <c r="T658" t="s">
        <v>153</v>
      </c>
      <c r="U658" t="s">
        <v>129</v>
      </c>
      <c r="V658"/>
      <c r="AD658">
        <v>0</v>
      </c>
      <c r="AF658">
        <v>200</v>
      </c>
      <c r="AG658">
        <v>0</v>
      </c>
      <c r="AH658" t="s">
        <v>525</v>
      </c>
      <c r="AI658">
        <v>2</v>
      </c>
      <c r="AK658">
        <v>0</v>
      </c>
      <c r="AL658">
        <v>0</v>
      </c>
      <c r="AN658" t="s">
        <v>132</v>
      </c>
      <c r="BY658">
        <v>32970</v>
      </c>
      <c r="BZ658">
        <v>129290</v>
      </c>
      <c r="CA658">
        <v>349080</v>
      </c>
      <c r="CE658" s="19">
        <f>SUM(Table1[[#This Row],[Low38]],Table1[[#This Row],[Low35]],Table1[[#This Row],[Low32]],Table1[[#This Row],[Low29]],Table1[[#This Row],[Low26]],Table1[[#This Row],[Low23]],Table1[[#This Row],[Low20]],Table1[[#This Row],[Low17]],Table1[[#This Row],[Low14]],Table1[[#This Row],[Low11]],Table1[[#This Row],[Low8]],Table1[[#This Row],[Low5]],Table1[[#This Row],[Low2]],Table1[[#This Row],[Low]])</f>
        <v>32970</v>
      </c>
      <c r="CF658" s="19">
        <f>SUM(Table1[[#This Row],[Mid39]],Table1[[#This Row],[Mid36]],Table1[[#This Row],[Mid33]],Table1[[#This Row],[Mid30]],Table1[[#This Row],[Mid27]],Table1[[#This Row],[Mid24]],Table1[[#This Row],[Mid21]],Table1[[#This Row],[Mid18]],Table1[[#This Row],[Mid15]],Table1[[#This Row],[Mid12]],Table1[[#This Row],[Mid9]],Table1[[#This Row],[Mid6]],Table1[[#This Row],[Mid3]],Table1[[#This Row],[Mid]])</f>
        <v>129290</v>
      </c>
      <c r="CG65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349080</v>
      </c>
      <c r="CH658" t="s">
        <v>157</v>
      </c>
      <c r="CI658" t="s">
        <v>176</v>
      </c>
      <c r="CJ658" t="s">
        <v>158</v>
      </c>
      <c r="CL658" s="19">
        <f>IF(Table1[[#This Row],[Type]]="Petroleum",1,IF(ISERROR(Table1[[#This Row],[Well Density]]*Table1[[#This Row],[Single Well Discovery Area]]),"",IF(Table1[[#This Row],[Well Density]]*Table1[[#This Row],[Single Well Discovery Area]]&gt;1,1,Table1[[#This Row],[Well Density]]*Table1[[#This Row],[Single Well Discovery Area]])))</f>
        <v>0</v>
      </c>
      <c r="CM658" t="s">
        <v>158</v>
      </c>
      <c r="CN658" s="19">
        <f>Table1[[#This Row],[Mid]]</f>
        <v>0</v>
      </c>
      <c r="CO658" s="19">
        <f>Table1[[#This Row],[Mid3]]+Table1[[#This Row],[Mid6]]+Table1[[#This Row],[Mid9]]</f>
        <v>0</v>
      </c>
      <c r="CP658" s="19">
        <f>Table1[[#This Row],[Mid12]]+Table1[[#This Row],[Mid15]]+Table1[[#This Row],[Mid18]]+Table1[[#This Row],[Mid21]]+Table1[[#This Row],[Mid24]]</f>
        <v>0</v>
      </c>
      <c r="CQ658" s="19">
        <f>Table1[[#This Row],[Mid27]]+Table1[[#This Row],[Mid30]]+Table1[[#This Row],[Mid33]]+Table1[[#This Row],[Mid36]]+Table1[[#This Row],[Mid39]]</f>
        <v>129290</v>
      </c>
      <c r="CR658" t="s">
        <v>471</v>
      </c>
      <c r="CS658" s="19" t="str">
        <f>IF(AND(Table1[[#This Row],[Low41]]=0, Table1[[#This Row],[High43]]=0),"N","Y")</f>
        <v>Y</v>
      </c>
    </row>
    <row r="659" spans="1:97" ht="19.5" customHeight="1" x14ac:dyDescent="0.25">
      <c r="A659">
        <v>10657</v>
      </c>
      <c r="B659" t="s">
        <v>1897</v>
      </c>
      <c r="C659" t="s">
        <v>2113</v>
      </c>
      <c r="D659">
        <v>42.953888890000002</v>
      </c>
      <c r="E659">
        <v>-75.526666669999997</v>
      </c>
      <c r="F659" t="s">
        <v>2114</v>
      </c>
      <c r="H659" t="s">
        <v>189</v>
      </c>
      <c r="I659" t="s">
        <v>201</v>
      </c>
      <c r="J659" t="s">
        <v>202</v>
      </c>
      <c r="K659" t="s">
        <v>203</v>
      </c>
      <c r="L659" t="s">
        <v>121</v>
      </c>
      <c r="N659" s="6" t="s">
        <v>521</v>
      </c>
      <c r="O659" t="s">
        <v>1932</v>
      </c>
      <c r="P659" t="s">
        <v>436</v>
      </c>
      <c r="Q659" t="s">
        <v>1901</v>
      </c>
      <c r="R659" t="s">
        <v>1963</v>
      </c>
      <c r="S659">
        <v>2015</v>
      </c>
      <c r="T659" t="s">
        <v>153</v>
      </c>
      <c r="U659" t="s">
        <v>129</v>
      </c>
      <c r="V659"/>
      <c r="AD659">
        <v>0</v>
      </c>
      <c r="AF659">
        <v>200</v>
      </c>
      <c r="AG659">
        <v>0</v>
      </c>
      <c r="AH659" t="s">
        <v>1903</v>
      </c>
      <c r="AK659">
        <v>0</v>
      </c>
      <c r="AL659">
        <v>0</v>
      </c>
      <c r="AN659" t="s">
        <v>132</v>
      </c>
      <c r="BM659">
        <v>50</v>
      </c>
      <c r="BN659">
        <v>80</v>
      </c>
      <c r="BO659">
        <v>150</v>
      </c>
      <c r="CE659" s="19">
        <f>SUM(Table1[[#This Row],[Low38]],Table1[[#This Row],[Low35]],Table1[[#This Row],[Low32]],Table1[[#This Row],[Low29]],Table1[[#This Row],[Low26]],Table1[[#This Row],[Low23]],Table1[[#This Row],[Low20]],Table1[[#This Row],[Low17]],Table1[[#This Row],[Low14]],Table1[[#This Row],[Low11]],Table1[[#This Row],[Low8]],Table1[[#This Row],[Low5]],Table1[[#This Row],[Low2]],Table1[[#This Row],[Low]])</f>
        <v>50</v>
      </c>
      <c r="CF659" s="19">
        <f>SUM(Table1[[#This Row],[Mid39]],Table1[[#This Row],[Mid36]],Table1[[#This Row],[Mid33]],Table1[[#This Row],[Mid30]],Table1[[#This Row],[Mid27]],Table1[[#This Row],[Mid24]],Table1[[#This Row],[Mid21]],Table1[[#This Row],[Mid18]],Table1[[#This Row],[Mid15]],Table1[[#This Row],[Mid12]],Table1[[#This Row],[Mid9]],Table1[[#This Row],[Mid6]],Table1[[#This Row],[Mid3]],Table1[[#This Row],[Mid]])</f>
        <v>80</v>
      </c>
      <c r="CG65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150</v>
      </c>
      <c r="CH659" t="s">
        <v>157</v>
      </c>
      <c r="CI659" t="s">
        <v>176</v>
      </c>
      <c r="CJ659" t="s">
        <v>158</v>
      </c>
      <c r="CL659" s="19">
        <f>IF(Table1[[#This Row],[Type]]="Petroleum",1,IF(ISERROR(Table1[[#This Row],[Well Density]]*Table1[[#This Row],[Single Well Discovery Area]]),"",IF(Table1[[#This Row],[Well Density]]*Table1[[#This Row],[Single Well Discovery Area]]&gt;1,1,Table1[[#This Row],[Well Density]]*Table1[[#This Row],[Single Well Discovery Area]])))</f>
        <v>1</v>
      </c>
      <c r="CM659" t="s">
        <v>158</v>
      </c>
      <c r="CN659" s="19">
        <f>Table1[[#This Row],[Mid]]</f>
        <v>0</v>
      </c>
      <c r="CO659" s="19">
        <f>Table1[[#This Row],[Mid3]]+Table1[[#This Row],[Mid6]]+Table1[[#This Row],[Mid9]]</f>
        <v>0</v>
      </c>
      <c r="CP659" s="19">
        <f>Table1[[#This Row],[Mid12]]+Table1[[#This Row],[Mid15]]+Table1[[#This Row],[Mid18]]+Table1[[#This Row],[Mid21]]+Table1[[#This Row],[Mid24]]</f>
        <v>80</v>
      </c>
      <c r="CQ659" s="19">
        <f>Table1[[#This Row],[Mid27]]+Table1[[#This Row],[Mid30]]+Table1[[#This Row],[Mid33]]+Table1[[#This Row],[Mid36]]+Table1[[#This Row],[Mid39]]</f>
        <v>0</v>
      </c>
      <c r="CR659" t="s">
        <v>471</v>
      </c>
      <c r="CS659" s="19" t="str">
        <f>IF(AND(Table1[[#This Row],[Low41]]=0, Table1[[#This Row],[High43]]=0),"N","Y")</f>
        <v>Y</v>
      </c>
    </row>
    <row r="660" spans="1:97" ht="19.5" customHeight="1" x14ac:dyDescent="0.25">
      <c r="A660">
        <v>10658</v>
      </c>
      <c r="B660" t="s">
        <v>1897</v>
      </c>
      <c r="C660" t="s">
        <v>2113</v>
      </c>
      <c r="D660">
        <v>42.954999999999998</v>
      </c>
      <c r="E660">
        <v>-75.527777779999994</v>
      </c>
      <c r="F660" t="s">
        <v>2115</v>
      </c>
      <c r="H660" t="s">
        <v>189</v>
      </c>
      <c r="I660" t="s">
        <v>118</v>
      </c>
      <c r="J660" t="s">
        <v>119</v>
      </c>
      <c r="K660" t="s">
        <v>190</v>
      </c>
      <c r="L660" t="s">
        <v>18</v>
      </c>
      <c r="N660" s="6" t="s">
        <v>521</v>
      </c>
      <c r="O660" t="s">
        <v>1932</v>
      </c>
      <c r="P660" t="s">
        <v>436</v>
      </c>
      <c r="Q660" t="s">
        <v>195</v>
      </c>
      <c r="R660" t="s">
        <v>1936</v>
      </c>
      <c r="S660">
        <v>2015</v>
      </c>
      <c r="T660" t="s">
        <v>153</v>
      </c>
      <c r="U660" t="s">
        <v>129</v>
      </c>
      <c r="V660"/>
      <c r="AD660">
        <v>0</v>
      </c>
      <c r="AF660">
        <v>200</v>
      </c>
      <c r="AG660">
        <v>0</v>
      </c>
      <c r="AH660" t="s">
        <v>525</v>
      </c>
      <c r="AI660">
        <v>2</v>
      </c>
      <c r="AK660">
        <v>0</v>
      </c>
      <c r="AL660">
        <v>0</v>
      </c>
      <c r="AN660" t="s">
        <v>132</v>
      </c>
      <c r="BY660">
        <v>4370</v>
      </c>
      <c r="BZ660">
        <v>4370</v>
      </c>
      <c r="CA660">
        <v>4370</v>
      </c>
      <c r="CE660" s="19">
        <f>SUM(Table1[[#This Row],[Low38]],Table1[[#This Row],[Low35]],Table1[[#This Row],[Low32]],Table1[[#This Row],[Low29]],Table1[[#This Row],[Low26]],Table1[[#This Row],[Low23]],Table1[[#This Row],[Low20]],Table1[[#This Row],[Low17]],Table1[[#This Row],[Low14]],Table1[[#This Row],[Low11]],Table1[[#This Row],[Low8]],Table1[[#This Row],[Low5]],Table1[[#This Row],[Low2]],Table1[[#This Row],[Low]])</f>
        <v>4370</v>
      </c>
      <c r="CF660" s="19">
        <f>SUM(Table1[[#This Row],[Mid39]],Table1[[#This Row],[Mid36]],Table1[[#This Row],[Mid33]],Table1[[#This Row],[Mid30]],Table1[[#This Row],[Mid27]],Table1[[#This Row],[Mid24]],Table1[[#This Row],[Mid21]],Table1[[#This Row],[Mid18]],Table1[[#This Row],[Mid15]],Table1[[#This Row],[Mid12]],Table1[[#This Row],[Mid9]],Table1[[#This Row],[Mid6]],Table1[[#This Row],[Mid3]],Table1[[#This Row],[Mid]])</f>
        <v>4370</v>
      </c>
      <c r="CG66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4370</v>
      </c>
      <c r="CH660" t="s">
        <v>157</v>
      </c>
      <c r="CI660" t="s">
        <v>176</v>
      </c>
      <c r="CJ660" t="s">
        <v>158</v>
      </c>
      <c r="CL660" s="19">
        <f>IF(Table1[[#This Row],[Type]]="Petroleum",1,IF(ISERROR(Table1[[#This Row],[Well Density]]*Table1[[#This Row],[Single Well Discovery Area]]),"",IF(Table1[[#This Row],[Well Density]]*Table1[[#This Row],[Single Well Discovery Area]]&gt;1,1,Table1[[#This Row],[Well Density]]*Table1[[#This Row],[Single Well Discovery Area]])))</f>
        <v>0</v>
      </c>
      <c r="CM660" t="s">
        <v>158</v>
      </c>
      <c r="CN660" s="19">
        <f>Table1[[#This Row],[Mid]]</f>
        <v>0</v>
      </c>
      <c r="CO660" s="19">
        <f>Table1[[#This Row],[Mid3]]+Table1[[#This Row],[Mid6]]+Table1[[#This Row],[Mid9]]</f>
        <v>0</v>
      </c>
      <c r="CP660" s="19">
        <f>Table1[[#This Row],[Mid12]]+Table1[[#This Row],[Mid15]]+Table1[[#This Row],[Mid18]]+Table1[[#This Row],[Mid21]]+Table1[[#This Row],[Mid24]]</f>
        <v>0</v>
      </c>
      <c r="CQ660" s="19">
        <f>Table1[[#This Row],[Mid27]]+Table1[[#This Row],[Mid30]]+Table1[[#This Row],[Mid33]]+Table1[[#This Row],[Mid36]]+Table1[[#This Row],[Mid39]]</f>
        <v>4370</v>
      </c>
      <c r="CR660" t="s">
        <v>471</v>
      </c>
      <c r="CS660" s="19" t="str">
        <f>IF(AND(Table1[[#This Row],[Low41]]=0, Table1[[#This Row],[High43]]=0),"N","Y")</f>
        <v>Y</v>
      </c>
    </row>
    <row r="661" spans="1:97" ht="19.5" customHeight="1" x14ac:dyDescent="0.25">
      <c r="A661">
        <v>10659</v>
      </c>
      <c r="B661" t="s">
        <v>1897</v>
      </c>
      <c r="C661" t="s">
        <v>2116</v>
      </c>
      <c r="D661">
        <v>35.555833329999999</v>
      </c>
      <c r="E661">
        <v>-79.387777779999993</v>
      </c>
      <c r="F661" t="s">
        <v>2117</v>
      </c>
      <c r="H661" t="s">
        <v>189</v>
      </c>
      <c r="I661" t="s">
        <v>201</v>
      </c>
      <c r="J661" t="s">
        <v>202</v>
      </c>
      <c r="K661" t="s">
        <v>203</v>
      </c>
      <c r="L661" t="s">
        <v>121</v>
      </c>
      <c r="N661" s="6" t="s">
        <v>521</v>
      </c>
      <c r="O661" t="s">
        <v>1932</v>
      </c>
      <c r="P661" t="s">
        <v>436</v>
      </c>
      <c r="Q661" t="s">
        <v>1901</v>
      </c>
      <c r="R661" t="s">
        <v>2102</v>
      </c>
      <c r="S661">
        <v>2015</v>
      </c>
      <c r="T661" t="s">
        <v>153</v>
      </c>
      <c r="U661" t="s">
        <v>129</v>
      </c>
      <c r="V661"/>
      <c r="AD661">
        <v>0</v>
      </c>
      <c r="AF661">
        <v>200</v>
      </c>
      <c r="AG661">
        <v>0</v>
      </c>
      <c r="AH661" t="s">
        <v>1903</v>
      </c>
      <c r="AK661">
        <v>0</v>
      </c>
      <c r="AL661">
        <v>0</v>
      </c>
      <c r="AN661" t="s">
        <v>132</v>
      </c>
      <c r="CE66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6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6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61" t="s">
        <v>157</v>
      </c>
      <c r="CI661" t="s">
        <v>176</v>
      </c>
      <c r="CJ661" t="s">
        <v>158</v>
      </c>
      <c r="CL661" s="19">
        <f>IF(Table1[[#This Row],[Type]]="Petroleum",1,IF(ISERROR(Table1[[#This Row],[Well Density]]*Table1[[#This Row],[Single Well Discovery Area]]),"",IF(Table1[[#This Row],[Well Density]]*Table1[[#This Row],[Single Well Discovery Area]]&gt;1,1,Table1[[#This Row],[Well Density]]*Table1[[#This Row],[Single Well Discovery Area]])))</f>
        <v>1</v>
      </c>
      <c r="CM661" t="s">
        <v>158</v>
      </c>
      <c r="CN661" s="19">
        <f>Table1[[#This Row],[Mid]]</f>
        <v>0</v>
      </c>
      <c r="CO661" s="19">
        <f>Table1[[#This Row],[Mid3]]+Table1[[#This Row],[Mid6]]+Table1[[#This Row],[Mid9]]</f>
        <v>0</v>
      </c>
      <c r="CP661" s="19">
        <f>Table1[[#This Row],[Mid12]]+Table1[[#This Row],[Mid15]]+Table1[[#This Row],[Mid18]]+Table1[[#This Row],[Mid21]]+Table1[[#This Row],[Mid24]]</f>
        <v>0</v>
      </c>
      <c r="CQ661" s="19">
        <f>Table1[[#This Row],[Mid27]]+Table1[[#This Row],[Mid30]]+Table1[[#This Row],[Mid33]]+Table1[[#This Row],[Mid36]]+Table1[[#This Row],[Mid39]]</f>
        <v>0</v>
      </c>
      <c r="CR661" t="s">
        <v>471</v>
      </c>
      <c r="CS661" s="19" t="str">
        <f>IF(AND(Table1[[#This Row],[Low41]]=0, Table1[[#This Row],[High43]]=0),"N","Y")</f>
        <v>N</v>
      </c>
    </row>
    <row r="662" spans="1:97" ht="19.5" customHeight="1" x14ac:dyDescent="0.25">
      <c r="A662">
        <v>10660</v>
      </c>
      <c r="B662" t="s">
        <v>1897</v>
      </c>
      <c r="C662" t="s">
        <v>2116</v>
      </c>
      <c r="D662">
        <v>35.556944440000002</v>
      </c>
      <c r="E662">
        <v>-79.388888890000004</v>
      </c>
      <c r="F662" t="s">
        <v>2118</v>
      </c>
      <c r="H662" t="s">
        <v>189</v>
      </c>
      <c r="I662" t="s">
        <v>118</v>
      </c>
      <c r="J662" t="s">
        <v>119</v>
      </c>
      <c r="K662" t="s">
        <v>190</v>
      </c>
      <c r="L662" t="s">
        <v>18</v>
      </c>
      <c r="N662" s="6" t="s">
        <v>521</v>
      </c>
      <c r="O662" t="s">
        <v>1932</v>
      </c>
      <c r="P662" t="s">
        <v>436</v>
      </c>
      <c r="Q662" t="s">
        <v>195</v>
      </c>
      <c r="R662" t="s">
        <v>1942</v>
      </c>
      <c r="S662">
        <v>2015</v>
      </c>
      <c r="T662" t="s">
        <v>153</v>
      </c>
      <c r="U662" t="s">
        <v>129</v>
      </c>
      <c r="V662"/>
      <c r="AD662">
        <v>0</v>
      </c>
      <c r="AF662">
        <v>200</v>
      </c>
      <c r="AG662">
        <v>0</v>
      </c>
      <c r="AH662" t="s">
        <v>525</v>
      </c>
      <c r="AI662">
        <v>2</v>
      </c>
      <c r="AK662">
        <v>0</v>
      </c>
      <c r="AL662">
        <v>0</v>
      </c>
      <c r="AN662" t="s">
        <v>132</v>
      </c>
      <c r="BY662">
        <v>1340</v>
      </c>
      <c r="BZ662">
        <v>6510</v>
      </c>
      <c r="CA662">
        <v>18390</v>
      </c>
      <c r="CE662" s="19">
        <f>SUM(Table1[[#This Row],[Low38]],Table1[[#This Row],[Low35]],Table1[[#This Row],[Low32]],Table1[[#This Row],[Low29]],Table1[[#This Row],[Low26]],Table1[[#This Row],[Low23]],Table1[[#This Row],[Low20]],Table1[[#This Row],[Low17]],Table1[[#This Row],[Low14]],Table1[[#This Row],[Low11]],Table1[[#This Row],[Low8]],Table1[[#This Row],[Low5]],Table1[[#This Row],[Low2]],Table1[[#This Row],[Low]])</f>
        <v>1340</v>
      </c>
      <c r="CF662" s="19">
        <f>SUM(Table1[[#This Row],[Mid39]],Table1[[#This Row],[Mid36]],Table1[[#This Row],[Mid33]],Table1[[#This Row],[Mid30]],Table1[[#This Row],[Mid27]],Table1[[#This Row],[Mid24]],Table1[[#This Row],[Mid21]],Table1[[#This Row],[Mid18]],Table1[[#This Row],[Mid15]],Table1[[#This Row],[Mid12]],Table1[[#This Row],[Mid9]],Table1[[#This Row],[Mid6]],Table1[[#This Row],[Mid3]],Table1[[#This Row],[Mid]])</f>
        <v>6510</v>
      </c>
      <c r="CG66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18390</v>
      </c>
      <c r="CH662" t="s">
        <v>157</v>
      </c>
      <c r="CI662" t="s">
        <v>176</v>
      </c>
      <c r="CJ662" t="s">
        <v>158</v>
      </c>
      <c r="CL662" s="19">
        <f>IF(Table1[[#This Row],[Type]]="Petroleum",1,IF(ISERROR(Table1[[#This Row],[Well Density]]*Table1[[#This Row],[Single Well Discovery Area]]),"",IF(Table1[[#This Row],[Well Density]]*Table1[[#This Row],[Single Well Discovery Area]]&gt;1,1,Table1[[#This Row],[Well Density]]*Table1[[#This Row],[Single Well Discovery Area]])))</f>
        <v>0</v>
      </c>
      <c r="CM662" t="s">
        <v>158</v>
      </c>
      <c r="CN662" s="19">
        <f>Table1[[#This Row],[Mid]]</f>
        <v>0</v>
      </c>
      <c r="CO662" s="19">
        <f>Table1[[#This Row],[Mid3]]+Table1[[#This Row],[Mid6]]+Table1[[#This Row],[Mid9]]</f>
        <v>0</v>
      </c>
      <c r="CP662" s="19">
        <f>Table1[[#This Row],[Mid12]]+Table1[[#This Row],[Mid15]]+Table1[[#This Row],[Mid18]]+Table1[[#This Row],[Mid21]]+Table1[[#This Row],[Mid24]]</f>
        <v>0</v>
      </c>
      <c r="CQ662" s="19">
        <f>Table1[[#This Row],[Mid27]]+Table1[[#This Row],[Mid30]]+Table1[[#This Row],[Mid33]]+Table1[[#This Row],[Mid36]]+Table1[[#This Row],[Mid39]]</f>
        <v>6510</v>
      </c>
      <c r="CR662" t="s">
        <v>471</v>
      </c>
      <c r="CS662" s="19" t="str">
        <f>IF(AND(Table1[[#This Row],[Low41]]=0, Table1[[#This Row],[High43]]=0),"N","Y")</f>
        <v>Y</v>
      </c>
    </row>
    <row r="663" spans="1:97" ht="19.5" customHeight="1" x14ac:dyDescent="0.25">
      <c r="A663">
        <v>10661</v>
      </c>
      <c r="B663" t="s">
        <v>1897</v>
      </c>
      <c r="C663" t="s">
        <v>2119</v>
      </c>
      <c r="D663">
        <v>47.45</v>
      </c>
      <c r="E663">
        <v>-100.4658333</v>
      </c>
      <c r="F663" t="s">
        <v>2120</v>
      </c>
      <c r="G663" t="s">
        <v>595</v>
      </c>
      <c r="H663" t="s">
        <v>189</v>
      </c>
      <c r="I663" t="s">
        <v>201</v>
      </c>
      <c r="J663" t="s">
        <v>202</v>
      </c>
      <c r="K663" t="s">
        <v>203</v>
      </c>
      <c r="L663" t="s">
        <v>121</v>
      </c>
      <c r="N663" s="6" t="s">
        <v>521</v>
      </c>
      <c r="O663" t="s">
        <v>1932</v>
      </c>
      <c r="P663" t="s">
        <v>436</v>
      </c>
      <c r="Q663" t="s">
        <v>1901</v>
      </c>
      <c r="R663" t="s">
        <v>1963</v>
      </c>
      <c r="S663">
        <v>2015</v>
      </c>
      <c r="T663" t="s">
        <v>153</v>
      </c>
      <c r="U663" t="s">
        <v>129</v>
      </c>
      <c r="V663"/>
      <c r="AD663">
        <v>0</v>
      </c>
      <c r="AF663">
        <v>200</v>
      </c>
      <c r="AG663">
        <v>0</v>
      </c>
      <c r="AH663" t="s">
        <v>1903</v>
      </c>
      <c r="AK663">
        <v>0</v>
      </c>
      <c r="AL663">
        <v>0</v>
      </c>
      <c r="AN663" t="s">
        <v>132</v>
      </c>
      <c r="BM663">
        <v>370</v>
      </c>
      <c r="BN663">
        <v>910</v>
      </c>
      <c r="BO663">
        <v>2190</v>
      </c>
      <c r="CE663" s="19">
        <f>SUM(Table1[[#This Row],[Low38]],Table1[[#This Row],[Low35]],Table1[[#This Row],[Low32]],Table1[[#This Row],[Low29]],Table1[[#This Row],[Low26]],Table1[[#This Row],[Low23]],Table1[[#This Row],[Low20]],Table1[[#This Row],[Low17]],Table1[[#This Row],[Low14]],Table1[[#This Row],[Low11]],Table1[[#This Row],[Low8]],Table1[[#This Row],[Low5]],Table1[[#This Row],[Low2]],Table1[[#This Row],[Low]])</f>
        <v>370</v>
      </c>
      <c r="CF663" s="19">
        <f>SUM(Table1[[#This Row],[Mid39]],Table1[[#This Row],[Mid36]],Table1[[#This Row],[Mid33]],Table1[[#This Row],[Mid30]],Table1[[#This Row],[Mid27]],Table1[[#This Row],[Mid24]],Table1[[#This Row],[Mid21]],Table1[[#This Row],[Mid18]],Table1[[#This Row],[Mid15]],Table1[[#This Row],[Mid12]],Table1[[#This Row],[Mid9]],Table1[[#This Row],[Mid6]],Table1[[#This Row],[Mid3]],Table1[[#This Row],[Mid]])</f>
        <v>910</v>
      </c>
      <c r="CG66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2190</v>
      </c>
      <c r="CH663" t="s">
        <v>157</v>
      </c>
      <c r="CI663" t="s">
        <v>176</v>
      </c>
      <c r="CJ663" t="s">
        <v>158</v>
      </c>
      <c r="CL663" s="19">
        <f>IF(Table1[[#This Row],[Type]]="Petroleum",1,IF(ISERROR(Table1[[#This Row],[Well Density]]*Table1[[#This Row],[Single Well Discovery Area]]),"",IF(Table1[[#This Row],[Well Density]]*Table1[[#This Row],[Single Well Discovery Area]]&gt;1,1,Table1[[#This Row],[Well Density]]*Table1[[#This Row],[Single Well Discovery Area]])))</f>
        <v>1</v>
      </c>
      <c r="CM663" t="s">
        <v>158</v>
      </c>
      <c r="CN663" s="19">
        <f>Table1[[#This Row],[Mid]]</f>
        <v>0</v>
      </c>
      <c r="CO663" s="19">
        <f>Table1[[#This Row],[Mid3]]+Table1[[#This Row],[Mid6]]+Table1[[#This Row],[Mid9]]</f>
        <v>0</v>
      </c>
      <c r="CP663" s="19">
        <f>Table1[[#This Row],[Mid12]]+Table1[[#This Row],[Mid15]]+Table1[[#This Row],[Mid18]]+Table1[[#This Row],[Mid21]]+Table1[[#This Row],[Mid24]]</f>
        <v>910</v>
      </c>
      <c r="CQ663" s="19">
        <f>Table1[[#This Row],[Mid27]]+Table1[[#This Row],[Mid30]]+Table1[[#This Row],[Mid33]]+Table1[[#This Row],[Mid36]]+Table1[[#This Row],[Mid39]]</f>
        <v>0</v>
      </c>
      <c r="CR663" t="s">
        <v>471</v>
      </c>
      <c r="CS663" s="19" t="str">
        <f>IF(AND(Table1[[#This Row],[Low41]]=0, Table1[[#This Row],[High43]]=0),"N","Y")</f>
        <v>Y</v>
      </c>
    </row>
    <row r="664" spans="1:97" ht="19.5" customHeight="1" x14ac:dyDescent="0.25">
      <c r="A664">
        <v>10662</v>
      </c>
      <c r="B664" t="s">
        <v>1897</v>
      </c>
      <c r="C664" t="s">
        <v>2119</v>
      </c>
      <c r="D664">
        <v>47.451111109999999</v>
      </c>
      <c r="E664">
        <v>-100.4666667</v>
      </c>
      <c r="F664" t="s">
        <v>2121</v>
      </c>
      <c r="G664" t="s">
        <v>595</v>
      </c>
      <c r="H664" t="s">
        <v>189</v>
      </c>
      <c r="I664" t="s">
        <v>118</v>
      </c>
      <c r="J664" t="s">
        <v>119</v>
      </c>
      <c r="K664" t="s">
        <v>190</v>
      </c>
      <c r="L664" t="s">
        <v>18</v>
      </c>
      <c r="N664" s="6" t="s">
        <v>521</v>
      </c>
      <c r="O664" t="s">
        <v>1932</v>
      </c>
      <c r="P664" t="s">
        <v>436</v>
      </c>
      <c r="Q664" t="s">
        <v>195</v>
      </c>
      <c r="R664" t="s">
        <v>2122</v>
      </c>
      <c r="S664">
        <v>2015</v>
      </c>
      <c r="T664" t="s">
        <v>153</v>
      </c>
      <c r="U664" t="s">
        <v>129</v>
      </c>
      <c r="V664"/>
      <c r="AD664">
        <v>0</v>
      </c>
      <c r="AF664">
        <v>200</v>
      </c>
      <c r="AG664">
        <v>0</v>
      </c>
      <c r="AH664" t="s">
        <v>525</v>
      </c>
      <c r="AI664">
        <v>2</v>
      </c>
      <c r="AK664">
        <v>0</v>
      </c>
      <c r="AL664">
        <v>0</v>
      </c>
      <c r="AN664" t="s">
        <v>132</v>
      </c>
      <c r="CE66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6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6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64" t="s">
        <v>157</v>
      </c>
      <c r="CI664" t="s">
        <v>176</v>
      </c>
      <c r="CJ664" t="s">
        <v>158</v>
      </c>
      <c r="CL664" s="19">
        <f>IF(Table1[[#This Row],[Type]]="Petroleum",1,IF(ISERROR(Table1[[#This Row],[Well Density]]*Table1[[#This Row],[Single Well Discovery Area]]),"",IF(Table1[[#This Row],[Well Density]]*Table1[[#This Row],[Single Well Discovery Area]]&gt;1,1,Table1[[#This Row],[Well Density]]*Table1[[#This Row],[Single Well Discovery Area]])))</f>
        <v>0</v>
      </c>
      <c r="CM664" t="s">
        <v>158</v>
      </c>
      <c r="CN664" s="19">
        <f>Table1[[#This Row],[Mid]]</f>
        <v>0</v>
      </c>
      <c r="CO664" s="19">
        <f>Table1[[#This Row],[Mid3]]+Table1[[#This Row],[Mid6]]+Table1[[#This Row],[Mid9]]</f>
        <v>0</v>
      </c>
      <c r="CP664" s="19">
        <f>Table1[[#This Row],[Mid12]]+Table1[[#This Row],[Mid15]]+Table1[[#This Row],[Mid18]]+Table1[[#This Row],[Mid21]]+Table1[[#This Row],[Mid24]]</f>
        <v>0</v>
      </c>
      <c r="CQ664" s="19">
        <f>Table1[[#This Row],[Mid27]]+Table1[[#This Row],[Mid30]]+Table1[[#This Row],[Mid33]]+Table1[[#This Row],[Mid36]]+Table1[[#This Row],[Mid39]]</f>
        <v>0</v>
      </c>
      <c r="CR664" t="s">
        <v>471</v>
      </c>
      <c r="CS664" s="19" t="str">
        <f>IF(AND(Table1[[#This Row],[Low41]]=0, Table1[[#This Row],[High43]]=0),"N","Y")</f>
        <v>N</v>
      </c>
    </row>
    <row r="665" spans="1:97" ht="19.5" customHeight="1" x14ac:dyDescent="0.25">
      <c r="A665">
        <v>10663</v>
      </c>
      <c r="B665" t="s">
        <v>1897</v>
      </c>
      <c r="C665" t="s">
        <v>2119</v>
      </c>
      <c r="D665">
        <v>47.298333329999998</v>
      </c>
      <c r="E665">
        <v>-101.01166670000001</v>
      </c>
      <c r="F665" t="s">
        <v>2123</v>
      </c>
      <c r="G665" t="s">
        <v>595</v>
      </c>
      <c r="H665" t="s">
        <v>2124</v>
      </c>
      <c r="I665" t="s">
        <v>118</v>
      </c>
      <c r="J665" t="s">
        <v>119</v>
      </c>
      <c r="K665" t="s">
        <v>190</v>
      </c>
      <c r="L665" t="s">
        <v>18</v>
      </c>
      <c r="M665" t="s">
        <v>2125</v>
      </c>
      <c r="N665" s="6" t="s">
        <v>2092</v>
      </c>
      <c r="O665" t="s">
        <v>2126</v>
      </c>
      <c r="P665" t="s">
        <v>170</v>
      </c>
      <c r="Q665" t="s">
        <v>195</v>
      </c>
      <c r="R665" t="s">
        <v>2094</v>
      </c>
      <c r="S665">
        <v>2005</v>
      </c>
      <c r="T665" t="s">
        <v>153</v>
      </c>
      <c r="U665" t="s">
        <v>129</v>
      </c>
      <c r="V665"/>
      <c r="AD665">
        <v>0</v>
      </c>
      <c r="AF665">
        <v>200</v>
      </c>
      <c r="AG665">
        <v>0</v>
      </c>
      <c r="AH665" t="s">
        <v>2095</v>
      </c>
      <c r="AI665">
        <v>2</v>
      </c>
      <c r="AK665">
        <v>0</v>
      </c>
      <c r="AL665">
        <v>0</v>
      </c>
      <c r="AM665" t="s">
        <v>2096</v>
      </c>
      <c r="AN665" t="s">
        <v>132</v>
      </c>
      <c r="AO665">
        <v>0</v>
      </c>
      <c r="AP665">
        <v>0</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1900</v>
      </c>
      <c r="BW665">
        <v>3500</v>
      </c>
      <c r="BX665">
        <v>6100</v>
      </c>
      <c r="BY665">
        <v>0</v>
      </c>
      <c r="BZ665">
        <v>0</v>
      </c>
      <c r="CA665">
        <v>0</v>
      </c>
      <c r="CB665">
        <v>0</v>
      </c>
      <c r="CC665">
        <v>0</v>
      </c>
      <c r="CD665">
        <v>0</v>
      </c>
      <c r="CE665" s="19">
        <f>SUM(Table1[[#This Row],[Low38]],Table1[[#This Row],[Low35]],Table1[[#This Row],[Low32]],Table1[[#This Row],[Low29]],Table1[[#This Row],[Low26]],Table1[[#This Row],[Low23]],Table1[[#This Row],[Low20]],Table1[[#This Row],[Low17]],Table1[[#This Row],[Low14]],Table1[[#This Row],[Low11]],Table1[[#This Row],[Low8]],Table1[[#This Row],[Low5]],Table1[[#This Row],[Low2]],Table1[[#This Row],[Low]])</f>
        <v>1900</v>
      </c>
      <c r="CF665" s="19">
        <f>SUM(Table1[[#This Row],[Mid39]],Table1[[#This Row],[Mid36]],Table1[[#This Row],[Mid33]],Table1[[#This Row],[Mid30]],Table1[[#This Row],[Mid27]],Table1[[#This Row],[Mid24]],Table1[[#This Row],[Mid21]],Table1[[#This Row],[Mid18]],Table1[[#This Row],[Mid15]],Table1[[#This Row],[Mid12]],Table1[[#This Row],[Mid9]],Table1[[#This Row],[Mid6]],Table1[[#This Row],[Mid3]],Table1[[#This Row],[Mid]])</f>
        <v>3500</v>
      </c>
      <c r="CG66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6100</v>
      </c>
      <c r="CH665" t="s">
        <v>157</v>
      </c>
      <c r="CI665" t="s">
        <v>176</v>
      </c>
      <c r="CJ665" t="s">
        <v>158</v>
      </c>
      <c r="CL665" s="19">
        <f>IF(Table1[[#This Row],[Type]]="Petroleum",1,IF(ISERROR(Table1[[#This Row],[Well Density]]*Table1[[#This Row],[Single Well Discovery Area]]),"",IF(Table1[[#This Row],[Well Density]]*Table1[[#This Row],[Single Well Discovery Area]]&gt;1,1,Table1[[#This Row],[Well Density]]*Table1[[#This Row],[Single Well Discovery Area]])))</f>
        <v>0</v>
      </c>
      <c r="CM665" t="s">
        <v>158</v>
      </c>
      <c r="CN665" s="19">
        <f>Table1[[#This Row],[Mid]]</f>
        <v>0</v>
      </c>
      <c r="CO665" s="19">
        <f>Table1[[#This Row],[Mid3]]+Table1[[#This Row],[Mid6]]+Table1[[#This Row],[Mid9]]</f>
        <v>0</v>
      </c>
      <c r="CP665" s="19">
        <f>Table1[[#This Row],[Mid12]]+Table1[[#This Row],[Mid15]]+Table1[[#This Row],[Mid18]]+Table1[[#This Row],[Mid21]]+Table1[[#This Row],[Mid24]]</f>
        <v>0</v>
      </c>
      <c r="CQ665" s="19">
        <f>Table1[[#This Row],[Mid27]]+Table1[[#This Row],[Mid30]]+Table1[[#This Row],[Mid33]]+Table1[[#This Row],[Mid36]]+Table1[[#This Row],[Mid39]]</f>
        <v>3500</v>
      </c>
      <c r="CR665" t="s">
        <v>471</v>
      </c>
      <c r="CS665" s="19" t="str">
        <f>IF(AND(Table1[[#This Row],[Low41]]=0, Table1[[#This Row],[High43]]=0),"N","Y")</f>
        <v>Y</v>
      </c>
    </row>
    <row r="666" spans="1:97" ht="19.5" customHeight="1" x14ac:dyDescent="0.25">
      <c r="A666">
        <v>10664</v>
      </c>
      <c r="B666" t="s">
        <v>1897</v>
      </c>
      <c r="C666" t="s">
        <v>2127</v>
      </c>
      <c r="D666">
        <v>40.28611111</v>
      </c>
      <c r="E666">
        <v>-82.793611110000001</v>
      </c>
      <c r="F666" t="s">
        <v>2128</v>
      </c>
      <c r="H666" t="s">
        <v>189</v>
      </c>
      <c r="I666" t="s">
        <v>201</v>
      </c>
      <c r="J666" t="s">
        <v>202</v>
      </c>
      <c r="K666" t="s">
        <v>203</v>
      </c>
      <c r="L666" t="s">
        <v>121</v>
      </c>
      <c r="N666" s="6" t="s">
        <v>521</v>
      </c>
      <c r="O666" t="s">
        <v>1932</v>
      </c>
      <c r="P666" t="s">
        <v>436</v>
      </c>
      <c r="Q666" t="s">
        <v>1901</v>
      </c>
      <c r="R666" t="s">
        <v>1963</v>
      </c>
      <c r="S666">
        <v>2015</v>
      </c>
      <c r="T666" t="s">
        <v>153</v>
      </c>
      <c r="U666" t="s">
        <v>129</v>
      </c>
      <c r="V666"/>
      <c r="AD666">
        <v>0</v>
      </c>
      <c r="AF666">
        <v>200</v>
      </c>
      <c r="AG666">
        <v>0</v>
      </c>
      <c r="AH666" t="s">
        <v>1903</v>
      </c>
      <c r="AK666">
        <v>0</v>
      </c>
      <c r="AL666">
        <v>0</v>
      </c>
      <c r="AN666" t="s">
        <v>132</v>
      </c>
      <c r="BM666">
        <v>650</v>
      </c>
      <c r="BN666">
        <v>1080</v>
      </c>
      <c r="BO666">
        <v>1970</v>
      </c>
      <c r="CE666" s="19">
        <f>SUM(Table1[[#This Row],[Low38]],Table1[[#This Row],[Low35]],Table1[[#This Row],[Low32]],Table1[[#This Row],[Low29]],Table1[[#This Row],[Low26]],Table1[[#This Row],[Low23]],Table1[[#This Row],[Low20]],Table1[[#This Row],[Low17]],Table1[[#This Row],[Low14]],Table1[[#This Row],[Low11]],Table1[[#This Row],[Low8]],Table1[[#This Row],[Low5]],Table1[[#This Row],[Low2]],Table1[[#This Row],[Low]])</f>
        <v>650</v>
      </c>
      <c r="CF666" s="19">
        <f>SUM(Table1[[#This Row],[Mid39]],Table1[[#This Row],[Mid36]],Table1[[#This Row],[Mid33]],Table1[[#This Row],[Mid30]],Table1[[#This Row],[Mid27]],Table1[[#This Row],[Mid24]],Table1[[#This Row],[Mid21]],Table1[[#This Row],[Mid18]],Table1[[#This Row],[Mid15]],Table1[[#This Row],[Mid12]],Table1[[#This Row],[Mid9]],Table1[[#This Row],[Mid6]],Table1[[#This Row],[Mid3]],Table1[[#This Row],[Mid]])</f>
        <v>1080</v>
      </c>
      <c r="CG66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1970</v>
      </c>
      <c r="CH666" t="s">
        <v>157</v>
      </c>
      <c r="CI666" t="s">
        <v>176</v>
      </c>
      <c r="CJ666" t="s">
        <v>158</v>
      </c>
      <c r="CL666" s="19">
        <f>IF(Table1[[#This Row],[Type]]="Petroleum",1,IF(ISERROR(Table1[[#This Row],[Well Density]]*Table1[[#This Row],[Single Well Discovery Area]]),"",IF(Table1[[#This Row],[Well Density]]*Table1[[#This Row],[Single Well Discovery Area]]&gt;1,1,Table1[[#This Row],[Well Density]]*Table1[[#This Row],[Single Well Discovery Area]])))</f>
        <v>1</v>
      </c>
      <c r="CM666" t="s">
        <v>158</v>
      </c>
      <c r="CN666" s="19">
        <f>Table1[[#This Row],[Mid]]</f>
        <v>0</v>
      </c>
      <c r="CO666" s="19">
        <f>Table1[[#This Row],[Mid3]]+Table1[[#This Row],[Mid6]]+Table1[[#This Row],[Mid9]]</f>
        <v>0</v>
      </c>
      <c r="CP666" s="19">
        <f>Table1[[#This Row],[Mid12]]+Table1[[#This Row],[Mid15]]+Table1[[#This Row],[Mid18]]+Table1[[#This Row],[Mid21]]+Table1[[#This Row],[Mid24]]</f>
        <v>1080</v>
      </c>
      <c r="CQ666" s="19">
        <f>Table1[[#This Row],[Mid27]]+Table1[[#This Row],[Mid30]]+Table1[[#This Row],[Mid33]]+Table1[[#This Row],[Mid36]]+Table1[[#This Row],[Mid39]]</f>
        <v>0</v>
      </c>
      <c r="CR666" t="s">
        <v>471</v>
      </c>
      <c r="CS666" s="19" t="str">
        <f>IF(AND(Table1[[#This Row],[Low41]]=0, Table1[[#This Row],[High43]]=0),"N","Y")</f>
        <v>Y</v>
      </c>
    </row>
    <row r="667" spans="1:97" ht="19.5" customHeight="1" x14ac:dyDescent="0.25">
      <c r="A667">
        <v>10665</v>
      </c>
      <c r="B667" t="s">
        <v>1897</v>
      </c>
      <c r="C667" t="s">
        <v>2127</v>
      </c>
      <c r="D667">
        <v>40.287222219999997</v>
      </c>
      <c r="E667">
        <v>-82.794722219999997</v>
      </c>
      <c r="F667" t="s">
        <v>2129</v>
      </c>
      <c r="H667" t="s">
        <v>189</v>
      </c>
      <c r="I667" t="s">
        <v>118</v>
      </c>
      <c r="J667" t="s">
        <v>119</v>
      </c>
      <c r="K667" t="s">
        <v>190</v>
      </c>
      <c r="L667" t="s">
        <v>18</v>
      </c>
      <c r="N667" s="6" t="s">
        <v>521</v>
      </c>
      <c r="O667" t="s">
        <v>1932</v>
      </c>
      <c r="P667" t="s">
        <v>436</v>
      </c>
      <c r="Q667" t="s">
        <v>195</v>
      </c>
      <c r="R667" t="s">
        <v>1942</v>
      </c>
      <c r="S667">
        <v>2015</v>
      </c>
      <c r="T667" t="s">
        <v>153</v>
      </c>
      <c r="U667" t="s">
        <v>129</v>
      </c>
      <c r="V667"/>
      <c r="AD667">
        <v>0</v>
      </c>
      <c r="AF667">
        <v>200</v>
      </c>
      <c r="AG667">
        <v>0</v>
      </c>
      <c r="AH667" t="s">
        <v>525</v>
      </c>
      <c r="AI667">
        <v>2</v>
      </c>
      <c r="AK667">
        <v>0</v>
      </c>
      <c r="AL667">
        <v>0</v>
      </c>
      <c r="AN667" t="s">
        <v>132</v>
      </c>
      <c r="BY667">
        <v>9910</v>
      </c>
      <c r="BZ667">
        <v>9910</v>
      </c>
      <c r="CA667">
        <v>9910</v>
      </c>
      <c r="CE667" s="19">
        <f>SUM(Table1[[#This Row],[Low38]],Table1[[#This Row],[Low35]],Table1[[#This Row],[Low32]],Table1[[#This Row],[Low29]],Table1[[#This Row],[Low26]],Table1[[#This Row],[Low23]],Table1[[#This Row],[Low20]],Table1[[#This Row],[Low17]],Table1[[#This Row],[Low14]],Table1[[#This Row],[Low11]],Table1[[#This Row],[Low8]],Table1[[#This Row],[Low5]],Table1[[#This Row],[Low2]],Table1[[#This Row],[Low]])</f>
        <v>9910</v>
      </c>
      <c r="CF667" s="19">
        <f>SUM(Table1[[#This Row],[Mid39]],Table1[[#This Row],[Mid36]],Table1[[#This Row],[Mid33]],Table1[[#This Row],[Mid30]],Table1[[#This Row],[Mid27]],Table1[[#This Row],[Mid24]],Table1[[#This Row],[Mid21]],Table1[[#This Row],[Mid18]],Table1[[#This Row],[Mid15]],Table1[[#This Row],[Mid12]],Table1[[#This Row],[Mid9]],Table1[[#This Row],[Mid6]],Table1[[#This Row],[Mid3]],Table1[[#This Row],[Mid]])</f>
        <v>9910</v>
      </c>
      <c r="CG66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9910</v>
      </c>
      <c r="CH667" t="s">
        <v>157</v>
      </c>
      <c r="CI667" t="s">
        <v>176</v>
      </c>
      <c r="CJ667" t="s">
        <v>158</v>
      </c>
      <c r="CL667" s="19">
        <f>IF(Table1[[#This Row],[Type]]="Petroleum",1,IF(ISERROR(Table1[[#This Row],[Well Density]]*Table1[[#This Row],[Single Well Discovery Area]]),"",IF(Table1[[#This Row],[Well Density]]*Table1[[#This Row],[Single Well Discovery Area]]&gt;1,1,Table1[[#This Row],[Well Density]]*Table1[[#This Row],[Single Well Discovery Area]])))</f>
        <v>0</v>
      </c>
      <c r="CM667" t="s">
        <v>158</v>
      </c>
      <c r="CN667" s="19">
        <f>Table1[[#This Row],[Mid]]</f>
        <v>0</v>
      </c>
      <c r="CO667" s="19">
        <f>Table1[[#This Row],[Mid3]]+Table1[[#This Row],[Mid6]]+Table1[[#This Row],[Mid9]]</f>
        <v>0</v>
      </c>
      <c r="CP667" s="19">
        <f>Table1[[#This Row],[Mid12]]+Table1[[#This Row],[Mid15]]+Table1[[#This Row],[Mid18]]+Table1[[#This Row],[Mid21]]+Table1[[#This Row],[Mid24]]</f>
        <v>0</v>
      </c>
      <c r="CQ667" s="19">
        <f>Table1[[#This Row],[Mid27]]+Table1[[#This Row],[Mid30]]+Table1[[#This Row],[Mid33]]+Table1[[#This Row],[Mid36]]+Table1[[#This Row],[Mid39]]</f>
        <v>9910</v>
      </c>
      <c r="CR667" t="s">
        <v>471</v>
      </c>
      <c r="CS667" s="19" t="str">
        <f>IF(AND(Table1[[#This Row],[Low41]]=0, Table1[[#This Row],[High43]]=0),"N","Y")</f>
        <v>Y</v>
      </c>
    </row>
    <row r="668" spans="1:97" ht="19.5" customHeight="1" x14ac:dyDescent="0.25">
      <c r="A668">
        <v>10666</v>
      </c>
      <c r="B668" t="s">
        <v>1897</v>
      </c>
      <c r="C668" t="s">
        <v>2130</v>
      </c>
      <c r="D668">
        <v>35.58888889</v>
      </c>
      <c r="E668">
        <v>-97.494166669999998</v>
      </c>
      <c r="F668" t="s">
        <v>2131</v>
      </c>
      <c r="G668" t="s">
        <v>2019</v>
      </c>
      <c r="H668" t="s">
        <v>189</v>
      </c>
      <c r="I668" t="s">
        <v>201</v>
      </c>
      <c r="J668" t="s">
        <v>202</v>
      </c>
      <c r="K668" t="s">
        <v>203</v>
      </c>
      <c r="L668" t="s">
        <v>121</v>
      </c>
      <c r="N668" s="6" t="s">
        <v>521</v>
      </c>
      <c r="O668" t="s">
        <v>1932</v>
      </c>
      <c r="P668" t="s">
        <v>436</v>
      </c>
      <c r="Q668" t="s">
        <v>1901</v>
      </c>
      <c r="R668" t="s">
        <v>1963</v>
      </c>
      <c r="S668">
        <v>2015</v>
      </c>
      <c r="T668" t="s">
        <v>153</v>
      </c>
      <c r="U668" t="s">
        <v>129</v>
      </c>
      <c r="V668"/>
      <c r="AD668">
        <v>0</v>
      </c>
      <c r="AF668">
        <v>200</v>
      </c>
      <c r="AG668">
        <v>0</v>
      </c>
      <c r="AH668" t="s">
        <v>1903</v>
      </c>
      <c r="AK668">
        <v>0</v>
      </c>
      <c r="AL668">
        <v>0</v>
      </c>
      <c r="AN668" t="s">
        <v>132</v>
      </c>
      <c r="BM668">
        <v>3480</v>
      </c>
      <c r="BN668">
        <v>4400</v>
      </c>
      <c r="BO668">
        <v>4400</v>
      </c>
      <c r="CE668" s="19">
        <f>SUM(Table1[[#This Row],[Low38]],Table1[[#This Row],[Low35]],Table1[[#This Row],[Low32]],Table1[[#This Row],[Low29]],Table1[[#This Row],[Low26]],Table1[[#This Row],[Low23]],Table1[[#This Row],[Low20]],Table1[[#This Row],[Low17]],Table1[[#This Row],[Low14]],Table1[[#This Row],[Low11]],Table1[[#This Row],[Low8]],Table1[[#This Row],[Low5]],Table1[[#This Row],[Low2]],Table1[[#This Row],[Low]])</f>
        <v>3480</v>
      </c>
      <c r="CF668" s="19">
        <f>SUM(Table1[[#This Row],[Mid39]],Table1[[#This Row],[Mid36]],Table1[[#This Row],[Mid33]],Table1[[#This Row],[Mid30]],Table1[[#This Row],[Mid27]],Table1[[#This Row],[Mid24]],Table1[[#This Row],[Mid21]],Table1[[#This Row],[Mid18]],Table1[[#This Row],[Mid15]],Table1[[#This Row],[Mid12]],Table1[[#This Row],[Mid9]],Table1[[#This Row],[Mid6]],Table1[[#This Row],[Mid3]],Table1[[#This Row],[Mid]])</f>
        <v>4400</v>
      </c>
      <c r="CG66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4400</v>
      </c>
      <c r="CH668" t="s">
        <v>157</v>
      </c>
      <c r="CI668" t="s">
        <v>176</v>
      </c>
      <c r="CJ668" t="s">
        <v>158</v>
      </c>
      <c r="CL668" s="19">
        <f>IF(Table1[[#This Row],[Type]]="Petroleum",1,IF(ISERROR(Table1[[#This Row],[Well Density]]*Table1[[#This Row],[Single Well Discovery Area]]),"",IF(Table1[[#This Row],[Well Density]]*Table1[[#This Row],[Single Well Discovery Area]]&gt;1,1,Table1[[#This Row],[Well Density]]*Table1[[#This Row],[Single Well Discovery Area]])))</f>
        <v>1</v>
      </c>
      <c r="CM668" t="s">
        <v>158</v>
      </c>
      <c r="CN668" s="19">
        <f>Table1[[#This Row],[Mid]]</f>
        <v>0</v>
      </c>
      <c r="CO668" s="19">
        <f>Table1[[#This Row],[Mid3]]+Table1[[#This Row],[Mid6]]+Table1[[#This Row],[Mid9]]</f>
        <v>0</v>
      </c>
      <c r="CP668" s="19">
        <f>Table1[[#This Row],[Mid12]]+Table1[[#This Row],[Mid15]]+Table1[[#This Row],[Mid18]]+Table1[[#This Row],[Mid21]]+Table1[[#This Row],[Mid24]]</f>
        <v>4400</v>
      </c>
      <c r="CQ668" s="19">
        <f>Table1[[#This Row],[Mid27]]+Table1[[#This Row],[Mid30]]+Table1[[#This Row],[Mid33]]+Table1[[#This Row],[Mid36]]+Table1[[#This Row],[Mid39]]</f>
        <v>0</v>
      </c>
      <c r="CR668" t="s">
        <v>471</v>
      </c>
      <c r="CS668" s="19" t="str">
        <f>IF(AND(Table1[[#This Row],[Low41]]=0, Table1[[#This Row],[High43]]=0),"N","Y")</f>
        <v>Y</v>
      </c>
    </row>
    <row r="669" spans="1:97" ht="19.5" customHeight="1" x14ac:dyDescent="0.25">
      <c r="A669">
        <v>10667</v>
      </c>
      <c r="B669" t="s">
        <v>1897</v>
      </c>
      <c r="C669" t="s">
        <v>2130</v>
      </c>
      <c r="D669">
        <v>35.590000000000003</v>
      </c>
      <c r="E669">
        <v>-97.495277779999995</v>
      </c>
      <c r="F669" t="s">
        <v>2132</v>
      </c>
      <c r="G669" t="s">
        <v>2019</v>
      </c>
      <c r="H669" t="s">
        <v>189</v>
      </c>
      <c r="I669" t="s">
        <v>118</v>
      </c>
      <c r="J669" t="s">
        <v>119</v>
      </c>
      <c r="K669" t="s">
        <v>190</v>
      </c>
      <c r="L669" t="s">
        <v>18</v>
      </c>
      <c r="N669" s="6" t="s">
        <v>521</v>
      </c>
      <c r="O669" t="s">
        <v>1932</v>
      </c>
      <c r="P669" t="s">
        <v>436</v>
      </c>
      <c r="Q669" t="s">
        <v>195</v>
      </c>
      <c r="R669" t="s">
        <v>1942</v>
      </c>
      <c r="S669">
        <v>2015</v>
      </c>
      <c r="T669" t="s">
        <v>153</v>
      </c>
      <c r="U669" t="s">
        <v>129</v>
      </c>
      <c r="V669"/>
      <c r="AD669">
        <v>0</v>
      </c>
      <c r="AF669">
        <v>200</v>
      </c>
      <c r="AG669">
        <v>0</v>
      </c>
      <c r="AH669" t="s">
        <v>525</v>
      </c>
      <c r="AI669">
        <v>2</v>
      </c>
      <c r="AK669">
        <v>0</v>
      </c>
      <c r="AL669">
        <v>0</v>
      </c>
      <c r="AN669" t="s">
        <v>132</v>
      </c>
      <c r="BY669">
        <v>19640</v>
      </c>
      <c r="BZ669">
        <v>76870</v>
      </c>
      <c r="CA669">
        <v>207240</v>
      </c>
      <c r="CE669" s="19">
        <f>SUM(Table1[[#This Row],[Low38]],Table1[[#This Row],[Low35]],Table1[[#This Row],[Low32]],Table1[[#This Row],[Low29]],Table1[[#This Row],[Low26]],Table1[[#This Row],[Low23]],Table1[[#This Row],[Low20]],Table1[[#This Row],[Low17]],Table1[[#This Row],[Low14]],Table1[[#This Row],[Low11]],Table1[[#This Row],[Low8]],Table1[[#This Row],[Low5]],Table1[[#This Row],[Low2]],Table1[[#This Row],[Low]])</f>
        <v>19640</v>
      </c>
      <c r="CF669" s="19">
        <f>SUM(Table1[[#This Row],[Mid39]],Table1[[#This Row],[Mid36]],Table1[[#This Row],[Mid33]],Table1[[#This Row],[Mid30]],Table1[[#This Row],[Mid27]],Table1[[#This Row],[Mid24]],Table1[[#This Row],[Mid21]],Table1[[#This Row],[Mid18]],Table1[[#This Row],[Mid15]],Table1[[#This Row],[Mid12]],Table1[[#This Row],[Mid9]],Table1[[#This Row],[Mid6]],Table1[[#This Row],[Mid3]],Table1[[#This Row],[Mid]])</f>
        <v>76870</v>
      </c>
      <c r="CG66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207240</v>
      </c>
      <c r="CH669" t="s">
        <v>157</v>
      </c>
      <c r="CI669" t="s">
        <v>176</v>
      </c>
      <c r="CJ669" t="s">
        <v>158</v>
      </c>
      <c r="CL669" s="19">
        <f>IF(Table1[[#This Row],[Type]]="Petroleum",1,IF(ISERROR(Table1[[#This Row],[Well Density]]*Table1[[#This Row],[Single Well Discovery Area]]),"",IF(Table1[[#This Row],[Well Density]]*Table1[[#This Row],[Single Well Discovery Area]]&gt;1,1,Table1[[#This Row],[Well Density]]*Table1[[#This Row],[Single Well Discovery Area]])))</f>
        <v>0</v>
      </c>
      <c r="CM669" t="s">
        <v>158</v>
      </c>
      <c r="CN669" s="19">
        <f>Table1[[#This Row],[Mid]]</f>
        <v>0</v>
      </c>
      <c r="CO669" s="19">
        <f>Table1[[#This Row],[Mid3]]+Table1[[#This Row],[Mid6]]+Table1[[#This Row],[Mid9]]</f>
        <v>0</v>
      </c>
      <c r="CP669" s="19">
        <f>Table1[[#This Row],[Mid12]]+Table1[[#This Row],[Mid15]]+Table1[[#This Row],[Mid18]]+Table1[[#This Row],[Mid21]]+Table1[[#This Row],[Mid24]]</f>
        <v>0</v>
      </c>
      <c r="CQ669" s="19">
        <f>Table1[[#This Row],[Mid27]]+Table1[[#This Row],[Mid30]]+Table1[[#This Row],[Mid33]]+Table1[[#This Row],[Mid36]]+Table1[[#This Row],[Mid39]]</f>
        <v>76870</v>
      </c>
      <c r="CR669" t="s">
        <v>471</v>
      </c>
      <c r="CS669" s="19" t="str">
        <f>IF(AND(Table1[[#This Row],[Low41]]=0, Table1[[#This Row],[High43]]=0),"N","Y")</f>
        <v>Y</v>
      </c>
    </row>
    <row r="670" spans="1:97" ht="19.5" customHeight="1" x14ac:dyDescent="0.25">
      <c r="A670">
        <v>10668</v>
      </c>
      <c r="B670" t="s">
        <v>1897</v>
      </c>
      <c r="C670" t="s">
        <v>2133</v>
      </c>
      <c r="D670">
        <v>43.933611110000001</v>
      </c>
      <c r="E670">
        <v>-120.5583333</v>
      </c>
      <c r="F670" t="s">
        <v>2134</v>
      </c>
      <c r="H670" t="s">
        <v>189</v>
      </c>
      <c r="I670" t="s">
        <v>201</v>
      </c>
      <c r="J670" t="s">
        <v>202</v>
      </c>
      <c r="K670" t="s">
        <v>203</v>
      </c>
      <c r="L670" t="s">
        <v>121</v>
      </c>
      <c r="N670" s="6" t="s">
        <v>521</v>
      </c>
      <c r="O670" t="s">
        <v>1932</v>
      </c>
      <c r="P670" t="s">
        <v>436</v>
      </c>
      <c r="Q670" t="s">
        <v>1901</v>
      </c>
      <c r="R670" t="s">
        <v>2036</v>
      </c>
      <c r="S670">
        <v>2015</v>
      </c>
      <c r="T670" t="s">
        <v>153</v>
      </c>
      <c r="U670" t="s">
        <v>129</v>
      </c>
      <c r="V670"/>
      <c r="AD670">
        <v>0</v>
      </c>
      <c r="AF670">
        <v>200</v>
      </c>
      <c r="AG670">
        <v>0</v>
      </c>
      <c r="AH670" t="s">
        <v>1903</v>
      </c>
      <c r="AK670">
        <v>0</v>
      </c>
      <c r="AL670">
        <v>0</v>
      </c>
      <c r="AN670" t="s">
        <v>132</v>
      </c>
      <c r="CE67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7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7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70" t="s">
        <v>157</v>
      </c>
      <c r="CI670" t="s">
        <v>176</v>
      </c>
      <c r="CJ670" t="s">
        <v>158</v>
      </c>
      <c r="CL670" s="19">
        <f>IF(Table1[[#This Row],[Type]]="Petroleum",1,IF(ISERROR(Table1[[#This Row],[Well Density]]*Table1[[#This Row],[Single Well Discovery Area]]),"",IF(Table1[[#This Row],[Well Density]]*Table1[[#This Row],[Single Well Discovery Area]]&gt;1,1,Table1[[#This Row],[Well Density]]*Table1[[#This Row],[Single Well Discovery Area]])))</f>
        <v>1</v>
      </c>
      <c r="CM670" t="s">
        <v>158</v>
      </c>
      <c r="CN670" s="19">
        <f>Table1[[#This Row],[Mid]]</f>
        <v>0</v>
      </c>
      <c r="CO670" s="19">
        <f>Table1[[#This Row],[Mid3]]+Table1[[#This Row],[Mid6]]+Table1[[#This Row],[Mid9]]</f>
        <v>0</v>
      </c>
      <c r="CP670" s="19">
        <f>Table1[[#This Row],[Mid12]]+Table1[[#This Row],[Mid15]]+Table1[[#This Row],[Mid18]]+Table1[[#This Row],[Mid21]]+Table1[[#This Row],[Mid24]]</f>
        <v>0</v>
      </c>
      <c r="CQ670" s="19">
        <f>Table1[[#This Row],[Mid27]]+Table1[[#This Row],[Mid30]]+Table1[[#This Row],[Mid33]]+Table1[[#This Row],[Mid36]]+Table1[[#This Row],[Mid39]]</f>
        <v>0</v>
      </c>
      <c r="CR670" t="s">
        <v>471</v>
      </c>
      <c r="CS670" s="19" t="str">
        <f>IF(AND(Table1[[#This Row],[Low41]]=0, Table1[[#This Row],[High43]]=0),"N","Y")</f>
        <v>N</v>
      </c>
    </row>
    <row r="671" spans="1:97" ht="19.5" customHeight="1" x14ac:dyDescent="0.25">
      <c r="A671">
        <v>10669</v>
      </c>
      <c r="B671" t="s">
        <v>1897</v>
      </c>
      <c r="C671" t="s">
        <v>2133</v>
      </c>
      <c r="D671">
        <v>43.934722219999998</v>
      </c>
      <c r="E671">
        <v>-120.5594444</v>
      </c>
      <c r="F671" t="s">
        <v>2135</v>
      </c>
      <c r="H671" t="s">
        <v>189</v>
      </c>
      <c r="I671" t="s">
        <v>118</v>
      </c>
      <c r="J671" t="s">
        <v>119</v>
      </c>
      <c r="K671" t="s">
        <v>190</v>
      </c>
      <c r="L671" t="s">
        <v>18</v>
      </c>
      <c r="N671" s="6" t="s">
        <v>521</v>
      </c>
      <c r="O671" t="s">
        <v>2136</v>
      </c>
      <c r="P671" t="s">
        <v>436</v>
      </c>
      <c r="Q671" t="s">
        <v>195</v>
      </c>
      <c r="R671" t="s">
        <v>1936</v>
      </c>
      <c r="S671">
        <v>2015</v>
      </c>
      <c r="T671" t="s">
        <v>153</v>
      </c>
      <c r="U671" t="s">
        <v>129</v>
      </c>
      <c r="V671"/>
      <c r="AD671">
        <v>0</v>
      </c>
      <c r="AF671">
        <v>200</v>
      </c>
      <c r="AG671">
        <v>0</v>
      </c>
      <c r="AH671" t="s">
        <v>525</v>
      </c>
      <c r="AI671">
        <v>2</v>
      </c>
      <c r="AK671">
        <v>0</v>
      </c>
      <c r="AL671">
        <v>0</v>
      </c>
      <c r="AN671" t="s">
        <v>132</v>
      </c>
      <c r="BY671">
        <v>6810</v>
      </c>
      <c r="BZ671">
        <v>33150</v>
      </c>
      <c r="CA671">
        <v>93700</v>
      </c>
      <c r="CE671" s="19">
        <f>SUM(Table1[[#This Row],[Low38]],Table1[[#This Row],[Low35]],Table1[[#This Row],[Low32]],Table1[[#This Row],[Low29]],Table1[[#This Row],[Low26]],Table1[[#This Row],[Low23]],Table1[[#This Row],[Low20]],Table1[[#This Row],[Low17]],Table1[[#This Row],[Low14]],Table1[[#This Row],[Low11]],Table1[[#This Row],[Low8]],Table1[[#This Row],[Low5]],Table1[[#This Row],[Low2]],Table1[[#This Row],[Low]])</f>
        <v>6810</v>
      </c>
      <c r="CF671" s="19">
        <f>SUM(Table1[[#This Row],[Mid39]],Table1[[#This Row],[Mid36]],Table1[[#This Row],[Mid33]],Table1[[#This Row],[Mid30]],Table1[[#This Row],[Mid27]],Table1[[#This Row],[Mid24]],Table1[[#This Row],[Mid21]],Table1[[#This Row],[Mid18]],Table1[[#This Row],[Mid15]],Table1[[#This Row],[Mid12]],Table1[[#This Row],[Mid9]],Table1[[#This Row],[Mid6]],Table1[[#This Row],[Mid3]],Table1[[#This Row],[Mid]])</f>
        <v>33150</v>
      </c>
      <c r="CG67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93700</v>
      </c>
      <c r="CH671" t="s">
        <v>157</v>
      </c>
      <c r="CI671" t="s">
        <v>176</v>
      </c>
      <c r="CJ671" t="s">
        <v>158</v>
      </c>
      <c r="CL671" s="19">
        <f>IF(Table1[[#This Row],[Type]]="Petroleum",1,IF(ISERROR(Table1[[#This Row],[Well Density]]*Table1[[#This Row],[Single Well Discovery Area]]),"",IF(Table1[[#This Row],[Well Density]]*Table1[[#This Row],[Single Well Discovery Area]]&gt;1,1,Table1[[#This Row],[Well Density]]*Table1[[#This Row],[Single Well Discovery Area]])))</f>
        <v>0</v>
      </c>
      <c r="CM671" t="s">
        <v>158</v>
      </c>
      <c r="CN671" s="19">
        <f>Table1[[#This Row],[Mid]]</f>
        <v>0</v>
      </c>
      <c r="CO671" s="19">
        <f>Table1[[#This Row],[Mid3]]+Table1[[#This Row],[Mid6]]+Table1[[#This Row],[Mid9]]</f>
        <v>0</v>
      </c>
      <c r="CP671" s="19">
        <f>Table1[[#This Row],[Mid12]]+Table1[[#This Row],[Mid15]]+Table1[[#This Row],[Mid18]]+Table1[[#This Row],[Mid21]]+Table1[[#This Row],[Mid24]]</f>
        <v>0</v>
      </c>
      <c r="CQ671" s="19">
        <f>Table1[[#This Row],[Mid27]]+Table1[[#This Row],[Mid30]]+Table1[[#This Row],[Mid33]]+Table1[[#This Row],[Mid36]]+Table1[[#This Row],[Mid39]]</f>
        <v>33150</v>
      </c>
      <c r="CR671" t="s">
        <v>471</v>
      </c>
      <c r="CS671" s="19" t="str">
        <f>IF(AND(Table1[[#This Row],[Low41]]=0, Table1[[#This Row],[High43]]=0),"N","Y")</f>
        <v>Y</v>
      </c>
    </row>
    <row r="672" spans="1:97" ht="19.5" customHeight="1" x14ac:dyDescent="0.25">
      <c r="A672">
        <v>10670</v>
      </c>
      <c r="B672" t="s">
        <v>1897</v>
      </c>
      <c r="C672" t="s">
        <v>2137</v>
      </c>
      <c r="D672">
        <v>40.87805556</v>
      </c>
      <c r="E672">
        <v>-77.799722220000007</v>
      </c>
      <c r="F672" t="s">
        <v>2138</v>
      </c>
      <c r="H672" t="s">
        <v>189</v>
      </c>
      <c r="I672" t="s">
        <v>201</v>
      </c>
      <c r="J672" t="s">
        <v>202</v>
      </c>
      <c r="K672" t="s">
        <v>203</v>
      </c>
      <c r="L672" t="s">
        <v>121</v>
      </c>
      <c r="N672" s="6" t="s">
        <v>521</v>
      </c>
      <c r="O672" t="s">
        <v>1932</v>
      </c>
      <c r="P672" t="s">
        <v>436</v>
      </c>
      <c r="Q672" t="s">
        <v>1901</v>
      </c>
      <c r="R672" t="s">
        <v>1963</v>
      </c>
      <c r="S672">
        <v>2015</v>
      </c>
      <c r="T672" t="s">
        <v>153</v>
      </c>
      <c r="U672" t="s">
        <v>129</v>
      </c>
      <c r="V672"/>
      <c r="AD672">
        <v>0</v>
      </c>
      <c r="AF672">
        <v>200</v>
      </c>
      <c r="AG672">
        <v>0</v>
      </c>
      <c r="AH672" t="s">
        <v>1903</v>
      </c>
      <c r="AK672">
        <v>0</v>
      </c>
      <c r="AL672">
        <v>0</v>
      </c>
      <c r="AN672" t="s">
        <v>132</v>
      </c>
      <c r="BM672">
        <v>800</v>
      </c>
      <c r="BN672">
        <v>1340</v>
      </c>
      <c r="BO672">
        <v>2450</v>
      </c>
      <c r="CE672" s="19">
        <f>SUM(Table1[[#This Row],[Low38]],Table1[[#This Row],[Low35]],Table1[[#This Row],[Low32]],Table1[[#This Row],[Low29]],Table1[[#This Row],[Low26]],Table1[[#This Row],[Low23]],Table1[[#This Row],[Low20]],Table1[[#This Row],[Low17]],Table1[[#This Row],[Low14]],Table1[[#This Row],[Low11]],Table1[[#This Row],[Low8]],Table1[[#This Row],[Low5]],Table1[[#This Row],[Low2]],Table1[[#This Row],[Low]])</f>
        <v>800</v>
      </c>
      <c r="CF672" s="19">
        <f>SUM(Table1[[#This Row],[Mid39]],Table1[[#This Row],[Mid36]],Table1[[#This Row],[Mid33]],Table1[[#This Row],[Mid30]],Table1[[#This Row],[Mid27]],Table1[[#This Row],[Mid24]],Table1[[#This Row],[Mid21]],Table1[[#This Row],[Mid18]],Table1[[#This Row],[Mid15]],Table1[[#This Row],[Mid12]],Table1[[#This Row],[Mid9]],Table1[[#This Row],[Mid6]],Table1[[#This Row],[Mid3]],Table1[[#This Row],[Mid]])</f>
        <v>1340</v>
      </c>
      <c r="CG67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2450</v>
      </c>
      <c r="CH672" t="s">
        <v>157</v>
      </c>
      <c r="CI672" t="s">
        <v>176</v>
      </c>
      <c r="CJ672" t="s">
        <v>158</v>
      </c>
      <c r="CL672" s="19">
        <f>IF(Table1[[#This Row],[Type]]="Petroleum",1,IF(ISERROR(Table1[[#This Row],[Well Density]]*Table1[[#This Row],[Single Well Discovery Area]]),"",IF(Table1[[#This Row],[Well Density]]*Table1[[#This Row],[Single Well Discovery Area]]&gt;1,1,Table1[[#This Row],[Well Density]]*Table1[[#This Row],[Single Well Discovery Area]])))</f>
        <v>1</v>
      </c>
      <c r="CM672" t="s">
        <v>158</v>
      </c>
      <c r="CN672" s="19">
        <f>Table1[[#This Row],[Mid]]</f>
        <v>0</v>
      </c>
      <c r="CO672" s="19">
        <f>Table1[[#This Row],[Mid3]]+Table1[[#This Row],[Mid6]]+Table1[[#This Row],[Mid9]]</f>
        <v>0</v>
      </c>
      <c r="CP672" s="19">
        <f>Table1[[#This Row],[Mid12]]+Table1[[#This Row],[Mid15]]+Table1[[#This Row],[Mid18]]+Table1[[#This Row],[Mid21]]+Table1[[#This Row],[Mid24]]</f>
        <v>1340</v>
      </c>
      <c r="CQ672" s="19">
        <f>Table1[[#This Row],[Mid27]]+Table1[[#This Row],[Mid30]]+Table1[[#This Row],[Mid33]]+Table1[[#This Row],[Mid36]]+Table1[[#This Row],[Mid39]]</f>
        <v>0</v>
      </c>
      <c r="CR672" t="s">
        <v>471</v>
      </c>
      <c r="CS672" s="19" t="str">
        <f>IF(AND(Table1[[#This Row],[Low41]]=0, Table1[[#This Row],[High43]]=0),"N","Y")</f>
        <v>Y</v>
      </c>
    </row>
    <row r="673" spans="1:97" ht="19.5" customHeight="1" x14ac:dyDescent="0.25">
      <c r="A673">
        <v>10671</v>
      </c>
      <c r="B673" t="s">
        <v>1897</v>
      </c>
      <c r="C673" t="s">
        <v>2137</v>
      </c>
      <c r="D673">
        <v>40.876944440000003</v>
      </c>
      <c r="E673">
        <v>-77.798611109999996</v>
      </c>
      <c r="F673" t="s">
        <v>2139</v>
      </c>
      <c r="H673" t="s">
        <v>189</v>
      </c>
      <c r="I673" t="s">
        <v>118</v>
      </c>
      <c r="J673" t="s">
        <v>119</v>
      </c>
      <c r="K673" t="s">
        <v>190</v>
      </c>
      <c r="L673" t="s">
        <v>18</v>
      </c>
      <c r="N673" s="6" t="s">
        <v>521</v>
      </c>
      <c r="O673" t="s">
        <v>1932</v>
      </c>
      <c r="P673" t="s">
        <v>436</v>
      </c>
      <c r="Q673" t="s">
        <v>195</v>
      </c>
      <c r="R673" t="s">
        <v>1942</v>
      </c>
      <c r="S673">
        <v>2015</v>
      </c>
      <c r="T673" t="s">
        <v>153</v>
      </c>
      <c r="U673" t="s">
        <v>129</v>
      </c>
      <c r="V673"/>
      <c r="AD673">
        <v>0</v>
      </c>
      <c r="AF673">
        <v>200</v>
      </c>
      <c r="AG673">
        <v>0</v>
      </c>
      <c r="AH673" t="s">
        <v>525</v>
      </c>
      <c r="AI673">
        <v>2</v>
      </c>
      <c r="AK673">
        <v>0</v>
      </c>
      <c r="AL673">
        <v>0</v>
      </c>
      <c r="AN673" t="s">
        <v>132</v>
      </c>
      <c r="BY673">
        <v>17340</v>
      </c>
      <c r="BZ673">
        <v>17340</v>
      </c>
      <c r="CA673">
        <v>17340</v>
      </c>
      <c r="CE673" s="19">
        <f>SUM(Table1[[#This Row],[Low38]],Table1[[#This Row],[Low35]],Table1[[#This Row],[Low32]],Table1[[#This Row],[Low29]],Table1[[#This Row],[Low26]],Table1[[#This Row],[Low23]],Table1[[#This Row],[Low20]],Table1[[#This Row],[Low17]],Table1[[#This Row],[Low14]],Table1[[#This Row],[Low11]],Table1[[#This Row],[Low8]],Table1[[#This Row],[Low5]],Table1[[#This Row],[Low2]],Table1[[#This Row],[Low]])</f>
        <v>17340</v>
      </c>
      <c r="CF673" s="19">
        <f>SUM(Table1[[#This Row],[Mid39]],Table1[[#This Row],[Mid36]],Table1[[#This Row],[Mid33]],Table1[[#This Row],[Mid30]],Table1[[#This Row],[Mid27]],Table1[[#This Row],[Mid24]],Table1[[#This Row],[Mid21]],Table1[[#This Row],[Mid18]],Table1[[#This Row],[Mid15]],Table1[[#This Row],[Mid12]],Table1[[#This Row],[Mid9]],Table1[[#This Row],[Mid6]],Table1[[#This Row],[Mid3]],Table1[[#This Row],[Mid]])</f>
        <v>17340</v>
      </c>
      <c r="CG67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17340</v>
      </c>
      <c r="CH673" t="s">
        <v>157</v>
      </c>
      <c r="CI673" t="s">
        <v>176</v>
      </c>
      <c r="CJ673" t="s">
        <v>158</v>
      </c>
      <c r="CL673" s="19">
        <f>IF(Table1[[#This Row],[Type]]="Petroleum",1,IF(ISERROR(Table1[[#This Row],[Well Density]]*Table1[[#This Row],[Single Well Discovery Area]]),"",IF(Table1[[#This Row],[Well Density]]*Table1[[#This Row],[Single Well Discovery Area]]&gt;1,1,Table1[[#This Row],[Well Density]]*Table1[[#This Row],[Single Well Discovery Area]])))</f>
        <v>0</v>
      </c>
      <c r="CM673" t="s">
        <v>158</v>
      </c>
      <c r="CN673" s="19">
        <f>Table1[[#This Row],[Mid]]</f>
        <v>0</v>
      </c>
      <c r="CO673" s="19">
        <f>Table1[[#This Row],[Mid3]]+Table1[[#This Row],[Mid6]]+Table1[[#This Row],[Mid9]]</f>
        <v>0</v>
      </c>
      <c r="CP673" s="19">
        <f>Table1[[#This Row],[Mid12]]+Table1[[#This Row],[Mid15]]+Table1[[#This Row],[Mid18]]+Table1[[#This Row],[Mid21]]+Table1[[#This Row],[Mid24]]</f>
        <v>0</v>
      </c>
      <c r="CQ673" s="19">
        <f>Table1[[#This Row],[Mid27]]+Table1[[#This Row],[Mid30]]+Table1[[#This Row],[Mid33]]+Table1[[#This Row],[Mid36]]+Table1[[#This Row],[Mid39]]</f>
        <v>17340</v>
      </c>
      <c r="CR673" t="s">
        <v>471</v>
      </c>
      <c r="CS673" s="19" t="str">
        <f>IF(AND(Table1[[#This Row],[Low41]]=0, Table1[[#This Row],[High43]]=0),"N","Y")</f>
        <v>Y</v>
      </c>
    </row>
    <row r="674" spans="1:97" ht="19.5" customHeight="1" x14ac:dyDescent="0.25">
      <c r="A674">
        <v>10672</v>
      </c>
      <c r="B674" t="s">
        <v>1897</v>
      </c>
      <c r="C674" t="s">
        <v>2140</v>
      </c>
      <c r="D674">
        <v>18.222222219999999</v>
      </c>
      <c r="E674">
        <v>-66.430277779999997</v>
      </c>
      <c r="F674" t="s">
        <v>2141</v>
      </c>
      <c r="H674" t="s">
        <v>189</v>
      </c>
      <c r="I674" t="s">
        <v>201</v>
      </c>
      <c r="J674" t="s">
        <v>202</v>
      </c>
      <c r="K674" t="s">
        <v>203</v>
      </c>
      <c r="L674" t="s">
        <v>121</v>
      </c>
      <c r="N674" s="6" t="s">
        <v>521</v>
      </c>
      <c r="O674" t="s">
        <v>1932</v>
      </c>
      <c r="P674" t="s">
        <v>436</v>
      </c>
      <c r="Q674" t="s">
        <v>1901</v>
      </c>
      <c r="R674" t="s">
        <v>2036</v>
      </c>
      <c r="S674">
        <v>2015</v>
      </c>
      <c r="T674" t="s">
        <v>153</v>
      </c>
      <c r="U674" t="s">
        <v>129</v>
      </c>
      <c r="V674"/>
      <c r="AD674">
        <v>0</v>
      </c>
      <c r="AF674">
        <v>200</v>
      </c>
      <c r="AG674">
        <v>0</v>
      </c>
      <c r="AH674" t="s">
        <v>1903</v>
      </c>
      <c r="AK674">
        <v>0</v>
      </c>
      <c r="AL674">
        <v>0</v>
      </c>
      <c r="AN674" t="s">
        <v>132</v>
      </c>
      <c r="CE67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7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7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74" t="s">
        <v>157</v>
      </c>
      <c r="CI674" t="s">
        <v>176</v>
      </c>
      <c r="CJ674" t="s">
        <v>158</v>
      </c>
      <c r="CL674" s="19">
        <f>IF(Table1[[#This Row],[Type]]="Petroleum",1,IF(ISERROR(Table1[[#This Row],[Well Density]]*Table1[[#This Row],[Single Well Discovery Area]]),"",IF(Table1[[#This Row],[Well Density]]*Table1[[#This Row],[Single Well Discovery Area]]&gt;1,1,Table1[[#This Row],[Well Density]]*Table1[[#This Row],[Single Well Discovery Area]])))</f>
        <v>1</v>
      </c>
      <c r="CM674" t="s">
        <v>158</v>
      </c>
      <c r="CN674" s="19">
        <f>Table1[[#This Row],[Mid]]</f>
        <v>0</v>
      </c>
      <c r="CO674" s="19">
        <f>Table1[[#This Row],[Mid3]]+Table1[[#This Row],[Mid6]]+Table1[[#This Row],[Mid9]]</f>
        <v>0</v>
      </c>
      <c r="CP674" s="19">
        <f>Table1[[#This Row],[Mid12]]+Table1[[#This Row],[Mid15]]+Table1[[#This Row],[Mid18]]+Table1[[#This Row],[Mid21]]+Table1[[#This Row],[Mid24]]</f>
        <v>0</v>
      </c>
      <c r="CQ674" s="19">
        <f>Table1[[#This Row],[Mid27]]+Table1[[#This Row],[Mid30]]+Table1[[#This Row],[Mid33]]+Table1[[#This Row],[Mid36]]+Table1[[#This Row],[Mid39]]</f>
        <v>0</v>
      </c>
      <c r="CR674" t="s">
        <v>471</v>
      </c>
      <c r="CS674" s="19" t="str">
        <f>IF(AND(Table1[[#This Row],[Low41]]=0, Table1[[#This Row],[High43]]=0),"N","Y")</f>
        <v>N</v>
      </c>
    </row>
    <row r="675" spans="1:97" ht="19.5" customHeight="1" x14ac:dyDescent="0.25">
      <c r="A675">
        <v>10673</v>
      </c>
      <c r="B675" t="s">
        <v>1897</v>
      </c>
      <c r="C675" t="s">
        <v>2140</v>
      </c>
      <c r="D675">
        <v>18.223333329999999</v>
      </c>
      <c r="E675">
        <v>-66.431388889999994</v>
      </c>
      <c r="F675" t="s">
        <v>2142</v>
      </c>
      <c r="H675" t="s">
        <v>189</v>
      </c>
      <c r="I675" t="s">
        <v>118</v>
      </c>
      <c r="J675" t="s">
        <v>119</v>
      </c>
      <c r="K675" t="s">
        <v>190</v>
      </c>
      <c r="L675" t="s">
        <v>18</v>
      </c>
      <c r="N675" s="6" t="s">
        <v>521</v>
      </c>
      <c r="O675" t="s">
        <v>1932</v>
      </c>
      <c r="P675" t="s">
        <v>436</v>
      </c>
      <c r="Q675" t="s">
        <v>195</v>
      </c>
      <c r="R675" t="s">
        <v>2036</v>
      </c>
      <c r="S675">
        <v>2015</v>
      </c>
      <c r="T675" t="s">
        <v>153</v>
      </c>
      <c r="U675" t="s">
        <v>129</v>
      </c>
      <c r="V675"/>
      <c r="AD675">
        <v>0</v>
      </c>
      <c r="AF675">
        <v>200</v>
      </c>
      <c r="AG675">
        <v>0</v>
      </c>
      <c r="AH675" t="s">
        <v>525</v>
      </c>
      <c r="AI675">
        <v>2</v>
      </c>
      <c r="AK675">
        <v>0</v>
      </c>
      <c r="AL675">
        <v>0</v>
      </c>
      <c r="AN675" t="s">
        <v>132</v>
      </c>
      <c r="CE67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7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7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75" t="s">
        <v>157</v>
      </c>
      <c r="CI675" t="s">
        <v>176</v>
      </c>
      <c r="CJ675" t="s">
        <v>158</v>
      </c>
      <c r="CL675" s="19">
        <f>IF(Table1[[#This Row],[Type]]="Petroleum",1,IF(ISERROR(Table1[[#This Row],[Well Density]]*Table1[[#This Row],[Single Well Discovery Area]]),"",IF(Table1[[#This Row],[Well Density]]*Table1[[#This Row],[Single Well Discovery Area]]&gt;1,1,Table1[[#This Row],[Well Density]]*Table1[[#This Row],[Single Well Discovery Area]])))</f>
        <v>0</v>
      </c>
      <c r="CM675" t="s">
        <v>158</v>
      </c>
      <c r="CN675" s="19">
        <f>Table1[[#This Row],[Mid]]</f>
        <v>0</v>
      </c>
      <c r="CO675" s="19">
        <f>Table1[[#This Row],[Mid3]]+Table1[[#This Row],[Mid6]]+Table1[[#This Row],[Mid9]]</f>
        <v>0</v>
      </c>
      <c r="CP675" s="19">
        <f>Table1[[#This Row],[Mid12]]+Table1[[#This Row],[Mid15]]+Table1[[#This Row],[Mid18]]+Table1[[#This Row],[Mid21]]+Table1[[#This Row],[Mid24]]</f>
        <v>0</v>
      </c>
      <c r="CQ675" s="19">
        <f>Table1[[#This Row],[Mid27]]+Table1[[#This Row],[Mid30]]+Table1[[#This Row],[Mid33]]+Table1[[#This Row],[Mid36]]+Table1[[#This Row],[Mid39]]</f>
        <v>0</v>
      </c>
      <c r="CR675" t="s">
        <v>471</v>
      </c>
      <c r="CS675" s="19" t="str">
        <f>IF(AND(Table1[[#This Row],[Low41]]=0, Table1[[#This Row],[High43]]=0),"N","Y")</f>
        <v>N</v>
      </c>
    </row>
    <row r="676" spans="1:97" ht="19.5" customHeight="1" x14ac:dyDescent="0.25">
      <c r="A676">
        <v>10674</v>
      </c>
      <c r="B676" t="s">
        <v>1897</v>
      </c>
      <c r="C676" t="s">
        <v>2143</v>
      </c>
      <c r="D676">
        <v>41.676111110000001</v>
      </c>
      <c r="E676">
        <v>-71.556111110000003</v>
      </c>
      <c r="F676" t="s">
        <v>2144</v>
      </c>
      <c r="H676" t="s">
        <v>189</v>
      </c>
      <c r="I676" t="s">
        <v>201</v>
      </c>
      <c r="J676" t="s">
        <v>202</v>
      </c>
      <c r="K676" t="s">
        <v>203</v>
      </c>
      <c r="L676" t="s">
        <v>121</v>
      </c>
      <c r="N676" s="6" t="s">
        <v>521</v>
      </c>
      <c r="O676" t="s">
        <v>1932</v>
      </c>
      <c r="P676" t="s">
        <v>436</v>
      </c>
      <c r="Q676" t="s">
        <v>1901</v>
      </c>
      <c r="R676" t="s">
        <v>2036</v>
      </c>
      <c r="S676">
        <v>2015</v>
      </c>
      <c r="T676" t="s">
        <v>153</v>
      </c>
      <c r="U676" t="s">
        <v>129</v>
      </c>
      <c r="V676"/>
      <c r="AD676">
        <v>0</v>
      </c>
      <c r="AF676">
        <v>200</v>
      </c>
      <c r="AG676">
        <v>0</v>
      </c>
      <c r="AH676" t="s">
        <v>1903</v>
      </c>
      <c r="AK676">
        <v>0</v>
      </c>
      <c r="AL676">
        <v>0</v>
      </c>
      <c r="AN676" t="s">
        <v>132</v>
      </c>
      <c r="CE67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7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7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76" t="s">
        <v>157</v>
      </c>
      <c r="CI676" t="s">
        <v>176</v>
      </c>
      <c r="CJ676" t="s">
        <v>158</v>
      </c>
      <c r="CL676" s="19">
        <f>IF(Table1[[#This Row],[Type]]="Petroleum",1,IF(ISERROR(Table1[[#This Row],[Well Density]]*Table1[[#This Row],[Single Well Discovery Area]]),"",IF(Table1[[#This Row],[Well Density]]*Table1[[#This Row],[Single Well Discovery Area]]&gt;1,1,Table1[[#This Row],[Well Density]]*Table1[[#This Row],[Single Well Discovery Area]])))</f>
        <v>1</v>
      </c>
      <c r="CM676" t="s">
        <v>158</v>
      </c>
      <c r="CN676" s="19">
        <f>Table1[[#This Row],[Mid]]</f>
        <v>0</v>
      </c>
      <c r="CO676" s="19">
        <f>Table1[[#This Row],[Mid3]]+Table1[[#This Row],[Mid6]]+Table1[[#This Row],[Mid9]]</f>
        <v>0</v>
      </c>
      <c r="CP676" s="19">
        <f>Table1[[#This Row],[Mid12]]+Table1[[#This Row],[Mid15]]+Table1[[#This Row],[Mid18]]+Table1[[#This Row],[Mid21]]+Table1[[#This Row],[Mid24]]</f>
        <v>0</v>
      </c>
      <c r="CQ676" s="19">
        <f>Table1[[#This Row],[Mid27]]+Table1[[#This Row],[Mid30]]+Table1[[#This Row],[Mid33]]+Table1[[#This Row],[Mid36]]+Table1[[#This Row],[Mid39]]</f>
        <v>0</v>
      </c>
      <c r="CR676" t="s">
        <v>471</v>
      </c>
      <c r="CS676" s="19" t="str">
        <f>IF(AND(Table1[[#This Row],[Low41]]=0, Table1[[#This Row],[High43]]=0),"N","Y")</f>
        <v>N</v>
      </c>
    </row>
    <row r="677" spans="1:97" ht="19.5" customHeight="1" x14ac:dyDescent="0.25">
      <c r="A677">
        <v>10675</v>
      </c>
      <c r="B677" t="s">
        <v>1897</v>
      </c>
      <c r="C677" t="s">
        <v>2143</v>
      </c>
      <c r="D677">
        <v>41.677222219999997</v>
      </c>
      <c r="E677">
        <v>-71.55722222</v>
      </c>
      <c r="F677" t="s">
        <v>2145</v>
      </c>
      <c r="H677" t="s">
        <v>189</v>
      </c>
      <c r="I677" t="s">
        <v>118</v>
      </c>
      <c r="J677" t="s">
        <v>119</v>
      </c>
      <c r="K677" t="s">
        <v>190</v>
      </c>
      <c r="L677" t="s">
        <v>18</v>
      </c>
      <c r="N677" s="6" t="s">
        <v>521</v>
      </c>
      <c r="O677" t="s">
        <v>1932</v>
      </c>
      <c r="P677" t="s">
        <v>436</v>
      </c>
      <c r="Q677" t="s">
        <v>195</v>
      </c>
      <c r="R677" t="s">
        <v>2036</v>
      </c>
      <c r="S677">
        <v>2015</v>
      </c>
      <c r="T677" t="s">
        <v>153</v>
      </c>
      <c r="U677" t="s">
        <v>129</v>
      </c>
      <c r="V677"/>
      <c r="AD677">
        <v>0</v>
      </c>
      <c r="AF677">
        <v>200</v>
      </c>
      <c r="AG677">
        <v>0</v>
      </c>
      <c r="AH677" t="s">
        <v>525</v>
      </c>
      <c r="AI677">
        <v>2</v>
      </c>
      <c r="AK677">
        <v>0</v>
      </c>
      <c r="AL677">
        <v>0</v>
      </c>
      <c r="AN677" t="s">
        <v>132</v>
      </c>
      <c r="CE67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7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7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77" t="s">
        <v>157</v>
      </c>
      <c r="CI677" t="s">
        <v>176</v>
      </c>
      <c r="CJ677" t="s">
        <v>158</v>
      </c>
      <c r="CL677" s="19">
        <f>IF(Table1[[#This Row],[Type]]="Petroleum",1,IF(ISERROR(Table1[[#This Row],[Well Density]]*Table1[[#This Row],[Single Well Discovery Area]]),"",IF(Table1[[#This Row],[Well Density]]*Table1[[#This Row],[Single Well Discovery Area]]&gt;1,1,Table1[[#This Row],[Well Density]]*Table1[[#This Row],[Single Well Discovery Area]])))</f>
        <v>0</v>
      </c>
      <c r="CM677" t="s">
        <v>158</v>
      </c>
      <c r="CN677" s="19">
        <f>Table1[[#This Row],[Mid]]</f>
        <v>0</v>
      </c>
      <c r="CO677" s="19">
        <f>Table1[[#This Row],[Mid3]]+Table1[[#This Row],[Mid6]]+Table1[[#This Row],[Mid9]]</f>
        <v>0</v>
      </c>
      <c r="CP677" s="19">
        <f>Table1[[#This Row],[Mid12]]+Table1[[#This Row],[Mid15]]+Table1[[#This Row],[Mid18]]+Table1[[#This Row],[Mid21]]+Table1[[#This Row],[Mid24]]</f>
        <v>0</v>
      </c>
      <c r="CQ677" s="19">
        <f>Table1[[#This Row],[Mid27]]+Table1[[#This Row],[Mid30]]+Table1[[#This Row],[Mid33]]+Table1[[#This Row],[Mid36]]+Table1[[#This Row],[Mid39]]</f>
        <v>0</v>
      </c>
      <c r="CR677" t="s">
        <v>471</v>
      </c>
      <c r="CS677" s="19" t="str">
        <f>IF(AND(Table1[[#This Row],[Low41]]=0, Table1[[#This Row],[High43]]=0),"N","Y")</f>
        <v>N</v>
      </c>
    </row>
    <row r="678" spans="1:97" ht="19.5" customHeight="1" x14ac:dyDescent="0.25">
      <c r="A678">
        <v>10676</v>
      </c>
      <c r="B678" t="s">
        <v>1897</v>
      </c>
      <c r="C678" t="s">
        <v>2146</v>
      </c>
      <c r="D678">
        <v>33.916944440000002</v>
      </c>
      <c r="E678">
        <v>-80.896388889999997</v>
      </c>
      <c r="F678" t="s">
        <v>2147</v>
      </c>
      <c r="H678" t="s">
        <v>189</v>
      </c>
      <c r="I678" t="s">
        <v>201</v>
      </c>
      <c r="J678" t="s">
        <v>202</v>
      </c>
      <c r="K678" t="s">
        <v>203</v>
      </c>
      <c r="L678" t="s">
        <v>121</v>
      </c>
      <c r="N678" s="6" t="s">
        <v>521</v>
      </c>
      <c r="O678" t="s">
        <v>1932</v>
      </c>
      <c r="P678" t="s">
        <v>436</v>
      </c>
      <c r="Q678" t="s">
        <v>1901</v>
      </c>
      <c r="R678" t="s">
        <v>2036</v>
      </c>
      <c r="S678">
        <v>2015</v>
      </c>
      <c r="T678" t="s">
        <v>153</v>
      </c>
      <c r="U678" t="s">
        <v>129</v>
      </c>
      <c r="V678"/>
      <c r="AD678">
        <v>0</v>
      </c>
      <c r="AF678">
        <v>200</v>
      </c>
      <c r="AG678">
        <v>0</v>
      </c>
      <c r="AH678" t="s">
        <v>1903</v>
      </c>
      <c r="AK678">
        <v>0</v>
      </c>
      <c r="AL678">
        <v>0</v>
      </c>
      <c r="AN678" t="s">
        <v>132</v>
      </c>
      <c r="CE67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78"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7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78" t="s">
        <v>157</v>
      </c>
      <c r="CI678" t="s">
        <v>176</v>
      </c>
      <c r="CJ678" t="s">
        <v>158</v>
      </c>
      <c r="CL678" s="19">
        <f>IF(Table1[[#This Row],[Type]]="Petroleum",1,IF(ISERROR(Table1[[#This Row],[Well Density]]*Table1[[#This Row],[Single Well Discovery Area]]),"",IF(Table1[[#This Row],[Well Density]]*Table1[[#This Row],[Single Well Discovery Area]]&gt;1,1,Table1[[#This Row],[Well Density]]*Table1[[#This Row],[Single Well Discovery Area]])))</f>
        <v>1</v>
      </c>
      <c r="CM678" t="s">
        <v>158</v>
      </c>
      <c r="CN678" s="19">
        <f>Table1[[#This Row],[Mid]]</f>
        <v>0</v>
      </c>
      <c r="CO678" s="19">
        <f>Table1[[#This Row],[Mid3]]+Table1[[#This Row],[Mid6]]+Table1[[#This Row],[Mid9]]</f>
        <v>0</v>
      </c>
      <c r="CP678" s="19">
        <f>Table1[[#This Row],[Mid12]]+Table1[[#This Row],[Mid15]]+Table1[[#This Row],[Mid18]]+Table1[[#This Row],[Mid21]]+Table1[[#This Row],[Mid24]]</f>
        <v>0</v>
      </c>
      <c r="CQ678" s="19">
        <f>Table1[[#This Row],[Mid27]]+Table1[[#This Row],[Mid30]]+Table1[[#This Row],[Mid33]]+Table1[[#This Row],[Mid36]]+Table1[[#This Row],[Mid39]]</f>
        <v>0</v>
      </c>
      <c r="CR678" t="s">
        <v>471</v>
      </c>
      <c r="CS678" s="19" t="str">
        <f>IF(AND(Table1[[#This Row],[Low41]]=0, Table1[[#This Row],[High43]]=0),"N","Y")</f>
        <v>N</v>
      </c>
    </row>
    <row r="679" spans="1:97" ht="19.5" customHeight="1" x14ac:dyDescent="0.25">
      <c r="A679">
        <v>10677</v>
      </c>
      <c r="B679" t="s">
        <v>1897</v>
      </c>
      <c r="C679" t="s">
        <v>2146</v>
      </c>
      <c r="D679">
        <v>33.918055559999999</v>
      </c>
      <c r="E679">
        <v>-80.897499999999994</v>
      </c>
      <c r="F679" t="s">
        <v>2148</v>
      </c>
      <c r="H679" t="s">
        <v>189</v>
      </c>
      <c r="I679" t="s">
        <v>118</v>
      </c>
      <c r="J679" t="s">
        <v>119</v>
      </c>
      <c r="K679" t="s">
        <v>190</v>
      </c>
      <c r="L679" t="s">
        <v>18</v>
      </c>
      <c r="N679" s="6" t="s">
        <v>521</v>
      </c>
      <c r="O679" t="s">
        <v>1932</v>
      </c>
      <c r="P679" t="s">
        <v>436</v>
      </c>
      <c r="Q679" t="s">
        <v>195</v>
      </c>
      <c r="R679" t="s">
        <v>2149</v>
      </c>
      <c r="S679">
        <v>2015</v>
      </c>
      <c r="T679" t="s">
        <v>153</v>
      </c>
      <c r="U679" t="s">
        <v>129</v>
      </c>
      <c r="V679"/>
      <c r="AD679">
        <v>0</v>
      </c>
      <c r="AF679">
        <v>200</v>
      </c>
      <c r="AG679">
        <v>0</v>
      </c>
      <c r="AH679" t="s">
        <v>525</v>
      </c>
      <c r="AI679">
        <v>2</v>
      </c>
      <c r="AK679">
        <v>0</v>
      </c>
      <c r="AL679">
        <v>0</v>
      </c>
      <c r="AN679" t="s">
        <v>132</v>
      </c>
      <c r="BY679">
        <v>30100</v>
      </c>
      <c r="BZ679">
        <v>31070</v>
      </c>
      <c r="CA679">
        <v>34180</v>
      </c>
      <c r="CE679" s="19">
        <f>SUM(Table1[[#This Row],[Low38]],Table1[[#This Row],[Low35]],Table1[[#This Row],[Low32]],Table1[[#This Row],[Low29]],Table1[[#This Row],[Low26]],Table1[[#This Row],[Low23]],Table1[[#This Row],[Low20]],Table1[[#This Row],[Low17]],Table1[[#This Row],[Low14]],Table1[[#This Row],[Low11]],Table1[[#This Row],[Low8]],Table1[[#This Row],[Low5]],Table1[[#This Row],[Low2]],Table1[[#This Row],[Low]])</f>
        <v>30100</v>
      </c>
      <c r="CF679" s="19">
        <f>SUM(Table1[[#This Row],[Mid39]],Table1[[#This Row],[Mid36]],Table1[[#This Row],[Mid33]],Table1[[#This Row],[Mid30]],Table1[[#This Row],[Mid27]],Table1[[#This Row],[Mid24]],Table1[[#This Row],[Mid21]],Table1[[#This Row],[Mid18]],Table1[[#This Row],[Mid15]],Table1[[#This Row],[Mid12]],Table1[[#This Row],[Mid9]],Table1[[#This Row],[Mid6]],Table1[[#This Row],[Mid3]],Table1[[#This Row],[Mid]])</f>
        <v>31070</v>
      </c>
      <c r="CG67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34180</v>
      </c>
      <c r="CH679" t="s">
        <v>157</v>
      </c>
      <c r="CI679" t="s">
        <v>176</v>
      </c>
      <c r="CJ679" t="s">
        <v>158</v>
      </c>
      <c r="CL679" s="19">
        <f>IF(Table1[[#This Row],[Type]]="Petroleum",1,IF(ISERROR(Table1[[#This Row],[Well Density]]*Table1[[#This Row],[Single Well Discovery Area]]),"",IF(Table1[[#This Row],[Well Density]]*Table1[[#This Row],[Single Well Discovery Area]]&gt;1,1,Table1[[#This Row],[Well Density]]*Table1[[#This Row],[Single Well Discovery Area]])))</f>
        <v>0</v>
      </c>
      <c r="CM679" t="s">
        <v>158</v>
      </c>
      <c r="CN679" s="19">
        <f>Table1[[#This Row],[Mid]]</f>
        <v>0</v>
      </c>
      <c r="CO679" s="19">
        <f>Table1[[#This Row],[Mid3]]+Table1[[#This Row],[Mid6]]+Table1[[#This Row],[Mid9]]</f>
        <v>0</v>
      </c>
      <c r="CP679" s="19">
        <f>Table1[[#This Row],[Mid12]]+Table1[[#This Row],[Mid15]]+Table1[[#This Row],[Mid18]]+Table1[[#This Row],[Mid21]]+Table1[[#This Row],[Mid24]]</f>
        <v>0</v>
      </c>
      <c r="CQ679" s="19">
        <f>Table1[[#This Row],[Mid27]]+Table1[[#This Row],[Mid30]]+Table1[[#This Row],[Mid33]]+Table1[[#This Row],[Mid36]]+Table1[[#This Row],[Mid39]]</f>
        <v>31070</v>
      </c>
      <c r="CR679" t="s">
        <v>471</v>
      </c>
      <c r="CS679" s="19" t="str">
        <f>IF(AND(Table1[[#This Row],[Low41]]=0, Table1[[#This Row],[High43]]=0),"N","Y")</f>
        <v>Y</v>
      </c>
    </row>
    <row r="680" spans="1:97" ht="19.5" customHeight="1" x14ac:dyDescent="0.25">
      <c r="A680">
        <v>10678</v>
      </c>
      <c r="B680" t="s">
        <v>1897</v>
      </c>
      <c r="C680" t="s">
        <v>2146</v>
      </c>
      <c r="D680">
        <v>33.01583333</v>
      </c>
      <c r="E680">
        <v>-80.970833330000005</v>
      </c>
      <c r="F680" t="s">
        <v>2150</v>
      </c>
      <c r="G680" t="s">
        <v>1913</v>
      </c>
      <c r="H680" t="s">
        <v>2151</v>
      </c>
      <c r="I680" t="s">
        <v>118</v>
      </c>
      <c r="J680" t="s">
        <v>119</v>
      </c>
      <c r="K680" t="s">
        <v>120</v>
      </c>
      <c r="L680" t="s">
        <v>261</v>
      </c>
      <c r="M680" t="s">
        <v>1408</v>
      </c>
      <c r="N680" s="6" t="s">
        <v>1946</v>
      </c>
      <c r="O680" t="s">
        <v>2152</v>
      </c>
      <c r="P680" t="s">
        <v>2153</v>
      </c>
      <c r="Q680" t="s">
        <v>2154</v>
      </c>
      <c r="R680" t="s">
        <v>2155</v>
      </c>
      <c r="S680">
        <v>2015</v>
      </c>
      <c r="T680" t="s">
        <v>153</v>
      </c>
      <c r="U680" t="s">
        <v>129</v>
      </c>
      <c r="V680">
        <v>6100</v>
      </c>
      <c r="W680">
        <v>1505</v>
      </c>
      <c r="X680">
        <v>142</v>
      </c>
      <c r="Z680">
        <v>12.4</v>
      </c>
      <c r="AA680">
        <v>5.39</v>
      </c>
      <c r="AD680">
        <v>6</v>
      </c>
      <c r="AE680">
        <v>9.8360700000000006E-4</v>
      </c>
      <c r="AF680">
        <v>200</v>
      </c>
      <c r="AG680">
        <v>0</v>
      </c>
      <c r="AH680" t="s">
        <v>2156</v>
      </c>
      <c r="AK680">
        <v>0</v>
      </c>
      <c r="AL680">
        <v>0</v>
      </c>
      <c r="AN680" t="s">
        <v>132</v>
      </c>
      <c r="BH680">
        <v>30</v>
      </c>
      <c r="CE68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80" s="19">
        <f>SUM(Table1[[#This Row],[Mid39]],Table1[[#This Row],[Mid36]],Table1[[#This Row],[Mid33]],Table1[[#This Row],[Mid30]],Table1[[#This Row],[Mid27]],Table1[[#This Row],[Mid24]],Table1[[#This Row],[Mid21]],Table1[[#This Row],[Mid18]],Table1[[#This Row],[Mid15]],Table1[[#This Row],[Mid12]],Table1[[#This Row],[Mid9]],Table1[[#This Row],[Mid6]],Table1[[#This Row],[Mid3]],Table1[[#This Row],[Mid]])</f>
        <v>30</v>
      </c>
      <c r="CG68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80" t="s">
        <v>157</v>
      </c>
      <c r="CI680" t="s">
        <v>134</v>
      </c>
      <c r="CJ680" t="s">
        <v>135</v>
      </c>
      <c r="CL680" s="19">
        <f>IF(Table1[[#This Row],[Type]]="Petroleum",1,IF(ISERROR(Table1[[#This Row],[Well Density]]*Table1[[#This Row],[Single Well Discovery Area]]),"",IF(Table1[[#This Row],[Well Density]]*Table1[[#This Row],[Single Well Discovery Area]]&gt;1,1,Table1[[#This Row],[Well Density]]*Table1[[#This Row],[Single Well Discovery Area]])))</f>
        <v>0.19672140000000002</v>
      </c>
      <c r="CM680" t="s">
        <v>158</v>
      </c>
      <c r="CN680" s="19">
        <f>Table1[[#This Row],[Mid]]</f>
        <v>0</v>
      </c>
      <c r="CO680" s="19">
        <f>Table1[[#This Row],[Mid3]]+Table1[[#This Row],[Mid6]]+Table1[[#This Row],[Mid9]]</f>
        <v>0</v>
      </c>
      <c r="CP680" s="19">
        <f>Table1[[#This Row],[Mid12]]+Table1[[#This Row],[Mid15]]+Table1[[#This Row],[Mid18]]+Table1[[#This Row],[Mid21]]+Table1[[#This Row],[Mid24]]</f>
        <v>30</v>
      </c>
      <c r="CQ680" s="19">
        <f>Table1[[#This Row],[Mid27]]+Table1[[#This Row],[Mid30]]+Table1[[#This Row],[Mid33]]+Table1[[#This Row],[Mid36]]+Table1[[#This Row],[Mid39]]</f>
        <v>0</v>
      </c>
      <c r="CR680" t="s">
        <v>471</v>
      </c>
      <c r="CS680" s="19" t="str">
        <f>IF(AND(Table1[[#This Row],[Low41]]=0, Table1[[#This Row],[High43]]=0),"N","Y")</f>
        <v>N</v>
      </c>
    </row>
    <row r="681" spans="1:97" ht="19.5" customHeight="1" x14ac:dyDescent="0.25">
      <c r="A681">
        <v>10679</v>
      </c>
      <c r="B681" t="s">
        <v>1897</v>
      </c>
      <c r="C681" t="s">
        <v>2157</v>
      </c>
      <c r="D681">
        <v>44.445277779999998</v>
      </c>
      <c r="E681">
        <v>-100.22750000000001</v>
      </c>
      <c r="F681" t="s">
        <v>2158</v>
      </c>
      <c r="G681" t="s">
        <v>595</v>
      </c>
      <c r="H681" t="s">
        <v>189</v>
      </c>
      <c r="I681" t="s">
        <v>201</v>
      </c>
      <c r="J681" t="s">
        <v>202</v>
      </c>
      <c r="K681" t="s">
        <v>203</v>
      </c>
      <c r="L681" t="s">
        <v>121</v>
      </c>
      <c r="N681" s="6" t="s">
        <v>521</v>
      </c>
      <c r="O681" t="s">
        <v>1932</v>
      </c>
      <c r="P681" t="s">
        <v>436</v>
      </c>
      <c r="Q681" t="s">
        <v>1901</v>
      </c>
      <c r="R681" t="s">
        <v>1963</v>
      </c>
      <c r="S681">
        <v>2015</v>
      </c>
      <c r="T681" t="s">
        <v>153</v>
      </c>
      <c r="U681" t="s">
        <v>129</v>
      </c>
      <c r="V681"/>
      <c r="AD681">
        <v>0</v>
      </c>
      <c r="AF681">
        <v>200</v>
      </c>
      <c r="AG681">
        <v>0</v>
      </c>
      <c r="AH681" t="s">
        <v>1903</v>
      </c>
      <c r="AK681">
        <v>0</v>
      </c>
      <c r="AL681">
        <v>0</v>
      </c>
      <c r="AN681" t="s">
        <v>132</v>
      </c>
      <c r="BO681">
        <v>10</v>
      </c>
      <c r="CE68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8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8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10</v>
      </c>
      <c r="CH681" t="s">
        <v>157</v>
      </c>
      <c r="CI681" t="s">
        <v>176</v>
      </c>
      <c r="CJ681" t="s">
        <v>158</v>
      </c>
      <c r="CL681" s="19">
        <f>IF(Table1[[#This Row],[Type]]="Petroleum",1,IF(ISERROR(Table1[[#This Row],[Well Density]]*Table1[[#This Row],[Single Well Discovery Area]]),"",IF(Table1[[#This Row],[Well Density]]*Table1[[#This Row],[Single Well Discovery Area]]&gt;1,1,Table1[[#This Row],[Well Density]]*Table1[[#This Row],[Single Well Discovery Area]])))</f>
        <v>1</v>
      </c>
      <c r="CM681" t="s">
        <v>158</v>
      </c>
      <c r="CN681" s="19">
        <f>Table1[[#This Row],[Mid]]</f>
        <v>0</v>
      </c>
      <c r="CO681" s="19">
        <f>Table1[[#This Row],[Mid3]]+Table1[[#This Row],[Mid6]]+Table1[[#This Row],[Mid9]]</f>
        <v>0</v>
      </c>
      <c r="CP681" s="19">
        <f>Table1[[#This Row],[Mid12]]+Table1[[#This Row],[Mid15]]+Table1[[#This Row],[Mid18]]+Table1[[#This Row],[Mid21]]+Table1[[#This Row],[Mid24]]</f>
        <v>0</v>
      </c>
      <c r="CQ681" s="19">
        <f>Table1[[#This Row],[Mid27]]+Table1[[#This Row],[Mid30]]+Table1[[#This Row],[Mid33]]+Table1[[#This Row],[Mid36]]+Table1[[#This Row],[Mid39]]</f>
        <v>0</v>
      </c>
      <c r="CR681" t="s">
        <v>471</v>
      </c>
      <c r="CS681" s="19" t="str">
        <f>IF(AND(Table1[[#This Row],[Low41]]=0, Table1[[#This Row],[High43]]=0),"N","Y")</f>
        <v>Y</v>
      </c>
    </row>
    <row r="682" spans="1:97" ht="19.5" customHeight="1" x14ac:dyDescent="0.25">
      <c r="A682">
        <v>10680</v>
      </c>
      <c r="B682" t="s">
        <v>1897</v>
      </c>
      <c r="C682" t="s">
        <v>2157</v>
      </c>
      <c r="D682">
        <v>44.444166670000001</v>
      </c>
      <c r="E682">
        <v>-100.2263889</v>
      </c>
      <c r="F682" t="s">
        <v>2159</v>
      </c>
      <c r="G682" t="s">
        <v>595</v>
      </c>
      <c r="H682" t="s">
        <v>189</v>
      </c>
      <c r="I682" t="s">
        <v>118</v>
      </c>
      <c r="J682" t="s">
        <v>119</v>
      </c>
      <c r="K682" t="s">
        <v>190</v>
      </c>
      <c r="L682" t="s">
        <v>18</v>
      </c>
      <c r="N682" s="6" t="s">
        <v>521</v>
      </c>
      <c r="O682" t="s">
        <v>1932</v>
      </c>
      <c r="P682" t="s">
        <v>436</v>
      </c>
      <c r="Q682" t="s">
        <v>195</v>
      </c>
      <c r="R682" t="s">
        <v>2160</v>
      </c>
      <c r="S682">
        <v>2015</v>
      </c>
      <c r="T682" t="s">
        <v>153</v>
      </c>
      <c r="U682" t="s">
        <v>129</v>
      </c>
      <c r="V682"/>
      <c r="AD682">
        <v>0</v>
      </c>
      <c r="AF682">
        <v>200</v>
      </c>
      <c r="AG682">
        <v>0</v>
      </c>
      <c r="AH682" t="s">
        <v>525</v>
      </c>
      <c r="AI682">
        <v>2</v>
      </c>
      <c r="AK682">
        <v>0</v>
      </c>
      <c r="AL682">
        <v>0</v>
      </c>
      <c r="AN682" t="s">
        <v>132</v>
      </c>
      <c r="CE68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8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8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82" t="s">
        <v>157</v>
      </c>
      <c r="CI682" t="s">
        <v>176</v>
      </c>
      <c r="CJ682" t="s">
        <v>158</v>
      </c>
      <c r="CL682" s="19">
        <f>IF(Table1[[#This Row],[Type]]="Petroleum",1,IF(ISERROR(Table1[[#This Row],[Well Density]]*Table1[[#This Row],[Single Well Discovery Area]]),"",IF(Table1[[#This Row],[Well Density]]*Table1[[#This Row],[Single Well Discovery Area]]&gt;1,1,Table1[[#This Row],[Well Density]]*Table1[[#This Row],[Single Well Discovery Area]])))</f>
        <v>0</v>
      </c>
      <c r="CM682" t="s">
        <v>158</v>
      </c>
      <c r="CN682" s="19">
        <f>Table1[[#This Row],[Mid]]</f>
        <v>0</v>
      </c>
      <c r="CO682" s="19">
        <f>Table1[[#This Row],[Mid3]]+Table1[[#This Row],[Mid6]]+Table1[[#This Row],[Mid9]]</f>
        <v>0</v>
      </c>
      <c r="CP682" s="19">
        <f>Table1[[#This Row],[Mid12]]+Table1[[#This Row],[Mid15]]+Table1[[#This Row],[Mid18]]+Table1[[#This Row],[Mid21]]+Table1[[#This Row],[Mid24]]</f>
        <v>0</v>
      </c>
      <c r="CQ682" s="19">
        <f>Table1[[#This Row],[Mid27]]+Table1[[#This Row],[Mid30]]+Table1[[#This Row],[Mid33]]+Table1[[#This Row],[Mid36]]+Table1[[#This Row],[Mid39]]</f>
        <v>0</v>
      </c>
      <c r="CR682" t="s">
        <v>471</v>
      </c>
      <c r="CS682" s="19" t="str">
        <f>IF(AND(Table1[[#This Row],[Low41]]=0, Table1[[#This Row],[High43]]=0),"N","Y")</f>
        <v>N</v>
      </c>
    </row>
    <row r="683" spans="1:97" ht="19.5" customHeight="1" x14ac:dyDescent="0.25">
      <c r="A683">
        <v>10681</v>
      </c>
      <c r="B683" t="s">
        <v>1897</v>
      </c>
      <c r="C683" t="s">
        <v>2161</v>
      </c>
      <c r="D683">
        <v>35.858055559999997</v>
      </c>
      <c r="E683">
        <v>-86.350555560000004</v>
      </c>
      <c r="F683" t="s">
        <v>2162</v>
      </c>
      <c r="H683" t="s">
        <v>189</v>
      </c>
      <c r="I683" t="s">
        <v>201</v>
      </c>
      <c r="J683" t="s">
        <v>202</v>
      </c>
      <c r="K683" t="s">
        <v>203</v>
      </c>
      <c r="L683" t="s">
        <v>121</v>
      </c>
      <c r="N683" s="6" t="s">
        <v>521</v>
      </c>
      <c r="O683" t="s">
        <v>1932</v>
      </c>
      <c r="P683" t="s">
        <v>436</v>
      </c>
      <c r="Q683" t="s">
        <v>1901</v>
      </c>
      <c r="R683" t="s">
        <v>2036</v>
      </c>
      <c r="S683">
        <v>2015</v>
      </c>
      <c r="T683" t="s">
        <v>153</v>
      </c>
      <c r="U683" t="s">
        <v>129</v>
      </c>
      <c r="V683"/>
      <c r="AD683">
        <v>0</v>
      </c>
      <c r="AF683">
        <v>200</v>
      </c>
      <c r="AG683">
        <v>0</v>
      </c>
      <c r="AH683" t="s">
        <v>1903</v>
      </c>
      <c r="AK683">
        <v>0</v>
      </c>
      <c r="AL683">
        <v>0</v>
      </c>
      <c r="AN683" t="s">
        <v>132</v>
      </c>
      <c r="CE68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83"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8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83" t="s">
        <v>157</v>
      </c>
      <c r="CI683" t="s">
        <v>176</v>
      </c>
      <c r="CJ683" t="s">
        <v>158</v>
      </c>
      <c r="CL683" s="19">
        <f>IF(Table1[[#This Row],[Type]]="Petroleum",1,IF(ISERROR(Table1[[#This Row],[Well Density]]*Table1[[#This Row],[Single Well Discovery Area]]),"",IF(Table1[[#This Row],[Well Density]]*Table1[[#This Row],[Single Well Discovery Area]]&gt;1,1,Table1[[#This Row],[Well Density]]*Table1[[#This Row],[Single Well Discovery Area]])))</f>
        <v>1</v>
      </c>
      <c r="CM683" t="s">
        <v>135</v>
      </c>
      <c r="CN683" s="19">
        <f>Table1[[#This Row],[Mid]]</f>
        <v>0</v>
      </c>
      <c r="CO683" s="19">
        <f>Table1[[#This Row],[Mid3]]+Table1[[#This Row],[Mid6]]+Table1[[#This Row],[Mid9]]</f>
        <v>0</v>
      </c>
      <c r="CP683" s="19">
        <f>Table1[[#This Row],[Mid12]]+Table1[[#This Row],[Mid15]]+Table1[[#This Row],[Mid18]]+Table1[[#This Row],[Mid21]]+Table1[[#This Row],[Mid24]]</f>
        <v>0</v>
      </c>
      <c r="CQ683" s="19">
        <f>Table1[[#This Row],[Mid27]]+Table1[[#This Row],[Mid30]]+Table1[[#This Row],[Mid33]]+Table1[[#This Row],[Mid36]]+Table1[[#This Row],[Mid39]]</f>
        <v>0</v>
      </c>
      <c r="CR683" t="s">
        <v>471</v>
      </c>
      <c r="CS683" s="19" t="str">
        <f>IF(AND(Table1[[#This Row],[Low41]]=0, Table1[[#This Row],[High43]]=0),"N","Y")</f>
        <v>N</v>
      </c>
    </row>
    <row r="684" spans="1:97" ht="19.5" customHeight="1" x14ac:dyDescent="0.25">
      <c r="A684">
        <v>10682</v>
      </c>
      <c r="B684" t="s">
        <v>1897</v>
      </c>
      <c r="C684" t="s">
        <v>2161</v>
      </c>
      <c r="D684">
        <v>35.85916667</v>
      </c>
      <c r="E684">
        <v>-86.35166667</v>
      </c>
      <c r="F684" t="s">
        <v>2163</v>
      </c>
      <c r="H684" t="s">
        <v>189</v>
      </c>
      <c r="I684" t="s">
        <v>118</v>
      </c>
      <c r="J684" t="s">
        <v>119</v>
      </c>
      <c r="K684" t="s">
        <v>190</v>
      </c>
      <c r="L684" t="s">
        <v>18</v>
      </c>
      <c r="N684" s="6" t="s">
        <v>521</v>
      </c>
      <c r="O684" t="s">
        <v>1932</v>
      </c>
      <c r="P684" t="s">
        <v>436</v>
      </c>
      <c r="Q684" t="s">
        <v>195</v>
      </c>
      <c r="R684" t="s">
        <v>1942</v>
      </c>
      <c r="S684">
        <v>2015</v>
      </c>
      <c r="T684" t="s">
        <v>153</v>
      </c>
      <c r="U684" t="s">
        <v>129</v>
      </c>
      <c r="V684"/>
      <c r="AD684">
        <v>0</v>
      </c>
      <c r="AF684">
        <v>200</v>
      </c>
      <c r="AG684">
        <v>0</v>
      </c>
      <c r="AH684" t="s">
        <v>525</v>
      </c>
      <c r="AI684">
        <v>2</v>
      </c>
      <c r="AK684">
        <v>0</v>
      </c>
      <c r="AL684">
        <v>0</v>
      </c>
      <c r="AN684" t="s">
        <v>132</v>
      </c>
      <c r="BY684">
        <v>500</v>
      </c>
      <c r="BZ684">
        <v>1850</v>
      </c>
      <c r="CA684">
        <v>4630</v>
      </c>
      <c r="CE684" s="19">
        <f>SUM(Table1[[#This Row],[Low38]],Table1[[#This Row],[Low35]],Table1[[#This Row],[Low32]],Table1[[#This Row],[Low29]],Table1[[#This Row],[Low26]],Table1[[#This Row],[Low23]],Table1[[#This Row],[Low20]],Table1[[#This Row],[Low17]],Table1[[#This Row],[Low14]],Table1[[#This Row],[Low11]],Table1[[#This Row],[Low8]],Table1[[#This Row],[Low5]],Table1[[#This Row],[Low2]],Table1[[#This Row],[Low]])</f>
        <v>500</v>
      </c>
      <c r="CF684" s="19">
        <f>SUM(Table1[[#This Row],[Mid39]],Table1[[#This Row],[Mid36]],Table1[[#This Row],[Mid33]],Table1[[#This Row],[Mid30]],Table1[[#This Row],[Mid27]],Table1[[#This Row],[Mid24]],Table1[[#This Row],[Mid21]],Table1[[#This Row],[Mid18]],Table1[[#This Row],[Mid15]],Table1[[#This Row],[Mid12]],Table1[[#This Row],[Mid9]],Table1[[#This Row],[Mid6]],Table1[[#This Row],[Mid3]],Table1[[#This Row],[Mid]])</f>
        <v>1850</v>
      </c>
      <c r="CG68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4630</v>
      </c>
      <c r="CH684" t="s">
        <v>157</v>
      </c>
      <c r="CI684" t="s">
        <v>176</v>
      </c>
      <c r="CJ684" t="s">
        <v>158</v>
      </c>
      <c r="CL684" s="19">
        <f>IF(Table1[[#This Row],[Type]]="Petroleum",1,IF(ISERROR(Table1[[#This Row],[Well Density]]*Table1[[#This Row],[Single Well Discovery Area]]),"",IF(Table1[[#This Row],[Well Density]]*Table1[[#This Row],[Single Well Discovery Area]]&gt;1,1,Table1[[#This Row],[Well Density]]*Table1[[#This Row],[Single Well Discovery Area]])))</f>
        <v>0</v>
      </c>
      <c r="CM684" t="s">
        <v>158</v>
      </c>
      <c r="CN684" s="19">
        <f>Table1[[#This Row],[Mid]]</f>
        <v>0</v>
      </c>
      <c r="CO684" s="19">
        <f>Table1[[#This Row],[Mid3]]+Table1[[#This Row],[Mid6]]+Table1[[#This Row],[Mid9]]</f>
        <v>0</v>
      </c>
      <c r="CP684" s="19">
        <f>Table1[[#This Row],[Mid12]]+Table1[[#This Row],[Mid15]]+Table1[[#This Row],[Mid18]]+Table1[[#This Row],[Mid21]]+Table1[[#This Row],[Mid24]]</f>
        <v>0</v>
      </c>
      <c r="CQ684" s="19">
        <f>Table1[[#This Row],[Mid27]]+Table1[[#This Row],[Mid30]]+Table1[[#This Row],[Mid33]]+Table1[[#This Row],[Mid36]]+Table1[[#This Row],[Mid39]]</f>
        <v>1850</v>
      </c>
      <c r="CR684" t="s">
        <v>471</v>
      </c>
      <c r="CS684" s="19" t="str">
        <f>IF(AND(Table1[[#This Row],[Low41]]=0, Table1[[#This Row],[High43]]=0),"N","Y")</f>
        <v>Y</v>
      </c>
    </row>
    <row r="685" spans="1:97" ht="19.5" customHeight="1" x14ac:dyDescent="0.25">
      <c r="A685">
        <v>10683</v>
      </c>
      <c r="B685" t="s">
        <v>1897</v>
      </c>
      <c r="C685" t="s">
        <v>2164</v>
      </c>
      <c r="D685">
        <v>36.321111109999997</v>
      </c>
      <c r="E685">
        <v>-100.9663889</v>
      </c>
      <c r="F685" t="s">
        <v>2165</v>
      </c>
      <c r="G685" t="s">
        <v>2019</v>
      </c>
      <c r="H685" t="s">
        <v>2166</v>
      </c>
      <c r="I685" t="s">
        <v>118</v>
      </c>
      <c r="J685" t="s">
        <v>202</v>
      </c>
      <c r="K685" t="s">
        <v>203</v>
      </c>
      <c r="L685" t="s">
        <v>121</v>
      </c>
      <c r="M685" t="s">
        <v>2167</v>
      </c>
      <c r="N685" s="6" t="s">
        <v>521</v>
      </c>
      <c r="O685" t="s">
        <v>2168</v>
      </c>
      <c r="P685" t="s">
        <v>2169</v>
      </c>
      <c r="Q685" t="s">
        <v>2170</v>
      </c>
      <c r="R685" t="s">
        <v>2171</v>
      </c>
      <c r="S685">
        <v>2015</v>
      </c>
      <c r="T685" t="s">
        <v>153</v>
      </c>
      <c r="U685" t="s">
        <v>129</v>
      </c>
      <c r="V685">
        <v>110.25</v>
      </c>
      <c r="AD685">
        <v>140</v>
      </c>
      <c r="AE685">
        <v>1.2698412699999999</v>
      </c>
      <c r="AF685">
        <v>200</v>
      </c>
      <c r="AG685">
        <v>0</v>
      </c>
      <c r="AH685" t="s">
        <v>130</v>
      </c>
      <c r="AK685">
        <v>0</v>
      </c>
      <c r="AL685">
        <v>0</v>
      </c>
      <c r="AN685" t="s">
        <v>132</v>
      </c>
      <c r="AO685">
        <v>0</v>
      </c>
      <c r="AP685">
        <v>1</v>
      </c>
      <c r="AQ685">
        <v>0</v>
      </c>
      <c r="AR685">
        <v>0</v>
      </c>
      <c r="AS685">
        <v>0</v>
      </c>
      <c r="AT685">
        <v>0</v>
      </c>
      <c r="AU685">
        <v>0</v>
      </c>
      <c r="AV685">
        <v>0</v>
      </c>
      <c r="AW685">
        <v>0</v>
      </c>
      <c r="AX685">
        <v>0</v>
      </c>
      <c r="AY685">
        <v>0</v>
      </c>
      <c r="AZ685">
        <v>0</v>
      </c>
      <c r="BA685">
        <v>0</v>
      </c>
      <c r="BB685">
        <v>0</v>
      </c>
      <c r="BC685">
        <v>0</v>
      </c>
      <c r="BD685">
        <v>0</v>
      </c>
      <c r="BE685">
        <v>0</v>
      </c>
      <c r="BF685">
        <v>0</v>
      </c>
      <c r="BG685">
        <v>0</v>
      </c>
      <c r="BH685">
        <v>24</v>
      </c>
      <c r="BI685">
        <v>0</v>
      </c>
      <c r="BJ685">
        <v>0</v>
      </c>
      <c r="BK685">
        <v>0</v>
      </c>
      <c r="BL685">
        <v>0</v>
      </c>
      <c r="BM685">
        <v>0</v>
      </c>
      <c r="BN685">
        <v>0</v>
      </c>
      <c r="BO685">
        <v>0</v>
      </c>
      <c r="BP685">
        <v>0</v>
      </c>
      <c r="BQ685">
        <v>0</v>
      </c>
      <c r="BR685">
        <v>0</v>
      </c>
      <c r="BS685">
        <v>0</v>
      </c>
      <c r="BT685">
        <v>0</v>
      </c>
      <c r="BU685">
        <v>0</v>
      </c>
      <c r="BV685">
        <v>0</v>
      </c>
      <c r="BW685">
        <v>0</v>
      </c>
      <c r="BX685">
        <v>0</v>
      </c>
      <c r="BY685">
        <v>0</v>
      </c>
      <c r="BZ685">
        <v>0</v>
      </c>
      <c r="CA685">
        <v>0</v>
      </c>
      <c r="CB685">
        <v>0</v>
      </c>
      <c r="CC685">
        <v>0</v>
      </c>
      <c r="CD685">
        <v>0</v>
      </c>
      <c r="CE68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85" s="19">
        <f>SUM(Table1[[#This Row],[Mid39]],Table1[[#This Row],[Mid36]],Table1[[#This Row],[Mid33]],Table1[[#This Row],[Mid30]],Table1[[#This Row],[Mid27]],Table1[[#This Row],[Mid24]],Table1[[#This Row],[Mid21]],Table1[[#This Row],[Mid18]],Table1[[#This Row],[Mid15]],Table1[[#This Row],[Mid12]],Table1[[#This Row],[Mid9]],Table1[[#This Row],[Mid6]],Table1[[#This Row],[Mid3]],Table1[[#This Row],[Mid]])</f>
        <v>25</v>
      </c>
      <c r="CG68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85" t="s">
        <v>157</v>
      </c>
      <c r="CI685" t="s">
        <v>134</v>
      </c>
      <c r="CJ685" t="s">
        <v>135</v>
      </c>
      <c r="CL685" s="19">
        <f>IF(Table1[[#This Row],[Type]]="Petroleum",1,IF(ISERROR(Table1[[#This Row],[Well Density]]*Table1[[#This Row],[Single Well Discovery Area]]),"",IF(Table1[[#This Row],[Well Density]]*Table1[[#This Row],[Single Well Discovery Area]]&gt;1,1,Table1[[#This Row],[Well Density]]*Table1[[#This Row],[Single Well Discovery Area]])))</f>
        <v>1</v>
      </c>
      <c r="CM685" t="s">
        <v>158</v>
      </c>
      <c r="CN685" s="19">
        <f>Table1[[#This Row],[Mid]]</f>
        <v>1</v>
      </c>
      <c r="CO685" s="19">
        <f>Table1[[#This Row],[Mid3]]+Table1[[#This Row],[Mid6]]+Table1[[#This Row],[Mid9]]</f>
        <v>0</v>
      </c>
      <c r="CP685" s="19">
        <f>Table1[[#This Row],[Mid12]]+Table1[[#This Row],[Mid15]]+Table1[[#This Row],[Mid18]]+Table1[[#This Row],[Mid21]]+Table1[[#This Row],[Mid24]]</f>
        <v>24</v>
      </c>
      <c r="CQ685" s="19">
        <f>Table1[[#This Row],[Mid27]]+Table1[[#This Row],[Mid30]]+Table1[[#This Row],[Mid33]]+Table1[[#This Row],[Mid36]]+Table1[[#This Row],[Mid39]]</f>
        <v>0</v>
      </c>
      <c r="CR685" t="s">
        <v>471</v>
      </c>
      <c r="CS685" s="19" t="str">
        <f>IF(AND(Table1[[#This Row],[Low41]]=0, Table1[[#This Row],[High43]]=0),"N","Y")</f>
        <v>N</v>
      </c>
    </row>
    <row r="686" spans="1:97" ht="19.5" customHeight="1" x14ac:dyDescent="0.25">
      <c r="A686">
        <v>10684</v>
      </c>
      <c r="B686" t="s">
        <v>1897</v>
      </c>
      <c r="C686" t="s">
        <v>2164</v>
      </c>
      <c r="D686">
        <v>31.47583333</v>
      </c>
      <c r="E686">
        <v>-99.331111109999995</v>
      </c>
      <c r="F686" t="s">
        <v>2172</v>
      </c>
      <c r="H686" t="s">
        <v>189</v>
      </c>
      <c r="I686" t="s">
        <v>201</v>
      </c>
      <c r="J686" t="s">
        <v>202</v>
      </c>
      <c r="K686" t="s">
        <v>203</v>
      </c>
      <c r="L686" t="s">
        <v>121</v>
      </c>
      <c r="N686" s="6" t="s">
        <v>521</v>
      </c>
      <c r="O686" t="s">
        <v>1932</v>
      </c>
      <c r="P686" t="s">
        <v>436</v>
      </c>
      <c r="Q686" t="s">
        <v>1901</v>
      </c>
      <c r="R686" t="s">
        <v>1963</v>
      </c>
      <c r="S686">
        <v>2015</v>
      </c>
      <c r="T686" t="s">
        <v>153</v>
      </c>
      <c r="U686" t="s">
        <v>129</v>
      </c>
      <c r="V686"/>
      <c r="AD686">
        <v>0</v>
      </c>
      <c r="AF686">
        <v>200</v>
      </c>
      <c r="AG686">
        <v>0</v>
      </c>
      <c r="AH686" t="s">
        <v>1903</v>
      </c>
      <c r="AK686">
        <v>0</v>
      </c>
      <c r="AL686">
        <v>0</v>
      </c>
      <c r="AN686" t="s">
        <v>132</v>
      </c>
      <c r="BM686">
        <v>133720</v>
      </c>
      <c r="BN686">
        <v>137600</v>
      </c>
      <c r="BO686">
        <v>141480</v>
      </c>
      <c r="CE686" s="19">
        <f>SUM(Table1[[#This Row],[Low38]],Table1[[#This Row],[Low35]],Table1[[#This Row],[Low32]],Table1[[#This Row],[Low29]],Table1[[#This Row],[Low26]],Table1[[#This Row],[Low23]],Table1[[#This Row],[Low20]],Table1[[#This Row],[Low17]],Table1[[#This Row],[Low14]],Table1[[#This Row],[Low11]],Table1[[#This Row],[Low8]],Table1[[#This Row],[Low5]],Table1[[#This Row],[Low2]],Table1[[#This Row],[Low]])</f>
        <v>133720</v>
      </c>
      <c r="CF686" s="19">
        <f>SUM(Table1[[#This Row],[Mid39]],Table1[[#This Row],[Mid36]],Table1[[#This Row],[Mid33]],Table1[[#This Row],[Mid30]],Table1[[#This Row],[Mid27]],Table1[[#This Row],[Mid24]],Table1[[#This Row],[Mid21]],Table1[[#This Row],[Mid18]],Table1[[#This Row],[Mid15]],Table1[[#This Row],[Mid12]],Table1[[#This Row],[Mid9]],Table1[[#This Row],[Mid6]],Table1[[#This Row],[Mid3]],Table1[[#This Row],[Mid]])</f>
        <v>137600</v>
      </c>
      <c r="CG68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141480</v>
      </c>
      <c r="CH686" t="s">
        <v>157</v>
      </c>
      <c r="CI686" t="s">
        <v>176</v>
      </c>
      <c r="CJ686" t="s">
        <v>158</v>
      </c>
      <c r="CL686" s="19">
        <f>IF(Table1[[#This Row],[Type]]="Petroleum",1,IF(ISERROR(Table1[[#This Row],[Well Density]]*Table1[[#This Row],[Single Well Discovery Area]]),"",IF(Table1[[#This Row],[Well Density]]*Table1[[#This Row],[Single Well Discovery Area]]&gt;1,1,Table1[[#This Row],[Well Density]]*Table1[[#This Row],[Single Well Discovery Area]])))</f>
        <v>1</v>
      </c>
      <c r="CM686" t="s">
        <v>158</v>
      </c>
      <c r="CN686" s="19">
        <f>Table1[[#This Row],[Mid]]</f>
        <v>0</v>
      </c>
      <c r="CO686" s="19">
        <f>Table1[[#This Row],[Mid3]]+Table1[[#This Row],[Mid6]]+Table1[[#This Row],[Mid9]]</f>
        <v>0</v>
      </c>
      <c r="CP686" s="19">
        <f>Table1[[#This Row],[Mid12]]+Table1[[#This Row],[Mid15]]+Table1[[#This Row],[Mid18]]+Table1[[#This Row],[Mid21]]+Table1[[#This Row],[Mid24]]</f>
        <v>137600</v>
      </c>
      <c r="CQ686" s="19">
        <f>Table1[[#This Row],[Mid27]]+Table1[[#This Row],[Mid30]]+Table1[[#This Row],[Mid33]]+Table1[[#This Row],[Mid36]]+Table1[[#This Row],[Mid39]]</f>
        <v>0</v>
      </c>
      <c r="CR686" t="s">
        <v>471</v>
      </c>
      <c r="CS686" s="19" t="str">
        <f>IF(AND(Table1[[#This Row],[Low41]]=0, Table1[[#This Row],[High43]]=0),"N","Y")</f>
        <v>Y</v>
      </c>
    </row>
    <row r="687" spans="1:97" ht="19.5" customHeight="1" x14ac:dyDescent="0.25">
      <c r="A687">
        <v>10685</v>
      </c>
      <c r="B687" t="s">
        <v>1897</v>
      </c>
      <c r="C687" t="s">
        <v>2164</v>
      </c>
      <c r="D687">
        <v>31.47694444</v>
      </c>
      <c r="E687">
        <v>-99.332222220000006</v>
      </c>
      <c r="F687" t="s">
        <v>2173</v>
      </c>
      <c r="H687" t="s">
        <v>189</v>
      </c>
      <c r="I687" t="s">
        <v>118</v>
      </c>
      <c r="J687" t="s">
        <v>119</v>
      </c>
      <c r="K687" t="s">
        <v>190</v>
      </c>
      <c r="L687" t="s">
        <v>18</v>
      </c>
      <c r="N687" s="6" t="s">
        <v>521</v>
      </c>
      <c r="O687" t="s">
        <v>2174</v>
      </c>
      <c r="P687" t="s">
        <v>436</v>
      </c>
      <c r="Q687" t="s">
        <v>195</v>
      </c>
      <c r="R687" t="s">
        <v>2175</v>
      </c>
      <c r="S687">
        <v>2015</v>
      </c>
      <c r="T687" t="s">
        <v>153</v>
      </c>
      <c r="U687" t="s">
        <v>129</v>
      </c>
      <c r="V687"/>
      <c r="AD687">
        <v>0</v>
      </c>
      <c r="AF687">
        <v>200</v>
      </c>
      <c r="AG687">
        <v>0</v>
      </c>
      <c r="AH687" t="s">
        <v>525</v>
      </c>
      <c r="AI687">
        <v>2</v>
      </c>
      <c r="AK687">
        <v>0</v>
      </c>
      <c r="AL687">
        <v>0</v>
      </c>
      <c r="AN687" t="s">
        <v>132</v>
      </c>
      <c r="BY687">
        <v>331620</v>
      </c>
      <c r="BZ687">
        <v>1505790</v>
      </c>
      <c r="CA687">
        <v>4199740</v>
      </c>
      <c r="CE687" s="19">
        <f>SUM(Table1[[#This Row],[Low38]],Table1[[#This Row],[Low35]],Table1[[#This Row],[Low32]],Table1[[#This Row],[Low29]],Table1[[#This Row],[Low26]],Table1[[#This Row],[Low23]],Table1[[#This Row],[Low20]],Table1[[#This Row],[Low17]],Table1[[#This Row],[Low14]],Table1[[#This Row],[Low11]],Table1[[#This Row],[Low8]],Table1[[#This Row],[Low5]],Table1[[#This Row],[Low2]],Table1[[#This Row],[Low]])</f>
        <v>331620</v>
      </c>
      <c r="CF687" s="19">
        <f>SUM(Table1[[#This Row],[Mid39]],Table1[[#This Row],[Mid36]],Table1[[#This Row],[Mid33]],Table1[[#This Row],[Mid30]],Table1[[#This Row],[Mid27]],Table1[[#This Row],[Mid24]],Table1[[#This Row],[Mid21]],Table1[[#This Row],[Mid18]],Table1[[#This Row],[Mid15]],Table1[[#This Row],[Mid12]],Table1[[#This Row],[Mid9]],Table1[[#This Row],[Mid6]],Table1[[#This Row],[Mid3]],Table1[[#This Row],[Mid]])</f>
        <v>1505790</v>
      </c>
      <c r="CG68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4199740</v>
      </c>
      <c r="CH687" t="s">
        <v>157</v>
      </c>
      <c r="CI687" t="s">
        <v>176</v>
      </c>
      <c r="CJ687" t="s">
        <v>158</v>
      </c>
      <c r="CL687" s="19">
        <f>IF(Table1[[#This Row],[Type]]="Petroleum",1,IF(ISERROR(Table1[[#This Row],[Well Density]]*Table1[[#This Row],[Single Well Discovery Area]]),"",IF(Table1[[#This Row],[Well Density]]*Table1[[#This Row],[Single Well Discovery Area]]&gt;1,1,Table1[[#This Row],[Well Density]]*Table1[[#This Row],[Single Well Discovery Area]])))</f>
        <v>0</v>
      </c>
      <c r="CM687" t="s">
        <v>158</v>
      </c>
      <c r="CN687" s="19">
        <f>Table1[[#This Row],[Mid]]</f>
        <v>0</v>
      </c>
      <c r="CO687" s="19">
        <f>Table1[[#This Row],[Mid3]]+Table1[[#This Row],[Mid6]]+Table1[[#This Row],[Mid9]]</f>
        <v>0</v>
      </c>
      <c r="CP687" s="19">
        <f>Table1[[#This Row],[Mid12]]+Table1[[#This Row],[Mid15]]+Table1[[#This Row],[Mid18]]+Table1[[#This Row],[Mid21]]+Table1[[#This Row],[Mid24]]</f>
        <v>0</v>
      </c>
      <c r="CQ687" s="19">
        <f>Table1[[#This Row],[Mid27]]+Table1[[#This Row],[Mid30]]+Table1[[#This Row],[Mid33]]+Table1[[#This Row],[Mid36]]+Table1[[#This Row],[Mid39]]</f>
        <v>1505790</v>
      </c>
      <c r="CR687" t="s">
        <v>471</v>
      </c>
      <c r="CS687" s="19" t="str">
        <f>IF(AND(Table1[[#This Row],[Low41]]=0, Table1[[#This Row],[High43]]=0),"N","Y")</f>
        <v>Y</v>
      </c>
    </row>
    <row r="688" spans="1:97" ht="19.5" customHeight="1" x14ac:dyDescent="0.25">
      <c r="A688">
        <v>10686</v>
      </c>
      <c r="B688" t="s">
        <v>1897</v>
      </c>
      <c r="C688" t="s">
        <v>2176</v>
      </c>
      <c r="D688">
        <v>38.902500000000003</v>
      </c>
      <c r="E688">
        <v>-77.036666670000002</v>
      </c>
      <c r="F688" t="s">
        <v>2177</v>
      </c>
      <c r="H688" t="s">
        <v>189</v>
      </c>
      <c r="I688" t="s">
        <v>201</v>
      </c>
      <c r="J688" t="s">
        <v>202</v>
      </c>
      <c r="K688" t="s">
        <v>203</v>
      </c>
      <c r="L688" t="s">
        <v>121</v>
      </c>
      <c r="N688" s="6" t="s">
        <v>521</v>
      </c>
      <c r="O688" t="s">
        <v>2178</v>
      </c>
      <c r="P688" t="s">
        <v>436</v>
      </c>
      <c r="Q688" t="s">
        <v>1901</v>
      </c>
      <c r="R688" t="s">
        <v>1963</v>
      </c>
      <c r="S688">
        <v>2015</v>
      </c>
      <c r="T688" t="s">
        <v>153</v>
      </c>
      <c r="U688" t="s">
        <v>129</v>
      </c>
      <c r="V688"/>
      <c r="AD688">
        <v>0</v>
      </c>
      <c r="AF688">
        <v>200</v>
      </c>
      <c r="AG688">
        <v>0</v>
      </c>
      <c r="AH688" t="s">
        <v>1903</v>
      </c>
      <c r="AK688">
        <v>0</v>
      </c>
      <c r="AL688">
        <v>0</v>
      </c>
      <c r="AN688" t="s">
        <v>132</v>
      </c>
      <c r="BM688">
        <v>17180</v>
      </c>
      <c r="BN688">
        <v>17180</v>
      </c>
      <c r="BO688">
        <v>17180</v>
      </c>
      <c r="CE688" s="19">
        <f>SUM(Table1[[#This Row],[Low38]],Table1[[#This Row],[Low35]],Table1[[#This Row],[Low32]],Table1[[#This Row],[Low29]],Table1[[#This Row],[Low26]],Table1[[#This Row],[Low23]],Table1[[#This Row],[Low20]],Table1[[#This Row],[Low17]],Table1[[#This Row],[Low14]],Table1[[#This Row],[Low11]],Table1[[#This Row],[Low8]],Table1[[#This Row],[Low5]],Table1[[#This Row],[Low2]],Table1[[#This Row],[Low]])</f>
        <v>17180</v>
      </c>
      <c r="CF688" s="19">
        <f>SUM(Table1[[#This Row],[Mid39]],Table1[[#This Row],[Mid36]],Table1[[#This Row],[Mid33]],Table1[[#This Row],[Mid30]],Table1[[#This Row],[Mid27]],Table1[[#This Row],[Mid24]],Table1[[#This Row],[Mid21]],Table1[[#This Row],[Mid18]],Table1[[#This Row],[Mid15]],Table1[[#This Row],[Mid12]],Table1[[#This Row],[Mid9]],Table1[[#This Row],[Mid6]],Table1[[#This Row],[Mid3]],Table1[[#This Row],[Mid]])</f>
        <v>17180</v>
      </c>
      <c r="CG68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17180</v>
      </c>
      <c r="CH688" t="s">
        <v>157</v>
      </c>
      <c r="CI688" t="s">
        <v>176</v>
      </c>
      <c r="CJ688" t="s">
        <v>158</v>
      </c>
      <c r="CL688" s="19">
        <f>IF(Table1[[#This Row],[Type]]="Petroleum",1,IF(ISERROR(Table1[[#This Row],[Well Density]]*Table1[[#This Row],[Single Well Discovery Area]]),"",IF(Table1[[#This Row],[Well Density]]*Table1[[#This Row],[Single Well Discovery Area]]&gt;1,1,Table1[[#This Row],[Well Density]]*Table1[[#This Row],[Single Well Discovery Area]])))</f>
        <v>1</v>
      </c>
      <c r="CM688" s="23" t="s">
        <v>135</v>
      </c>
      <c r="CN688" s="19">
        <f>Table1[[#This Row],[Mid]]</f>
        <v>0</v>
      </c>
      <c r="CO688" s="19">
        <f>Table1[[#This Row],[Mid3]]+Table1[[#This Row],[Mid6]]+Table1[[#This Row],[Mid9]]</f>
        <v>0</v>
      </c>
      <c r="CP688" s="19">
        <f>Table1[[#This Row],[Mid12]]+Table1[[#This Row],[Mid15]]+Table1[[#This Row],[Mid18]]+Table1[[#This Row],[Mid21]]+Table1[[#This Row],[Mid24]]</f>
        <v>17180</v>
      </c>
      <c r="CQ688" s="19">
        <f>Table1[[#This Row],[Mid27]]+Table1[[#This Row],[Mid30]]+Table1[[#This Row],[Mid33]]+Table1[[#This Row],[Mid36]]+Table1[[#This Row],[Mid39]]</f>
        <v>0</v>
      </c>
      <c r="CR688" t="s">
        <v>471</v>
      </c>
      <c r="CS688" s="19" t="str">
        <f>IF(AND(Table1[[#This Row],[Low41]]=0, Table1[[#This Row],[High43]]=0),"N","Y")</f>
        <v>Y</v>
      </c>
    </row>
    <row r="689" spans="1:97" ht="19.5" customHeight="1" x14ac:dyDescent="0.25">
      <c r="A689">
        <v>10687</v>
      </c>
      <c r="B689" t="s">
        <v>1897</v>
      </c>
      <c r="C689" t="s">
        <v>2176</v>
      </c>
      <c r="D689">
        <v>38.903333330000002</v>
      </c>
      <c r="E689">
        <v>-77.037777779999999</v>
      </c>
      <c r="F689" t="s">
        <v>2179</v>
      </c>
      <c r="H689" t="s">
        <v>189</v>
      </c>
      <c r="I689" t="s">
        <v>118</v>
      </c>
      <c r="J689" t="s">
        <v>119</v>
      </c>
      <c r="K689" t="s">
        <v>190</v>
      </c>
      <c r="L689" t="s">
        <v>18</v>
      </c>
      <c r="N689" s="6" t="s">
        <v>521</v>
      </c>
      <c r="O689" t="s">
        <v>2180</v>
      </c>
      <c r="P689" t="s">
        <v>436</v>
      </c>
      <c r="Q689" t="s">
        <v>195</v>
      </c>
      <c r="R689" t="s">
        <v>2181</v>
      </c>
      <c r="S689">
        <v>2015</v>
      </c>
      <c r="T689" t="s">
        <v>153</v>
      </c>
      <c r="U689" t="s">
        <v>129</v>
      </c>
      <c r="V689"/>
      <c r="AD689">
        <v>0</v>
      </c>
      <c r="AF689">
        <v>200</v>
      </c>
      <c r="AG689">
        <v>0</v>
      </c>
      <c r="AH689" t="s">
        <v>525</v>
      </c>
      <c r="AI689">
        <v>2</v>
      </c>
      <c r="AK689">
        <v>0</v>
      </c>
      <c r="AL689">
        <v>0</v>
      </c>
      <c r="AN689" t="s">
        <v>132</v>
      </c>
      <c r="BY689">
        <v>472060</v>
      </c>
      <c r="BZ689">
        <v>2277240</v>
      </c>
      <c r="CA689">
        <v>6432960</v>
      </c>
      <c r="CE689" s="19">
        <f>SUM(Table1[[#This Row],[Low38]],Table1[[#This Row],[Low35]],Table1[[#This Row],[Low32]],Table1[[#This Row],[Low29]],Table1[[#This Row],[Low26]],Table1[[#This Row],[Low23]],Table1[[#This Row],[Low20]],Table1[[#This Row],[Low17]],Table1[[#This Row],[Low14]],Table1[[#This Row],[Low11]],Table1[[#This Row],[Low8]],Table1[[#This Row],[Low5]],Table1[[#This Row],[Low2]],Table1[[#This Row],[Low]])</f>
        <v>472060</v>
      </c>
      <c r="CF689" s="19">
        <f>SUM(Table1[[#This Row],[Mid39]],Table1[[#This Row],[Mid36]],Table1[[#This Row],[Mid33]],Table1[[#This Row],[Mid30]],Table1[[#This Row],[Mid27]],Table1[[#This Row],[Mid24]],Table1[[#This Row],[Mid21]],Table1[[#This Row],[Mid18]],Table1[[#This Row],[Mid15]],Table1[[#This Row],[Mid12]],Table1[[#This Row],[Mid9]],Table1[[#This Row],[Mid6]],Table1[[#This Row],[Mid3]],Table1[[#This Row],[Mid]])</f>
        <v>2277240</v>
      </c>
      <c r="CG68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6432960</v>
      </c>
      <c r="CH689" t="s">
        <v>157</v>
      </c>
      <c r="CI689" t="s">
        <v>176</v>
      </c>
      <c r="CJ689" t="s">
        <v>158</v>
      </c>
      <c r="CL689" s="19">
        <f>IF(Table1[[#This Row],[Type]]="Petroleum",1,IF(ISERROR(Table1[[#This Row],[Well Density]]*Table1[[#This Row],[Single Well Discovery Area]]),"",IF(Table1[[#This Row],[Well Density]]*Table1[[#This Row],[Single Well Discovery Area]]&gt;1,1,Table1[[#This Row],[Well Density]]*Table1[[#This Row],[Single Well Discovery Area]])))</f>
        <v>0</v>
      </c>
      <c r="CM689" t="s">
        <v>158</v>
      </c>
      <c r="CN689" s="19">
        <f>Table1[[#This Row],[Mid]]</f>
        <v>0</v>
      </c>
      <c r="CO689" s="19">
        <f>Table1[[#This Row],[Mid3]]+Table1[[#This Row],[Mid6]]+Table1[[#This Row],[Mid9]]</f>
        <v>0</v>
      </c>
      <c r="CP689" s="19">
        <f>Table1[[#This Row],[Mid12]]+Table1[[#This Row],[Mid15]]+Table1[[#This Row],[Mid18]]+Table1[[#This Row],[Mid21]]+Table1[[#This Row],[Mid24]]</f>
        <v>0</v>
      </c>
      <c r="CQ689" s="19">
        <f>Table1[[#This Row],[Mid27]]+Table1[[#This Row],[Mid30]]+Table1[[#This Row],[Mid33]]+Table1[[#This Row],[Mid36]]+Table1[[#This Row],[Mid39]]</f>
        <v>2277240</v>
      </c>
      <c r="CR689" t="s">
        <v>471</v>
      </c>
      <c r="CS689" s="19" t="str">
        <f>IF(AND(Table1[[#This Row],[Low41]]=0, Table1[[#This Row],[High43]]=0),"N","Y")</f>
        <v>Y</v>
      </c>
    </row>
    <row r="690" spans="1:97" ht="19.5" customHeight="1" x14ac:dyDescent="0.25">
      <c r="A690">
        <v>10688</v>
      </c>
      <c r="B690" t="s">
        <v>1897</v>
      </c>
      <c r="C690" t="s">
        <v>2182</v>
      </c>
      <c r="D690">
        <v>45.948611110000002</v>
      </c>
      <c r="E690">
        <v>-102.17222219999999</v>
      </c>
      <c r="F690" t="s">
        <v>2183</v>
      </c>
      <c r="G690" t="s">
        <v>595</v>
      </c>
      <c r="H690" t="s">
        <v>2184</v>
      </c>
      <c r="I690" t="s">
        <v>118</v>
      </c>
      <c r="J690" t="s">
        <v>119</v>
      </c>
      <c r="K690" t="s">
        <v>190</v>
      </c>
      <c r="L690" t="s">
        <v>18</v>
      </c>
      <c r="M690" t="s">
        <v>298</v>
      </c>
      <c r="N690" s="6" t="s">
        <v>2092</v>
      </c>
      <c r="O690" t="s">
        <v>2185</v>
      </c>
      <c r="P690" t="s">
        <v>170</v>
      </c>
      <c r="Q690" t="s">
        <v>2186</v>
      </c>
      <c r="R690" t="s">
        <v>2187</v>
      </c>
      <c r="S690">
        <v>2015</v>
      </c>
      <c r="T690" t="s">
        <v>153</v>
      </c>
      <c r="U690" t="s">
        <v>129</v>
      </c>
      <c r="V690"/>
      <c r="AD690">
        <v>0</v>
      </c>
      <c r="AF690">
        <v>200</v>
      </c>
      <c r="AG690">
        <v>0</v>
      </c>
      <c r="AH690" t="s">
        <v>2188</v>
      </c>
      <c r="AI690">
        <v>2</v>
      </c>
      <c r="AK690">
        <v>0</v>
      </c>
      <c r="AL690">
        <v>0</v>
      </c>
      <c r="AM690" t="s">
        <v>2096</v>
      </c>
      <c r="AN690" t="s">
        <v>132</v>
      </c>
      <c r="BV690">
        <v>13100</v>
      </c>
      <c r="BW690">
        <v>24900</v>
      </c>
      <c r="BX690">
        <v>42600</v>
      </c>
      <c r="CE690" s="19">
        <f>SUM(Table1[[#This Row],[Low38]],Table1[[#This Row],[Low35]],Table1[[#This Row],[Low32]],Table1[[#This Row],[Low29]],Table1[[#This Row],[Low26]],Table1[[#This Row],[Low23]],Table1[[#This Row],[Low20]],Table1[[#This Row],[Low17]],Table1[[#This Row],[Low14]],Table1[[#This Row],[Low11]],Table1[[#This Row],[Low8]],Table1[[#This Row],[Low5]],Table1[[#This Row],[Low2]],Table1[[#This Row],[Low]])</f>
        <v>13100</v>
      </c>
      <c r="CF690" s="19">
        <f>SUM(Table1[[#This Row],[Mid39]],Table1[[#This Row],[Mid36]],Table1[[#This Row],[Mid33]],Table1[[#This Row],[Mid30]],Table1[[#This Row],[Mid27]],Table1[[#This Row],[Mid24]],Table1[[#This Row],[Mid21]],Table1[[#This Row],[Mid18]],Table1[[#This Row],[Mid15]],Table1[[#This Row],[Mid12]],Table1[[#This Row],[Mid9]],Table1[[#This Row],[Mid6]],Table1[[#This Row],[Mid3]],Table1[[#This Row],[Mid]])</f>
        <v>24900</v>
      </c>
      <c r="CG69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42600</v>
      </c>
      <c r="CH690" t="s">
        <v>157</v>
      </c>
      <c r="CI690" t="s">
        <v>134</v>
      </c>
      <c r="CJ690" t="s">
        <v>158</v>
      </c>
      <c r="CL690" s="19">
        <f>IF(Table1[[#This Row],[Type]]="Petroleum",1,IF(ISERROR(Table1[[#This Row],[Well Density]]*Table1[[#This Row],[Single Well Discovery Area]]),"",IF(Table1[[#This Row],[Well Density]]*Table1[[#This Row],[Single Well Discovery Area]]&gt;1,1,Table1[[#This Row],[Well Density]]*Table1[[#This Row],[Single Well Discovery Area]])))</f>
        <v>0</v>
      </c>
      <c r="CM690" t="s">
        <v>158</v>
      </c>
      <c r="CN690" s="19">
        <f>Table1[[#This Row],[Mid]]</f>
        <v>0</v>
      </c>
      <c r="CO690" s="19">
        <f>Table1[[#This Row],[Mid3]]+Table1[[#This Row],[Mid6]]+Table1[[#This Row],[Mid9]]</f>
        <v>0</v>
      </c>
      <c r="CP690" s="19">
        <f>Table1[[#This Row],[Mid12]]+Table1[[#This Row],[Mid15]]+Table1[[#This Row],[Mid18]]+Table1[[#This Row],[Mid21]]+Table1[[#This Row],[Mid24]]</f>
        <v>0</v>
      </c>
      <c r="CQ690" s="19">
        <f>Table1[[#This Row],[Mid27]]+Table1[[#This Row],[Mid30]]+Table1[[#This Row],[Mid33]]+Table1[[#This Row],[Mid36]]+Table1[[#This Row],[Mid39]]</f>
        <v>24900</v>
      </c>
      <c r="CR690" t="s">
        <v>471</v>
      </c>
      <c r="CS690" s="19" t="str">
        <f>IF(AND(Table1[[#This Row],[Low41]]=0, Table1[[#This Row],[High43]]=0),"N","Y")</f>
        <v>Y</v>
      </c>
    </row>
    <row r="691" spans="1:97" ht="19.5" customHeight="1" x14ac:dyDescent="0.25">
      <c r="A691">
        <v>10689</v>
      </c>
      <c r="B691" t="s">
        <v>1897</v>
      </c>
      <c r="C691" t="s">
        <v>2182</v>
      </c>
      <c r="D691">
        <v>46.992222220000002</v>
      </c>
      <c r="E691">
        <v>-104.20472220000001</v>
      </c>
      <c r="F691" t="s">
        <v>2189</v>
      </c>
      <c r="G691" t="s">
        <v>595</v>
      </c>
      <c r="H691" t="s">
        <v>596</v>
      </c>
      <c r="I691" t="s">
        <v>118</v>
      </c>
      <c r="J691" t="s">
        <v>119</v>
      </c>
      <c r="K691" t="s">
        <v>120</v>
      </c>
      <c r="L691" t="s">
        <v>18</v>
      </c>
      <c r="M691" t="s">
        <v>597</v>
      </c>
      <c r="N691" s="6" t="s">
        <v>2190</v>
      </c>
      <c r="O691" t="s">
        <v>2191</v>
      </c>
      <c r="P691" t="s">
        <v>2192</v>
      </c>
      <c r="Q691" t="s">
        <v>2193</v>
      </c>
      <c r="R691" t="s">
        <v>2194</v>
      </c>
      <c r="S691">
        <v>2014</v>
      </c>
      <c r="T691" t="s">
        <v>153</v>
      </c>
      <c r="U691" t="s">
        <v>129</v>
      </c>
      <c r="V691"/>
      <c r="AD691">
        <v>0</v>
      </c>
      <c r="AF691">
        <v>200</v>
      </c>
      <c r="AG691">
        <v>0</v>
      </c>
      <c r="AH691" t="s">
        <v>2188</v>
      </c>
      <c r="AI691">
        <v>9.1</v>
      </c>
      <c r="AK691">
        <v>0</v>
      </c>
      <c r="AL691">
        <v>0</v>
      </c>
      <c r="AM691" t="s">
        <v>2195</v>
      </c>
      <c r="AN691" t="s">
        <v>132</v>
      </c>
      <c r="BV691">
        <v>49060</v>
      </c>
      <c r="BW691">
        <v>93670</v>
      </c>
      <c r="BX691">
        <v>158590</v>
      </c>
      <c r="CE691" s="19">
        <f>SUM(Table1[[#This Row],[Low38]],Table1[[#This Row],[Low35]],Table1[[#This Row],[Low32]],Table1[[#This Row],[Low29]],Table1[[#This Row],[Low26]],Table1[[#This Row],[Low23]],Table1[[#This Row],[Low20]],Table1[[#This Row],[Low17]],Table1[[#This Row],[Low14]],Table1[[#This Row],[Low11]],Table1[[#This Row],[Low8]],Table1[[#This Row],[Low5]],Table1[[#This Row],[Low2]],Table1[[#This Row],[Low]])</f>
        <v>49060</v>
      </c>
      <c r="CF691" s="19">
        <f>SUM(Table1[[#This Row],[Mid39]],Table1[[#This Row],[Mid36]],Table1[[#This Row],[Mid33]],Table1[[#This Row],[Mid30]],Table1[[#This Row],[Mid27]],Table1[[#This Row],[Mid24]],Table1[[#This Row],[Mid21]],Table1[[#This Row],[Mid18]],Table1[[#This Row],[Mid15]],Table1[[#This Row],[Mid12]],Table1[[#This Row],[Mid9]],Table1[[#This Row],[Mid6]],Table1[[#This Row],[Mid3]],Table1[[#This Row],[Mid]])</f>
        <v>93670</v>
      </c>
      <c r="CG69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158590</v>
      </c>
      <c r="CH691" t="s">
        <v>157</v>
      </c>
      <c r="CI691" t="s">
        <v>134</v>
      </c>
      <c r="CJ691" t="s">
        <v>158</v>
      </c>
      <c r="CL691" s="19">
        <f>IF(Table1[[#This Row],[Type]]="Petroleum",1,IF(ISERROR(Table1[[#This Row],[Well Density]]*Table1[[#This Row],[Single Well Discovery Area]]),"",IF(Table1[[#This Row],[Well Density]]*Table1[[#This Row],[Single Well Discovery Area]]&gt;1,1,Table1[[#This Row],[Well Density]]*Table1[[#This Row],[Single Well Discovery Area]])))</f>
        <v>0</v>
      </c>
      <c r="CM691" t="s">
        <v>158</v>
      </c>
      <c r="CN691" s="19">
        <f>Table1[[#This Row],[Mid]]</f>
        <v>0</v>
      </c>
      <c r="CO691" s="19">
        <f>Table1[[#This Row],[Mid3]]+Table1[[#This Row],[Mid6]]+Table1[[#This Row],[Mid9]]</f>
        <v>0</v>
      </c>
      <c r="CP691" s="19">
        <f>Table1[[#This Row],[Mid12]]+Table1[[#This Row],[Mid15]]+Table1[[#This Row],[Mid18]]+Table1[[#This Row],[Mid21]]+Table1[[#This Row],[Mid24]]</f>
        <v>0</v>
      </c>
      <c r="CQ691" s="19">
        <f>Table1[[#This Row],[Mid27]]+Table1[[#This Row],[Mid30]]+Table1[[#This Row],[Mid33]]+Table1[[#This Row],[Mid36]]+Table1[[#This Row],[Mid39]]</f>
        <v>93670</v>
      </c>
      <c r="CR691" t="s">
        <v>471</v>
      </c>
      <c r="CS691" s="19" t="str">
        <f>IF(AND(Table1[[#This Row],[Low41]]=0, Table1[[#This Row],[High43]]=0),"N","Y")</f>
        <v>Y</v>
      </c>
    </row>
    <row r="692" spans="1:97" ht="19.5" customHeight="1" x14ac:dyDescent="0.25">
      <c r="A692">
        <v>10690</v>
      </c>
      <c r="B692" t="s">
        <v>1897</v>
      </c>
      <c r="C692" t="s">
        <v>2182</v>
      </c>
      <c r="D692">
        <v>47.299444440000002</v>
      </c>
      <c r="E692">
        <v>-101.01277779999999</v>
      </c>
      <c r="F692" t="s">
        <v>2196</v>
      </c>
      <c r="G692" t="s">
        <v>595</v>
      </c>
      <c r="H692" t="s">
        <v>2197</v>
      </c>
      <c r="I692" t="s">
        <v>118</v>
      </c>
      <c r="J692" t="s">
        <v>119</v>
      </c>
      <c r="K692" t="s">
        <v>190</v>
      </c>
      <c r="L692" t="s">
        <v>18</v>
      </c>
      <c r="M692" t="s">
        <v>148</v>
      </c>
      <c r="N692" s="6" t="s">
        <v>2092</v>
      </c>
      <c r="O692" t="s">
        <v>2198</v>
      </c>
      <c r="P692" t="s">
        <v>170</v>
      </c>
      <c r="Q692" t="s">
        <v>255</v>
      </c>
      <c r="R692" t="s">
        <v>2094</v>
      </c>
      <c r="S692">
        <v>2014</v>
      </c>
      <c r="T692" t="s">
        <v>153</v>
      </c>
      <c r="U692" t="s">
        <v>129</v>
      </c>
      <c r="V692"/>
      <c r="AD692">
        <v>0</v>
      </c>
      <c r="AF692">
        <v>200</v>
      </c>
      <c r="AG692">
        <v>0</v>
      </c>
      <c r="AH692" t="s">
        <v>2199</v>
      </c>
      <c r="AI692">
        <v>2</v>
      </c>
      <c r="AK692">
        <v>0</v>
      </c>
      <c r="AL692">
        <v>0</v>
      </c>
      <c r="AM692" t="s">
        <v>2096</v>
      </c>
      <c r="AN692" t="s">
        <v>132</v>
      </c>
      <c r="BV692">
        <v>10900</v>
      </c>
      <c r="BW692">
        <v>20500</v>
      </c>
      <c r="BX692">
        <v>35200</v>
      </c>
      <c r="CE692" s="19">
        <f>SUM(Table1[[#This Row],[Low38]],Table1[[#This Row],[Low35]],Table1[[#This Row],[Low32]],Table1[[#This Row],[Low29]],Table1[[#This Row],[Low26]],Table1[[#This Row],[Low23]],Table1[[#This Row],[Low20]],Table1[[#This Row],[Low17]],Table1[[#This Row],[Low14]],Table1[[#This Row],[Low11]],Table1[[#This Row],[Low8]],Table1[[#This Row],[Low5]],Table1[[#This Row],[Low2]],Table1[[#This Row],[Low]])</f>
        <v>10900</v>
      </c>
      <c r="CF692" s="19">
        <f>SUM(Table1[[#This Row],[Mid39]],Table1[[#This Row],[Mid36]],Table1[[#This Row],[Mid33]],Table1[[#This Row],[Mid30]],Table1[[#This Row],[Mid27]],Table1[[#This Row],[Mid24]],Table1[[#This Row],[Mid21]],Table1[[#This Row],[Mid18]],Table1[[#This Row],[Mid15]],Table1[[#This Row],[Mid12]],Table1[[#This Row],[Mid9]],Table1[[#This Row],[Mid6]],Table1[[#This Row],[Mid3]],Table1[[#This Row],[Mid]])</f>
        <v>20500</v>
      </c>
      <c r="CG69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35200</v>
      </c>
      <c r="CH692" t="s">
        <v>157</v>
      </c>
      <c r="CI692" t="s">
        <v>134</v>
      </c>
      <c r="CJ692" t="s">
        <v>158</v>
      </c>
      <c r="CL692" s="19">
        <f>IF(Table1[[#This Row],[Type]]="Petroleum",1,IF(ISERROR(Table1[[#This Row],[Well Density]]*Table1[[#This Row],[Single Well Discovery Area]]),"",IF(Table1[[#This Row],[Well Density]]*Table1[[#This Row],[Single Well Discovery Area]]&gt;1,1,Table1[[#This Row],[Well Density]]*Table1[[#This Row],[Single Well Discovery Area]])))</f>
        <v>0</v>
      </c>
      <c r="CM692" t="s">
        <v>158</v>
      </c>
      <c r="CN692" s="19">
        <f>Table1[[#This Row],[Mid]]</f>
        <v>0</v>
      </c>
      <c r="CO692" s="19">
        <f>Table1[[#This Row],[Mid3]]+Table1[[#This Row],[Mid6]]+Table1[[#This Row],[Mid9]]</f>
        <v>0</v>
      </c>
      <c r="CP692" s="19">
        <f>Table1[[#This Row],[Mid12]]+Table1[[#This Row],[Mid15]]+Table1[[#This Row],[Mid18]]+Table1[[#This Row],[Mid21]]+Table1[[#This Row],[Mid24]]</f>
        <v>0</v>
      </c>
      <c r="CQ692" s="19">
        <f>Table1[[#This Row],[Mid27]]+Table1[[#This Row],[Mid30]]+Table1[[#This Row],[Mid33]]+Table1[[#This Row],[Mid36]]+Table1[[#This Row],[Mid39]]</f>
        <v>20500</v>
      </c>
      <c r="CR692" t="s">
        <v>471</v>
      </c>
      <c r="CS692" s="19" t="str">
        <f>IF(AND(Table1[[#This Row],[Low41]]=0, Table1[[#This Row],[High43]]=0),"N","Y")</f>
        <v>Y</v>
      </c>
    </row>
    <row r="693" spans="1:97" ht="19.5" customHeight="1" x14ac:dyDescent="0.25">
      <c r="A693">
        <v>10691</v>
      </c>
      <c r="B693" t="s">
        <v>1897</v>
      </c>
      <c r="C693" t="s">
        <v>2182</v>
      </c>
      <c r="D693">
        <v>48.036944439999999</v>
      </c>
      <c r="E693">
        <v>-101.9658333</v>
      </c>
      <c r="F693" t="s">
        <v>2200</v>
      </c>
      <c r="G693" t="s">
        <v>595</v>
      </c>
      <c r="H693" t="s">
        <v>2201</v>
      </c>
      <c r="I693" t="s">
        <v>118</v>
      </c>
      <c r="J693" t="s">
        <v>119</v>
      </c>
      <c r="K693" t="s">
        <v>190</v>
      </c>
      <c r="L693" t="s">
        <v>18</v>
      </c>
      <c r="M693" t="s">
        <v>2202</v>
      </c>
      <c r="N693" s="6" t="s">
        <v>2092</v>
      </c>
      <c r="O693" t="s">
        <v>2203</v>
      </c>
      <c r="P693" t="s">
        <v>170</v>
      </c>
      <c r="Q693" t="s">
        <v>255</v>
      </c>
      <c r="R693" t="s">
        <v>2094</v>
      </c>
      <c r="S693">
        <v>2005</v>
      </c>
      <c r="T693" t="s">
        <v>153</v>
      </c>
      <c r="U693" t="s">
        <v>129</v>
      </c>
      <c r="V693"/>
      <c r="AD693">
        <v>0</v>
      </c>
      <c r="AF693">
        <v>200</v>
      </c>
      <c r="AG693">
        <v>0</v>
      </c>
      <c r="AH693" t="s">
        <v>2204</v>
      </c>
      <c r="AI693">
        <v>2</v>
      </c>
      <c r="AK693">
        <v>0</v>
      </c>
      <c r="AL693">
        <v>0</v>
      </c>
      <c r="AM693" t="s">
        <v>2096</v>
      </c>
      <c r="AN693" t="s">
        <v>132</v>
      </c>
      <c r="BV693">
        <v>64900</v>
      </c>
      <c r="BW693">
        <v>122800</v>
      </c>
      <c r="BX693">
        <v>210500</v>
      </c>
      <c r="CE693" s="19">
        <f>SUM(Table1[[#This Row],[Low38]],Table1[[#This Row],[Low35]],Table1[[#This Row],[Low32]],Table1[[#This Row],[Low29]],Table1[[#This Row],[Low26]],Table1[[#This Row],[Low23]],Table1[[#This Row],[Low20]],Table1[[#This Row],[Low17]],Table1[[#This Row],[Low14]],Table1[[#This Row],[Low11]],Table1[[#This Row],[Low8]],Table1[[#This Row],[Low5]],Table1[[#This Row],[Low2]],Table1[[#This Row],[Low]])</f>
        <v>64900</v>
      </c>
      <c r="CF693" s="19">
        <f>SUM(Table1[[#This Row],[Mid39]],Table1[[#This Row],[Mid36]],Table1[[#This Row],[Mid33]],Table1[[#This Row],[Mid30]],Table1[[#This Row],[Mid27]],Table1[[#This Row],[Mid24]],Table1[[#This Row],[Mid21]],Table1[[#This Row],[Mid18]],Table1[[#This Row],[Mid15]],Table1[[#This Row],[Mid12]],Table1[[#This Row],[Mid9]],Table1[[#This Row],[Mid6]],Table1[[#This Row],[Mid3]],Table1[[#This Row],[Mid]])</f>
        <v>122800</v>
      </c>
      <c r="CG69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210500</v>
      </c>
      <c r="CH693" t="s">
        <v>157</v>
      </c>
      <c r="CI693" t="s">
        <v>176</v>
      </c>
      <c r="CJ693" t="s">
        <v>158</v>
      </c>
      <c r="CL693" s="19">
        <f>IF(Table1[[#This Row],[Type]]="Petroleum",1,IF(ISERROR(Table1[[#This Row],[Well Density]]*Table1[[#This Row],[Single Well Discovery Area]]),"",IF(Table1[[#This Row],[Well Density]]*Table1[[#This Row],[Single Well Discovery Area]]&gt;1,1,Table1[[#This Row],[Well Density]]*Table1[[#This Row],[Single Well Discovery Area]])))</f>
        <v>0</v>
      </c>
      <c r="CM693" t="s">
        <v>158</v>
      </c>
      <c r="CN693" s="19">
        <f>Table1[[#This Row],[Mid]]</f>
        <v>0</v>
      </c>
      <c r="CO693" s="19">
        <f>Table1[[#This Row],[Mid3]]+Table1[[#This Row],[Mid6]]+Table1[[#This Row],[Mid9]]</f>
        <v>0</v>
      </c>
      <c r="CP693" s="19">
        <f>Table1[[#This Row],[Mid12]]+Table1[[#This Row],[Mid15]]+Table1[[#This Row],[Mid18]]+Table1[[#This Row],[Mid21]]+Table1[[#This Row],[Mid24]]</f>
        <v>0</v>
      </c>
      <c r="CQ693" s="19">
        <f>Table1[[#This Row],[Mid27]]+Table1[[#This Row],[Mid30]]+Table1[[#This Row],[Mid33]]+Table1[[#This Row],[Mid36]]+Table1[[#This Row],[Mid39]]</f>
        <v>122800</v>
      </c>
      <c r="CR693" t="s">
        <v>471</v>
      </c>
      <c r="CS693" s="19" t="str">
        <f>IF(AND(Table1[[#This Row],[Low41]]=0, Table1[[#This Row],[High43]]=0),"N","Y")</f>
        <v>Y</v>
      </c>
    </row>
    <row r="694" spans="1:97" ht="19.5" customHeight="1" x14ac:dyDescent="0.25">
      <c r="A694">
        <v>10692</v>
      </c>
      <c r="B694" t="s">
        <v>1897</v>
      </c>
      <c r="C694" t="s">
        <v>2205</v>
      </c>
      <c r="D694">
        <v>39.305555560000002</v>
      </c>
      <c r="E694">
        <v>-111.67027779999999</v>
      </c>
      <c r="F694" t="s">
        <v>2206</v>
      </c>
      <c r="H694" t="s">
        <v>189</v>
      </c>
      <c r="I694" t="s">
        <v>201</v>
      </c>
      <c r="J694" t="s">
        <v>202</v>
      </c>
      <c r="K694" t="s">
        <v>203</v>
      </c>
      <c r="L694" t="s">
        <v>121</v>
      </c>
      <c r="N694" s="6" t="s">
        <v>521</v>
      </c>
      <c r="O694" t="s">
        <v>1935</v>
      </c>
      <c r="P694" t="s">
        <v>436</v>
      </c>
      <c r="Q694" t="s">
        <v>1901</v>
      </c>
      <c r="R694" t="s">
        <v>1963</v>
      </c>
      <c r="S694">
        <v>2015</v>
      </c>
      <c r="T694" t="s">
        <v>153</v>
      </c>
      <c r="U694" t="s">
        <v>129</v>
      </c>
      <c r="V694"/>
      <c r="AD694">
        <v>0</v>
      </c>
      <c r="AF694">
        <v>200</v>
      </c>
      <c r="AG694">
        <v>0</v>
      </c>
      <c r="AH694" t="s">
        <v>1903</v>
      </c>
      <c r="AK694">
        <v>0</v>
      </c>
      <c r="AL694">
        <v>0</v>
      </c>
      <c r="AN694" t="s">
        <v>132</v>
      </c>
      <c r="BM694">
        <v>1310</v>
      </c>
      <c r="BN694">
        <v>2390</v>
      </c>
      <c r="BO694">
        <v>2660</v>
      </c>
      <c r="CE694" s="19">
        <f>SUM(Table1[[#This Row],[Low38]],Table1[[#This Row],[Low35]],Table1[[#This Row],[Low32]],Table1[[#This Row],[Low29]],Table1[[#This Row],[Low26]],Table1[[#This Row],[Low23]],Table1[[#This Row],[Low20]],Table1[[#This Row],[Low17]],Table1[[#This Row],[Low14]],Table1[[#This Row],[Low11]],Table1[[#This Row],[Low8]],Table1[[#This Row],[Low5]],Table1[[#This Row],[Low2]],Table1[[#This Row],[Low]])</f>
        <v>1310</v>
      </c>
      <c r="CF694" s="19">
        <f>SUM(Table1[[#This Row],[Mid39]],Table1[[#This Row],[Mid36]],Table1[[#This Row],[Mid33]],Table1[[#This Row],[Mid30]],Table1[[#This Row],[Mid27]],Table1[[#This Row],[Mid24]],Table1[[#This Row],[Mid21]],Table1[[#This Row],[Mid18]],Table1[[#This Row],[Mid15]],Table1[[#This Row],[Mid12]],Table1[[#This Row],[Mid9]],Table1[[#This Row],[Mid6]],Table1[[#This Row],[Mid3]],Table1[[#This Row],[Mid]])</f>
        <v>2390</v>
      </c>
      <c r="CG69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2660</v>
      </c>
      <c r="CH694" t="s">
        <v>157</v>
      </c>
      <c r="CI694" t="s">
        <v>176</v>
      </c>
      <c r="CJ694" t="s">
        <v>158</v>
      </c>
      <c r="CL694" s="19">
        <f>IF(Table1[[#This Row],[Type]]="Petroleum",1,IF(ISERROR(Table1[[#This Row],[Well Density]]*Table1[[#This Row],[Single Well Discovery Area]]),"",IF(Table1[[#This Row],[Well Density]]*Table1[[#This Row],[Single Well Discovery Area]]&gt;1,1,Table1[[#This Row],[Well Density]]*Table1[[#This Row],[Single Well Discovery Area]])))</f>
        <v>1</v>
      </c>
      <c r="CM694" t="s">
        <v>158</v>
      </c>
      <c r="CN694" s="19">
        <f>Table1[[#This Row],[Mid]]</f>
        <v>0</v>
      </c>
      <c r="CO694" s="19">
        <f>Table1[[#This Row],[Mid3]]+Table1[[#This Row],[Mid6]]+Table1[[#This Row],[Mid9]]</f>
        <v>0</v>
      </c>
      <c r="CP694" s="19">
        <f>Table1[[#This Row],[Mid12]]+Table1[[#This Row],[Mid15]]+Table1[[#This Row],[Mid18]]+Table1[[#This Row],[Mid21]]+Table1[[#This Row],[Mid24]]</f>
        <v>2390</v>
      </c>
      <c r="CQ694" s="19">
        <f>Table1[[#This Row],[Mid27]]+Table1[[#This Row],[Mid30]]+Table1[[#This Row],[Mid33]]+Table1[[#This Row],[Mid36]]+Table1[[#This Row],[Mid39]]</f>
        <v>0</v>
      </c>
      <c r="CR694" t="s">
        <v>471</v>
      </c>
      <c r="CS694" s="19" t="str">
        <f>IF(AND(Table1[[#This Row],[Low41]]=0, Table1[[#This Row],[High43]]=0),"N","Y")</f>
        <v>Y</v>
      </c>
    </row>
    <row r="695" spans="1:97" ht="19.5" customHeight="1" x14ac:dyDescent="0.25">
      <c r="A695">
        <v>10693</v>
      </c>
      <c r="B695" t="s">
        <v>1897</v>
      </c>
      <c r="C695" t="s">
        <v>2205</v>
      </c>
      <c r="D695">
        <v>39.306666669999998</v>
      </c>
      <c r="E695">
        <v>-111.6713889</v>
      </c>
      <c r="F695" t="s">
        <v>2207</v>
      </c>
      <c r="H695" t="s">
        <v>189</v>
      </c>
      <c r="I695" t="s">
        <v>118</v>
      </c>
      <c r="J695" t="s">
        <v>119</v>
      </c>
      <c r="K695" t="s">
        <v>190</v>
      </c>
      <c r="L695" t="s">
        <v>18</v>
      </c>
      <c r="N695" s="6" t="s">
        <v>521</v>
      </c>
      <c r="O695" t="s">
        <v>1935</v>
      </c>
      <c r="P695" t="s">
        <v>436</v>
      </c>
      <c r="Q695" t="s">
        <v>195</v>
      </c>
      <c r="R695" t="s">
        <v>1942</v>
      </c>
      <c r="S695">
        <v>2015</v>
      </c>
      <c r="T695" t="s">
        <v>153</v>
      </c>
      <c r="U695" t="s">
        <v>129</v>
      </c>
      <c r="V695"/>
      <c r="AD695">
        <v>0</v>
      </c>
      <c r="AF695">
        <v>200</v>
      </c>
      <c r="AG695">
        <v>0</v>
      </c>
      <c r="AH695" t="s">
        <v>525</v>
      </c>
      <c r="AI695">
        <v>2</v>
      </c>
      <c r="AK695">
        <v>0</v>
      </c>
      <c r="AL695">
        <v>0</v>
      </c>
      <c r="AN695" t="s">
        <v>132</v>
      </c>
      <c r="BY695">
        <v>22610</v>
      </c>
      <c r="BZ695">
        <v>88650</v>
      </c>
      <c r="CA695">
        <v>239350</v>
      </c>
      <c r="CE695" s="19">
        <f>SUM(Table1[[#This Row],[Low38]],Table1[[#This Row],[Low35]],Table1[[#This Row],[Low32]],Table1[[#This Row],[Low29]],Table1[[#This Row],[Low26]],Table1[[#This Row],[Low23]],Table1[[#This Row],[Low20]],Table1[[#This Row],[Low17]],Table1[[#This Row],[Low14]],Table1[[#This Row],[Low11]],Table1[[#This Row],[Low8]],Table1[[#This Row],[Low5]],Table1[[#This Row],[Low2]],Table1[[#This Row],[Low]])</f>
        <v>22610</v>
      </c>
      <c r="CF695" s="19">
        <f>SUM(Table1[[#This Row],[Mid39]],Table1[[#This Row],[Mid36]],Table1[[#This Row],[Mid33]],Table1[[#This Row],[Mid30]],Table1[[#This Row],[Mid27]],Table1[[#This Row],[Mid24]],Table1[[#This Row],[Mid21]],Table1[[#This Row],[Mid18]],Table1[[#This Row],[Mid15]],Table1[[#This Row],[Mid12]],Table1[[#This Row],[Mid9]],Table1[[#This Row],[Mid6]],Table1[[#This Row],[Mid3]],Table1[[#This Row],[Mid]])</f>
        <v>88650</v>
      </c>
      <c r="CG69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239350</v>
      </c>
      <c r="CH695" t="s">
        <v>157</v>
      </c>
      <c r="CI695" t="s">
        <v>176</v>
      </c>
      <c r="CJ695" t="s">
        <v>158</v>
      </c>
      <c r="CL695" s="19">
        <f>IF(Table1[[#This Row],[Type]]="Petroleum",1,IF(ISERROR(Table1[[#This Row],[Well Density]]*Table1[[#This Row],[Single Well Discovery Area]]),"",IF(Table1[[#This Row],[Well Density]]*Table1[[#This Row],[Single Well Discovery Area]]&gt;1,1,Table1[[#This Row],[Well Density]]*Table1[[#This Row],[Single Well Discovery Area]])))</f>
        <v>0</v>
      </c>
      <c r="CM695" t="s">
        <v>158</v>
      </c>
      <c r="CN695" s="19">
        <f>Table1[[#This Row],[Mid]]</f>
        <v>0</v>
      </c>
      <c r="CO695" s="19">
        <f>Table1[[#This Row],[Mid3]]+Table1[[#This Row],[Mid6]]+Table1[[#This Row],[Mid9]]</f>
        <v>0</v>
      </c>
      <c r="CP695" s="19">
        <f>Table1[[#This Row],[Mid12]]+Table1[[#This Row],[Mid15]]+Table1[[#This Row],[Mid18]]+Table1[[#This Row],[Mid21]]+Table1[[#This Row],[Mid24]]</f>
        <v>0</v>
      </c>
      <c r="CQ695" s="19">
        <f>Table1[[#This Row],[Mid27]]+Table1[[#This Row],[Mid30]]+Table1[[#This Row],[Mid33]]+Table1[[#This Row],[Mid36]]+Table1[[#This Row],[Mid39]]</f>
        <v>88650</v>
      </c>
      <c r="CR695" t="s">
        <v>471</v>
      </c>
      <c r="CS695" s="19" t="str">
        <f>IF(AND(Table1[[#This Row],[Low41]]=0, Table1[[#This Row],[High43]]=0),"N","Y")</f>
        <v>Y</v>
      </c>
    </row>
    <row r="696" spans="1:97" ht="19.5" customHeight="1" x14ac:dyDescent="0.25">
      <c r="A696">
        <v>10694</v>
      </c>
      <c r="B696" t="s">
        <v>1897</v>
      </c>
      <c r="C696" t="s">
        <v>2208</v>
      </c>
      <c r="D696">
        <v>44.068611109999999</v>
      </c>
      <c r="E696">
        <v>-72.665833329999998</v>
      </c>
      <c r="F696" t="s">
        <v>2209</v>
      </c>
      <c r="H696" t="s">
        <v>189</v>
      </c>
      <c r="I696" t="s">
        <v>201</v>
      </c>
      <c r="J696" t="s">
        <v>202</v>
      </c>
      <c r="K696" t="s">
        <v>203</v>
      </c>
      <c r="L696" t="s">
        <v>121</v>
      </c>
      <c r="N696" s="6" t="s">
        <v>521</v>
      </c>
      <c r="O696" t="s">
        <v>1935</v>
      </c>
      <c r="P696" t="s">
        <v>436</v>
      </c>
      <c r="Q696" t="s">
        <v>1901</v>
      </c>
      <c r="R696" t="s">
        <v>2036</v>
      </c>
      <c r="S696">
        <v>2015</v>
      </c>
      <c r="T696" t="s">
        <v>153</v>
      </c>
      <c r="U696" t="s">
        <v>129</v>
      </c>
      <c r="V696"/>
      <c r="AD696">
        <v>0</v>
      </c>
      <c r="AF696">
        <v>200</v>
      </c>
      <c r="AG696">
        <v>0</v>
      </c>
      <c r="AH696" t="s">
        <v>1903</v>
      </c>
      <c r="AK696">
        <v>0</v>
      </c>
      <c r="AL696">
        <v>0</v>
      </c>
      <c r="AN696" t="s">
        <v>132</v>
      </c>
      <c r="CE69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9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9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96" t="s">
        <v>157</v>
      </c>
      <c r="CI696" t="s">
        <v>176</v>
      </c>
      <c r="CJ696" t="s">
        <v>158</v>
      </c>
      <c r="CL696" s="19">
        <f>IF(Table1[[#This Row],[Type]]="Petroleum",1,IF(ISERROR(Table1[[#This Row],[Well Density]]*Table1[[#This Row],[Single Well Discovery Area]]),"",IF(Table1[[#This Row],[Well Density]]*Table1[[#This Row],[Single Well Discovery Area]]&gt;1,1,Table1[[#This Row],[Well Density]]*Table1[[#This Row],[Single Well Discovery Area]])))</f>
        <v>1</v>
      </c>
      <c r="CM696" t="s">
        <v>158</v>
      </c>
      <c r="CN696" s="19">
        <f>Table1[[#This Row],[Mid]]</f>
        <v>0</v>
      </c>
      <c r="CO696" s="19">
        <f>Table1[[#This Row],[Mid3]]+Table1[[#This Row],[Mid6]]+Table1[[#This Row],[Mid9]]</f>
        <v>0</v>
      </c>
      <c r="CP696" s="19">
        <f>Table1[[#This Row],[Mid12]]+Table1[[#This Row],[Mid15]]+Table1[[#This Row],[Mid18]]+Table1[[#This Row],[Mid21]]+Table1[[#This Row],[Mid24]]</f>
        <v>0</v>
      </c>
      <c r="CQ696" s="19">
        <f>Table1[[#This Row],[Mid27]]+Table1[[#This Row],[Mid30]]+Table1[[#This Row],[Mid33]]+Table1[[#This Row],[Mid36]]+Table1[[#This Row],[Mid39]]</f>
        <v>0</v>
      </c>
      <c r="CR696" t="s">
        <v>471</v>
      </c>
      <c r="CS696" s="19" t="str">
        <f>IF(AND(Table1[[#This Row],[Low41]]=0, Table1[[#This Row],[High43]]=0),"N","Y")</f>
        <v>N</v>
      </c>
    </row>
    <row r="697" spans="1:97" ht="19.5" customHeight="1" x14ac:dyDescent="0.25">
      <c r="A697">
        <v>10695</v>
      </c>
      <c r="B697" t="s">
        <v>1897</v>
      </c>
      <c r="C697" t="s">
        <v>2208</v>
      </c>
      <c r="D697">
        <v>44.069722220000003</v>
      </c>
      <c r="E697">
        <v>-72.666666669999998</v>
      </c>
      <c r="F697" t="s">
        <v>2210</v>
      </c>
      <c r="H697" t="s">
        <v>189</v>
      </c>
      <c r="I697" t="s">
        <v>118</v>
      </c>
      <c r="J697" t="s">
        <v>119</v>
      </c>
      <c r="K697" t="s">
        <v>190</v>
      </c>
      <c r="L697" t="s">
        <v>18</v>
      </c>
      <c r="N697" s="6" t="s">
        <v>521</v>
      </c>
      <c r="O697" t="s">
        <v>1935</v>
      </c>
      <c r="P697" t="s">
        <v>436</v>
      </c>
      <c r="Q697" t="s">
        <v>195</v>
      </c>
      <c r="R697" t="s">
        <v>2036</v>
      </c>
      <c r="S697">
        <v>2015</v>
      </c>
      <c r="T697" t="s">
        <v>153</v>
      </c>
      <c r="U697" t="s">
        <v>129</v>
      </c>
      <c r="V697"/>
      <c r="AD697">
        <v>0</v>
      </c>
      <c r="AF697">
        <v>200</v>
      </c>
      <c r="AG697">
        <v>0</v>
      </c>
      <c r="AH697" t="s">
        <v>525</v>
      </c>
      <c r="AI697">
        <v>2</v>
      </c>
      <c r="AK697">
        <v>0</v>
      </c>
      <c r="AL697">
        <v>0</v>
      </c>
      <c r="AN697" t="s">
        <v>132</v>
      </c>
      <c r="CE69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9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69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697" t="s">
        <v>157</v>
      </c>
      <c r="CI697" t="s">
        <v>176</v>
      </c>
      <c r="CJ697" t="s">
        <v>158</v>
      </c>
      <c r="CL697" s="19">
        <f>IF(Table1[[#This Row],[Type]]="Petroleum",1,IF(ISERROR(Table1[[#This Row],[Well Density]]*Table1[[#This Row],[Single Well Discovery Area]]),"",IF(Table1[[#This Row],[Well Density]]*Table1[[#This Row],[Single Well Discovery Area]]&gt;1,1,Table1[[#This Row],[Well Density]]*Table1[[#This Row],[Single Well Discovery Area]])))</f>
        <v>0</v>
      </c>
      <c r="CM697" t="s">
        <v>158</v>
      </c>
      <c r="CN697" s="19">
        <f>Table1[[#This Row],[Mid]]</f>
        <v>0</v>
      </c>
      <c r="CO697" s="19">
        <f>Table1[[#This Row],[Mid3]]+Table1[[#This Row],[Mid6]]+Table1[[#This Row],[Mid9]]</f>
        <v>0</v>
      </c>
      <c r="CP697" s="19">
        <f>Table1[[#This Row],[Mid12]]+Table1[[#This Row],[Mid15]]+Table1[[#This Row],[Mid18]]+Table1[[#This Row],[Mid21]]+Table1[[#This Row],[Mid24]]</f>
        <v>0</v>
      </c>
      <c r="CQ697" s="19">
        <f>Table1[[#This Row],[Mid27]]+Table1[[#This Row],[Mid30]]+Table1[[#This Row],[Mid33]]+Table1[[#This Row],[Mid36]]+Table1[[#This Row],[Mid39]]</f>
        <v>0</v>
      </c>
      <c r="CR697" t="s">
        <v>471</v>
      </c>
      <c r="CS697" s="19" t="str">
        <f>IF(AND(Table1[[#This Row],[Low41]]=0, Table1[[#This Row],[High43]]=0),"N","Y")</f>
        <v>N</v>
      </c>
    </row>
    <row r="698" spans="1:97" ht="19.5" customHeight="1" x14ac:dyDescent="0.25">
      <c r="A698">
        <v>10696</v>
      </c>
      <c r="B698" t="s">
        <v>1897</v>
      </c>
      <c r="C698" t="s">
        <v>2211</v>
      </c>
      <c r="D698">
        <v>37.521388889999997</v>
      </c>
      <c r="E698">
        <v>-78.853611110000003</v>
      </c>
      <c r="F698" t="s">
        <v>2212</v>
      </c>
      <c r="H698" t="s">
        <v>189</v>
      </c>
      <c r="I698" t="s">
        <v>201</v>
      </c>
      <c r="J698" t="s">
        <v>202</v>
      </c>
      <c r="K698" t="s">
        <v>203</v>
      </c>
      <c r="L698" t="s">
        <v>121</v>
      </c>
      <c r="N698" s="6" t="s">
        <v>521</v>
      </c>
      <c r="O698" t="s">
        <v>1935</v>
      </c>
      <c r="P698" t="s">
        <v>436</v>
      </c>
      <c r="Q698" t="s">
        <v>1901</v>
      </c>
      <c r="R698" t="s">
        <v>1963</v>
      </c>
      <c r="S698">
        <v>2015</v>
      </c>
      <c r="T698" t="s">
        <v>153</v>
      </c>
      <c r="U698" t="s">
        <v>129</v>
      </c>
      <c r="V698"/>
      <c r="AD698">
        <v>0</v>
      </c>
      <c r="AF698">
        <v>200</v>
      </c>
      <c r="AG698">
        <v>0</v>
      </c>
      <c r="AH698" t="s">
        <v>1903</v>
      </c>
      <c r="AK698">
        <v>0</v>
      </c>
      <c r="AL698">
        <v>0</v>
      </c>
      <c r="AN698" t="s">
        <v>132</v>
      </c>
      <c r="BN698">
        <v>10</v>
      </c>
      <c r="BO698">
        <v>10</v>
      </c>
      <c r="CE69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698"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69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10</v>
      </c>
      <c r="CH698" t="s">
        <v>157</v>
      </c>
      <c r="CI698" t="s">
        <v>176</v>
      </c>
      <c r="CJ698" t="s">
        <v>158</v>
      </c>
      <c r="CL698" s="19">
        <f>IF(Table1[[#This Row],[Type]]="Petroleum",1,IF(ISERROR(Table1[[#This Row],[Well Density]]*Table1[[#This Row],[Single Well Discovery Area]]),"",IF(Table1[[#This Row],[Well Density]]*Table1[[#This Row],[Single Well Discovery Area]]&gt;1,1,Table1[[#This Row],[Well Density]]*Table1[[#This Row],[Single Well Discovery Area]])))</f>
        <v>1</v>
      </c>
      <c r="CM698" t="s">
        <v>158</v>
      </c>
      <c r="CN698" s="19">
        <f>Table1[[#This Row],[Mid]]</f>
        <v>0</v>
      </c>
      <c r="CO698" s="19">
        <f>Table1[[#This Row],[Mid3]]+Table1[[#This Row],[Mid6]]+Table1[[#This Row],[Mid9]]</f>
        <v>0</v>
      </c>
      <c r="CP698" s="19">
        <f>Table1[[#This Row],[Mid12]]+Table1[[#This Row],[Mid15]]+Table1[[#This Row],[Mid18]]+Table1[[#This Row],[Mid21]]+Table1[[#This Row],[Mid24]]</f>
        <v>10</v>
      </c>
      <c r="CQ698" s="19">
        <f>Table1[[#This Row],[Mid27]]+Table1[[#This Row],[Mid30]]+Table1[[#This Row],[Mid33]]+Table1[[#This Row],[Mid36]]+Table1[[#This Row],[Mid39]]</f>
        <v>0</v>
      </c>
      <c r="CR698" t="s">
        <v>471</v>
      </c>
      <c r="CS698" s="19" t="str">
        <f>IF(AND(Table1[[#This Row],[Low41]]=0, Table1[[#This Row],[High43]]=0),"N","Y")</f>
        <v>Y</v>
      </c>
    </row>
    <row r="699" spans="1:97" ht="19.5" customHeight="1" x14ac:dyDescent="0.25">
      <c r="A699">
        <v>10697</v>
      </c>
      <c r="B699" t="s">
        <v>1897</v>
      </c>
      <c r="C699" t="s">
        <v>2211</v>
      </c>
      <c r="D699">
        <v>37.522500000000001</v>
      </c>
      <c r="E699">
        <v>-78.854722219999999</v>
      </c>
      <c r="F699" t="s">
        <v>2213</v>
      </c>
      <c r="H699" t="s">
        <v>189</v>
      </c>
      <c r="I699" t="s">
        <v>118</v>
      </c>
      <c r="J699" t="s">
        <v>119</v>
      </c>
      <c r="K699" t="s">
        <v>190</v>
      </c>
      <c r="L699" t="s">
        <v>18</v>
      </c>
      <c r="N699" s="6" t="s">
        <v>521</v>
      </c>
      <c r="O699" t="s">
        <v>1935</v>
      </c>
      <c r="P699" t="s">
        <v>436</v>
      </c>
      <c r="Q699" t="s">
        <v>195</v>
      </c>
      <c r="R699" t="s">
        <v>1942</v>
      </c>
      <c r="S699">
        <v>2015</v>
      </c>
      <c r="T699" t="s">
        <v>153</v>
      </c>
      <c r="U699" t="s">
        <v>129</v>
      </c>
      <c r="V699"/>
      <c r="AD699">
        <v>0</v>
      </c>
      <c r="AF699">
        <v>200</v>
      </c>
      <c r="AG699">
        <v>0</v>
      </c>
      <c r="AH699" t="s">
        <v>525</v>
      </c>
      <c r="AI699">
        <v>2</v>
      </c>
      <c r="AK699">
        <v>0</v>
      </c>
      <c r="AL699">
        <v>0</v>
      </c>
      <c r="AN699" t="s">
        <v>132</v>
      </c>
      <c r="BY699">
        <v>270</v>
      </c>
      <c r="BZ699">
        <v>860</v>
      </c>
      <c r="CA699">
        <v>2210</v>
      </c>
      <c r="CE699" s="19">
        <f>SUM(Table1[[#This Row],[Low38]],Table1[[#This Row],[Low35]],Table1[[#This Row],[Low32]],Table1[[#This Row],[Low29]],Table1[[#This Row],[Low26]],Table1[[#This Row],[Low23]],Table1[[#This Row],[Low20]],Table1[[#This Row],[Low17]],Table1[[#This Row],[Low14]],Table1[[#This Row],[Low11]],Table1[[#This Row],[Low8]],Table1[[#This Row],[Low5]],Table1[[#This Row],[Low2]],Table1[[#This Row],[Low]])</f>
        <v>270</v>
      </c>
      <c r="CF699" s="19">
        <f>SUM(Table1[[#This Row],[Mid39]],Table1[[#This Row],[Mid36]],Table1[[#This Row],[Mid33]],Table1[[#This Row],[Mid30]],Table1[[#This Row],[Mid27]],Table1[[#This Row],[Mid24]],Table1[[#This Row],[Mid21]],Table1[[#This Row],[Mid18]],Table1[[#This Row],[Mid15]],Table1[[#This Row],[Mid12]],Table1[[#This Row],[Mid9]],Table1[[#This Row],[Mid6]],Table1[[#This Row],[Mid3]],Table1[[#This Row],[Mid]])</f>
        <v>860</v>
      </c>
      <c r="CG69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2210</v>
      </c>
      <c r="CH699" t="s">
        <v>157</v>
      </c>
      <c r="CI699" t="s">
        <v>176</v>
      </c>
      <c r="CJ699" t="s">
        <v>158</v>
      </c>
      <c r="CL699" s="19">
        <f>IF(Table1[[#This Row],[Type]]="Petroleum",1,IF(ISERROR(Table1[[#This Row],[Well Density]]*Table1[[#This Row],[Single Well Discovery Area]]),"",IF(Table1[[#This Row],[Well Density]]*Table1[[#This Row],[Single Well Discovery Area]]&gt;1,1,Table1[[#This Row],[Well Density]]*Table1[[#This Row],[Single Well Discovery Area]])))</f>
        <v>0</v>
      </c>
      <c r="CM699" t="s">
        <v>158</v>
      </c>
      <c r="CN699" s="19">
        <f>Table1[[#This Row],[Mid]]</f>
        <v>0</v>
      </c>
      <c r="CO699" s="19">
        <f>Table1[[#This Row],[Mid3]]+Table1[[#This Row],[Mid6]]+Table1[[#This Row],[Mid9]]</f>
        <v>0</v>
      </c>
      <c r="CP699" s="19">
        <f>Table1[[#This Row],[Mid12]]+Table1[[#This Row],[Mid15]]+Table1[[#This Row],[Mid18]]+Table1[[#This Row],[Mid21]]+Table1[[#This Row],[Mid24]]</f>
        <v>0</v>
      </c>
      <c r="CQ699" s="19">
        <f>Table1[[#This Row],[Mid27]]+Table1[[#This Row],[Mid30]]+Table1[[#This Row],[Mid33]]+Table1[[#This Row],[Mid36]]+Table1[[#This Row],[Mid39]]</f>
        <v>860</v>
      </c>
      <c r="CR699" t="s">
        <v>471</v>
      </c>
      <c r="CS699" s="19" t="str">
        <f>IF(AND(Table1[[#This Row],[Low41]]=0, Table1[[#This Row],[High43]]=0),"N","Y")</f>
        <v>Y</v>
      </c>
    </row>
    <row r="700" spans="1:97" ht="19.5" customHeight="1" x14ac:dyDescent="0.25">
      <c r="A700">
        <v>10698</v>
      </c>
      <c r="B700" t="s">
        <v>1897</v>
      </c>
      <c r="C700" t="s">
        <v>2214</v>
      </c>
      <c r="D700">
        <v>47.3825</v>
      </c>
      <c r="E700">
        <v>-120.4472222</v>
      </c>
      <c r="F700" t="s">
        <v>2215</v>
      </c>
      <c r="H700" t="s">
        <v>189</v>
      </c>
      <c r="I700" t="s">
        <v>201</v>
      </c>
      <c r="J700" t="s">
        <v>202</v>
      </c>
      <c r="K700" t="s">
        <v>203</v>
      </c>
      <c r="L700" t="s">
        <v>121</v>
      </c>
      <c r="N700" s="6" t="s">
        <v>521</v>
      </c>
      <c r="O700" t="s">
        <v>1935</v>
      </c>
      <c r="P700" t="s">
        <v>436</v>
      </c>
      <c r="Q700" t="s">
        <v>1901</v>
      </c>
      <c r="R700" t="s">
        <v>2036</v>
      </c>
      <c r="S700">
        <v>2015</v>
      </c>
      <c r="T700" t="s">
        <v>153</v>
      </c>
      <c r="U700" t="s">
        <v>129</v>
      </c>
      <c r="V700"/>
      <c r="AD700">
        <v>0</v>
      </c>
      <c r="AF700">
        <v>200</v>
      </c>
      <c r="AG700">
        <v>0</v>
      </c>
      <c r="AH700" t="s">
        <v>1903</v>
      </c>
      <c r="AK700">
        <v>0</v>
      </c>
      <c r="AL700">
        <v>0</v>
      </c>
      <c r="AN700" t="s">
        <v>132</v>
      </c>
      <c r="CE70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0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70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00" t="s">
        <v>157</v>
      </c>
      <c r="CI700" t="s">
        <v>176</v>
      </c>
      <c r="CJ700" t="s">
        <v>158</v>
      </c>
      <c r="CL700" s="19">
        <f>IF(Table1[[#This Row],[Type]]="Petroleum",1,IF(ISERROR(Table1[[#This Row],[Well Density]]*Table1[[#This Row],[Single Well Discovery Area]]),"",IF(Table1[[#This Row],[Well Density]]*Table1[[#This Row],[Single Well Discovery Area]]&gt;1,1,Table1[[#This Row],[Well Density]]*Table1[[#This Row],[Single Well Discovery Area]])))</f>
        <v>1</v>
      </c>
      <c r="CM700" t="s">
        <v>158</v>
      </c>
      <c r="CN700" s="19">
        <f>Table1[[#This Row],[Mid]]</f>
        <v>0</v>
      </c>
      <c r="CO700" s="19">
        <f>Table1[[#This Row],[Mid3]]+Table1[[#This Row],[Mid6]]+Table1[[#This Row],[Mid9]]</f>
        <v>0</v>
      </c>
      <c r="CP700" s="19">
        <f>Table1[[#This Row],[Mid12]]+Table1[[#This Row],[Mid15]]+Table1[[#This Row],[Mid18]]+Table1[[#This Row],[Mid21]]+Table1[[#This Row],[Mid24]]</f>
        <v>0</v>
      </c>
      <c r="CQ700" s="19">
        <f>Table1[[#This Row],[Mid27]]+Table1[[#This Row],[Mid30]]+Table1[[#This Row],[Mid33]]+Table1[[#This Row],[Mid36]]+Table1[[#This Row],[Mid39]]</f>
        <v>0</v>
      </c>
      <c r="CR700" t="s">
        <v>471</v>
      </c>
      <c r="CS700" s="19" t="str">
        <f>IF(AND(Table1[[#This Row],[Low41]]=0, Table1[[#This Row],[High43]]=0),"N","Y")</f>
        <v>N</v>
      </c>
    </row>
    <row r="701" spans="1:97" ht="19.5" customHeight="1" x14ac:dyDescent="0.25">
      <c r="A701">
        <v>10699</v>
      </c>
      <c r="B701" t="s">
        <v>1897</v>
      </c>
      <c r="C701" t="s">
        <v>2214</v>
      </c>
      <c r="D701">
        <v>47.381666670000001</v>
      </c>
      <c r="E701">
        <v>-120.4461111</v>
      </c>
      <c r="F701" t="s">
        <v>2216</v>
      </c>
      <c r="H701" t="s">
        <v>189</v>
      </c>
      <c r="I701" t="s">
        <v>118</v>
      </c>
      <c r="J701" t="s">
        <v>119</v>
      </c>
      <c r="K701" t="s">
        <v>190</v>
      </c>
      <c r="L701" t="s">
        <v>18</v>
      </c>
      <c r="N701" s="6" t="s">
        <v>521</v>
      </c>
      <c r="O701" t="s">
        <v>2217</v>
      </c>
      <c r="P701" t="s">
        <v>436</v>
      </c>
      <c r="Q701" t="s">
        <v>195</v>
      </c>
      <c r="R701" t="s">
        <v>1942</v>
      </c>
      <c r="S701">
        <v>2015</v>
      </c>
      <c r="T701" t="s">
        <v>153</v>
      </c>
      <c r="U701" t="s">
        <v>129</v>
      </c>
      <c r="V701"/>
      <c r="AD701">
        <v>0</v>
      </c>
      <c r="AF701">
        <v>200</v>
      </c>
      <c r="AG701">
        <v>0</v>
      </c>
      <c r="AH701" t="s">
        <v>525</v>
      </c>
      <c r="AI701">
        <v>2</v>
      </c>
      <c r="AK701">
        <v>0</v>
      </c>
      <c r="AL701">
        <v>0</v>
      </c>
      <c r="AN701" t="s">
        <v>132</v>
      </c>
      <c r="BY701">
        <v>36030</v>
      </c>
      <c r="BZ701">
        <v>175260</v>
      </c>
      <c r="CA701">
        <v>495390</v>
      </c>
      <c r="CE701" s="19">
        <f>SUM(Table1[[#This Row],[Low38]],Table1[[#This Row],[Low35]],Table1[[#This Row],[Low32]],Table1[[#This Row],[Low29]],Table1[[#This Row],[Low26]],Table1[[#This Row],[Low23]],Table1[[#This Row],[Low20]],Table1[[#This Row],[Low17]],Table1[[#This Row],[Low14]],Table1[[#This Row],[Low11]],Table1[[#This Row],[Low8]],Table1[[#This Row],[Low5]],Table1[[#This Row],[Low2]],Table1[[#This Row],[Low]])</f>
        <v>36030</v>
      </c>
      <c r="CF701" s="19">
        <f>SUM(Table1[[#This Row],[Mid39]],Table1[[#This Row],[Mid36]],Table1[[#This Row],[Mid33]],Table1[[#This Row],[Mid30]],Table1[[#This Row],[Mid27]],Table1[[#This Row],[Mid24]],Table1[[#This Row],[Mid21]],Table1[[#This Row],[Mid18]],Table1[[#This Row],[Mid15]],Table1[[#This Row],[Mid12]],Table1[[#This Row],[Mid9]],Table1[[#This Row],[Mid6]],Table1[[#This Row],[Mid3]],Table1[[#This Row],[Mid]])</f>
        <v>175260</v>
      </c>
      <c r="CG70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495390</v>
      </c>
      <c r="CH701" t="s">
        <v>157</v>
      </c>
      <c r="CI701" t="s">
        <v>176</v>
      </c>
      <c r="CJ701" t="s">
        <v>158</v>
      </c>
      <c r="CL701" s="19">
        <f>IF(Table1[[#This Row],[Type]]="Petroleum",1,IF(ISERROR(Table1[[#This Row],[Well Density]]*Table1[[#This Row],[Single Well Discovery Area]]),"",IF(Table1[[#This Row],[Well Density]]*Table1[[#This Row],[Single Well Discovery Area]]&gt;1,1,Table1[[#This Row],[Well Density]]*Table1[[#This Row],[Single Well Discovery Area]])))</f>
        <v>0</v>
      </c>
      <c r="CM701" t="s">
        <v>158</v>
      </c>
      <c r="CN701" s="19">
        <f>Table1[[#This Row],[Mid]]</f>
        <v>0</v>
      </c>
      <c r="CO701" s="19">
        <f>Table1[[#This Row],[Mid3]]+Table1[[#This Row],[Mid6]]+Table1[[#This Row],[Mid9]]</f>
        <v>0</v>
      </c>
      <c r="CP701" s="19">
        <f>Table1[[#This Row],[Mid12]]+Table1[[#This Row],[Mid15]]+Table1[[#This Row],[Mid18]]+Table1[[#This Row],[Mid21]]+Table1[[#This Row],[Mid24]]</f>
        <v>0</v>
      </c>
      <c r="CQ701" s="19">
        <f>Table1[[#This Row],[Mid27]]+Table1[[#This Row],[Mid30]]+Table1[[#This Row],[Mid33]]+Table1[[#This Row],[Mid36]]+Table1[[#This Row],[Mid39]]</f>
        <v>175260</v>
      </c>
      <c r="CR701" t="s">
        <v>471</v>
      </c>
      <c r="CS701" s="19" t="str">
        <f>IF(AND(Table1[[#This Row],[Low41]]=0, Table1[[#This Row],[High43]]=0),"N","Y")</f>
        <v>Y</v>
      </c>
    </row>
    <row r="702" spans="1:97" ht="19.5" customHeight="1" x14ac:dyDescent="0.25">
      <c r="A702">
        <v>10700</v>
      </c>
      <c r="B702" t="s">
        <v>1897</v>
      </c>
      <c r="C702" t="s">
        <v>2218</v>
      </c>
      <c r="D702">
        <v>38.64083333</v>
      </c>
      <c r="E702">
        <v>-80.622777780000007</v>
      </c>
      <c r="F702" t="s">
        <v>2219</v>
      </c>
      <c r="H702" t="s">
        <v>189</v>
      </c>
      <c r="I702" t="s">
        <v>201</v>
      </c>
      <c r="J702" t="s">
        <v>202</v>
      </c>
      <c r="K702" t="s">
        <v>203</v>
      </c>
      <c r="L702" t="s">
        <v>121</v>
      </c>
      <c r="N702" s="6" t="s">
        <v>521</v>
      </c>
      <c r="O702" t="s">
        <v>1935</v>
      </c>
      <c r="P702" t="s">
        <v>436</v>
      </c>
      <c r="Q702" t="s">
        <v>1901</v>
      </c>
      <c r="R702" t="s">
        <v>1933</v>
      </c>
      <c r="S702">
        <v>2015</v>
      </c>
      <c r="T702" t="s">
        <v>153</v>
      </c>
      <c r="U702" t="s">
        <v>129</v>
      </c>
      <c r="V702"/>
      <c r="AD702">
        <v>0</v>
      </c>
      <c r="AF702">
        <v>200</v>
      </c>
      <c r="AG702">
        <v>0</v>
      </c>
      <c r="AH702" t="s">
        <v>1903</v>
      </c>
      <c r="AK702">
        <v>0</v>
      </c>
      <c r="AL702">
        <v>0</v>
      </c>
      <c r="AN702" t="s">
        <v>132</v>
      </c>
      <c r="BM702">
        <v>5930</v>
      </c>
      <c r="BN702">
        <v>9840</v>
      </c>
      <c r="BO702">
        <v>18050</v>
      </c>
      <c r="CE702" s="19">
        <f>SUM(Table1[[#This Row],[Low38]],Table1[[#This Row],[Low35]],Table1[[#This Row],[Low32]],Table1[[#This Row],[Low29]],Table1[[#This Row],[Low26]],Table1[[#This Row],[Low23]],Table1[[#This Row],[Low20]],Table1[[#This Row],[Low17]],Table1[[#This Row],[Low14]],Table1[[#This Row],[Low11]],Table1[[#This Row],[Low8]],Table1[[#This Row],[Low5]],Table1[[#This Row],[Low2]],Table1[[#This Row],[Low]])</f>
        <v>5930</v>
      </c>
      <c r="CF702" s="19">
        <f>SUM(Table1[[#This Row],[Mid39]],Table1[[#This Row],[Mid36]],Table1[[#This Row],[Mid33]],Table1[[#This Row],[Mid30]],Table1[[#This Row],[Mid27]],Table1[[#This Row],[Mid24]],Table1[[#This Row],[Mid21]],Table1[[#This Row],[Mid18]],Table1[[#This Row],[Mid15]],Table1[[#This Row],[Mid12]],Table1[[#This Row],[Mid9]],Table1[[#This Row],[Mid6]],Table1[[#This Row],[Mid3]],Table1[[#This Row],[Mid]])</f>
        <v>9840</v>
      </c>
      <c r="CG70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18050</v>
      </c>
      <c r="CH702" t="s">
        <v>157</v>
      </c>
      <c r="CI702" t="s">
        <v>176</v>
      </c>
      <c r="CJ702" t="s">
        <v>158</v>
      </c>
      <c r="CL702" s="19">
        <f>IF(Table1[[#This Row],[Type]]="Petroleum",1,IF(ISERROR(Table1[[#This Row],[Well Density]]*Table1[[#This Row],[Single Well Discovery Area]]),"",IF(Table1[[#This Row],[Well Density]]*Table1[[#This Row],[Single Well Discovery Area]]&gt;1,1,Table1[[#This Row],[Well Density]]*Table1[[#This Row],[Single Well Discovery Area]])))</f>
        <v>1</v>
      </c>
      <c r="CM702" t="s">
        <v>158</v>
      </c>
      <c r="CN702" s="19">
        <f>Table1[[#This Row],[Mid]]</f>
        <v>0</v>
      </c>
      <c r="CO702" s="19">
        <f>Table1[[#This Row],[Mid3]]+Table1[[#This Row],[Mid6]]+Table1[[#This Row],[Mid9]]</f>
        <v>0</v>
      </c>
      <c r="CP702" s="19">
        <f>Table1[[#This Row],[Mid12]]+Table1[[#This Row],[Mid15]]+Table1[[#This Row],[Mid18]]+Table1[[#This Row],[Mid21]]+Table1[[#This Row],[Mid24]]</f>
        <v>9840</v>
      </c>
      <c r="CQ702" s="19">
        <f>Table1[[#This Row],[Mid27]]+Table1[[#This Row],[Mid30]]+Table1[[#This Row],[Mid33]]+Table1[[#This Row],[Mid36]]+Table1[[#This Row],[Mid39]]</f>
        <v>0</v>
      </c>
      <c r="CR702" t="s">
        <v>471</v>
      </c>
      <c r="CS702" s="19" t="str">
        <f>IF(AND(Table1[[#This Row],[Low41]]=0, Table1[[#This Row],[High43]]=0),"N","Y")</f>
        <v>Y</v>
      </c>
    </row>
    <row r="703" spans="1:97" ht="19.5" customHeight="1" x14ac:dyDescent="0.25">
      <c r="A703">
        <v>10701</v>
      </c>
      <c r="B703" t="s">
        <v>1897</v>
      </c>
      <c r="C703" t="s">
        <v>2218</v>
      </c>
      <c r="D703">
        <v>38.641944440000003</v>
      </c>
      <c r="E703">
        <v>-80.623888890000003</v>
      </c>
      <c r="F703" t="s">
        <v>2220</v>
      </c>
      <c r="H703" t="s">
        <v>189</v>
      </c>
      <c r="I703" t="s">
        <v>118</v>
      </c>
      <c r="J703" t="s">
        <v>119</v>
      </c>
      <c r="K703" t="s">
        <v>190</v>
      </c>
      <c r="L703" t="s">
        <v>18</v>
      </c>
      <c r="N703" s="6" t="s">
        <v>521</v>
      </c>
      <c r="O703" t="s">
        <v>1935</v>
      </c>
      <c r="P703" t="s">
        <v>436</v>
      </c>
      <c r="Q703" t="s">
        <v>195</v>
      </c>
      <c r="R703" t="s">
        <v>1942</v>
      </c>
      <c r="S703">
        <v>2015</v>
      </c>
      <c r="T703" t="s">
        <v>153</v>
      </c>
      <c r="U703" t="s">
        <v>129</v>
      </c>
      <c r="V703"/>
      <c r="AD703">
        <v>0</v>
      </c>
      <c r="AF703">
        <v>200</v>
      </c>
      <c r="AG703">
        <v>0</v>
      </c>
      <c r="AH703" t="s">
        <v>525</v>
      </c>
      <c r="AI703">
        <v>2</v>
      </c>
      <c r="AK703">
        <v>0</v>
      </c>
      <c r="AL703">
        <v>0</v>
      </c>
      <c r="AN703" t="s">
        <v>132</v>
      </c>
      <c r="BY703">
        <v>11190</v>
      </c>
      <c r="BZ703">
        <v>11190</v>
      </c>
      <c r="CA703">
        <v>11190</v>
      </c>
      <c r="CE703" s="19">
        <f>SUM(Table1[[#This Row],[Low38]],Table1[[#This Row],[Low35]],Table1[[#This Row],[Low32]],Table1[[#This Row],[Low29]],Table1[[#This Row],[Low26]],Table1[[#This Row],[Low23]],Table1[[#This Row],[Low20]],Table1[[#This Row],[Low17]],Table1[[#This Row],[Low14]],Table1[[#This Row],[Low11]],Table1[[#This Row],[Low8]],Table1[[#This Row],[Low5]],Table1[[#This Row],[Low2]],Table1[[#This Row],[Low]])</f>
        <v>11190</v>
      </c>
      <c r="CF703" s="19">
        <f>SUM(Table1[[#This Row],[Mid39]],Table1[[#This Row],[Mid36]],Table1[[#This Row],[Mid33]],Table1[[#This Row],[Mid30]],Table1[[#This Row],[Mid27]],Table1[[#This Row],[Mid24]],Table1[[#This Row],[Mid21]],Table1[[#This Row],[Mid18]],Table1[[#This Row],[Mid15]],Table1[[#This Row],[Mid12]],Table1[[#This Row],[Mid9]],Table1[[#This Row],[Mid6]],Table1[[#This Row],[Mid3]],Table1[[#This Row],[Mid]])</f>
        <v>11190</v>
      </c>
      <c r="CG70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11190</v>
      </c>
      <c r="CH703" t="s">
        <v>157</v>
      </c>
      <c r="CI703" t="s">
        <v>176</v>
      </c>
      <c r="CJ703" t="s">
        <v>158</v>
      </c>
      <c r="CL703" s="19">
        <f>IF(Table1[[#This Row],[Type]]="Petroleum",1,IF(ISERROR(Table1[[#This Row],[Well Density]]*Table1[[#This Row],[Single Well Discovery Area]]),"",IF(Table1[[#This Row],[Well Density]]*Table1[[#This Row],[Single Well Discovery Area]]&gt;1,1,Table1[[#This Row],[Well Density]]*Table1[[#This Row],[Single Well Discovery Area]])))</f>
        <v>0</v>
      </c>
      <c r="CM703" t="s">
        <v>158</v>
      </c>
      <c r="CN703" s="19">
        <f>Table1[[#This Row],[Mid]]</f>
        <v>0</v>
      </c>
      <c r="CO703" s="19">
        <f>Table1[[#This Row],[Mid3]]+Table1[[#This Row],[Mid6]]+Table1[[#This Row],[Mid9]]</f>
        <v>0</v>
      </c>
      <c r="CP703" s="19">
        <f>Table1[[#This Row],[Mid12]]+Table1[[#This Row],[Mid15]]+Table1[[#This Row],[Mid18]]+Table1[[#This Row],[Mid21]]+Table1[[#This Row],[Mid24]]</f>
        <v>0</v>
      </c>
      <c r="CQ703" s="19">
        <f>Table1[[#This Row],[Mid27]]+Table1[[#This Row],[Mid30]]+Table1[[#This Row],[Mid33]]+Table1[[#This Row],[Mid36]]+Table1[[#This Row],[Mid39]]</f>
        <v>11190</v>
      </c>
      <c r="CR703" t="s">
        <v>471</v>
      </c>
      <c r="CS703" s="19" t="str">
        <f>IF(AND(Table1[[#This Row],[Low41]]=0, Table1[[#This Row],[High43]]=0),"N","Y")</f>
        <v>Y</v>
      </c>
    </row>
    <row r="704" spans="1:97" ht="19.5" customHeight="1" x14ac:dyDescent="0.25">
      <c r="A704">
        <v>10702</v>
      </c>
      <c r="B704" t="s">
        <v>1897</v>
      </c>
      <c r="C704" t="s">
        <v>2221</v>
      </c>
      <c r="D704">
        <v>44.624166670000001</v>
      </c>
      <c r="E704">
        <v>-89.994166669999998</v>
      </c>
      <c r="F704" t="s">
        <v>2222</v>
      </c>
      <c r="G704" t="s">
        <v>812</v>
      </c>
      <c r="H704" t="s">
        <v>189</v>
      </c>
      <c r="I704" t="s">
        <v>201</v>
      </c>
      <c r="J704" t="s">
        <v>202</v>
      </c>
      <c r="K704" t="s">
        <v>203</v>
      </c>
      <c r="L704" t="s">
        <v>121</v>
      </c>
      <c r="N704" s="6" t="s">
        <v>521</v>
      </c>
      <c r="O704" t="s">
        <v>1935</v>
      </c>
      <c r="P704" t="s">
        <v>436</v>
      </c>
      <c r="Q704" t="s">
        <v>1901</v>
      </c>
      <c r="R704" t="s">
        <v>2036</v>
      </c>
      <c r="S704">
        <v>2015</v>
      </c>
      <c r="T704" t="s">
        <v>153</v>
      </c>
      <c r="U704" t="s">
        <v>129</v>
      </c>
      <c r="V704"/>
      <c r="AD704">
        <v>0</v>
      </c>
      <c r="AF704">
        <v>200</v>
      </c>
      <c r="AG704">
        <v>0</v>
      </c>
      <c r="AH704" t="s">
        <v>1903</v>
      </c>
      <c r="AK704">
        <v>0</v>
      </c>
      <c r="AL704">
        <v>0</v>
      </c>
      <c r="AN704" t="s">
        <v>132</v>
      </c>
      <c r="CE70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0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70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04" t="s">
        <v>157</v>
      </c>
      <c r="CI704" t="s">
        <v>176</v>
      </c>
      <c r="CJ704" t="s">
        <v>158</v>
      </c>
      <c r="CL704" s="19">
        <f>IF(Table1[[#This Row],[Type]]="Petroleum",1,IF(ISERROR(Table1[[#This Row],[Well Density]]*Table1[[#This Row],[Single Well Discovery Area]]),"",IF(Table1[[#This Row],[Well Density]]*Table1[[#This Row],[Single Well Discovery Area]]&gt;1,1,Table1[[#This Row],[Well Density]]*Table1[[#This Row],[Single Well Discovery Area]])))</f>
        <v>1</v>
      </c>
      <c r="CM704" t="s">
        <v>158</v>
      </c>
      <c r="CN704" s="19">
        <f>Table1[[#This Row],[Mid]]</f>
        <v>0</v>
      </c>
      <c r="CO704" s="19">
        <f>Table1[[#This Row],[Mid3]]+Table1[[#This Row],[Mid6]]+Table1[[#This Row],[Mid9]]</f>
        <v>0</v>
      </c>
      <c r="CP704" s="19">
        <f>Table1[[#This Row],[Mid12]]+Table1[[#This Row],[Mid15]]+Table1[[#This Row],[Mid18]]+Table1[[#This Row],[Mid21]]+Table1[[#This Row],[Mid24]]</f>
        <v>0</v>
      </c>
      <c r="CQ704" s="19">
        <f>Table1[[#This Row],[Mid27]]+Table1[[#This Row],[Mid30]]+Table1[[#This Row],[Mid33]]+Table1[[#This Row],[Mid36]]+Table1[[#This Row],[Mid39]]</f>
        <v>0</v>
      </c>
      <c r="CR704" t="s">
        <v>471</v>
      </c>
      <c r="CS704" s="19" t="str">
        <f>IF(AND(Table1[[#This Row],[Low41]]=0, Table1[[#This Row],[High43]]=0),"N","Y")</f>
        <v>N</v>
      </c>
    </row>
    <row r="705" spans="1:97" ht="19.5" customHeight="1" x14ac:dyDescent="0.25">
      <c r="A705">
        <v>10703</v>
      </c>
      <c r="B705" t="s">
        <v>1897</v>
      </c>
      <c r="C705" t="s">
        <v>2221</v>
      </c>
      <c r="D705">
        <v>44.625277779999998</v>
      </c>
      <c r="E705">
        <v>-89.995277779999995</v>
      </c>
      <c r="F705" t="s">
        <v>2223</v>
      </c>
      <c r="G705" t="s">
        <v>812</v>
      </c>
      <c r="H705" t="s">
        <v>189</v>
      </c>
      <c r="I705" t="s">
        <v>118</v>
      </c>
      <c r="J705" t="s">
        <v>119</v>
      </c>
      <c r="K705" t="s">
        <v>190</v>
      </c>
      <c r="L705" t="s">
        <v>18</v>
      </c>
      <c r="N705" s="6" t="s">
        <v>521</v>
      </c>
      <c r="O705" t="s">
        <v>1935</v>
      </c>
      <c r="P705" t="s">
        <v>436</v>
      </c>
      <c r="Q705" t="s">
        <v>195</v>
      </c>
      <c r="R705" t="s">
        <v>2036</v>
      </c>
      <c r="S705">
        <v>2015</v>
      </c>
      <c r="T705" t="s">
        <v>153</v>
      </c>
      <c r="U705" t="s">
        <v>129</v>
      </c>
      <c r="V705"/>
      <c r="AD705">
        <v>0</v>
      </c>
      <c r="AF705">
        <v>200</v>
      </c>
      <c r="AG705">
        <v>0</v>
      </c>
      <c r="AH705" t="s">
        <v>525</v>
      </c>
      <c r="AI705">
        <v>2</v>
      </c>
      <c r="AK705">
        <v>0</v>
      </c>
      <c r="AL705">
        <v>0</v>
      </c>
      <c r="AN705" t="s">
        <v>132</v>
      </c>
      <c r="CE70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0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70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05" t="s">
        <v>157</v>
      </c>
      <c r="CI705" t="s">
        <v>176</v>
      </c>
      <c r="CJ705" t="s">
        <v>158</v>
      </c>
      <c r="CL705" s="19">
        <f>IF(Table1[[#This Row],[Type]]="Petroleum",1,IF(ISERROR(Table1[[#This Row],[Well Density]]*Table1[[#This Row],[Single Well Discovery Area]]),"",IF(Table1[[#This Row],[Well Density]]*Table1[[#This Row],[Single Well Discovery Area]]&gt;1,1,Table1[[#This Row],[Well Density]]*Table1[[#This Row],[Single Well Discovery Area]])))</f>
        <v>0</v>
      </c>
      <c r="CM705" t="s">
        <v>158</v>
      </c>
      <c r="CN705" s="19">
        <f>Table1[[#This Row],[Mid]]</f>
        <v>0</v>
      </c>
      <c r="CO705" s="19">
        <f>Table1[[#This Row],[Mid3]]+Table1[[#This Row],[Mid6]]+Table1[[#This Row],[Mid9]]</f>
        <v>0</v>
      </c>
      <c r="CP705" s="19">
        <f>Table1[[#This Row],[Mid12]]+Table1[[#This Row],[Mid15]]+Table1[[#This Row],[Mid18]]+Table1[[#This Row],[Mid21]]+Table1[[#This Row],[Mid24]]</f>
        <v>0</v>
      </c>
      <c r="CQ705" s="19">
        <f>Table1[[#This Row],[Mid27]]+Table1[[#This Row],[Mid30]]+Table1[[#This Row],[Mid33]]+Table1[[#This Row],[Mid36]]+Table1[[#This Row],[Mid39]]</f>
        <v>0</v>
      </c>
      <c r="CR705" t="s">
        <v>471</v>
      </c>
      <c r="CS705" s="19" t="str">
        <f>IF(AND(Table1[[#This Row],[Low41]]=0, Table1[[#This Row],[High43]]=0),"N","Y")</f>
        <v>N</v>
      </c>
    </row>
    <row r="706" spans="1:97" ht="19.5" customHeight="1" x14ac:dyDescent="0.25">
      <c r="A706">
        <v>10704</v>
      </c>
      <c r="B706" t="s">
        <v>1897</v>
      </c>
      <c r="C706" t="s">
        <v>2224</v>
      </c>
      <c r="D706">
        <v>41.773888890000002</v>
      </c>
      <c r="E706">
        <v>-104.8130556</v>
      </c>
      <c r="F706" t="s">
        <v>2225</v>
      </c>
      <c r="G706" t="s">
        <v>2226</v>
      </c>
      <c r="H706" t="s">
        <v>2227</v>
      </c>
      <c r="I706" t="s">
        <v>118</v>
      </c>
      <c r="J706" t="s">
        <v>119</v>
      </c>
      <c r="K706" t="s">
        <v>190</v>
      </c>
      <c r="L706" t="s">
        <v>18</v>
      </c>
      <c r="M706" t="s">
        <v>298</v>
      </c>
      <c r="N706" s="6" t="s">
        <v>2092</v>
      </c>
      <c r="O706" t="s">
        <v>2228</v>
      </c>
      <c r="P706" t="s">
        <v>170</v>
      </c>
      <c r="Q706" t="s">
        <v>255</v>
      </c>
      <c r="R706" t="s">
        <v>2094</v>
      </c>
      <c r="S706">
        <v>2005</v>
      </c>
      <c r="T706" t="s">
        <v>153</v>
      </c>
      <c r="U706" t="s">
        <v>129</v>
      </c>
      <c r="V706"/>
      <c r="AD706">
        <v>0</v>
      </c>
      <c r="AF706">
        <v>200</v>
      </c>
      <c r="AG706">
        <v>0</v>
      </c>
      <c r="AH706" t="s">
        <v>2204</v>
      </c>
      <c r="AI706">
        <v>2</v>
      </c>
      <c r="AK706">
        <v>0</v>
      </c>
      <c r="AL706">
        <v>0</v>
      </c>
      <c r="AM706" t="s">
        <v>2096</v>
      </c>
      <c r="AN706" t="s">
        <v>132</v>
      </c>
      <c r="BV706">
        <v>10900</v>
      </c>
      <c r="BW706">
        <v>20600</v>
      </c>
      <c r="BX706">
        <v>35200</v>
      </c>
      <c r="CE706" s="19">
        <f>SUM(Table1[[#This Row],[Low38]],Table1[[#This Row],[Low35]],Table1[[#This Row],[Low32]],Table1[[#This Row],[Low29]],Table1[[#This Row],[Low26]],Table1[[#This Row],[Low23]],Table1[[#This Row],[Low20]],Table1[[#This Row],[Low17]],Table1[[#This Row],[Low14]],Table1[[#This Row],[Low11]],Table1[[#This Row],[Low8]],Table1[[#This Row],[Low5]],Table1[[#This Row],[Low2]],Table1[[#This Row],[Low]])</f>
        <v>10900</v>
      </c>
      <c r="CF706" s="19">
        <f>SUM(Table1[[#This Row],[Mid39]],Table1[[#This Row],[Mid36]],Table1[[#This Row],[Mid33]],Table1[[#This Row],[Mid30]],Table1[[#This Row],[Mid27]],Table1[[#This Row],[Mid24]],Table1[[#This Row],[Mid21]],Table1[[#This Row],[Mid18]],Table1[[#This Row],[Mid15]],Table1[[#This Row],[Mid12]],Table1[[#This Row],[Mid9]],Table1[[#This Row],[Mid6]],Table1[[#This Row],[Mid3]],Table1[[#This Row],[Mid]])</f>
        <v>20600</v>
      </c>
      <c r="CG70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35200</v>
      </c>
      <c r="CH706" t="s">
        <v>157</v>
      </c>
      <c r="CI706" t="s">
        <v>134</v>
      </c>
      <c r="CJ706" t="s">
        <v>158</v>
      </c>
      <c r="CL706" s="19">
        <f>IF(Table1[[#This Row],[Type]]="Petroleum",1,IF(ISERROR(Table1[[#This Row],[Well Density]]*Table1[[#This Row],[Single Well Discovery Area]]),"",IF(Table1[[#This Row],[Well Density]]*Table1[[#This Row],[Single Well Discovery Area]]&gt;1,1,Table1[[#This Row],[Well Density]]*Table1[[#This Row],[Single Well Discovery Area]])))</f>
        <v>0</v>
      </c>
      <c r="CM706" t="s">
        <v>158</v>
      </c>
      <c r="CN706" s="19">
        <f>Table1[[#This Row],[Mid]]</f>
        <v>0</v>
      </c>
      <c r="CO706" s="19">
        <f>Table1[[#This Row],[Mid3]]+Table1[[#This Row],[Mid6]]+Table1[[#This Row],[Mid9]]</f>
        <v>0</v>
      </c>
      <c r="CP706" s="19">
        <f>Table1[[#This Row],[Mid12]]+Table1[[#This Row],[Mid15]]+Table1[[#This Row],[Mid18]]+Table1[[#This Row],[Mid21]]+Table1[[#This Row],[Mid24]]</f>
        <v>0</v>
      </c>
      <c r="CQ706" s="19">
        <f>Table1[[#This Row],[Mid27]]+Table1[[#This Row],[Mid30]]+Table1[[#This Row],[Mid33]]+Table1[[#This Row],[Mid36]]+Table1[[#This Row],[Mid39]]</f>
        <v>20600</v>
      </c>
      <c r="CR706" t="s">
        <v>471</v>
      </c>
      <c r="CS706" s="19" t="str">
        <f>IF(AND(Table1[[#This Row],[Low41]]=0, Table1[[#This Row],[High43]]=0),"N","Y")</f>
        <v>Y</v>
      </c>
    </row>
    <row r="707" spans="1:97" ht="19.5" customHeight="1" x14ac:dyDescent="0.25">
      <c r="A707">
        <v>10705</v>
      </c>
      <c r="B707" t="s">
        <v>1897</v>
      </c>
      <c r="C707" t="s">
        <v>2224</v>
      </c>
      <c r="D707">
        <v>41.588055560000001</v>
      </c>
      <c r="E707">
        <v>-109.2030556</v>
      </c>
      <c r="F707" t="s">
        <v>2229</v>
      </c>
      <c r="G707" t="s">
        <v>2230</v>
      </c>
      <c r="H707" t="s">
        <v>2231</v>
      </c>
      <c r="I707" t="s">
        <v>118</v>
      </c>
      <c r="J707" t="s">
        <v>119</v>
      </c>
      <c r="K707" t="s">
        <v>120</v>
      </c>
      <c r="L707" t="s">
        <v>121</v>
      </c>
      <c r="M707" t="s">
        <v>606</v>
      </c>
      <c r="N707" s="6" t="s">
        <v>2232</v>
      </c>
      <c r="O707" t="s">
        <v>2233</v>
      </c>
      <c r="P707" t="s">
        <v>2234</v>
      </c>
      <c r="Q707" t="s">
        <v>2235</v>
      </c>
      <c r="R707" t="s">
        <v>2236</v>
      </c>
      <c r="T707" t="s">
        <v>153</v>
      </c>
      <c r="U707" t="s">
        <v>129</v>
      </c>
      <c r="V707">
        <v>65</v>
      </c>
      <c r="W707">
        <v>3780</v>
      </c>
      <c r="AB707">
        <v>90000</v>
      </c>
      <c r="AD707">
        <v>1</v>
      </c>
      <c r="AE707">
        <v>1.5384615000000001E-2</v>
      </c>
      <c r="AF707">
        <v>200</v>
      </c>
      <c r="AG707">
        <v>0</v>
      </c>
      <c r="AK707">
        <v>0</v>
      </c>
      <c r="AL707">
        <v>0</v>
      </c>
      <c r="AN707" t="s">
        <v>132</v>
      </c>
      <c r="BH707">
        <v>17000</v>
      </c>
      <c r="CE70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07" s="19">
        <f>SUM(Table1[[#This Row],[Mid39]],Table1[[#This Row],[Mid36]],Table1[[#This Row],[Mid33]],Table1[[#This Row],[Mid30]],Table1[[#This Row],[Mid27]],Table1[[#This Row],[Mid24]],Table1[[#This Row],[Mid21]],Table1[[#This Row],[Mid18]],Table1[[#This Row],[Mid15]],Table1[[#This Row],[Mid12]],Table1[[#This Row],[Mid9]],Table1[[#This Row],[Mid6]],Table1[[#This Row],[Mid3]],Table1[[#This Row],[Mid]])</f>
        <v>17000</v>
      </c>
      <c r="CG70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07" t="s">
        <v>157</v>
      </c>
      <c r="CI707" t="s">
        <v>176</v>
      </c>
      <c r="CJ707" t="s">
        <v>135</v>
      </c>
      <c r="CL707" s="19">
        <f>IF(Table1[[#This Row],[Type]]="Petroleum",1,IF(ISERROR(Table1[[#This Row],[Well Density]]*Table1[[#This Row],[Single Well Discovery Area]]),"",IF(Table1[[#This Row],[Well Density]]*Table1[[#This Row],[Single Well Discovery Area]]&gt;1,1,Table1[[#This Row],[Well Density]]*Table1[[#This Row],[Single Well Discovery Area]])))</f>
        <v>1</v>
      </c>
      <c r="CM707" t="s">
        <v>158</v>
      </c>
      <c r="CN707" s="19">
        <f>Table1[[#This Row],[Mid]]</f>
        <v>0</v>
      </c>
      <c r="CO707" s="19">
        <f>Table1[[#This Row],[Mid3]]+Table1[[#This Row],[Mid6]]+Table1[[#This Row],[Mid9]]</f>
        <v>0</v>
      </c>
      <c r="CP707" s="19">
        <f>Table1[[#This Row],[Mid12]]+Table1[[#This Row],[Mid15]]+Table1[[#This Row],[Mid18]]+Table1[[#This Row],[Mid21]]+Table1[[#This Row],[Mid24]]</f>
        <v>17000</v>
      </c>
      <c r="CQ707" s="19">
        <f>Table1[[#This Row],[Mid27]]+Table1[[#This Row],[Mid30]]+Table1[[#This Row],[Mid33]]+Table1[[#This Row],[Mid36]]+Table1[[#This Row],[Mid39]]</f>
        <v>0</v>
      </c>
      <c r="CR707" t="s">
        <v>471</v>
      </c>
      <c r="CS707" s="19" t="str">
        <f>IF(AND(Table1[[#This Row],[Low41]]=0, Table1[[#This Row],[High43]]=0),"N","Y")</f>
        <v>N</v>
      </c>
    </row>
    <row r="708" spans="1:97" ht="19.5" customHeight="1" x14ac:dyDescent="0.25">
      <c r="A708">
        <v>10706</v>
      </c>
      <c r="B708" t="s">
        <v>1897</v>
      </c>
      <c r="C708" t="s">
        <v>2224</v>
      </c>
      <c r="D708">
        <v>42.995833330000004</v>
      </c>
      <c r="E708">
        <v>-107.5511111</v>
      </c>
      <c r="F708" t="s">
        <v>2237</v>
      </c>
      <c r="H708" t="s">
        <v>189</v>
      </c>
      <c r="I708" t="s">
        <v>201</v>
      </c>
      <c r="J708" t="s">
        <v>202</v>
      </c>
      <c r="K708" t="s">
        <v>203</v>
      </c>
      <c r="L708" t="s">
        <v>121</v>
      </c>
      <c r="N708" s="6" t="s">
        <v>521</v>
      </c>
      <c r="O708" t="s">
        <v>1935</v>
      </c>
      <c r="P708" t="s">
        <v>436</v>
      </c>
      <c r="Q708" t="s">
        <v>1901</v>
      </c>
      <c r="R708" t="s">
        <v>1963</v>
      </c>
      <c r="S708">
        <v>2015</v>
      </c>
      <c r="T708" t="s">
        <v>153</v>
      </c>
      <c r="U708" t="s">
        <v>129</v>
      </c>
      <c r="V708"/>
      <c r="AD708">
        <v>0</v>
      </c>
      <c r="AF708">
        <v>200</v>
      </c>
      <c r="AG708">
        <v>0</v>
      </c>
      <c r="AH708" t="s">
        <v>1903</v>
      </c>
      <c r="AK708">
        <v>0</v>
      </c>
      <c r="AL708">
        <v>0</v>
      </c>
      <c r="AN708" t="s">
        <v>132</v>
      </c>
      <c r="BM708">
        <v>230</v>
      </c>
      <c r="BN708">
        <v>590</v>
      </c>
      <c r="BO708">
        <v>1410</v>
      </c>
      <c r="CE708" s="19">
        <f>SUM(Table1[[#This Row],[Low38]],Table1[[#This Row],[Low35]],Table1[[#This Row],[Low32]],Table1[[#This Row],[Low29]],Table1[[#This Row],[Low26]],Table1[[#This Row],[Low23]],Table1[[#This Row],[Low20]],Table1[[#This Row],[Low17]],Table1[[#This Row],[Low14]],Table1[[#This Row],[Low11]],Table1[[#This Row],[Low8]],Table1[[#This Row],[Low5]],Table1[[#This Row],[Low2]],Table1[[#This Row],[Low]])</f>
        <v>230</v>
      </c>
      <c r="CF708" s="19">
        <f>SUM(Table1[[#This Row],[Mid39]],Table1[[#This Row],[Mid36]],Table1[[#This Row],[Mid33]],Table1[[#This Row],[Mid30]],Table1[[#This Row],[Mid27]],Table1[[#This Row],[Mid24]],Table1[[#This Row],[Mid21]],Table1[[#This Row],[Mid18]],Table1[[#This Row],[Mid15]],Table1[[#This Row],[Mid12]],Table1[[#This Row],[Mid9]],Table1[[#This Row],[Mid6]],Table1[[#This Row],[Mid3]],Table1[[#This Row],[Mid]])</f>
        <v>590</v>
      </c>
      <c r="CG70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1410</v>
      </c>
      <c r="CH708" t="s">
        <v>157</v>
      </c>
      <c r="CI708" t="s">
        <v>176</v>
      </c>
      <c r="CJ708" t="s">
        <v>158</v>
      </c>
      <c r="CL708" s="19">
        <f>IF(Table1[[#This Row],[Type]]="Petroleum",1,IF(ISERROR(Table1[[#This Row],[Well Density]]*Table1[[#This Row],[Single Well Discovery Area]]),"",IF(Table1[[#This Row],[Well Density]]*Table1[[#This Row],[Single Well Discovery Area]]&gt;1,1,Table1[[#This Row],[Well Density]]*Table1[[#This Row],[Single Well Discovery Area]])))</f>
        <v>1</v>
      </c>
      <c r="CM708" t="s">
        <v>158</v>
      </c>
      <c r="CN708" s="19">
        <f>Table1[[#This Row],[Mid]]</f>
        <v>0</v>
      </c>
      <c r="CO708" s="19">
        <f>Table1[[#This Row],[Mid3]]+Table1[[#This Row],[Mid6]]+Table1[[#This Row],[Mid9]]</f>
        <v>0</v>
      </c>
      <c r="CP708" s="19">
        <f>Table1[[#This Row],[Mid12]]+Table1[[#This Row],[Mid15]]+Table1[[#This Row],[Mid18]]+Table1[[#This Row],[Mid21]]+Table1[[#This Row],[Mid24]]</f>
        <v>590</v>
      </c>
      <c r="CQ708" s="19">
        <f>Table1[[#This Row],[Mid27]]+Table1[[#This Row],[Mid30]]+Table1[[#This Row],[Mid33]]+Table1[[#This Row],[Mid36]]+Table1[[#This Row],[Mid39]]</f>
        <v>0</v>
      </c>
      <c r="CR708" t="s">
        <v>471</v>
      </c>
      <c r="CS708" s="19" t="str">
        <f>IF(AND(Table1[[#This Row],[Low41]]=0, Table1[[#This Row],[High43]]=0),"N","Y")</f>
        <v>Y</v>
      </c>
    </row>
    <row r="709" spans="1:97" ht="19.5" customHeight="1" x14ac:dyDescent="0.25">
      <c r="A709">
        <v>10707</v>
      </c>
      <c r="B709" t="s">
        <v>1897</v>
      </c>
      <c r="C709" t="s">
        <v>2224</v>
      </c>
      <c r="D709">
        <v>42.99694444</v>
      </c>
      <c r="E709">
        <v>-107.5522222</v>
      </c>
      <c r="F709" t="s">
        <v>2238</v>
      </c>
      <c r="H709" t="s">
        <v>189</v>
      </c>
      <c r="I709" t="s">
        <v>118</v>
      </c>
      <c r="J709" t="s">
        <v>119</v>
      </c>
      <c r="K709" t="s">
        <v>190</v>
      </c>
      <c r="L709" t="s">
        <v>18</v>
      </c>
      <c r="N709" s="6" t="s">
        <v>521</v>
      </c>
      <c r="O709" t="s">
        <v>2239</v>
      </c>
      <c r="P709" t="s">
        <v>436</v>
      </c>
      <c r="Q709" t="s">
        <v>195</v>
      </c>
      <c r="R709" t="s">
        <v>2240</v>
      </c>
      <c r="S709">
        <v>2015</v>
      </c>
      <c r="T709" t="s">
        <v>153</v>
      </c>
      <c r="U709" t="s">
        <v>129</v>
      </c>
      <c r="V709">
        <v>0</v>
      </c>
      <c r="W709">
        <v>0</v>
      </c>
      <c r="X709">
        <v>0</v>
      </c>
      <c r="Y709">
        <v>0</v>
      </c>
      <c r="Z709">
        <v>0</v>
      </c>
      <c r="AA709">
        <v>0</v>
      </c>
      <c r="AB709">
        <v>0</v>
      </c>
      <c r="AC709">
        <v>0</v>
      </c>
      <c r="AD709">
        <v>0</v>
      </c>
      <c r="AF709">
        <v>200</v>
      </c>
      <c r="AG709">
        <v>0</v>
      </c>
      <c r="AH709" t="s">
        <v>525</v>
      </c>
      <c r="AI709">
        <v>2</v>
      </c>
      <c r="AJ709">
        <v>0</v>
      </c>
      <c r="AK709">
        <v>0</v>
      </c>
      <c r="AL709">
        <v>0</v>
      </c>
      <c r="AN709" t="s">
        <v>132</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c r="BV709">
        <v>0</v>
      </c>
      <c r="BW709">
        <v>0</v>
      </c>
      <c r="BX709">
        <v>0</v>
      </c>
      <c r="BY709">
        <v>135440</v>
      </c>
      <c r="BZ709">
        <v>550320</v>
      </c>
      <c r="CA709">
        <v>1504360</v>
      </c>
      <c r="CB709">
        <v>0</v>
      </c>
      <c r="CC709">
        <v>0</v>
      </c>
      <c r="CD709">
        <v>0</v>
      </c>
      <c r="CE709" s="19">
        <f>SUM(Table1[[#This Row],[Low38]],Table1[[#This Row],[Low35]],Table1[[#This Row],[Low32]],Table1[[#This Row],[Low29]],Table1[[#This Row],[Low26]],Table1[[#This Row],[Low23]],Table1[[#This Row],[Low20]],Table1[[#This Row],[Low17]],Table1[[#This Row],[Low14]],Table1[[#This Row],[Low11]],Table1[[#This Row],[Low8]],Table1[[#This Row],[Low5]],Table1[[#This Row],[Low2]],Table1[[#This Row],[Low]])</f>
        <v>135440</v>
      </c>
      <c r="CF709" s="19">
        <f>SUM(Table1[[#This Row],[Mid39]],Table1[[#This Row],[Mid36]],Table1[[#This Row],[Mid33]],Table1[[#This Row],[Mid30]],Table1[[#This Row],[Mid27]],Table1[[#This Row],[Mid24]],Table1[[#This Row],[Mid21]],Table1[[#This Row],[Mid18]],Table1[[#This Row],[Mid15]],Table1[[#This Row],[Mid12]],Table1[[#This Row],[Mid9]],Table1[[#This Row],[Mid6]],Table1[[#This Row],[Mid3]],Table1[[#This Row],[Mid]])</f>
        <v>550320</v>
      </c>
      <c r="CG70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1504360</v>
      </c>
      <c r="CH709" t="s">
        <v>157</v>
      </c>
      <c r="CI709" t="s">
        <v>176</v>
      </c>
      <c r="CJ709" t="s">
        <v>158</v>
      </c>
      <c r="CL709" s="19">
        <f>IF(Table1[[#This Row],[Type]]="Petroleum",1,IF(ISERROR(Table1[[#This Row],[Well Density]]*Table1[[#This Row],[Single Well Discovery Area]]),"",IF(Table1[[#This Row],[Well Density]]*Table1[[#This Row],[Single Well Discovery Area]]&gt;1,1,Table1[[#This Row],[Well Density]]*Table1[[#This Row],[Single Well Discovery Area]])))</f>
        <v>0</v>
      </c>
      <c r="CM709" t="s">
        <v>158</v>
      </c>
      <c r="CN709" s="19">
        <f>Table1[[#This Row],[Mid]]</f>
        <v>0</v>
      </c>
      <c r="CO709" s="19">
        <f>Table1[[#This Row],[Mid3]]+Table1[[#This Row],[Mid6]]+Table1[[#This Row],[Mid9]]</f>
        <v>0</v>
      </c>
      <c r="CP709" s="19">
        <f>Table1[[#This Row],[Mid12]]+Table1[[#This Row],[Mid15]]+Table1[[#This Row],[Mid18]]+Table1[[#This Row],[Mid21]]+Table1[[#This Row],[Mid24]]</f>
        <v>0</v>
      </c>
      <c r="CQ709" s="19">
        <f>Table1[[#This Row],[Mid27]]+Table1[[#This Row],[Mid30]]+Table1[[#This Row],[Mid33]]+Table1[[#This Row],[Mid36]]+Table1[[#This Row],[Mid39]]</f>
        <v>550320</v>
      </c>
      <c r="CR709" t="s">
        <v>471</v>
      </c>
      <c r="CS709" s="19" t="str">
        <f>IF(AND(Table1[[#This Row],[Low41]]=0, Table1[[#This Row],[High43]]=0),"N","Y")</f>
        <v>Y</v>
      </c>
    </row>
    <row r="710" spans="1:97" ht="19.5" customHeight="1" x14ac:dyDescent="0.25">
      <c r="A710">
        <v>10708</v>
      </c>
      <c r="B710" t="s">
        <v>1032</v>
      </c>
      <c r="C710" t="s">
        <v>1089</v>
      </c>
      <c r="D710">
        <v>-2.073611111</v>
      </c>
      <c r="E710">
        <v>103.0677778</v>
      </c>
      <c r="F710" t="s">
        <v>2241</v>
      </c>
      <c r="G710" t="s">
        <v>1089</v>
      </c>
      <c r="H710" t="s">
        <v>252</v>
      </c>
      <c r="I710" t="s">
        <v>433</v>
      </c>
      <c r="J710" t="s">
        <v>202</v>
      </c>
      <c r="K710" t="s">
        <v>190</v>
      </c>
      <c r="L710" t="s">
        <v>204</v>
      </c>
      <c r="M710" t="s">
        <v>252</v>
      </c>
      <c r="N710" s="6" t="s">
        <v>2242</v>
      </c>
      <c r="P710" t="s">
        <v>170</v>
      </c>
      <c r="Q710" t="s">
        <v>255</v>
      </c>
      <c r="R710" t="s">
        <v>2243</v>
      </c>
      <c r="S710">
        <v>2013</v>
      </c>
      <c r="T710" t="s">
        <v>128</v>
      </c>
      <c r="U710" t="s">
        <v>129</v>
      </c>
      <c r="V710">
        <v>0</v>
      </c>
      <c r="W710">
        <v>0</v>
      </c>
      <c r="X710">
        <v>0</v>
      </c>
      <c r="Y710">
        <v>0</v>
      </c>
      <c r="Z710">
        <v>0</v>
      </c>
      <c r="AA710">
        <v>0</v>
      </c>
      <c r="AB710">
        <v>0</v>
      </c>
      <c r="AC710">
        <v>0</v>
      </c>
      <c r="AD710">
        <v>0</v>
      </c>
      <c r="AF710">
        <v>200</v>
      </c>
      <c r="AG710">
        <v>0</v>
      </c>
      <c r="AI710">
        <v>0</v>
      </c>
      <c r="AJ710">
        <v>0</v>
      </c>
      <c r="AK710">
        <v>0</v>
      </c>
      <c r="AL710">
        <v>0</v>
      </c>
      <c r="AM710" t="s">
        <v>1049</v>
      </c>
      <c r="AN710" t="s">
        <v>132</v>
      </c>
      <c r="AO710">
        <v>0</v>
      </c>
      <c r="AP710">
        <v>0</v>
      </c>
      <c r="AQ710">
        <v>0</v>
      </c>
      <c r="AR710">
        <v>0</v>
      </c>
      <c r="AS710">
        <v>0</v>
      </c>
      <c r="AT710">
        <v>0</v>
      </c>
      <c r="AU710">
        <v>0</v>
      </c>
      <c r="AV710">
        <v>0</v>
      </c>
      <c r="AW710">
        <v>0</v>
      </c>
      <c r="AX710">
        <v>0</v>
      </c>
      <c r="AY710">
        <v>0</v>
      </c>
      <c r="AZ710">
        <v>0</v>
      </c>
      <c r="BA710">
        <v>0</v>
      </c>
      <c r="BB710">
        <v>0</v>
      </c>
      <c r="BC710">
        <v>0</v>
      </c>
      <c r="BD710">
        <v>0</v>
      </c>
      <c r="BE710">
        <v>0</v>
      </c>
      <c r="BF710">
        <v>0</v>
      </c>
      <c r="BG710">
        <v>0</v>
      </c>
      <c r="BH710">
        <v>0</v>
      </c>
      <c r="BI710">
        <v>0</v>
      </c>
      <c r="BJ710">
        <v>0</v>
      </c>
      <c r="BK710">
        <v>0</v>
      </c>
      <c r="BL710">
        <v>0</v>
      </c>
      <c r="BM710">
        <v>0</v>
      </c>
      <c r="BN710">
        <v>50</v>
      </c>
      <c r="BO710">
        <v>0</v>
      </c>
      <c r="BP710">
        <v>0</v>
      </c>
      <c r="BQ710">
        <v>0</v>
      </c>
      <c r="BR710">
        <v>0</v>
      </c>
      <c r="BS710">
        <v>0</v>
      </c>
      <c r="BT710">
        <v>0</v>
      </c>
      <c r="BU710">
        <v>0</v>
      </c>
      <c r="BV710">
        <v>0</v>
      </c>
      <c r="BW710">
        <v>0</v>
      </c>
      <c r="BX710">
        <v>0</v>
      </c>
      <c r="BY710">
        <v>0</v>
      </c>
      <c r="BZ710">
        <v>0</v>
      </c>
      <c r="CA710">
        <v>0</v>
      </c>
      <c r="CB710">
        <v>0</v>
      </c>
      <c r="CC710">
        <v>0</v>
      </c>
      <c r="CD710">
        <v>0</v>
      </c>
      <c r="CE71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10" s="19">
        <f>SUM(Table1[[#This Row],[Mid39]],Table1[[#This Row],[Mid36]],Table1[[#This Row],[Mid33]],Table1[[#This Row],[Mid30]],Table1[[#This Row],[Mid27]],Table1[[#This Row],[Mid24]],Table1[[#This Row],[Mid21]],Table1[[#This Row],[Mid18]],Table1[[#This Row],[Mid15]],Table1[[#This Row],[Mid12]],Table1[[#This Row],[Mid9]],Table1[[#This Row],[Mid6]],Table1[[#This Row],[Mid3]],Table1[[#This Row],[Mid]])</f>
        <v>50</v>
      </c>
      <c r="CG7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10" t="s">
        <v>157</v>
      </c>
      <c r="CI710" t="s">
        <v>176</v>
      </c>
      <c r="CJ710" t="s">
        <v>158</v>
      </c>
      <c r="CL710" s="19">
        <f>IF(Table1[[#This Row],[Type]]="Petroleum",1,IF(ISERROR(Table1[[#This Row],[Well Density]]*Table1[[#This Row],[Single Well Discovery Area]]),"",IF(Table1[[#This Row],[Well Density]]*Table1[[#This Row],[Single Well Discovery Area]]&gt;1,1,Table1[[#This Row],[Well Density]]*Table1[[#This Row],[Single Well Discovery Area]])))</f>
        <v>1</v>
      </c>
      <c r="CM710" t="s">
        <v>135</v>
      </c>
      <c r="CN710" s="19">
        <f>Table1[[#This Row],[Mid]]</f>
        <v>0</v>
      </c>
      <c r="CO710" s="19">
        <f>Table1[[#This Row],[Mid3]]+Table1[[#This Row],[Mid6]]+Table1[[#This Row],[Mid9]]</f>
        <v>0</v>
      </c>
      <c r="CP710" s="19">
        <f>Table1[[#This Row],[Mid12]]+Table1[[#This Row],[Mid15]]+Table1[[#This Row],[Mid18]]+Table1[[#This Row],[Mid21]]+Table1[[#This Row],[Mid24]]</f>
        <v>50</v>
      </c>
      <c r="CQ710" s="19">
        <f>Table1[[#This Row],[Mid27]]+Table1[[#This Row],[Mid30]]+Table1[[#This Row],[Mid33]]+Table1[[#This Row],[Mid36]]+Table1[[#This Row],[Mid39]]</f>
        <v>0</v>
      </c>
      <c r="CR710" t="s">
        <v>439</v>
      </c>
      <c r="CS710" s="19" t="str">
        <f>IF(AND(Table1[[#This Row],[Low41]]=0, Table1[[#This Row],[High43]]=0),"N","Y")</f>
        <v>N</v>
      </c>
    </row>
    <row r="711" spans="1:97" ht="19.5" customHeight="1" x14ac:dyDescent="0.25">
      <c r="A711">
        <v>10709</v>
      </c>
      <c r="B711" t="s">
        <v>1032</v>
      </c>
      <c r="C711" t="s">
        <v>1089</v>
      </c>
      <c r="D711">
        <v>-3.403055556</v>
      </c>
      <c r="E711">
        <v>104.1116667</v>
      </c>
      <c r="F711" t="s">
        <v>2244</v>
      </c>
      <c r="G711" t="s">
        <v>1089</v>
      </c>
      <c r="H711" t="s">
        <v>252</v>
      </c>
      <c r="I711" t="s">
        <v>2245</v>
      </c>
      <c r="J711" t="s">
        <v>202</v>
      </c>
      <c r="K711" t="s">
        <v>190</v>
      </c>
      <c r="L711" t="s">
        <v>204</v>
      </c>
      <c r="M711" t="s">
        <v>252</v>
      </c>
      <c r="N711" s="6" t="s">
        <v>2242</v>
      </c>
      <c r="P711" t="s">
        <v>170</v>
      </c>
      <c r="Q711" t="s">
        <v>255</v>
      </c>
      <c r="R711" t="s">
        <v>2243</v>
      </c>
      <c r="S711">
        <v>2013</v>
      </c>
      <c r="T711" t="s">
        <v>128</v>
      </c>
      <c r="U711" t="s">
        <v>129</v>
      </c>
      <c r="V711">
        <v>1000</v>
      </c>
      <c r="W711">
        <v>0</v>
      </c>
      <c r="X711">
        <v>0</v>
      </c>
      <c r="Y711">
        <v>0</v>
      </c>
      <c r="Z711">
        <v>0</v>
      </c>
      <c r="AA711">
        <v>0</v>
      </c>
      <c r="AB711">
        <v>0</v>
      </c>
      <c r="AC711">
        <v>0</v>
      </c>
      <c r="AD711">
        <v>1</v>
      </c>
      <c r="AE711">
        <v>1E-3</v>
      </c>
      <c r="AF711">
        <v>200</v>
      </c>
      <c r="AG711">
        <v>0</v>
      </c>
      <c r="AI711">
        <v>0</v>
      </c>
      <c r="AJ711">
        <v>0</v>
      </c>
      <c r="AK711">
        <v>0</v>
      </c>
      <c r="AL711">
        <v>0</v>
      </c>
      <c r="AM711" t="s">
        <v>1049</v>
      </c>
      <c r="AN711" t="s">
        <v>132</v>
      </c>
      <c r="AO711">
        <v>0</v>
      </c>
      <c r="AP711">
        <v>0</v>
      </c>
      <c r="AQ711">
        <v>0</v>
      </c>
      <c r="AR711">
        <v>0</v>
      </c>
      <c r="AS711">
        <v>0</v>
      </c>
      <c r="AT711">
        <v>0</v>
      </c>
      <c r="AU711">
        <v>0</v>
      </c>
      <c r="AV711">
        <v>0</v>
      </c>
      <c r="AW711">
        <v>0</v>
      </c>
      <c r="AX711">
        <v>0</v>
      </c>
      <c r="AY711">
        <v>0</v>
      </c>
      <c r="AZ711">
        <v>0</v>
      </c>
      <c r="BA711">
        <v>0</v>
      </c>
      <c r="BB711">
        <v>0</v>
      </c>
      <c r="BC711">
        <v>0</v>
      </c>
      <c r="BD711">
        <v>0</v>
      </c>
      <c r="BE711">
        <v>0</v>
      </c>
      <c r="BF711">
        <v>0</v>
      </c>
      <c r="BG711">
        <v>0</v>
      </c>
      <c r="BH711">
        <v>0</v>
      </c>
      <c r="BI711">
        <v>0</v>
      </c>
      <c r="BJ711">
        <v>0</v>
      </c>
      <c r="BK711">
        <v>0</v>
      </c>
      <c r="BL711">
        <v>0</v>
      </c>
      <c r="BM711">
        <v>0</v>
      </c>
      <c r="BN711">
        <v>40</v>
      </c>
      <c r="BO711">
        <v>0</v>
      </c>
      <c r="BP711">
        <v>0</v>
      </c>
      <c r="BQ711">
        <v>0</v>
      </c>
      <c r="BR711">
        <v>0</v>
      </c>
      <c r="BS711">
        <v>0</v>
      </c>
      <c r="BT711">
        <v>0</v>
      </c>
      <c r="BU711">
        <v>0</v>
      </c>
      <c r="BV711">
        <v>0</v>
      </c>
      <c r="BW711">
        <v>0</v>
      </c>
      <c r="BX711">
        <v>0</v>
      </c>
      <c r="BY711">
        <v>0</v>
      </c>
      <c r="BZ711">
        <v>0</v>
      </c>
      <c r="CA711">
        <v>0</v>
      </c>
      <c r="CB711">
        <v>0</v>
      </c>
      <c r="CC711">
        <v>0</v>
      </c>
      <c r="CD711">
        <v>0</v>
      </c>
      <c r="CE71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11" s="19">
        <f>SUM(Table1[[#This Row],[Mid39]],Table1[[#This Row],[Mid36]],Table1[[#This Row],[Mid33]],Table1[[#This Row],[Mid30]],Table1[[#This Row],[Mid27]],Table1[[#This Row],[Mid24]],Table1[[#This Row],[Mid21]],Table1[[#This Row],[Mid18]],Table1[[#This Row],[Mid15]],Table1[[#This Row],[Mid12]],Table1[[#This Row],[Mid9]],Table1[[#This Row],[Mid6]],Table1[[#This Row],[Mid3]],Table1[[#This Row],[Mid]])</f>
        <v>40</v>
      </c>
      <c r="CG7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11" t="s">
        <v>157</v>
      </c>
      <c r="CI711" t="s">
        <v>176</v>
      </c>
      <c r="CJ711" t="s">
        <v>158</v>
      </c>
      <c r="CL711" s="19">
        <f>IF(Table1[[#This Row],[Type]]="Petroleum",1,IF(ISERROR(Table1[[#This Row],[Well Density]]*Table1[[#This Row],[Single Well Discovery Area]]),"",IF(Table1[[#This Row],[Well Density]]*Table1[[#This Row],[Single Well Discovery Area]]&gt;1,1,Table1[[#This Row],[Well Density]]*Table1[[#This Row],[Single Well Discovery Area]])))</f>
        <v>1</v>
      </c>
      <c r="CM711" t="s">
        <v>158</v>
      </c>
      <c r="CN711" s="19">
        <f>Table1[[#This Row],[Mid]]</f>
        <v>0</v>
      </c>
      <c r="CO711" s="19">
        <f>Table1[[#This Row],[Mid3]]+Table1[[#This Row],[Mid6]]+Table1[[#This Row],[Mid9]]</f>
        <v>0</v>
      </c>
      <c r="CP711" s="19">
        <f>Table1[[#This Row],[Mid12]]+Table1[[#This Row],[Mid15]]+Table1[[#This Row],[Mid18]]+Table1[[#This Row],[Mid21]]+Table1[[#This Row],[Mid24]]</f>
        <v>40</v>
      </c>
      <c r="CQ711" s="19">
        <f>Table1[[#This Row],[Mid27]]+Table1[[#This Row],[Mid30]]+Table1[[#This Row],[Mid33]]+Table1[[#This Row],[Mid36]]+Table1[[#This Row],[Mid39]]</f>
        <v>0</v>
      </c>
      <c r="CR711" t="s">
        <v>439</v>
      </c>
      <c r="CS711" s="19" t="str">
        <f>IF(AND(Table1[[#This Row],[Low41]]=0, Table1[[#This Row],[High43]]=0),"N","Y")</f>
        <v>N</v>
      </c>
    </row>
    <row r="712" spans="1:97" ht="19.5" customHeight="1" x14ac:dyDescent="0.25">
      <c r="A712">
        <v>10710</v>
      </c>
      <c r="B712" t="s">
        <v>1032</v>
      </c>
      <c r="C712" t="s">
        <v>1089</v>
      </c>
      <c r="D712">
        <v>-2.5469444440000002</v>
      </c>
      <c r="E712">
        <v>103.4030556</v>
      </c>
      <c r="F712" t="s">
        <v>2246</v>
      </c>
      <c r="G712" t="s">
        <v>1089</v>
      </c>
      <c r="H712" t="s">
        <v>252</v>
      </c>
      <c r="I712" t="s">
        <v>433</v>
      </c>
      <c r="J712" t="s">
        <v>202</v>
      </c>
      <c r="K712" t="s">
        <v>190</v>
      </c>
      <c r="L712" t="s">
        <v>204</v>
      </c>
      <c r="M712" t="s">
        <v>252</v>
      </c>
      <c r="N712" s="6" t="s">
        <v>2242</v>
      </c>
      <c r="P712" t="s">
        <v>170</v>
      </c>
      <c r="Q712" t="s">
        <v>255</v>
      </c>
      <c r="R712" t="s">
        <v>2243</v>
      </c>
      <c r="S712">
        <v>2013</v>
      </c>
      <c r="T712" t="s">
        <v>128</v>
      </c>
      <c r="U712" t="s">
        <v>129</v>
      </c>
      <c r="V712">
        <v>0</v>
      </c>
      <c r="W712">
        <v>0</v>
      </c>
      <c r="X712">
        <v>0</v>
      </c>
      <c r="Y712">
        <v>0</v>
      </c>
      <c r="Z712">
        <v>0</v>
      </c>
      <c r="AA712">
        <v>0</v>
      </c>
      <c r="AB712">
        <v>0</v>
      </c>
      <c r="AC712">
        <v>0</v>
      </c>
      <c r="AD712">
        <v>0</v>
      </c>
      <c r="AF712">
        <v>200</v>
      </c>
      <c r="AG712">
        <v>0</v>
      </c>
      <c r="AI712">
        <v>0</v>
      </c>
      <c r="AJ712">
        <v>0</v>
      </c>
      <c r="AK712">
        <v>0</v>
      </c>
      <c r="AL712">
        <v>0</v>
      </c>
      <c r="AM712" t="s">
        <v>1049</v>
      </c>
      <c r="AN712" t="s">
        <v>132</v>
      </c>
      <c r="AO712">
        <v>0</v>
      </c>
      <c r="AP712">
        <v>0</v>
      </c>
      <c r="AQ712">
        <v>0</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v>0</v>
      </c>
      <c r="BM712">
        <v>0</v>
      </c>
      <c r="BN712">
        <v>500</v>
      </c>
      <c r="BO712">
        <v>0</v>
      </c>
      <c r="BP712">
        <v>0</v>
      </c>
      <c r="BQ712">
        <v>0</v>
      </c>
      <c r="BR712">
        <v>0</v>
      </c>
      <c r="BS712">
        <v>0</v>
      </c>
      <c r="BT712">
        <v>0</v>
      </c>
      <c r="BU712">
        <v>0</v>
      </c>
      <c r="BV712">
        <v>0</v>
      </c>
      <c r="BW712">
        <v>0</v>
      </c>
      <c r="BX712">
        <v>0</v>
      </c>
      <c r="BY712">
        <v>0</v>
      </c>
      <c r="BZ712">
        <v>0</v>
      </c>
      <c r="CA712">
        <v>0</v>
      </c>
      <c r="CB712">
        <v>0</v>
      </c>
      <c r="CC712">
        <v>0</v>
      </c>
      <c r="CD712">
        <v>0</v>
      </c>
      <c r="CE71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12" s="19">
        <f>SUM(Table1[[#This Row],[Mid39]],Table1[[#This Row],[Mid36]],Table1[[#This Row],[Mid33]],Table1[[#This Row],[Mid30]],Table1[[#This Row],[Mid27]],Table1[[#This Row],[Mid24]],Table1[[#This Row],[Mid21]],Table1[[#This Row],[Mid18]],Table1[[#This Row],[Mid15]],Table1[[#This Row],[Mid12]],Table1[[#This Row],[Mid9]],Table1[[#This Row],[Mid6]],Table1[[#This Row],[Mid3]],Table1[[#This Row],[Mid]])</f>
        <v>500</v>
      </c>
      <c r="CG7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12" t="s">
        <v>157</v>
      </c>
      <c r="CI712" t="s">
        <v>176</v>
      </c>
      <c r="CJ712" t="s">
        <v>158</v>
      </c>
      <c r="CL712" s="19">
        <f>IF(Table1[[#This Row],[Type]]="Petroleum",1,IF(ISERROR(Table1[[#This Row],[Well Density]]*Table1[[#This Row],[Single Well Discovery Area]]),"",IF(Table1[[#This Row],[Well Density]]*Table1[[#This Row],[Single Well Discovery Area]]&gt;1,1,Table1[[#This Row],[Well Density]]*Table1[[#This Row],[Single Well Discovery Area]])))</f>
        <v>1</v>
      </c>
      <c r="CM712" t="s">
        <v>158</v>
      </c>
      <c r="CN712" s="19">
        <f>Table1[[#This Row],[Mid]]</f>
        <v>0</v>
      </c>
      <c r="CO712" s="19">
        <f>Table1[[#This Row],[Mid3]]+Table1[[#This Row],[Mid6]]+Table1[[#This Row],[Mid9]]</f>
        <v>0</v>
      </c>
      <c r="CP712" s="19">
        <f>Table1[[#This Row],[Mid12]]+Table1[[#This Row],[Mid15]]+Table1[[#This Row],[Mid18]]+Table1[[#This Row],[Mid21]]+Table1[[#This Row],[Mid24]]</f>
        <v>500</v>
      </c>
      <c r="CQ712" s="19">
        <f>Table1[[#This Row],[Mid27]]+Table1[[#This Row],[Mid30]]+Table1[[#This Row],[Mid33]]+Table1[[#This Row],[Mid36]]+Table1[[#This Row],[Mid39]]</f>
        <v>0</v>
      </c>
      <c r="CR712" t="s">
        <v>439</v>
      </c>
      <c r="CS712" s="19" t="str">
        <f>IF(AND(Table1[[#This Row],[Low41]]=0, Table1[[#This Row],[High43]]=0),"N","Y")</f>
        <v>N</v>
      </c>
    </row>
    <row r="713" spans="1:97" ht="19.5" customHeight="1" x14ac:dyDescent="0.25">
      <c r="A713">
        <v>10711</v>
      </c>
      <c r="B713" t="s">
        <v>1032</v>
      </c>
      <c r="C713" t="s">
        <v>1089</v>
      </c>
      <c r="D713">
        <v>-2.0941666670000001</v>
      </c>
      <c r="E713">
        <v>103.79111109999999</v>
      </c>
      <c r="F713" t="s">
        <v>2247</v>
      </c>
      <c r="G713" t="s">
        <v>1089</v>
      </c>
      <c r="H713" t="s">
        <v>252</v>
      </c>
      <c r="I713" t="s">
        <v>433</v>
      </c>
      <c r="J713" t="s">
        <v>202</v>
      </c>
      <c r="K713" t="s">
        <v>190</v>
      </c>
      <c r="L713" t="s">
        <v>204</v>
      </c>
      <c r="M713" t="s">
        <v>252</v>
      </c>
      <c r="N713" s="6" t="s">
        <v>2242</v>
      </c>
      <c r="P713" t="s">
        <v>170</v>
      </c>
      <c r="Q713" t="s">
        <v>255</v>
      </c>
      <c r="R713" t="s">
        <v>2243</v>
      </c>
      <c r="S713">
        <v>2013</v>
      </c>
      <c r="T713" t="s">
        <v>128</v>
      </c>
      <c r="U713" t="s">
        <v>129</v>
      </c>
      <c r="V713">
        <v>0</v>
      </c>
      <c r="W713">
        <v>0</v>
      </c>
      <c r="X713">
        <v>0</v>
      </c>
      <c r="Y713">
        <v>0</v>
      </c>
      <c r="Z713">
        <v>0</v>
      </c>
      <c r="AA713">
        <v>0</v>
      </c>
      <c r="AB713">
        <v>0</v>
      </c>
      <c r="AC713">
        <v>0</v>
      </c>
      <c r="AD713">
        <v>0</v>
      </c>
      <c r="AF713">
        <v>200</v>
      </c>
      <c r="AG713">
        <v>0</v>
      </c>
      <c r="AI713">
        <v>0</v>
      </c>
      <c r="AJ713">
        <v>0</v>
      </c>
      <c r="AK713">
        <v>0</v>
      </c>
      <c r="AL713">
        <v>0</v>
      </c>
      <c r="AM713" t="s">
        <v>1049</v>
      </c>
      <c r="AN713" t="s">
        <v>132</v>
      </c>
      <c r="AO713">
        <v>0</v>
      </c>
      <c r="AP713">
        <v>0</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0</v>
      </c>
      <c r="BL713">
        <v>0</v>
      </c>
      <c r="BM713">
        <v>0</v>
      </c>
      <c r="BN713">
        <v>25</v>
      </c>
      <c r="BO713">
        <v>0</v>
      </c>
      <c r="BP713">
        <v>0</v>
      </c>
      <c r="BQ713">
        <v>0</v>
      </c>
      <c r="BR713">
        <v>0</v>
      </c>
      <c r="BS713">
        <v>0</v>
      </c>
      <c r="BT713">
        <v>0</v>
      </c>
      <c r="BU713">
        <v>0</v>
      </c>
      <c r="BV713">
        <v>0</v>
      </c>
      <c r="BW713">
        <v>0</v>
      </c>
      <c r="BX713">
        <v>0</v>
      </c>
      <c r="BY713">
        <v>0</v>
      </c>
      <c r="BZ713">
        <v>0</v>
      </c>
      <c r="CA713">
        <v>0</v>
      </c>
      <c r="CB713">
        <v>0</v>
      </c>
      <c r="CC713">
        <v>0</v>
      </c>
      <c r="CD713">
        <v>0</v>
      </c>
      <c r="CE71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13" s="19">
        <f>SUM(Table1[[#This Row],[Mid39]],Table1[[#This Row],[Mid36]],Table1[[#This Row],[Mid33]],Table1[[#This Row],[Mid30]],Table1[[#This Row],[Mid27]],Table1[[#This Row],[Mid24]],Table1[[#This Row],[Mid21]],Table1[[#This Row],[Mid18]],Table1[[#This Row],[Mid15]],Table1[[#This Row],[Mid12]],Table1[[#This Row],[Mid9]],Table1[[#This Row],[Mid6]],Table1[[#This Row],[Mid3]],Table1[[#This Row],[Mid]])</f>
        <v>25</v>
      </c>
      <c r="CG7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13" t="s">
        <v>157</v>
      </c>
      <c r="CI713" t="s">
        <v>176</v>
      </c>
      <c r="CJ713" t="s">
        <v>158</v>
      </c>
      <c r="CL713" s="19">
        <f>IF(Table1[[#This Row],[Type]]="Petroleum",1,IF(ISERROR(Table1[[#This Row],[Well Density]]*Table1[[#This Row],[Single Well Discovery Area]]),"",IF(Table1[[#This Row],[Well Density]]*Table1[[#This Row],[Single Well Discovery Area]]&gt;1,1,Table1[[#This Row],[Well Density]]*Table1[[#This Row],[Single Well Discovery Area]])))</f>
        <v>1</v>
      </c>
      <c r="CM713" t="s">
        <v>158</v>
      </c>
      <c r="CN713" s="19">
        <f>Table1[[#This Row],[Mid]]</f>
        <v>0</v>
      </c>
      <c r="CO713" s="19">
        <f>Table1[[#This Row],[Mid3]]+Table1[[#This Row],[Mid6]]+Table1[[#This Row],[Mid9]]</f>
        <v>0</v>
      </c>
      <c r="CP713" s="19">
        <f>Table1[[#This Row],[Mid12]]+Table1[[#This Row],[Mid15]]+Table1[[#This Row],[Mid18]]+Table1[[#This Row],[Mid21]]+Table1[[#This Row],[Mid24]]</f>
        <v>25</v>
      </c>
      <c r="CQ713" s="19">
        <f>Table1[[#This Row],[Mid27]]+Table1[[#This Row],[Mid30]]+Table1[[#This Row],[Mid33]]+Table1[[#This Row],[Mid36]]+Table1[[#This Row],[Mid39]]</f>
        <v>0</v>
      </c>
      <c r="CR713" t="s">
        <v>439</v>
      </c>
      <c r="CS713" s="19" t="str">
        <f>IF(AND(Table1[[#This Row],[Low41]]=0, Table1[[#This Row],[High43]]=0),"N","Y")</f>
        <v>N</v>
      </c>
    </row>
    <row r="714" spans="1:97" ht="19.5" customHeight="1" x14ac:dyDescent="0.25">
      <c r="A714">
        <v>10712</v>
      </c>
      <c r="B714" t="s">
        <v>1032</v>
      </c>
      <c r="C714" t="s">
        <v>1089</v>
      </c>
      <c r="D714">
        <v>-2.3736111110000002</v>
      </c>
      <c r="E714">
        <v>103.5236111</v>
      </c>
      <c r="F714" t="s">
        <v>2248</v>
      </c>
      <c r="G714" t="s">
        <v>1089</v>
      </c>
      <c r="H714" t="s">
        <v>252</v>
      </c>
      <c r="I714" t="s">
        <v>433</v>
      </c>
      <c r="J714" t="s">
        <v>202</v>
      </c>
      <c r="K714" t="s">
        <v>190</v>
      </c>
      <c r="L714" t="s">
        <v>204</v>
      </c>
      <c r="M714" t="s">
        <v>252</v>
      </c>
      <c r="N714" s="6" t="s">
        <v>2242</v>
      </c>
      <c r="P714" t="s">
        <v>170</v>
      </c>
      <c r="Q714" t="s">
        <v>255</v>
      </c>
      <c r="R714" t="s">
        <v>2243</v>
      </c>
      <c r="S714">
        <v>2013</v>
      </c>
      <c r="T714" t="s">
        <v>128</v>
      </c>
      <c r="U714" t="s">
        <v>129</v>
      </c>
      <c r="V714">
        <v>0</v>
      </c>
      <c r="W714">
        <v>0</v>
      </c>
      <c r="X714">
        <v>0</v>
      </c>
      <c r="Y714">
        <v>0</v>
      </c>
      <c r="Z714">
        <v>0</v>
      </c>
      <c r="AA714">
        <v>0</v>
      </c>
      <c r="AB714">
        <v>0</v>
      </c>
      <c r="AC714">
        <v>0</v>
      </c>
      <c r="AD714">
        <v>0</v>
      </c>
      <c r="AF714">
        <v>200</v>
      </c>
      <c r="AG714">
        <v>0</v>
      </c>
      <c r="AI714">
        <v>0</v>
      </c>
      <c r="AJ714">
        <v>0</v>
      </c>
      <c r="AK714">
        <v>0</v>
      </c>
      <c r="AL714">
        <v>0</v>
      </c>
      <c r="AM714" t="s">
        <v>1049</v>
      </c>
      <c r="AN714" t="s">
        <v>132</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45</v>
      </c>
      <c r="BO714">
        <v>0</v>
      </c>
      <c r="BP714">
        <v>0</v>
      </c>
      <c r="BQ714">
        <v>0</v>
      </c>
      <c r="BR714">
        <v>0</v>
      </c>
      <c r="BS714">
        <v>0</v>
      </c>
      <c r="BT714">
        <v>0</v>
      </c>
      <c r="BU714">
        <v>0</v>
      </c>
      <c r="BV714">
        <v>0</v>
      </c>
      <c r="BW714">
        <v>0</v>
      </c>
      <c r="BX714">
        <v>0</v>
      </c>
      <c r="BY714">
        <v>0</v>
      </c>
      <c r="BZ714">
        <v>0</v>
      </c>
      <c r="CA714">
        <v>0</v>
      </c>
      <c r="CB714">
        <v>0</v>
      </c>
      <c r="CC714">
        <v>0</v>
      </c>
      <c r="CD714">
        <v>0</v>
      </c>
      <c r="CE71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14" s="19">
        <f>SUM(Table1[[#This Row],[Mid39]],Table1[[#This Row],[Mid36]],Table1[[#This Row],[Mid33]],Table1[[#This Row],[Mid30]],Table1[[#This Row],[Mid27]],Table1[[#This Row],[Mid24]],Table1[[#This Row],[Mid21]],Table1[[#This Row],[Mid18]],Table1[[#This Row],[Mid15]],Table1[[#This Row],[Mid12]],Table1[[#This Row],[Mid9]],Table1[[#This Row],[Mid6]],Table1[[#This Row],[Mid3]],Table1[[#This Row],[Mid]])</f>
        <v>45</v>
      </c>
      <c r="CG7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14" t="s">
        <v>157</v>
      </c>
      <c r="CI714" t="s">
        <v>176</v>
      </c>
      <c r="CJ714" t="s">
        <v>158</v>
      </c>
      <c r="CL714" s="19">
        <f>IF(Table1[[#This Row],[Type]]="Petroleum",1,IF(ISERROR(Table1[[#This Row],[Well Density]]*Table1[[#This Row],[Single Well Discovery Area]]),"",IF(Table1[[#This Row],[Well Density]]*Table1[[#This Row],[Single Well Discovery Area]]&gt;1,1,Table1[[#This Row],[Well Density]]*Table1[[#This Row],[Single Well Discovery Area]])))</f>
        <v>1</v>
      </c>
      <c r="CM714" t="s">
        <v>158</v>
      </c>
      <c r="CN714" s="19">
        <f>Table1[[#This Row],[Mid]]</f>
        <v>0</v>
      </c>
      <c r="CO714" s="19">
        <f>Table1[[#This Row],[Mid3]]+Table1[[#This Row],[Mid6]]+Table1[[#This Row],[Mid9]]</f>
        <v>0</v>
      </c>
      <c r="CP714" s="19">
        <f>Table1[[#This Row],[Mid12]]+Table1[[#This Row],[Mid15]]+Table1[[#This Row],[Mid18]]+Table1[[#This Row],[Mid21]]+Table1[[#This Row],[Mid24]]</f>
        <v>45</v>
      </c>
      <c r="CQ714" s="19">
        <f>Table1[[#This Row],[Mid27]]+Table1[[#This Row],[Mid30]]+Table1[[#This Row],[Mid33]]+Table1[[#This Row],[Mid36]]+Table1[[#This Row],[Mid39]]</f>
        <v>0</v>
      </c>
      <c r="CR714" t="s">
        <v>439</v>
      </c>
      <c r="CS714" s="19" t="str">
        <f>IF(AND(Table1[[#This Row],[Low41]]=0, Table1[[#This Row],[High43]]=0),"N","Y")</f>
        <v>N</v>
      </c>
    </row>
    <row r="715" spans="1:97" ht="19.5" customHeight="1" x14ac:dyDescent="0.25">
      <c r="A715">
        <v>10713</v>
      </c>
      <c r="B715" t="s">
        <v>1032</v>
      </c>
      <c r="C715" t="s">
        <v>1089</v>
      </c>
      <c r="D715">
        <v>-2.3058333329999998</v>
      </c>
      <c r="E715">
        <v>103.6147222</v>
      </c>
      <c r="F715" t="s">
        <v>2249</v>
      </c>
      <c r="G715" t="s">
        <v>1089</v>
      </c>
      <c r="H715" t="s">
        <v>252</v>
      </c>
      <c r="I715" t="s">
        <v>433</v>
      </c>
      <c r="J715" t="s">
        <v>202</v>
      </c>
      <c r="K715" t="s">
        <v>190</v>
      </c>
      <c r="L715" t="s">
        <v>204</v>
      </c>
      <c r="M715" t="s">
        <v>252</v>
      </c>
      <c r="N715" s="6" t="s">
        <v>2242</v>
      </c>
      <c r="P715" t="s">
        <v>170</v>
      </c>
      <c r="Q715" t="s">
        <v>255</v>
      </c>
      <c r="R715" t="s">
        <v>2243</v>
      </c>
      <c r="S715">
        <v>2013</v>
      </c>
      <c r="T715" t="s">
        <v>128</v>
      </c>
      <c r="U715" t="s">
        <v>129</v>
      </c>
      <c r="V715">
        <v>0</v>
      </c>
      <c r="W715">
        <v>0</v>
      </c>
      <c r="X715">
        <v>0</v>
      </c>
      <c r="Y715">
        <v>0</v>
      </c>
      <c r="Z715">
        <v>0</v>
      </c>
      <c r="AA715">
        <v>0</v>
      </c>
      <c r="AB715">
        <v>0</v>
      </c>
      <c r="AC715">
        <v>0</v>
      </c>
      <c r="AD715">
        <v>0</v>
      </c>
      <c r="AF715">
        <v>200</v>
      </c>
      <c r="AG715">
        <v>0</v>
      </c>
      <c r="AI715">
        <v>0</v>
      </c>
      <c r="AJ715">
        <v>0</v>
      </c>
      <c r="AK715">
        <v>0</v>
      </c>
      <c r="AL715">
        <v>0</v>
      </c>
      <c r="AM715" t="s">
        <v>1049</v>
      </c>
      <c r="AN715" t="s">
        <v>132</v>
      </c>
      <c r="AO715">
        <v>0</v>
      </c>
      <c r="AP715">
        <v>0</v>
      </c>
      <c r="AQ715">
        <v>0</v>
      </c>
      <c r="AR715">
        <v>0</v>
      </c>
      <c r="AS715">
        <v>0</v>
      </c>
      <c r="AT715">
        <v>0</v>
      </c>
      <c r="AU715">
        <v>0</v>
      </c>
      <c r="AV715">
        <v>0</v>
      </c>
      <c r="AW715">
        <v>0</v>
      </c>
      <c r="AX715">
        <v>0</v>
      </c>
      <c r="AY715">
        <v>0</v>
      </c>
      <c r="AZ715">
        <v>0</v>
      </c>
      <c r="BA715">
        <v>0</v>
      </c>
      <c r="BB715">
        <v>0</v>
      </c>
      <c r="BC715">
        <v>0</v>
      </c>
      <c r="BD715">
        <v>0</v>
      </c>
      <c r="BE715">
        <v>0</v>
      </c>
      <c r="BF715">
        <v>0</v>
      </c>
      <c r="BG715">
        <v>0</v>
      </c>
      <c r="BH715">
        <v>0</v>
      </c>
      <c r="BI715">
        <v>0</v>
      </c>
      <c r="BJ715">
        <v>0</v>
      </c>
      <c r="BK715">
        <v>0</v>
      </c>
      <c r="BL715">
        <v>0</v>
      </c>
      <c r="BM715">
        <v>0</v>
      </c>
      <c r="BN715">
        <v>80</v>
      </c>
      <c r="BO715">
        <v>0</v>
      </c>
      <c r="BP715">
        <v>0</v>
      </c>
      <c r="BQ715">
        <v>0</v>
      </c>
      <c r="BR715">
        <v>0</v>
      </c>
      <c r="BS715">
        <v>0</v>
      </c>
      <c r="BT715">
        <v>0</v>
      </c>
      <c r="BU715">
        <v>0</v>
      </c>
      <c r="BV715">
        <v>0</v>
      </c>
      <c r="BW715">
        <v>0</v>
      </c>
      <c r="BX715">
        <v>0</v>
      </c>
      <c r="BY715">
        <v>0</v>
      </c>
      <c r="BZ715">
        <v>0</v>
      </c>
      <c r="CA715">
        <v>0</v>
      </c>
      <c r="CB715">
        <v>0</v>
      </c>
      <c r="CC715">
        <v>0</v>
      </c>
      <c r="CD715">
        <v>0</v>
      </c>
      <c r="CE71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15" s="19">
        <f>SUM(Table1[[#This Row],[Mid39]],Table1[[#This Row],[Mid36]],Table1[[#This Row],[Mid33]],Table1[[#This Row],[Mid30]],Table1[[#This Row],[Mid27]],Table1[[#This Row],[Mid24]],Table1[[#This Row],[Mid21]],Table1[[#This Row],[Mid18]],Table1[[#This Row],[Mid15]],Table1[[#This Row],[Mid12]],Table1[[#This Row],[Mid9]],Table1[[#This Row],[Mid6]],Table1[[#This Row],[Mid3]],Table1[[#This Row],[Mid]])</f>
        <v>80</v>
      </c>
      <c r="CG7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15" t="s">
        <v>157</v>
      </c>
      <c r="CI715" t="s">
        <v>176</v>
      </c>
      <c r="CJ715" t="s">
        <v>158</v>
      </c>
      <c r="CL715" s="19">
        <f>IF(Table1[[#This Row],[Type]]="Petroleum",1,IF(ISERROR(Table1[[#This Row],[Well Density]]*Table1[[#This Row],[Single Well Discovery Area]]),"",IF(Table1[[#This Row],[Well Density]]*Table1[[#This Row],[Single Well Discovery Area]]&gt;1,1,Table1[[#This Row],[Well Density]]*Table1[[#This Row],[Single Well Discovery Area]])))</f>
        <v>1</v>
      </c>
      <c r="CM715" t="s">
        <v>158</v>
      </c>
      <c r="CN715" s="19">
        <f>Table1[[#This Row],[Mid]]</f>
        <v>0</v>
      </c>
      <c r="CO715" s="19">
        <f>Table1[[#This Row],[Mid3]]+Table1[[#This Row],[Mid6]]+Table1[[#This Row],[Mid9]]</f>
        <v>0</v>
      </c>
      <c r="CP715" s="19">
        <f>Table1[[#This Row],[Mid12]]+Table1[[#This Row],[Mid15]]+Table1[[#This Row],[Mid18]]+Table1[[#This Row],[Mid21]]+Table1[[#This Row],[Mid24]]</f>
        <v>80</v>
      </c>
      <c r="CQ715" s="19">
        <f>Table1[[#This Row],[Mid27]]+Table1[[#This Row],[Mid30]]+Table1[[#This Row],[Mid33]]+Table1[[#This Row],[Mid36]]+Table1[[#This Row],[Mid39]]</f>
        <v>0</v>
      </c>
      <c r="CR715" t="s">
        <v>439</v>
      </c>
      <c r="CS715" s="19" t="str">
        <f>IF(AND(Table1[[#This Row],[Low41]]=0, Table1[[#This Row],[High43]]=0),"N","Y")</f>
        <v>N</v>
      </c>
    </row>
    <row r="716" spans="1:97" ht="19.5" customHeight="1" x14ac:dyDescent="0.25">
      <c r="A716">
        <v>10714</v>
      </c>
      <c r="B716" t="s">
        <v>2250</v>
      </c>
      <c r="C716" t="s">
        <v>2251</v>
      </c>
      <c r="D716">
        <v>49.038611109999998</v>
      </c>
      <c r="E716">
        <v>55.730833330000003</v>
      </c>
      <c r="F716" t="s">
        <v>2252</v>
      </c>
      <c r="G716" t="s">
        <v>2253</v>
      </c>
      <c r="H716" t="s">
        <v>189</v>
      </c>
      <c r="I716" t="s">
        <v>520</v>
      </c>
      <c r="J716" t="s">
        <v>202</v>
      </c>
      <c r="K716" t="s">
        <v>190</v>
      </c>
      <c r="L716" t="s">
        <v>121</v>
      </c>
      <c r="N716" s="6" t="s">
        <v>2254</v>
      </c>
      <c r="O716" t="s">
        <v>2255</v>
      </c>
      <c r="P716" t="s">
        <v>436</v>
      </c>
      <c r="Q716" t="s">
        <v>195</v>
      </c>
      <c r="R716" t="s">
        <v>2256</v>
      </c>
      <c r="S716">
        <v>2020</v>
      </c>
      <c r="T716" t="s">
        <v>2257</v>
      </c>
      <c r="U716" t="s">
        <v>2258</v>
      </c>
      <c r="V716">
        <v>500000</v>
      </c>
      <c r="Z716">
        <v>20</v>
      </c>
      <c r="AA716">
        <v>30</v>
      </c>
      <c r="AC716">
        <v>754</v>
      </c>
      <c r="AE716">
        <v>0</v>
      </c>
      <c r="AF716">
        <v>200</v>
      </c>
      <c r="AH716" t="s">
        <v>2259</v>
      </c>
      <c r="AI716">
        <v>25</v>
      </c>
      <c r="AN716" t="s">
        <v>132</v>
      </c>
      <c r="BN716">
        <v>166.32</v>
      </c>
      <c r="CE71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16" s="19">
        <f>SUM(Table1[[#This Row],[Mid39]],Table1[[#This Row],[Mid36]],Table1[[#This Row],[Mid33]],Table1[[#This Row],[Mid30]],Table1[[#This Row],[Mid27]],Table1[[#This Row],[Mid24]],Table1[[#This Row],[Mid21]],Table1[[#This Row],[Mid18]],Table1[[#This Row],[Mid15]],Table1[[#This Row],[Mid12]],Table1[[#This Row],[Mid9]],Table1[[#This Row],[Mid6]],Table1[[#This Row],[Mid3]],Table1[[#This Row],[Mid]])</f>
        <v>166.32</v>
      </c>
      <c r="CG7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16" t="s">
        <v>157</v>
      </c>
      <c r="CI716" t="s">
        <v>134</v>
      </c>
      <c r="CJ716" t="s">
        <v>158</v>
      </c>
      <c r="CL716" s="19">
        <f>IF(Table1[[#This Row],[Type]]="Petroleum",1,IF(ISERROR(Table1[[#This Row],[Well Density]]*Table1[[#This Row],[Single Well Discovery Area]]),"",IF(Table1[[#This Row],[Well Density]]*Table1[[#This Row],[Single Well Discovery Area]]&gt;1,1,Table1[[#This Row],[Well Density]]*Table1[[#This Row],[Single Well Discovery Area]])))</f>
        <v>1</v>
      </c>
      <c r="CM716" t="s">
        <v>158</v>
      </c>
      <c r="CN716" s="19">
        <f>Table1[[#This Row],[Mid]]</f>
        <v>0</v>
      </c>
      <c r="CO716" s="19">
        <f>Table1[[#This Row],[Mid3]]+Table1[[#This Row],[Mid6]]+Table1[[#This Row],[Mid9]]</f>
        <v>0</v>
      </c>
      <c r="CP716" s="19">
        <f>Table1[[#This Row],[Mid12]]+Table1[[#This Row],[Mid15]]+Table1[[#This Row],[Mid18]]+Table1[[#This Row],[Mid21]]+Table1[[#This Row],[Mid24]]</f>
        <v>166.32</v>
      </c>
      <c r="CQ716" s="19">
        <f>Table1[[#This Row],[Mid27]]+Table1[[#This Row],[Mid30]]+Table1[[#This Row],[Mid33]]+Table1[[#This Row],[Mid36]]+Table1[[#This Row],[Mid39]]</f>
        <v>0</v>
      </c>
      <c r="CR716" t="s">
        <v>439</v>
      </c>
      <c r="CS716" s="19" t="str">
        <f>IF(AND(Table1[[#This Row],[Low41]]=0, Table1[[#This Row],[High43]]=0),"N","Y")</f>
        <v>N</v>
      </c>
    </row>
    <row r="717" spans="1:97" ht="19.5" customHeight="1" x14ac:dyDescent="0.25">
      <c r="A717">
        <v>10715</v>
      </c>
      <c r="B717" t="s">
        <v>2250</v>
      </c>
      <c r="C717" t="s">
        <v>2251</v>
      </c>
      <c r="D717">
        <v>49.038611109999998</v>
      </c>
      <c r="E717">
        <v>55.730833330000003</v>
      </c>
      <c r="F717" t="s">
        <v>2260</v>
      </c>
      <c r="G717" t="s">
        <v>2253</v>
      </c>
      <c r="H717" t="s">
        <v>189</v>
      </c>
      <c r="I717" t="s">
        <v>520</v>
      </c>
      <c r="J717" t="s">
        <v>202</v>
      </c>
      <c r="K717" t="s">
        <v>190</v>
      </c>
      <c r="L717" t="s">
        <v>121</v>
      </c>
      <c r="N717" s="6" t="s">
        <v>2254</v>
      </c>
      <c r="O717" t="s">
        <v>2255</v>
      </c>
      <c r="P717" t="s">
        <v>436</v>
      </c>
      <c r="Q717" t="s">
        <v>195</v>
      </c>
      <c r="R717" t="s">
        <v>2256</v>
      </c>
      <c r="S717">
        <v>2020</v>
      </c>
      <c r="T717" t="s">
        <v>2257</v>
      </c>
      <c r="U717" t="s">
        <v>2258</v>
      </c>
      <c r="V717">
        <v>500000</v>
      </c>
      <c r="Z717">
        <v>20</v>
      </c>
      <c r="AA717">
        <v>30</v>
      </c>
      <c r="AC717">
        <v>754</v>
      </c>
      <c r="AE717">
        <v>0</v>
      </c>
      <c r="AF717">
        <v>200</v>
      </c>
      <c r="AH717" t="s">
        <v>2259</v>
      </c>
      <c r="AI717">
        <v>63</v>
      </c>
      <c r="AN717" t="s">
        <v>132</v>
      </c>
      <c r="BN717">
        <v>875</v>
      </c>
      <c r="CE71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17" s="19">
        <f>SUM(Table1[[#This Row],[Mid39]],Table1[[#This Row],[Mid36]],Table1[[#This Row],[Mid33]],Table1[[#This Row],[Mid30]],Table1[[#This Row],[Mid27]],Table1[[#This Row],[Mid24]],Table1[[#This Row],[Mid21]],Table1[[#This Row],[Mid18]],Table1[[#This Row],[Mid15]],Table1[[#This Row],[Mid12]],Table1[[#This Row],[Mid9]],Table1[[#This Row],[Mid6]],Table1[[#This Row],[Mid3]],Table1[[#This Row],[Mid]])</f>
        <v>875</v>
      </c>
      <c r="CG7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17" t="s">
        <v>157</v>
      </c>
      <c r="CI717" t="s">
        <v>134</v>
      </c>
      <c r="CJ717" t="s">
        <v>158</v>
      </c>
      <c r="CL717" s="19">
        <f>IF(Table1[[#This Row],[Type]]="Petroleum",1,IF(ISERROR(Table1[[#This Row],[Well Density]]*Table1[[#This Row],[Single Well Discovery Area]]),"",IF(Table1[[#This Row],[Well Density]]*Table1[[#This Row],[Single Well Discovery Area]]&gt;1,1,Table1[[#This Row],[Well Density]]*Table1[[#This Row],[Single Well Discovery Area]])))</f>
        <v>1</v>
      </c>
      <c r="CM717" t="s">
        <v>158</v>
      </c>
      <c r="CN717" s="19">
        <f>Table1[[#This Row],[Mid]]</f>
        <v>0</v>
      </c>
      <c r="CO717" s="19">
        <f>Table1[[#This Row],[Mid3]]+Table1[[#This Row],[Mid6]]+Table1[[#This Row],[Mid9]]</f>
        <v>0</v>
      </c>
      <c r="CP717" s="19">
        <f>Table1[[#This Row],[Mid12]]+Table1[[#This Row],[Mid15]]+Table1[[#This Row],[Mid18]]+Table1[[#This Row],[Mid21]]+Table1[[#This Row],[Mid24]]</f>
        <v>875</v>
      </c>
      <c r="CQ717" s="19">
        <f>Table1[[#This Row],[Mid27]]+Table1[[#This Row],[Mid30]]+Table1[[#This Row],[Mid33]]+Table1[[#This Row],[Mid36]]+Table1[[#This Row],[Mid39]]</f>
        <v>0</v>
      </c>
      <c r="CR717" t="s">
        <v>439</v>
      </c>
      <c r="CS717" s="19" t="str">
        <f>IF(AND(Table1[[#This Row],[Low41]]=0, Table1[[#This Row],[High43]]=0),"N","Y")</f>
        <v>N</v>
      </c>
    </row>
    <row r="718" spans="1:97" ht="19.5" customHeight="1" x14ac:dyDescent="0.25">
      <c r="A718">
        <v>10716</v>
      </c>
      <c r="B718" t="s">
        <v>2250</v>
      </c>
      <c r="C718" t="s">
        <v>2251</v>
      </c>
      <c r="D718">
        <v>49.038611109999998</v>
      </c>
      <c r="E718">
        <v>55.730833330000003</v>
      </c>
      <c r="F718" t="s">
        <v>2261</v>
      </c>
      <c r="G718" t="s">
        <v>2253</v>
      </c>
      <c r="H718" t="s">
        <v>189</v>
      </c>
      <c r="I718" t="s">
        <v>118</v>
      </c>
      <c r="J718" t="s">
        <v>119</v>
      </c>
      <c r="K718" t="s">
        <v>190</v>
      </c>
      <c r="L718" t="s">
        <v>18</v>
      </c>
      <c r="M718" t="s">
        <v>2262</v>
      </c>
      <c r="N718" s="6" t="s">
        <v>2254</v>
      </c>
      <c r="O718" t="s">
        <v>2255</v>
      </c>
      <c r="P718" t="s">
        <v>436</v>
      </c>
      <c r="Q718" t="s">
        <v>195</v>
      </c>
      <c r="R718" t="s">
        <v>2263</v>
      </c>
      <c r="S718">
        <v>2020</v>
      </c>
      <c r="T718" t="s">
        <v>2257</v>
      </c>
      <c r="U718" t="s">
        <v>2258</v>
      </c>
      <c r="V718">
        <v>500000</v>
      </c>
      <c r="Z718">
        <v>30</v>
      </c>
      <c r="AA718">
        <v>30</v>
      </c>
      <c r="AC718">
        <v>710</v>
      </c>
      <c r="AE718">
        <v>0</v>
      </c>
      <c r="AF718">
        <v>200</v>
      </c>
      <c r="AH718" t="s">
        <v>2259</v>
      </c>
      <c r="AI718">
        <v>0.51</v>
      </c>
      <c r="AN718" t="s">
        <v>132</v>
      </c>
      <c r="CC718">
        <v>49970</v>
      </c>
      <c r="CE71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18" s="19">
        <f>SUM(Table1[[#This Row],[Mid39]],Table1[[#This Row],[Mid36]],Table1[[#This Row],[Mid33]],Table1[[#This Row],[Mid30]],Table1[[#This Row],[Mid27]],Table1[[#This Row],[Mid24]],Table1[[#This Row],[Mid21]],Table1[[#This Row],[Mid18]],Table1[[#This Row],[Mid15]],Table1[[#This Row],[Mid12]],Table1[[#This Row],[Mid9]],Table1[[#This Row],[Mid6]],Table1[[#This Row],[Mid3]],Table1[[#This Row],[Mid]])</f>
        <v>49970</v>
      </c>
      <c r="CG71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18" t="s">
        <v>157</v>
      </c>
      <c r="CI718" t="s">
        <v>134</v>
      </c>
      <c r="CJ718" t="s">
        <v>158</v>
      </c>
      <c r="CL718" s="19">
        <f>IF(Table1[[#This Row],[Type]]="Petroleum",1,IF(ISERROR(Table1[[#This Row],[Well Density]]*Table1[[#This Row],[Single Well Discovery Area]]),"",IF(Table1[[#This Row],[Well Density]]*Table1[[#This Row],[Single Well Discovery Area]]&gt;1,1,Table1[[#This Row],[Well Density]]*Table1[[#This Row],[Single Well Discovery Area]])))</f>
        <v>0</v>
      </c>
      <c r="CM718" t="s">
        <v>158</v>
      </c>
      <c r="CN718" s="19">
        <f>Table1[[#This Row],[Mid]]</f>
        <v>0</v>
      </c>
      <c r="CO718" s="19">
        <f>Table1[[#This Row],[Mid3]]+Table1[[#This Row],[Mid6]]+Table1[[#This Row],[Mid9]]</f>
        <v>0</v>
      </c>
      <c r="CP718" s="19">
        <f>Table1[[#This Row],[Mid12]]+Table1[[#This Row],[Mid15]]+Table1[[#This Row],[Mid18]]+Table1[[#This Row],[Mid21]]+Table1[[#This Row],[Mid24]]</f>
        <v>0</v>
      </c>
      <c r="CQ718" s="19">
        <f>Table1[[#This Row],[Mid27]]+Table1[[#This Row],[Mid30]]+Table1[[#This Row],[Mid33]]+Table1[[#This Row],[Mid36]]+Table1[[#This Row],[Mid39]]</f>
        <v>49970</v>
      </c>
      <c r="CR718" t="s">
        <v>439</v>
      </c>
      <c r="CS718" s="19" t="str">
        <f>IF(AND(Table1[[#This Row],[Low41]]=0, Table1[[#This Row],[High43]]=0),"N","Y")</f>
        <v>N</v>
      </c>
    </row>
    <row r="719" spans="1:97" ht="19.5" customHeight="1" x14ac:dyDescent="0.25">
      <c r="A719">
        <v>10717</v>
      </c>
      <c r="B719" t="s">
        <v>2250</v>
      </c>
      <c r="C719" t="s">
        <v>2251</v>
      </c>
      <c r="D719">
        <v>49.038611109999998</v>
      </c>
      <c r="E719">
        <v>55.730833330000003</v>
      </c>
      <c r="F719" t="s">
        <v>2264</v>
      </c>
      <c r="G719" t="s">
        <v>2253</v>
      </c>
      <c r="H719" t="s">
        <v>189</v>
      </c>
      <c r="I719" t="s">
        <v>118</v>
      </c>
      <c r="J719" t="s">
        <v>119</v>
      </c>
      <c r="K719" t="s">
        <v>190</v>
      </c>
      <c r="L719" t="s">
        <v>18</v>
      </c>
      <c r="M719" t="s">
        <v>1444</v>
      </c>
      <c r="N719" s="6" t="s">
        <v>2254</v>
      </c>
      <c r="O719" t="s">
        <v>2255</v>
      </c>
      <c r="P719" t="s">
        <v>436</v>
      </c>
      <c r="Q719" t="s">
        <v>195</v>
      </c>
      <c r="R719" t="s">
        <v>2263</v>
      </c>
      <c r="S719">
        <v>2020</v>
      </c>
      <c r="T719" t="s">
        <v>2257</v>
      </c>
      <c r="U719" t="s">
        <v>2258</v>
      </c>
      <c r="V719">
        <v>500000</v>
      </c>
      <c r="Z719">
        <v>30</v>
      </c>
      <c r="AC719">
        <v>750</v>
      </c>
      <c r="AE719">
        <v>0</v>
      </c>
      <c r="AF719">
        <v>200</v>
      </c>
      <c r="AH719" t="s">
        <v>2259</v>
      </c>
      <c r="AI719">
        <v>0.51</v>
      </c>
      <c r="AN719" t="s">
        <v>132</v>
      </c>
      <c r="CC719">
        <v>97538</v>
      </c>
      <c r="CE71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19" s="19">
        <f>SUM(Table1[[#This Row],[Mid39]],Table1[[#This Row],[Mid36]],Table1[[#This Row],[Mid33]],Table1[[#This Row],[Mid30]],Table1[[#This Row],[Mid27]],Table1[[#This Row],[Mid24]],Table1[[#This Row],[Mid21]],Table1[[#This Row],[Mid18]],Table1[[#This Row],[Mid15]],Table1[[#This Row],[Mid12]],Table1[[#This Row],[Mid9]],Table1[[#This Row],[Mid6]],Table1[[#This Row],[Mid3]],Table1[[#This Row],[Mid]])</f>
        <v>97538</v>
      </c>
      <c r="CG7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19" t="s">
        <v>157</v>
      </c>
      <c r="CI719" t="s">
        <v>134</v>
      </c>
      <c r="CJ719" t="s">
        <v>158</v>
      </c>
      <c r="CL719" s="19">
        <f>IF(Table1[[#This Row],[Type]]="Petroleum",1,IF(ISERROR(Table1[[#This Row],[Well Density]]*Table1[[#This Row],[Single Well Discovery Area]]),"",IF(Table1[[#This Row],[Well Density]]*Table1[[#This Row],[Single Well Discovery Area]]&gt;1,1,Table1[[#This Row],[Well Density]]*Table1[[#This Row],[Single Well Discovery Area]])))</f>
        <v>0</v>
      </c>
      <c r="CM719" t="s">
        <v>158</v>
      </c>
      <c r="CN719" s="19">
        <f>Table1[[#This Row],[Mid]]</f>
        <v>0</v>
      </c>
      <c r="CO719" s="19">
        <f>Table1[[#This Row],[Mid3]]+Table1[[#This Row],[Mid6]]+Table1[[#This Row],[Mid9]]</f>
        <v>0</v>
      </c>
      <c r="CP719" s="19">
        <f>Table1[[#This Row],[Mid12]]+Table1[[#This Row],[Mid15]]+Table1[[#This Row],[Mid18]]+Table1[[#This Row],[Mid21]]+Table1[[#This Row],[Mid24]]</f>
        <v>0</v>
      </c>
      <c r="CQ719" s="19">
        <f>Table1[[#This Row],[Mid27]]+Table1[[#This Row],[Mid30]]+Table1[[#This Row],[Mid33]]+Table1[[#This Row],[Mid36]]+Table1[[#This Row],[Mid39]]</f>
        <v>97538</v>
      </c>
      <c r="CR719" t="s">
        <v>439</v>
      </c>
      <c r="CS719" s="19" t="str">
        <f>IF(AND(Table1[[#This Row],[Low41]]=0, Table1[[#This Row],[High43]]=0),"N","Y")</f>
        <v>N</v>
      </c>
    </row>
    <row r="720" spans="1:97" ht="19.5" customHeight="1" x14ac:dyDescent="0.25">
      <c r="A720">
        <v>10718</v>
      </c>
      <c r="B720" t="s">
        <v>2250</v>
      </c>
      <c r="C720" t="s">
        <v>2251</v>
      </c>
      <c r="D720">
        <v>49.038611109999998</v>
      </c>
      <c r="E720">
        <v>55.730833330000003</v>
      </c>
      <c r="F720" t="s">
        <v>2265</v>
      </c>
      <c r="G720" t="s">
        <v>2253</v>
      </c>
      <c r="H720" t="s">
        <v>189</v>
      </c>
      <c r="I720" t="s">
        <v>118</v>
      </c>
      <c r="J720" t="s">
        <v>119</v>
      </c>
      <c r="K720" t="s">
        <v>190</v>
      </c>
      <c r="L720" t="s">
        <v>18</v>
      </c>
      <c r="M720" t="s">
        <v>412</v>
      </c>
      <c r="N720" s="6" t="s">
        <v>2254</v>
      </c>
      <c r="O720" t="s">
        <v>2255</v>
      </c>
      <c r="P720" t="s">
        <v>436</v>
      </c>
      <c r="Q720" t="s">
        <v>195</v>
      </c>
      <c r="R720" t="s">
        <v>2263</v>
      </c>
      <c r="S720">
        <v>2020</v>
      </c>
      <c r="T720" t="s">
        <v>2257</v>
      </c>
      <c r="U720" t="s">
        <v>2258</v>
      </c>
      <c r="V720">
        <v>500000</v>
      </c>
      <c r="Z720">
        <v>25.5</v>
      </c>
      <c r="AC720">
        <v>740</v>
      </c>
      <c r="AE720">
        <v>0</v>
      </c>
      <c r="AF720">
        <v>200</v>
      </c>
      <c r="AH720" t="s">
        <v>2259</v>
      </c>
      <c r="AI720">
        <v>0.51</v>
      </c>
      <c r="AN720" t="s">
        <v>132</v>
      </c>
      <c r="CC720">
        <v>178038</v>
      </c>
      <c r="CE72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20" s="19">
        <f>SUM(Table1[[#This Row],[Mid39]],Table1[[#This Row],[Mid36]],Table1[[#This Row],[Mid33]],Table1[[#This Row],[Mid30]],Table1[[#This Row],[Mid27]],Table1[[#This Row],[Mid24]],Table1[[#This Row],[Mid21]],Table1[[#This Row],[Mid18]],Table1[[#This Row],[Mid15]],Table1[[#This Row],[Mid12]],Table1[[#This Row],[Mid9]],Table1[[#This Row],[Mid6]],Table1[[#This Row],[Mid3]],Table1[[#This Row],[Mid]])</f>
        <v>178038</v>
      </c>
      <c r="CG7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20" t="s">
        <v>157</v>
      </c>
      <c r="CI720" t="s">
        <v>134</v>
      </c>
      <c r="CJ720" t="s">
        <v>158</v>
      </c>
      <c r="CL720" s="19">
        <f>IF(Table1[[#This Row],[Type]]="Petroleum",1,IF(ISERROR(Table1[[#This Row],[Well Density]]*Table1[[#This Row],[Single Well Discovery Area]]),"",IF(Table1[[#This Row],[Well Density]]*Table1[[#This Row],[Single Well Discovery Area]]&gt;1,1,Table1[[#This Row],[Well Density]]*Table1[[#This Row],[Single Well Discovery Area]])))</f>
        <v>0</v>
      </c>
      <c r="CM720" t="s">
        <v>158</v>
      </c>
      <c r="CN720" s="19">
        <f>Table1[[#This Row],[Mid]]</f>
        <v>0</v>
      </c>
      <c r="CO720" s="19">
        <f>Table1[[#This Row],[Mid3]]+Table1[[#This Row],[Mid6]]+Table1[[#This Row],[Mid9]]</f>
        <v>0</v>
      </c>
      <c r="CP720" s="19">
        <f>Table1[[#This Row],[Mid12]]+Table1[[#This Row],[Mid15]]+Table1[[#This Row],[Mid18]]+Table1[[#This Row],[Mid21]]+Table1[[#This Row],[Mid24]]</f>
        <v>0</v>
      </c>
      <c r="CQ720" s="19">
        <f>Table1[[#This Row],[Mid27]]+Table1[[#This Row],[Mid30]]+Table1[[#This Row],[Mid33]]+Table1[[#This Row],[Mid36]]+Table1[[#This Row],[Mid39]]</f>
        <v>178038</v>
      </c>
      <c r="CR720" t="s">
        <v>439</v>
      </c>
      <c r="CS720" s="19" t="str">
        <f>IF(AND(Table1[[#This Row],[Low41]]=0, Table1[[#This Row],[High43]]=0),"N","Y")</f>
        <v>N</v>
      </c>
    </row>
    <row r="721" spans="1:97" ht="19.5" customHeight="1" x14ac:dyDescent="0.25">
      <c r="A721">
        <v>10719</v>
      </c>
      <c r="B721" t="s">
        <v>2250</v>
      </c>
      <c r="C721" t="s">
        <v>2251</v>
      </c>
      <c r="D721">
        <v>49.038611109999998</v>
      </c>
      <c r="E721">
        <v>55.730833330000003</v>
      </c>
      <c r="F721" t="s">
        <v>2266</v>
      </c>
      <c r="G721" t="s">
        <v>2253</v>
      </c>
      <c r="H721" t="s">
        <v>189</v>
      </c>
      <c r="I721" t="s">
        <v>118</v>
      </c>
      <c r="J721" t="s">
        <v>119</v>
      </c>
      <c r="K721" t="s">
        <v>190</v>
      </c>
      <c r="L721" t="s">
        <v>18</v>
      </c>
      <c r="M721" t="s">
        <v>1689</v>
      </c>
      <c r="N721" s="6" t="s">
        <v>2254</v>
      </c>
      <c r="O721" t="s">
        <v>2255</v>
      </c>
      <c r="P721" t="s">
        <v>436</v>
      </c>
      <c r="Q721" t="s">
        <v>195</v>
      </c>
      <c r="R721" t="s">
        <v>2263</v>
      </c>
      <c r="S721">
        <v>2020</v>
      </c>
      <c r="T721" t="s">
        <v>2257</v>
      </c>
      <c r="U721" t="s">
        <v>2258</v>
      </c>
      <c r="V721">
        <v>500000</v>
      </c>
      <c r="Z721">
        <v>8</v>
      </c>
      <c r="AC721">
        <v>770</v>
      </c>
      <c r="AE721">
        <v>0</v>
      </c>
      <c r="AF721">
        <v>200</v>
      </c>
      <c r="AH721" t="s">
        <v>2259</v>
      </c>
      <c r="AI721">
        <v>0.52</v>
      </c>
      <c r="AN721" t="s">
        <v>132</v>
      </c>
      <c r="CC721">
        <v>27848</v>
      </c>
      <c r="CE72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21" s="19">
        <f>SUM(Table1[[#This Row],[Mid39]],Table1[[#This Row],[Mid36]],Table1[[#This Row],[Mid33]],Table1[[#This Row],[Mid30]],Table1[[#This Row],[Mid27]],Table1[[#This Row],[Mid24]],Table1[[#This Row],[Mid21]],Table1[[#This Row],[Mid18]],Table1[[#This Row],[Mid15]],Table1[[#This Row],[Mid12]],Table1[[#This Row],[Mid9]],Table1[[#This Row],[Mid6]],Table1[[#This Row],[Mid3]],Table1[[#This Row],[Mid]])</f>
        <v>27848</v>
      </c>
      <c r="CG7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21" t="s">
        <v>157</v>
      </c>
      <c r="CI721" t="s">
        <v>134</v>
      </c>
      <c r="CJ721" t="s">
        <v>158</v>
      </c>
      <c r="CL721" s="19">
        <f>IF(Table1[[#This Row],[Type]]="Petroleum",1,IF(ISERROR(Table1[[#This Row],[Well Density]]*Table1[[#This Row],[Single Well Discovery Area]]),"",IF(Table1[[#This Row],[Well Density]]*Table1[[#This Row],[Single Well Discovery Area]]&gt;1,1,Table1[[#This Row],[Well Density]]*Table1[[#This Row],[Single Well Discovery Area]])))</f>
        <v>0</v>
      </c>
      <c r="CM721" t="s">
        <v>158</v>
      </c>
      <c r="CN721" s="19">
        <f>Table1[[#This Row],[Mid]]</f>
        <v>0</v>
      </c>
      <c r="CO721" s="19">
        <f>Table1[[#This Row],[Mid3]]+Table1[[#This Row],[Mid6]]+Table1[[#This Row],[Mid9]]</f>
        <v>0</v>
      </c>
      <c r="CP721" s="19">
        <f>Table1[[#This Row],[Mid12]]+Table1[[#This Row],[Mid15]]+Table1[[#This Row],[Mid18]]+Table1[[#This Row],[Mid21]]+Table1[[#This Row],[Mid24]]</f>
        <v>0</v>
      </c>
      <c r="CQ721" s="19">
        <f>Table1[[#This Row],[Mid27]]+Table1[[#This Row],[Mid30]]+Table1[[#This Row],[Mid33]]+Table1[[#This Row],[Mid36]]+Table1[[#This Row],[Mid39]]</f>
        <v>27848</v>
      </c>
      <c r="CR721" t="s">
        <v>439</v>
      </c>
      <c r="CS721" s="19" t="str">
        <f>IF(AND(Table1[[#This Row],[Low41]]=0, Table1[[#This Row],[High43]]=0),"N","Y")</f>
        <v>N</v>
      </c>
    </row>
    <row r="722" spans="1:97" ht="19.5" customHeight="1" x14ac:dyDescent="0.25">
      <c r="A722">
        <v>10720</v>
      </c>
      <c r="B722" t="s">
        <v>2250</v>
      </c>
      <c r="C722" t="s">
        <v>2251</v>
      </c>
      <c r="D722">
        <v>49.038611109999998</v>
      </c>
      <c r="E722">
        <v>55.730833330000003</v>
      </c>
      <c r="F722" t="s">
        <v>2267</v>
      </c>
      <c r="G722" t="s">
        <v>2253</v>
      </c>
      <c r="H722" t="s">
        <v>189</v>
      </c>
      <c r="I722" t="s">
        <v>118</v>
      </c>
      <c r="J722" t="s">
        <v>119</v>
      </c>
      <c r="K722" t="s">
        <v>190</v>
      </c>
      <c r="L722" t="s">
        <v>18</v>
      </c>
      <c r="M722" t="s">
        <v>616</v>
      </c>
      <c r="N722" s="6" t="s">
        <v>2254</v>
      </c>
      <c r="O722" t="s">
        <v>2255</v>
      </c>
      <c r="P722" t="s">
        <v>436</v>
      </c>
      <c r="Q722" t="s">
        <v>195</v>
      </c>
      <c r="R722" t="s">
        <v>2263</v>
      </c>
      <c r="S722">
        <v>2020</v>
      </c>
      <c r="T722" t="s">
        <v>2257</v>
      </c>
      <c r="U722" t="s">
        <v>2258</v>
      </c>
      <c r="V722">
        <v>500000</v>
      </c>
      <c r="Z722">
        <v>8</v>
      </c>
      <c r="AC722">
        <v>800</v>
      </c>
      <c r="AE722">
        <v>0</v>
      </c>
      <c r="AF722">
        <v>200</v>
      </c>
      <c r="AH722" t="s">
        <v>2259</v>
      </c>
      <c r="AI722">
        <v>0.52</v>
      </c>
      <c r="AN722" t="s">
        <v>132</v>
      </c>
      <c r="CC722">
        <v>107467</v>
      </c>
      <c r="CE72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22" s="19">
        <f>SUM(Table1[[#This Row],[Mid39]],Table1[[#This Row],[Mid36]],Table1[[#This Row],[Mid33]],Table1[[#This Row],[Mid30]],Table1[[#This Row],[Mid27]],Table1[[#This Row],[Mid24]],Table1[[#This Row],[Mid21]],Table1[[#This Row],[Mid18]],Table1[[#This Row],[Mid15]],Table1[[#This Row],[Mid12]],Table1[[#This Row],[Mid9]],Table1[[#This Row],[Mid6]],Table1[[#This Row],[Mid3]],Table1[[#This Row],[Mid]])</f>
        <v>107467</v>
      </c>
      <c r="CG7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22" t="s">
        <v>157</v>
      </c>
      <c r="CI722" t="s">
        <v>134</v>
      </c>
      <c r="CJ722" t="s">
        <v>158</v>
      </c>
      <c r="CL722" s="19">
        <f>IF(Table1[[#This Row],[Type]]="Petroleum",1,IF(ISERROR(Table1[[#This Row],[Well Density]]*Table1[[#This Row],[Single Well Discovery Area]]),"",IF(Table1[[#This Row],[Well Density]]*Table1[[#This Row],[Single Well Discovery Area]]&gt;1,1,Table1[[#This Row],[Well Density]]*Table1[[#This Row],[Single Well Discovery Area]])))</f>
        <v>0</v>
      </c>
      <c r="CM722" t="s">
        <v>158</v>
      </c>
      <c r="CN722" s="19">
        <f>Table1[[#This Row],[Mid]]</f>
        <v>0</v>
      </c>
      <c r="CO722" s="19">
        <f>Table1[[#This Row],[Mid3]]+Table1[[#This Row],[Mid6]]+Table1[[#This Row],[Mid9]]</f>
        <v>0</v>
      </c>
      <c r="CP722" s="19">
        <f>Table1[[#This Row],[Mid12]]+Table1[[#This Row],[Mid15]]+Table1[[#This Row],[Mid18]]+Table1[[#This Row],[Mid21]]+Table1[[#This Row],[Mid24]]</f>
        <v>0</v>
      </c>
      <c r="CQ722" s="19">
        <f>Table1[[#This Row],[Mid27]]+Table1[[#This Row],[Mid30]]+Table1[[#This Row],[Mid33]]+Table1[[#This Row],[Mid36]]+Table1[[#This Row],[Mid39]]</f>
        <v>107467</v>
      </c>
      <c r="CR722" t="s">
        <v>439</v>
      </c>
      <c r="CS722" s="19" t="str">
        <f>IF(AND(Table1[[#This Row],[Low41]]=0, Table1[[#This Row],[High43]]=0),"N","Y")</f>
        <v>N</v>
      </c>
    </row>
    <row r="723" spans="1:97" ht="19.5" customHeight="1" x14ac:dyDescent="0.25">
      <c r="A723">
        <v>10721</v>
      </c>
      <c r="B723" t="s">
        <v>2250</v>
      </c>
      <c r="C723" t="s">
        <v>2268</v>
      </c>
      <c r="D723">
        <v>43.268611110000002</v>
      </c>
      <c r="E723">
        <v>52.203611109999997</v>
      </c>
      <c r="F723" t="s">
        <v>2269</v>
      </c>
      <c r="G723" t="s">
        <v>2270</v>
      </c>
      <c r="H723" t="s">
        <v>189</v>
      </c>
      <c r="I723" t="s">
        <v>520</v>
      </c>
      <c r="J723" t="s">
        <v>202</v>
      </c>
      <c r="K723" t="s">
        <v>190</v>
      </c>
      <c r="L723" t="s">
        <v>121</v>
      </c>
      <c r="N723" s="6" t="s">
        <v>2254</v>
      </c>
      <c r="O723" t="s">
        <v>2255</v>
      </c>
      <c r="P723" t="s">
        <v>436</v>
      </c>
      <c r="Q723" t="s">
        <v>195</v>
      </c>
      <c r="R723" t="s">
        <v>2271</v>
      </c>
      <c r="S723">
        <v>2020</v>
      </c>
      <c r="T723" t="s">
        <v>2257</v>
      </c>
      <c r="U723" t="s">
        <v>2258</v>
      </c>
      <c r="V723">
        <v>75000</v>
      </c>
      <c r="AC723">
        <v>570</v>
      </c>
      <c r="AE723">
        <v>0</v>
      </c>
      <c r="AF723">
        <v>200</v>
      </c>
      <c r="AH723" t="s">
        <v>2259</v>
      </c>
      <c r="AI723">
        <v>63</v>
      </c>
      <c r="AN723" t="s">
        <v>132</v>
      </c>
      <c r="BN723">
        <v>25</v>
      </c>
      <c r="CE72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23" s="19">
        <f>SUM(Table1[[#This Row],[Mid39]],Table1[[#This Row],[Mid36]],Table1[[#This Row],[Mid33]],Table1[[#This Row],[Mid30]],Table1[[#This Row],[Mid27]],Table1[[#This Row],[Mid24]],Table1[[#This Row],[Mid21]],Table1[[#This Row],[Mid18]],Table1[[#This Row],[Mid15]],Table1[[#This Row],[Mid12]],Table1[[#This Row],[Mid9]],Table1[[#This Row],[Mid6]],Table1[[#This Row],[Mid3]],Table1[[#This Row],[Mid]])</f>
        <v>25</v>
      </c>
      <c r="CG7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23" t="s">
        <v>157</v>
      </c>
      <c r="CI723" t="s">
        <v>134</v>
      </c>
      <c r="CJ723" t="s">
        <v>158</v>
      </c>
      <c r="CL723" s="19">
        <f>IF(Table1[[#This Row],[Type]]="Petroleum",1,IF(ISERROR(Table1[[#This Row],[Well Density]]*Table1[[#This Row],[Single Well Discovery Area]]),"",IF(Table1[[#This Row],[Well Density]]*Table1[[#This Row],[Single Well Discovery Area]]&gt;1,1,Table1[[#This Row],[Well Density]]*Table1[[#This Row],[Single Well Discovery Area]])))</f>
        <v>1</v>
      </c>
      <c r="CM723" t="s">
        <v>158</v>
      </c>
      <c r="CN723" s="19">
        <f>Table1[[#This Row],[Mid]]</f>
        <v>0</v>
      </c>
      <c r="CO723" s="19">
        <f>Table1[[#This Row],[Mid3]]+Table1[[#This Row],[Mid6]]+Table1[[#This Row],[Mid9]]</f>
        <v>0</v>
      </c>
      <c r="CP723" s="19">
        <f>Table1[[#This Row],[Mid12]]+Table1[[#This Row],[Mid15]]+Table1[[#This Row],[Mid18]]+Table1[[#This Row],[Mid21]]+Table1[[#This Row],[Mid24]]</f>
        <v>25</v>
      </c>
      <c r="CQ723" s="19">
        <f>Table1[[#This Row],[Mid27]]+Table1[[#This Row],[Mid30]]+Table1[[#This Row],[Mid33]]+Table1[[#This Row],[Mid36]]+Table1[[#This Row],[Mid39]]</f>
        <v>0</v>
      </c>
      <c r="CR723" t="s">
        <v>439</v>
      </c>
      <c r="CS723" s="19" t="str">
        <f>IF(AND(Table1[[#This Row],[Low41]]=0, Table1[[#This Row],[High43]]=0),"N","Y")</f>
        <v>N</v>
      </c>
    </row>
    <row r="724" spans="1:97" ht="19.5" customHeight="1" x14ac:dyDescent="0.25">
      <c r="A724">
        <v>10722</v>
      </c>
      <c r="B724" t="s">
        <v>2250</v>
      </c>
      <c r="C724" t="s">
        <v>2268</v>
      </c>
      <c r="D724">
        <v>43.268611110000002</v>
      </c>
      <c r="E724">
        <v>52.203611109999997</v>
      </c>
      <c r="F724" t="s">
        <v>2272</v>
      </c>
      <c r="G724" t="s">
        <v>2270</v>
      </c>
      <c r="H724" t="s">
        <v>189</v>
      </c>
      <c r="I724" t="s">
        <v>118</v>
      </c>
      <c r="J724" t="s">
        <v>119</v>
      </c>
      <c r="K724" t="s">
        <v>190</v>
      </c>
      <c r="L724" t="s">
        <v>18</v>
      </c>
      <c r="M724" t="s">
        <v>1408</v>
      </c>
      <c r="N724" s="6" t="s">
        <v>2254</v>
      </c>
      <c r="O724" t="s">
        <v>2255</v>
      </c>
      <c r="P724" t="s">
        <v>436</v>
      </c>
      <c r="Q724" t="s">
        <v>195</v>
      </c>
      <c r="R724" t="s">
        <v>2263</v>
      </c>
      <c r="S724">
        <v>2020</v>
      </c>
      <c r="T724" t="s">
        <v>2257</v>
      </c>
      <c r="U724" t="s">
        <v>2258</v>
      </c>
      <c r="V724">
        <v>75000</v>
      </c>
      <c r="Z724">
        <v>18.3</v>
      </c>
      <c r="AC724">
        <v>550</v>
      </c>
      <c r="AE724">
        <v>0</v>
      </c>
      <c r="AF724">
        <v>200</v>
      </c>
      <c r="AH724" t="s">
        <v>2259</v>
      </c>
      <c r="AI724">
        <v>0.51</v>
      </c>
      <c r="AN724" t="s">
        <v>132</v>
      </c>
      <c r="CC724">
        <v>37434</v>
      </c>
      <c r="CE72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24" s="19">
        <f>SUM(Table1[[#This Row],[Mid39]],Table1[[#This Row],[Mid36]],Table1[[#This Row],[Mid33]],Table1[[#This Row],[Mid30]],Table1[[#This Row],[Mid27]],Table1[[#This Row],[Mid24]],Table1[[#This Row],[Mid21]],Table1[[#This Row],[Mid18]],Table1[[#This Row],[Mid15]],Table1[[#This Row],[Mid12]],Table1[[#This Row],[Mid9]],Table1[[#This Row],[Mid6]],Table1[[#This Row],[Mid3]],Table1[[#This Row],[Mid]])</f>
        <v>37434</v>
      </c>
      <c r="CG7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24" t="s">
        <v>157</v>
      </c>
      <c r="CI724" t="s">
        <v>134</v>
      </c>
      <c r="CJ724" t="s">
        <v>158</v>
      </c>
      <c r="CL724" s="19">
        <f>IF(Table1[[#This Row],[Type]]="Petroleum",1,IF(ISERROR(Table1[[#This Row],[Well Density]]*Table1[[#This Row],[Single Well Discovery Area]]),"",IF(Table1[[#This Row],[Well Density]]*Table1[[#This Row],[Single Well Discovery Area]]&gt;1,1,Table1[[#This Row],[Well Density]]*Table1[[#This Row],[Single Well Discovery Area]])))</f>
        <v>0</v>
      </c>
      <c r="CM724" t="s">
        <v>158</v>
      </c>
      <c r="CN724" s="19">
        <f>Table1[[#This Row],[Mid]]</f>
        <v>0</v>
      </c>
      <c r="CO724" s="19">
        <f>Table1[[#This Row],[Mid3]]+Table1[[#This Row],[Mid6]]+Table1[[#This Row],[Mid9]]</f>
        <v>0</v>
      </c>
      <c r="CP724" s="19">
        <f>Table1[[#This Row],[Mid12]]+Table1[[#This Row],[Mid15]]+Table1[[#This Row],[Mid18]]+Table1[[#This Row],[Mid21]]+Table1[[#This Row],[Mid24]]</f>
        <v>0</v>
      </c>
      <c r="CQ724" s="19">
        <f>Table1[[#This Row],[Mid27]]+Table1[[#This Row],[Mid30]]+Table1[[#This Row],[Mid33]]+Table1[[#This Row],[Mid36]]+Table1[[#This Row],[Mid39]]</f>
        <v>37434</v>
      </c>
      <c r="CR724" t="s">
        <v>439</v>
      </c>
      <c r="CS724" s="19" t="str">
        <f>IF(AND(Table1[[#This Row],[Low41]]=0, Table1[[#This Row],[High43]]=0),"N","Y")</f>
        <v>N</v>
      </c>
    </row>
    <row r="725" spans="1:97" ht="19.5" customHeight="1" x14ac:dyDescent="0.25">
      <c r="A725">
        <v>10723</v>
      </c>
      <c r="B725" t="s">
        <v>2250</v>
      </c>
      <c r="C725" t="s">
        <v>2268</v>
      </c>
      <c r="D725">
        <v>43.268611110000002</v>
      </c>
      <c r="E725">
        <v>52.203611109999997</v>
      </c>
      <c r="F725" t="s">
        <v>2273</v>
      </c>
      <c r="G725" t="s">
        <v>2270</v>
      </c>
      <c r="H725" t="s">
        <v>189</v>
      </c>
      <c r="I725" t="s">
        <v>118</v>
      </c>
      <c r="J725" t="s">
        <v>119</v>
      </c>
      <c r="K725" t="s">
        <v>190</v>
      </c>
      <c r="L725" t="s">
        <v>18</v>
      </c>
      <c r="M725" t="s">
        <v>412</v>
      </c>
      <c r="N725" s="6" t="s">
        <v>2254</v>
      </c>
      <c r="O725" t="s">
        <v>2255</v>
      </c>
      <c r="P725" t="s">
        <v>436</v>
      </c>
      <c r="Q725" t="s">
        <v>195</v>
      </c>
      <c r="R725" t="s">
        <v>2263</v>
      </c>
      <c r="S725">
        <v>2020</v>
      </c>
      <c r="T725" t="s">
        <v>2257</v>
      </c>
      <c r="U725" t="s">
        <v>2258</v>
      </c>
      <c r="V725">
        <v>75000</v>
      </c>
      <c r="Z725">
        <v>11.8</v>
      </c>
      <c r="AC725">
        <v>590</v>
      </c>
      <c r="AE725">
        <v>0</v>
      </c>
      <c r="AF725">
        <v>200</v>
      </c>
      <c r="AH725" t="s">
        <v>2259</v>
      </c>
      <c r="AI725">
        <v>0.52</v>
      </c>
      <c r="AN725" t="s">
        <v>132</v>
      </c>
      <c r="CC725">
        <v>5373</v>
      </c>
      <c r="CE72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25" s="19">
        <f>SUM(Table1[[#This Row],[Mid39]],Table1[[#This Row],[Mid36]],Table1[[#This Row],[Mid33]],Table1[[#This Row],[Mid30]],Table1[[#This Row],[Mid27]],Table1[[#This Row],[Mid24]],Table1[[#This Row],[Mid21]],Table1[[#This Row],[Mid18]],Table1[[#This Row],[Mid15]],Table1[[#This Row],[Mid12]],Table1[[#This Row],[Mid9]],Table1[[#This Row],[Mid6]],Table1[[#This Row],[Mid3]],Table1[[#This Row],[Mid]])</f>
        <v>5373</v>
      </c>
      <c r="CG7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25" t="s">
        <v>157</v>
      </c>
      <c r="CI725" t="s">
        <v>134</v>
      </c>
      <c r="CJ725" t="s">
        <v>158</v>
      </c>
      <c r="CL725" s="19">
        <f>IF(Table1[[#This Row],[Type]]="Petroleum",1,IF(ISERROR(Table1[[#This Row],[Well Density]]*Table1[[#This Row],[Single Well Discovery Area]]),"",IF(Table1[[#This Row],[Well Density]]*Table1[[#This Row],[Single Well Discovery Area]]&gt;1,1,Table1[[#This Row],[Well Density]]*Table1[[#This Row],[Single Well Discovery Area]])))</f>
        <v>0</v>
      </c>
      <c r="CM725" t="s">
        <v>158</v>
      </c>
      <c r="CN725" s="19">
        <f>Table1[[#This Row],[Mid]]</f>
        <v>0</v>
      </c>
      <c r="CO725" s="19">
        <f>Table1[[#This Row],[Mid3]]+Table1[[#This Row],[Mid6]]+Table1[[#This Row],[Mid9]]</f>
        <v>0</v>
      </c>
      <c r="CP725" s="19">
        <f>Table1[[#This Row],[Mid12]]+Table1[[#This Row],[Mid15]]+Table1[[#This Row],[Mid18]]+Table1[[#This Row],[Mid21]]+Table1[[#This Row],[Mid24]]</f>
        <v>0</v>
      </c>
      <c r="CQ725" s="19">
        <f>Table1[[#This Row],[Mid27]]+Table1[[#This Row],[Mid30]]+Table1[[#This Row],[Mid33]]+Table1[[#This Row],[Mid36]]+Table1[[#This Row],[Mid39]]</f>
        <v>5373</v>
      </c>
      <c r="CR725" t="s">
        <v>439</v>
      </c>
      <c r="CS725" s="19" t="str">
        <f>IF(AND(Table1[[#This Row],[Low41]]=0, Table1[[#This Row],[High43]]=0),"N","Y")</f>
        <v>N</v>
      </c>
    </row>
    <row r="726" spans="1:97" ht="19.5" customHeight="1" x14ac:dyDescent="0.25">
      <c r="A726">
        <v>10724</v>
      </c>
      <c r="B726" t="s">
        <v>2250</v>
      </c>
      <c r="C726" t="s">
        <v>2274</v>
      </c>
      <c r="D726">
        <v>46.607222219999997</v>
      </c>
      <c r="E726">
        <v>65.703055559999996</v>
      </c>
      <c r="F726" t="s">
        <v>2275</v>
      </c>
      <c r="G726" t="s">
        <v>2276</v>
      </c>
      <c r="H726" t="s">
        <v>189</v>
      </c>
      <c r="I726" t="s">
        <v>520</v>
      </c>
      <c r="J726" t="s">
        <v>202</v>
      </c>
      <c r="K726" t="s">
        <v>190</v>
      </c>
      <c r="L726" t="s">
        <v>121</v>
      </c>
      <c r="N726" s="6" t="s">
        <v>2254</v>
      </c>
      <c r="O726" t="s">
        <v>2255</v>
      </c>
      <c r="P726" t="s">
        <v>436</v>
      </c>
      <c r="Q726" t="s">
        <v>195</v>
      </c>
      <c r="R726" t="s">
        <v>2277</v>
      </c>
      <c r="S726">
        <v>2020</v>
      </c>
      <c r="T726" t="s">
        <v>2257</v>
      </c>
      <c r="U726" t="s">
        <v>2258</v>
      </c>
      <c r="V726">
        <v>80000</v>
      </c>
      <c r="AC726">
        <v>540</v>
      </c>
      <c r="AE726">
        <v>0</v>
      </c>
      <c r="AF726">
        <v>200</v>
      </c>
      <c r="AH726" t="s">
        <v>2259</v>
      </c>
      <c r="AI726">
        <v>63</v>
      </c>
      <c r="AN726" t="s">
        <v>132</v>
      </c>
      <c r="BN726">
        <v>22</v>
      </c>
      <c r="CE72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26" s="19">
        <f>SUM(Table1[[#This Row],[Mid39]],Table1[[#This Row],[Mid36]],Table1[[#This Row],[Mid33]],Table1[[#This Row],[Mid30]],Table1[[#This Row],[Mid27]],Table1[[#This Row],[Mid24]],Table1[[#This Row],[Mid21]],Table1[[#This Row],[Mid18]],Table1[[#This Row],[Mid15]],Table1[[#This Row],[Mid12]],Table1[[#This Row],[Mid9]],Table1[[#This Row],[Mid6]],Table1[[#This Row],[Mid3]],Table1[[#This Row],[Mid]])</f>
        <v>22</v>
      </c>
      <c r="CG7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26" t="s">
        <v>157</v>
      </c>
      <c r="CI726" t="s">
        <v>134</v>
      </c>
      <c r="CJ726" t="s">
        <v>158</v>
      </c>
      <c r="CL726" s="19">
        <f>IF(Table1[[#This Row],[Type]]="Petroleum",1,IF(ISERROR(Table1[[#This Row],[Well Density]]*Table1[[#This Row],[Single Well Discovery Area]]),"",IF(Table1[[#This Row],[Well Density]]*Table1[[#This Row],[Single Well Discovery Area]]&gt;1,1,Table1[[#This Row],[Well Density]]*Table1[[#This Row],[Single Well Discovery Area]])))</f>
        <v>1</v>
      </c>
      <c r="CM726" t="s">
        <v>158</v>
      </c>
      <c r="CN726" s="19">
        <f>Table1[[#This Row],[Mid]]</f>
        <v>0</v>
      </c>
      <c r="CO726" s="19">
        <f>Table1[[#This Row],[Mid3]]+Table1[[#This Row],[Mid6]]+Table1[[#This Row],[Mid9]]</f>
        <v>0</v>
      </c>
      <c r="CP726" s="19">
        <f>Table1[[#This Row],[Mid12]]+Table1[[#This Row],[Mid15]]+Table1[[#This Row],[Mid18]]+Table1[[#This Row],[Mid21]]+Table1[[#This Row],[Mid24]]</f>
        <v>22</v>
      </c>
      <c r="CQ726" s="19">
        <f>Table1[[#This Row],[Mid27]]+Table1[[#This Row],[Mid30]]+Table1[[#This Row],[Mid33]]+Table1[[#This Row],[Mid36]]+Table1[[#This Row],[Mid39]]</f>
        <v>0</v>
      </c>
      <c r="CR726" t="s">
        <v>439</v>
      </c>
      <c r="CS726" s="19" t="str">
        <f>IF(AND(Table1[[#This Row],[Low41]]=0, Table1[[#This Row],[High43]]=0),"N","Y")</f>
        <v>N</v>
      </c>
    </row>
    <row r="727" spans="1:97" ht="19.5" customHeight="1" x14ac:dyDescent="0.25">
      <c r="A727">
        <v>10725</v>
      </c>
      <c r="B727" t="s">
        <v>2250</v>
      </c>
      <c r="C727" t="s">
        <v>2274</v>
      </c>
      <c r="D727">
        <v>46.607222219999997</v>
      </c>
      <c r="E727">
        <v>65.703055559999996</v>
      </c>
      <c r="F727" t="s">
        <v>2278</v>
      </c>
      <c r="G727" t="s">
        <v>2276</v>
      </c>
      <c r="H727" t="s">
        <v>189</v>
      </c>
      <c r="I727" t="s">
        <v>118</v>
      </c>
      <c r="J727" t="s">
        <v>119</v>
      </c>
      <c r="K727" t="s">
        <v>190</v>
      </c>
      <c r="L727" t="s">
        <v>18</v>
      </c>
      <c r="M727" t="s">
        <v>1499</v>
      </c>
      <c r="N727" s="6" t="s">
        <v>2254</v>
      </c>
      <c r="O727" t="s">
        <v>2255</v>
      </c>
      <c r="P727" t="s">
        <v>436</v>
      </c>
      <c r="Q727" t="s">
        <v>195</v>
      </c>
      <c r="R727" t="s">
        <v>2263</v>
      </c>
      <c r="S727">
        <v>2020</v>
      </c>
      <c r="T727" t="s">
        <v>2257</v>
      </c>
      <c r="U727" t="s">
        <v>2258</v>
      </c>
      <c r="V727">
        <v>80000</v>
      </c>
      <c r="Z727">
        <v>19.100000000000001</v>
      </c>
      <c r="AC727">
        <v>540</v>
      </c>
      <c r="AE727">
        <v>0</v>
      </c>
      <c r="AF727">
        <v>200</v>
      </c>
      <c r="AH727" t="s">
        <v>2259</v>
      </c>
      <c r="AI727">
        <v>0.51</v>
      </c>
      <c r="AN727" t="s">
        <v>132</v>
      </c>
      <c r="CC727">
        <v>5176</v>
      </c>
      <c r="CE72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27" s="19">
        <f>SUM(Table1[[#This Row],[Mid39]],Table1[[#This Row],[Mid36]],Table1[[#This Row],[Mid33]],Table1[[#This Row],[Mid30]],Table1[[#This Row],[Mid27]],Table1[[#This Row],[Mid24]],Table1[[#This Row],[Mid21]],Table1[[#This Row],[Mid18]],Table1[[#This Row],[Mid15]],Table1[[#This Row],[Mid12]],Table1[[#This Row],[Mid9]],Table1[[#This Row],[Mid6]],Table1[[#This Row],[Mid3]],Table1[[#This Row],[Mid]])</f>
        <v>5176</v>
      </c>
      <c r="CG7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27" t="s">
        <v>157</v>
      </c>
      <c r="CI727" t="s">
        <v>134</v>
      </c>
      <c r="CJ727" t="s">
        <v>158</v>
      </c>
      <c r="CL727" s="19">
        <f>IF(Table1[[#This Row],[Type]]="Petroleum",1,IF(ISERROR(Table1[[#This Row],[Well Density]]*Table1[[#This Row],[Single Well Discovery Area]]),"",IF(Table1[[#This Row],[Well Density]]*Table1[[#This Row],[Single Well Discovery Area]]&gt;1,1,Table1[[#This Row],[Well Density]]*Table1[[#This Row],[Single Well Discovery Area]])))</f>
        <v>0</v>
      </c>
      <c r="CM727" t="s">
        <v>158</v>
      </c>
      <c r="CN727" s="19">
        <f>Table1[[#This Row],[Mid]]</f>
        <v>0</v>
      </c>
      <c r="CO727" s="19">
        <f>Table1[[#This Row],[Mid3]]+Table1[[#This Row],[Mid6]]+Table1[[#This Row],[Mid9]]</f>
        <v>0</v>
      </c>
      <c r="CP727" s="19">
        <f>Table1[[#This Row],[Mid12]]+Table1[[#This Row],[Mid15]]+Table1[[#This Row],[Mid18]]+Table1[[#This Row],[Mid21]]+Table1[[#This Row],[Mid24]]</f>
        <v>0</v>
      </c>
      <c r="CQ727" s="19">
        <f>Table1[[#This Row],[Mid27]]+Table1[[#This Row],[Mid30]]+Table1[[#This Row],[Mid33]]+Table1[[#This Row],[Mid36]]+Table1[[#This Row],[Mid39]]</f>
        <v>5176</v>
      </c>
      <c r="CR727" t="s">
        <v>439</v>
      </c>
      <c r="CS727" s="19" t="str">
        <f>IF(AND(Table1[[#This Row],[Low41]]=0, Table1[[#This Row],[High43]]=0),"N","Y")</f>
        <v>N</v>
      </c>
    </row>
    <row r="728" spans="1:97" ht="19.5" customHeight="1" x14ac:dyDescent="0.25">
      <c r="A728">
        <v>10726</v>
      </c>
      <c r="B728" t="s">
        <v>2250</v>
      </c>
      <c r="C728" t="s">
        <v>2279</v>
      </c>
      <c r="D728">
        <v>45.823333329999997</v>
      </c>
      <c r="E728">
        <v>53.766111109999997</v>
      </c>
      <c r="F728" t="s">
        <v>2280</v>
      </c>
      <c r="G728" t="s">
        <v>2281</v>
      </c>
      <c r="H728" t="s">
        <v>189</v>
      </c>
      <c r="I728" t="s">
        <v>520</v>
      </c>
      <c r="J728" t="s">
        <v>202</v>
      </c>
      <c r="K728" t="s">
        <v>190</v>
      </c>
      <c r="L728" t="s">
        <v>121</v>
      </c>
      <c r="N728" s="6" t="s">
        <v>2254</v>
      </c>
      <c r="O728" t="s">
        <v>2255</v>
      </c>
      <c r="P728" t="s">
        <v>436</v>
      </c>
      <c r="Q728" t="s">
        <v>195</v>
      </c>
      <c r="R728" t="s">
        <v>2282</v>
      </c>
      <c r="S728">
        <v>2020</v>
      </c>
      <c r="T728" t="s">
        <v>2257</v>
      </c>
      <c r="U728" t="s">
        <v>2258</v>
      </c>
      <c r="V728">
        <v>145000</v>
      </c>
      <c r="AC728">
        <v>690</v>
      </c>
      <c r="AE728">
        <v>0</v>
      </c>
      <c r="AF728">
        <v>200</v>
      </c>
      <c r="AH728" t="s">
        <v>2259</v>
      </c>
      <c r="AI728">
        <v>63</v>
      </c>
      <c r="AN728" t="s">
        <v>132</v>
      </c>
      <c r="BN728">
        <v>31</v>
      </c>
      <c r="CE72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28" s="19">
        <f>SUM(Table1[[#This Row],[Mid39]],Table1[[#This Row],[Mid36]],Table1[[#This Row],[Mid33]],Table1[[#This Row],[Mid30]],Table1[[#This Row],[Mid27]],Table1[[#This Row],[Mid24]],Table1[[#This Row],[Mid21]],Table1[[#This Row],[Mid18]],Table1[[#This Row],[Mid15]],Table1[[#This Row],[Mid12]],Table1[[#This Row],[Mid9]],Table1[[#This Row],[Mid6]],Table1[[#This Row],[Mid3]],Table1[[#This Row],[Mid]])</f>
        <v>31</v>
      </c>
      <c r="CG7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28" t="s">
        <v>157</v>
      </c>
      <c r="CI728" t="s">
        <v>134</v>
      </c>
      <c r="CJ728" t="s">
        <v>158</v>
      </c>
      <c r="CL728" s="19">
        <f>IF(Table1[[#This Row],[Type]]="Petroleum",1,IF(ISERROR(Table1[[#This Row],[Well Density]]*Table1[[#This Row],[Single Well Discovery Area]]),"",IF(Table1[[#This Row],[Well Density]]*Table1[[#This Row],[Single Well Discovery Area]]&gt;1,1,Table1[[#This Row],[Well Density]]*Table1[[#This Row],[Single Well Discovery Area]])))</f>
        <v>1</v>
      </c>
      <c r="CM728" t="s">
        <v>158</v>
      </c>
      <c r="CN728" s="19">
        <f>Table1[[#This Row],[Mid]]</f>
        <v>0</v>
      </c>
      <c r="CO728" s="19">
        <f>Table1[[#This Row],[Mid3]]+Table1[[#This Row],[Mid6]]+Table1[[#This Row],[Mid9]]</f>
        <v>0</v>
      </c>
      <c r="CP728" s="19">
        <f>Table1[[#This Row],[Mid12]]+Table1[[#This Row],[Mid15]]+Table1[[#This Row],[Mid18]]+Table1[[#This Row],[Mid21]]+Table1[[#This Row],[Mid24]]</f>
        <v>31</v>
      </c>
      <c r="CQ728" s="19">
        <f>Table1[[#This Row],[Mid27]]+Table1[[#This Row],[Mid30]]+Table1[[#This Row],[Mid33]]+Table1[[#This Row],[Mid36]]+Table1[[#This Row],[Mid39]]</f>
        <v>0</v>
      </c>
      <c r="CR728" t="s">
        <v>439</v>
      </c>
      <c r="CS728" s="19" t="str">
        <f>IF(AND(Table1[[#This Row],[Low41]]=0, Table1[[#This Row],[High43]]=0),"N","Y")</f>
        <v>N</v>
      </c>
    </row>
    <row r="729" spans="1:97" ht="19.5" customHeight="1" x14ac:dyDescent="0.25">
      <c r="A729">
        <v>10727</v>
      </c>
      <c r="B729" t="s">
        <v>2250</v>
      </c>
      <c r="C729" t="s">
        <v>2279</v>
      </c>
      <c r="D729">
        <v>45.823333329999997</v>
      </c>
      <c r="E729">
        <v>53.766111109999997</v>
      </c>
      <c r="F729" t="s">
        <v>2283</v>
      </c>
      <c r="G729" t="s">
        <v>2281</v>
      </c>
      <c r="H729" t="s">
        <v>189</v>
      </c>
      <c r="I729" t="s">
        <v>118</v>
      </c>
      <c r="J729" t="s">
        <v>119</v>
      </c>
      <c r="K729" t="s">
        <v>190</v>
      </c>
      <c r="L729" t="s">
        <v>18</v>
      </c>
      <c r="M729" t="s">
        <v>1444</v>
      </c>
      <c r="N729" s="6" t="s">
        <v>2254</v>
      </c>
      <c r="O729" t="s">
        <v>2255</v>
      </c>
      <c r="P729" t="s">
        <v>436</v>
      </c>
      <c r="Q729" t="s">
        <v>195</v>
      </c>
      <c r="R729" t="s">
        <v>2263</v>
      </c>
      <c r="S729">
        <v>2020</v>
      </c>
      <c r="T729" t="s">
        <v>2257</v>
      </c>
      <c r="U729" t="s">
        <v>2258</v>
      </c>
      <c r="V729">
        <v>21400</v>
      </c>
      <c r="Z729">
        <v>25.5</v>
      </c>
      <c r="AC729">
        <v>690</v>
      </c>
      <c r="AE729">
        <v>0</v>
      </c>
      <c r="AF729">
        <v>200</v>
      </c>
      <c r="AH729" t="s">
        <v>2259</v>
      </c>
      <c r="AI729">
        <v>0.51</v>
      </c>
      <c r="AN729" t="s">
        <v>132</v>
      </c>
      <c r="CC729">
        <v>4609</v>
      </c>
      <c r="CE72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29" s="19">
        <f>SUM(Table1[[#This Row],[Mid39]],Table1[[#This Row],[Mid36]],Table1[[#This Row],[Mid33]],Table1[[#This Row],[Mid30]],Table1[[#This Row],[Mid27]],Table1[[#This Row],[Mid24]],Table1[[#This Row],[Mid21]],Table1[[#This Row],[Mid18]],Table1[[#This Row],[Mid15]],Table1[[#This Row],[Mid12]],Table1[[#This Row],[Mid9]],Table1[[#This Row],[Mid6]],Table1[[#This Row],[Mid3]],Table1[[#This Row],[Mid]])</f>
        <v>4609</v>
      </c>
      <c r="CG7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29" t="s">
        <v>157</v>
      </c>
      <c r="CI729" t="s">
        <v>134</v>
      </c>
      <c r="CJ729" t="s">
        <v>158</v>
      </c>
      <c r="CL729" s="19">
        <f>IF(Table1[[#This Row],[Type]]="Petroleum",1,IF(ISERROR(Table1[[#This Row],[Well Density]]*Table1[[#This Row],[Single Well Discovery Area]]),"",IF(Table1[[#This Row],[Well Density]]*Table1[[#This Row],[Single Well Discovery Area]]&gt;1,1,Table1[[#This Row],[Well Density]]*Table1[[#This Row],[Single Well Discovery Area]])))</f>
        <v>0</v>
      </c>
      <c r="CM729" t="s">
        <v>158</v>
      </c>
      <c r="CN729" s="19">
        <f>Table1[[#This Row],[Mid]]</f>
        <v>0</v>
      </c>
      <c r="CO729" s="19">
        <f>Table1[[#This Row],[Mid3]]+Table1[[#This Row],[Mid6]]+Table1[[#This Row],[Mid9]]</f>
        <v>0</v>
      </c>
      <c r="CP729" s="19">
        <f>Table1[[#This Row],[Mid12]]+Table1[[#This Row],[Mid15]]+Table1[[#This Row],[Mid18]]+Table1[[#This Row],[Mid21]]+Table1[[#This Row],[Mid24]]</f>
        <v>0</v>
      </c>
      <c r="CQ729" s="19">
        <f>Table1[[#This Row],[Mid27]]+Table1[[#This Row],[Mid30]]+Table1[[#This Row],[Mid33]]+Table1[[#This Row],[Mid36]]+Table1[[#This Row],[Mid39]]</f>
        <v>4609</v>
      </c>
      <c r="CR729" t="s">
        <v>439</v>
      </c>
      <c r="CS729" s="19" t="str">
        <f>IF(AND(Table1[[#This Row],[Low41]]=0, Table1[[#This Row],[High43]]=0),"N","Y")</f>
        <v>N</v>
      </c>
    </row>
    <row r="730" spans="1:97" ht="19.5" customHeight="1" x14ac:dyDescent="0.25">
      <c r="A730">
        <v>10728</v>
      </c>
      <c r="B730" t="s">
        <v>2250</v>
      </c>
      <c r="C730" t="s">
        <v>2279</v>
      </c>
      <c r="D730">
        <v>45.823333329999997</v>
      </c>
      <c r="E730">
        <v>53.766111109999997</v>
      </c>
      <c r="F730" t="s">
        <v>2284</v>
      </c>
      <c r="G730" t="s">
        <v>2281</v>
      </c>
      <c r="H730" t="s">
        <v>189</v>
      </c>
      <c r="I730" t="s">
        <v>118</v>
      </c>
      <c r="J730" t="s">
        <v>119</v>
      </c>
      <c r="K730" t="s">
        <v>190</v>
      </c>
      <c r="L730" t="s">
        <v>18</v>
      </c>
      <c r="M730" t="s">
        <v>1444</v>
      </c>
      <c r="N730" s="6" t="s">
        <v>2254</v>
      </c>
      <c r="O730" t="s">
        <v>2255</v>
      </c>
      <c r="P730" t="s">
        <v>436</v>
      </c>
      <c r="Q730" t="s">
        <v>195</v>
      </c>
      <c r="R730" t="s">
        <v>2263</v>
      </c>
      <c r="S730">
        <v>2020</v>
      </c>
      <c r="T730" t="s">
        <v>2257</v>
      </c>
      <c r="U730" t="s">
        <v>2258</v>
      </c>
      <c r="V730">
        <v>123600</v>
      </c>
      <c r="Z730">
        <v>11</v>
      </c>
      <c r="AC730">
        <v>690</v>
      </c>
      <c r="AE730">
        <v>0</v>
      </c>
      <c r="AF730">
        <v>200</v>
      </c>
      <c r="AH730" t="s">
        <v>2259</v>
      </c>
      <c r="AI730">
        <v>0.51</v>
      </c>
      <c r="AN730" t="s">
        <v>132</v>
      </c>
      <c r="CC730">
        <v>23922</v>
      </c>
      <c r="CE73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30" s="19">
        <f>SUM(Table1[[#This Row],[Mid39]],Table1[[#This Row],[Mid36]],Table1[[#This Row],[Mid33]],Table1[[#This Row],[Mid30]],Table1[[#This Row],[Mid27]],Table1[[#This Row],[Mid24]],Table1[[#This Row],[Mid21]],Table1[[#This Row],[Mid18]],Table1[[#This Row],[Mid15]],Table1[[#This Row],[Mid12]],Table1[[#This Row],[Mid9]],Table1[[#This Row],[Mid6]],Table1[[#This Row],[Mid3]],Table1[[#This Row],[Mid]])</f>
        <v>23922</v>
      </c>
      <c r="CG7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30" t="s">
        <v>157</v>
      </c>
      <c r="CI730" t="s">
        <v>134</v>
      </c>
      <c r="CJ730" t="s">
        <v>158</v>
      </c>
      <c r="CL730" s="19">
        <f>IF(Table1[[#This Row],[Type]]="Petroleum",1,IF(ISERROR(Table1[[#This Row],[Well Density]]*Table1[[#This Row],[Single Well Discovery Area]]),"",IF(Table1[[#This Row],[Well Density]]*Table1[[#This Row],[Single Well Discovery Area]]&gt;1,1,Table1[[#This Row],[Well Density]]*Table1[[#This Row],[Single Well Discovery Area]])))</f>
        <v>0</v>
      </c>
      <c r="CM730" t="s">
        <v>158</v>
      </c>
      <c r="CN730" s="19">
        <f>Table1[[#This Row],[Mid]]</f>
        <v>0</v>
      </c>
      <c r="CO730" s="19">
        <f>Table1[[#This Row],[Mid3]]+Table1[[#This Row],[Mid6]]+Table1[[#This Row],[Mid9]]</f>
        <v>0</v>
      </c>
      <c r="CP730" s="19">
        <f>Table1[[#This Row],[Mid12]]+Table1[[#This Row],[Mid15]]+Table1[[#This Row],[Mid18]]+Table1[[#This Row],[Mid21]]+Table1[[#This Row],[Mid24]]</f>
        <v>0</v>
      </c>
      <c r="CQ730" s="19">
        <f>Table1[[#This Row],[Mid27]]+Table1[[#This Row],[Mid30]]+Table1[[#This Row],[Mid33]]+Table1[[#This Row],[Mid36]]+Table1[[#This Row],[Mid39]]</f>
        <v>23922</v>
      </c>
      <c r="CR730" t="s">
        <v>439</v>
      </c>
      <c r="CS730" s="19" t="str">
        <f>IF(AND(Table1[[#This Row],[Low41]]=0, Table1[[#This Row],[High43]]=0),"N","Y")</f>
        <v>N</v>
      </c>
    </row>
    <row r="731" spans="1:97" ht="19.5" customHeight="1" x14ac:dyDescent="0.25">
      <c r="A731">
        <v>10729</v>
      </c>
      <c r="B731" t="s">
        <v>2250</v>
      </c>
      <c r="C731" t="s">
        <v>2285</v>
      </c>
      <c r="D731">
        <v>44.186111109999999</v>
      </c>
      <c r="E731">
        <v>71.35083333</v>
      </c>
      <c r="F731" t="s">
        <v>2286</v>
      </c>
      <c r="G731" t="s">
        <v>2287</v>
      </c>
      <c r="H731" t="s">
        <v>189</v>
      </c>
      <c r="I731" t="s">
        <v>520</v>
      </c>
      <c r="J731" t="s">
        <v>202</v>
      </c>
      <c r="K731" t="s">
        <v>190</v>
      </c>
      <c r="L731" t="s">
        <v>121</v>
      </c>
      <c r="N731" s="6" t="s">
        <v>2254</v>
      </c>
      <c r="O731" t="s">
        <v>2255</v>
      </c>
      <c r="P731" t="s">
        <v>436</v>
      </c>
      <c r="Q731" t="s">
        <v>195</v>
      </c>
      <c r="R731" t="s">
        <v>2288</v>
      </c>
      <c r="S731">
        <v>2020</v>
      </c>
      <c r="T731" t="s">
        <v>2257</v>
      </c>
      <c r="U731" t="s">
        <v>2258</v>
      </c>
      <c r="V731">
        <v>160000</v>
      </c>
      <c r="AC731">
        <v>710</v>
      </c>
      <c r="AE731">
        <v>0</v>
      </c>
      <c r="AF731">
        <v>200</v>
      </c>
      <c r="AH731" t="s">
        <v>2259</v>
      </c>
      <c r="AI731">
        <v>87.3</v>
      </c>
      <c r="AN731" t="s">
        <v>132</v>
      </c>
      <c r="BN731">
        <v>34</v>
      </c>
      <c r="CE7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31" s="19">
        <f>SUM(Table1[[#This Row],[Mid39]],Table1[[#This Row],[Mid36]],Table1[[#This Row],[Mid33]],Table1[[#This Row],[Mid30]],Table1[[#This Row],[Mid27]],Table1[[#This Row],[Mid24]],Table1[[#This Row],[Mid21]],Table1[[#This Row],[Mid18]],Table1[[#This Row],[Mid15]],Table1[[#This Row],[Mid12]],Table1[[#This Row],[Mid9]],Table1[[#This Row],[Mid6]],Table1[[#This Row],[Mid3]],Table1[[#This Row],[Mid]])</f>
        <v>34</v>
      </c>
      <c r="CG7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31" t="s">
        <v>157</v>
      </c>
      <c r="CI731" t="s">
        <v>134</v>
      </c>
      <c r="CJ731" t="s">
        <v>158</v>
      </c>
      <c r="CL731" s="19">
        <f>IF(Table1[[#This Row],[Type]]="Petroleum",1,IF(ISERROR(Table1[[#This Row],[Well Density]]*Table1[[#This Row],[Single Well Discovery Area]]),"",IF(Table1[[#This Row],[Well Density]]*Table1[[#This Row],[Single Well Discovery Area]]&gt;1,1,Table1[[#This Row],[Well Density]]*Table1[[#This Row],[Single Well Discovery Area]])))</f>
        <v>1</v>
      </c>
      <c r="CM731" t="s">
        <v>158</v>
      </c>
      <c r="CN731" s="19">
        <f>Table1[[#This Row],[Mid]]</f>
        <v>0</v>
      </c>
      <c r="CO731" s="19">
        <f>Table1[[#This Row],[Mid3]]+Table1[[#This Row],[Mid6]]+Table1[[#This Row],[Mid9]]</f>
        <v>0</v>
      </c>
      <c r="CP731" s="19">
        <f>Table1[[#This Row],[Mid12]]+Table1[[#This Row],[Mid15]]+Table1[[#This Row],[Mid18]]+Table1[[#This Row],[Mid21]]+Table1[[#This Row],[Mid24]]</f>
        <v>34</v>
      </c>
      <c r="CQ731" s="19">
        <f>Table1[[#This Row],[Mid27]]+Table1[[#This Row],[Mid30]]+Table1[[#This Row],[Mid33]]+Table1[[#This Row],[Mid36]]+Table1[[#This Row],[Mid39]]</f>
        <v>0</v>
      </c>
      <c r="CR731" t="s">
        <v>439</v>
      </c>
      <c r="CS731" s="19" t="str">
        <f>IF(AND(Table1[[#This Row],[Low41]]=0, Table1[[#This Row],[High43]]=0),"N","Y")</f>
        <v>N</v>
      </c>
    </row>
    <row r="732" spans="1:97" ht="19.5" customHeight="1" x14ac:dyDescent="0.25">
      <c r="A732">
        <v>10730</v>
      </c>
      <c r="B732" t="s">
        <v>2250</v>
      </c>
      <c r="C732" t="s">
        <v>2285</v>
      </c>
      <c r="D732">
        <v>44.186111109999999</v>
      </c>
      <c r="E732">
        <v>71.35083333</v>
      </c>
      <c r="F732" t="s">
        <v>2289</v>
      </c>
      <c r="G732" t="s">
        <v>2287</v>
      </c>
      <c r="H732" t="s">
        <v>189</v>
      </c>
      <c r="I732" t="s">
        <v>118</v>
      </c>
      <c r="J732" t="s">
        <v>119</v>
      </c>
      <c r="K732" t="s">
        <v>190</v>
      </c>
      <c r="L732" t="s">
        <v>18</v>
      </c>
      <c r="M732" t="s">
        <v>616</v>
      </c>
      <c r="N732" s="6" t="s">
        <v>2254</v>
      </c>
      <c r="O732" t="s">
        <v>2255</v>
      </c>
      <c r="P732" t="s">
        <v>436</v>
      </c>
      <c r="Q732" t="s">
        <v>195</v>
      </c>
      <c r="R732" t="s">
        <v>2263</v>
      </c>
      <c r="S732">
        <v>2020</v>
      </c>
      <c r="T732" t="s">
        <v>2257</v>
      </c>
      <c r="U732" t="s">
        <v>2258</v>
      </c>
      <c r="V732">
        <v>160000</v>
      </c>
      <c r="Z732">
        <v>8.6</v>
      </c>
      <c r="AC732">
        <v>700</v>
      </c>
      <c r="AE732">
        <v>0</v>
      </c>
      <c r="AF732">
        <v>200</v>
      </c>
      <c r="AH732" t="s">
        <v>2259</v>
      </c>
      <c r="AI732">
        <v>0.52</v>
      </c>
      <c r="AN732" t="s">
        <v>132</v>
      </c>
      <c r="CC732">
        <v>24767</v>
      </c>
      <c r="CE73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32" s="19">
        <f>SUM(Table1[[#This Row],[Mid39]],Table1[[#This Row],[Mid36]],Table1[[#This Row],[Mid33]],Table1[[#This Row],[Mid30]],Table1[[#This Row],[Mid27]],Table1[[#This Row],[Mid24]],Table1[[#This Row],[Mid21]],Table1[[#This Row],[Mid18]],Table1[[#This Row],[Mid15]],Table1[[#This Row],[Mid12]],Table1[[#This Row],[Mid9]],Table1[[#This Row],[Mid6]],Table1[[#This Row],[Mid3]],Table1[[#This Row],[Mid]])</f>
        <v>24767</v>
      </c>
      <c r="CG7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32" t="s">
        <v>157</v>
      </c>
      <c r="CI732" t="s">
        <v>134</v>
      </c>
      <c r="CJ732" t="s">
        <v>158</v>
      </c>
      <c r="CL732" s="19">
        <f>IF(Table1[[#This Row],[Type]]="Petroleum",1,IF(ISERROR(Table1[[#This Row],[Well Density]]*Table1[[#This Row],[Single Well Discovery Area]]),"",IF(Table1[[#This Row],[Well Density]]*Table1[[#This Row],[Single Well Discovery Area]]&gt;1,1,Table1[[#This Row],[Well Density]]*Table1[[#This Row],[Single Well Discovery Area]])))</f>
        <v>0</v>
      </c>
      <c r="CM732" t="s">
        <v>158</v>
      </c>
      <c r="CN732" s="19">
        <f>Table1[[#This Row],[Mid]]</f>
        <v>0</v>
      </c>
      <c r="CO732" s="19">
        <f>Table1[[#This Row],[Mid3]]+Table1[[#This Row],[Mid6]]+Table1[[#This Row],[Mid9]]</f>
        <v>0</v>
      </c>
      <c r="CP732" s="19">
        <f>Table1[[#This Row],[Mid12]]+Table1[[#This Row],[Mid15]]+Table1[[#This Row],[Mid18]]+Table1[[#This Row],[Mid21]]+Table1[[#This Row],[Mid24]]</f>
        <v>0</v>
      </c>
      <c r="CQ732" s="19">
        <f>Table1[[#This Row],[Mid27]]+Table1[[#This Row],[Mid30]]+Table1[[#This Row],[Mid33]]+Table1[[#This Row],[Mid36]]+Table1[[#This Row],[Mid39]]</f>
        <v>24767</v>
      </c>
      <c r="CR732" t="s">
        <v>439</v>
      </c>
      <c r="CS732" s="19" t="str">
        <f>IF(AND(Table1[[#This Row],[Low41]]=0, Table1[[#This Row],[High43]]=0),"N","Y")</f>
        <v>N</v>
      </c>
    </row>
    <row r="733" spans="1:97" ht="19.5" customHeight="1" x14ac:dyDescent="0.25">
      <c r="A733">
        <v>10731</v>
      </c>
      <c r="B733" t="s">
        <v>2250</v>
      </c>
      <c r="C733" t="s">
        <v>2285</v>
      </c>
      <c r="D733">
        <v>44.186111109999999</v>
      </c>
      <c r="E733">
        <v>71.35083333</v>
      </c>
      <c r="F733" t="s">
        <v>2290</v>
      </c>
      <c r="G733" t="s">
        <v>2287</v>
      </c>
      <c r="H733" t="s">
        <v>189</v>
      </c>
      <c r="I733" t="s">
        <v>118</v>
      </c>
      <c r="J733" t="s">
        <v>119</v>
      </c>
      <c r="K733" t="s">
        <v>190</v>
      </c>
      <c r="L733" t="s">
        <v>18</v>
      </c>
      <c r="M733" t="s">
        <v>535</v>
      </c>
      <c r="N733" s="6" t="s">
        <v>2254</v>
      </c>
      <c r="O733" t="s">
        <v>2255</v>
      </c>
      <c r="P733" t="s">
        <v>436</v>
      </c>
      <c r="Q733" t="s">
        <v>195</v>
      </c>
      <c r="R733" t="s">
        <v>2263</v>
      </c>
      <c r="S733">
        <v>2020</v>
      </c>
      <c r="T733" t="s">
        <v>2257</v>
      </c>
      <c r="U733" t="s">
        <v>2258</v>
      </c>
      <c r="V733">
        <v>160000</v>
      </c>
      <c r="Z733">
        <v>11</v>
      </c>
      <c r="AC733">
        <v>720</v>
      </c>
      <c r="AE733">
        <v>0</v>
      </c>
      <c r="AF733">
        <v>200</v>
      </c>
      <c r="AH733" t="s">
        <v>2259</v>
      </c>
      <c r="AI733">
        <v>0.52</v>
      </c>
      <c r="AN733" t="s">
        <v>132</v>
      </c>
      <c r="CC733">
        <v>19388</v>
      </c>
      <c r="CE73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33" s="19">
        <f>SUM(Table1[[#This Row],[Mid39]],Table1[[#This Row],[Mid36]],Table1[[#This Row],[Mid33]],Table1[[#This Row],[Mid30]],Table1[[#This Row],[Mid27]],Table1[[#This Row],[Mid24]],Table1[[#This Row],[Mid21]],Table1[[#This Row],[Mid18]],Table1[[#This Row],[Mid15]],Table1[[#This Row],[Mid12]],Table1[[#This Row],[Mid9]],Table1[[#This Row],[Mid6]],Table1[[#This Row],[Mid3]],Table1[[#This Row],[Mid]])</f>
        <v>19388</v>
      </c>
      <c r="CG7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33" t="s">
        <v>157</v>
      </c>
      <c r="CI733" t="s">
        <v>134</v>
      </c>
      <c r="CJ733" t="s">
        <v>158</v>
      </c>
      <c r="CL733" s="19">
        <f>IF(Table1[[#This Row],[Type]]="Petroleum",1,IF(ISERROR(Table1[[#This Row],[Well Density]]*Table1[[#This Row],[Single Well Discovery Area]]),"",IF(Table1[[#This Row],[Well Density]]*Table1[[#This Row],[Single Well Discovery Area]]&gt;1,1,Table1[[#This Row],[Well Density]]*Table1[[#This Row],[Single Well Discovery Area]])))</f>
        <v>0</v>
      </c>
      <c r="CM733" t="s">
        <v>158</v>
      </c>
      <c r="CN733" s="19">
        <f>Table1[[#This Row],[Mid]]</f>
        <v>0</v>
      </c>
      <c r="CO733" s="19">
        <f>Table1[[#This Row],[Mid3]]+Table1[[#This Row],[Mid6]]+Table1[[#This Row],[Mid9]]</f>
        <v>0</v>
      </c>
      <c r="CP733" s="19">
        <f>Table1[[#This Row],[Mid12]]+Table1[[#This Row],[Mid15]]+Table1[[#This Row],[Mid18]]+Table1[[#This Row],[Mid21]]+Table1[[#This Row],[Mid24]]</f>
        <v>0</v>
      </c>
      <c r="CQ733" s="19">
        <f>Table1[[#This Row],[Mid27]]+Table1[[#This Row],[Mid30]]+Table1[[#This Row],[Mid33]]+Table1[[#This Row],[Mid36]]+Table1[[#This Row],[Mid39]]</f>
        <v>19388</v>
      </c>
      <c r="CR733" t="s">
        <v>439</v>
      </c>
      <c r="CS733" s="19" t="str">
        <f>IF(AND(Table1[[#This Row],[Low41]]=0, Table1[[#This Row],[High43]]=0),"N","Y")</f>
        <v>N</v>
      </c>
    </row>
    <row r="734" spans="1:97" ht="19.5" customHeight="1" x14ac:dyDescent="0.25">
      <c r="A734">
        <v>10732</v>
      </c>
      <c r="B734" t="s">
        <v>2250</v>
      </c>
      <c r="C734" t="s">
        <v>2291</v>
      </c>
      <c r="D734">
        <v>47.834166670000002</v>
      </c>
      <c r="E734">
        <v>83.175277780000002</v>
      </c>
      <c r="F734" t="s">
        <v>2292</v>
      </c>
      <c r="G734" t="s">
        <v>2293</v>
      </c>
      <c r="H734" t="s">
        <v>189</v>
      </c>
      <c r="I734" t="s">
        <v>520</v>
      </c>
      <c r="J734" t="s">
        <v>202</v>
      </c>
      <c r="K734" t="s">
        <v>190</v>
      </c>
      <c r="L734" t="s">
        <v>121</v>
      </c>
      <c r="N734" s="6" t="s">
        <v>2254</v>
      </c>
      <c r="O734" t="s">
        <v>2255</v>
      </c>
      <c r="P734" t="s">
        <v>436</v>
      </c>
      <c r="Q734" t="s">
        <v>195</v>
      </c>
      <c r="R734" t="s">
        <v>2294</v>
      </c>
      <c r="S734">
        <v>2020</v>
      </c>
      <c r="T734" t="s">
        <v>2257</v>
      </c>
      <c r="U734" t="s">
        <v>2258</v>
      </c>
      <c r="V734">
        <v>5000</v>
      </c>
      <c r="AC734">
        <v>780</v>
      </c>
      <c r="AE734">
        <v>0</v>
      </c>
      <c r="AF734">
        <v>200</v>
      </c>
      <c r="AH734" t="s">
        <v>2259</v>
      </c>
      <c r="AI734">
        <v>87.3</v>
      </c>
      <c r="AN734" t="s">
        <v>132</v>
      </c>
      <c r="BN734">
        <v>16</v>
      </c>
      <c r="CE73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34" s="19">
        <f>SUM(Table1[[#This Row],[Mid39]],Table1[[#This Row],[Mid36]],Table1[[#This Row],[Mid33]],Table1[[#This Row],[Mid30]],Table1[[#This Row],[Mid27]],Table1[[#This Row],[Mid24]],Table1[[#This Row],[Mid21]],Table1[[#This Row],[Mid18]],Table1[[#This Row],[Mid15]],Table1[[#This Row],[Mid12]],Table1[[#This Row],[Mid9]],Table1[[#This Row],[Mid6]],Table1[[#This Row],[Mid3]],Table1[[#This Row],[Mid]])</f>
        <v>16</v>
      </c>
      <c r="CG7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34" t="s">
        <v>157</v>
      </c>
      <c r="CI734" t="s">
        <v>134</v>
      </c>
      <c r="CJ734" t="s">
        <v>158</v>
      </c>
      <c r="CL734" s="19">
        <f>IF(Table1[[#This Row],[Type]]="Petroleum",1,IF(ISERROR(Table1[[#This Row],[Well Density]]*Table1[[#This Row],[Single Well Discovery Area]]),"",IF(Table1[[#This Row],[Well Density]]*Table1[[#This Row],[Single Well Discovery Area]]&gt;1,1,Table1[[#This Row],[Well Density]]*Table1[[#This Row],[Single Well Discovery Area]])))</f>
        <v>1</v>
      </c>
      <c r="CM734" t="s">
        <v>158</v>
      </c>
      <c r="CN734" s="19">
        <f>Table1[[#This Row],[Mid]]</f>
        <v>0</v>
      </c>
      <c r="CO734" s="19">
        <f>Table1[[#This Row],[Mid3]]+Table1[[#This Row],[Mid6]]+Table1[[#This Row],[Mid9]]</f>
        <v>0</v>
      </c>
      <c r="CP734" s="19">
        <f>Table1[[#This Row],[Mid12]]+Table1[[#This Row],[Mid15]]+Table1[[#This Row],[Mid18]]+Table1[[#This Row],[Mid21]]+Table1[[#This Row],[Mid24]]</f>
        <v>16</v>
      </c>
      <c r="CQ734" s="19">
        <f>Table1[[#This Row],[Mid27]]+Table1[[#This Row],[Mid30]]+Table1[[#This Row],[Mid33]]+Table1[[#This Row],[Mid36]]+Table1[[#This Row],[Mid39]]</f>
        <v>0</v>
      </c>
      <c r="CR734" t="s">
        <v>439</v>
      </c>
      <c r="CS734" s="19" t="str">
        <f>IF(AND(Table1[[#This Row],[Low41]]=0, Table1[[#This Row],[High43]]=0),"N","Y")</f>
        <v>N</v>
      </c>
    </row>
    <row r="735" spans="1:97" ht="19.5" customHeight="1" x14ac:dyDescent="0.25">
      <c r="A735">
        <v>10733</v>
      </c>
      <c r="B735" t="s">
        <v>2250</v>
      </c>
      <c r="C735" t="s">
        <v>2291</v>
      </c>
      <c r="D735">
        <v>47.834166670000002</v>
      </c>
      <c r="E735">
        <v>83.175277780000002</v>
      </c>
      <c r="F735" t="s">
        <v>2295</v>
      </c>
      <c r="G735" t="s">
        <v>2293</v>
      </c>
      <c r="H735" t="s">
        <v>189</v>
      </c>
      <c r="I735" t="s">
        <v>118</v>
      </c>
      <c r="J735" t="s">
        <v>119</v>
      </c>
      <c r="K735" t="s">
        <v>190</v>
      </c>
      <c r="L735" t="s">
        <v>18</v>
      </c>
      <c r="M735" t="s">
        <v>1465</v>
      </c>
      <c r="N735" s="6" t="s">
        <v>2254</v>
      </c>
      <c r="O735" t="s">
        <v>2255</v>
      </c>
      <c r="P735" t="s">
        <v>436</v>
      </c>
      <c r="Q735" t="s">
        <v>195</v>
      </c>
      <c r="R735" t="s">
        <v>2263</v>
      </c>
      <c r="S735">
        <v>2020</v>
      </c>
      <c r="T735" t="s">
        <v>2257</v>
      </c>
      <c r="U735" t="s">
        <v>2258</v>
      </c>
      <c r="V735">
        <v>5000</v>
      </c>
      <c r="Z735">
        <v>9.4</v>
      </c>
      <c r="AC735">
        <v>780</v>
      </c>
      <c r="AE735">
        <v>0</v>
      </c>
      <c r="AF735">
        <v>200</v>
      </c>
      <c r="AH735" t="s">
        <v>2259</v>
      </c>
      <c r="AI735">
        <v>0.51</v>
      </c>
      <c r="AN735" t="s">
        <v>132</v>
      </c>
      <c r="CC735">
        <v>176</v>
      </c>
      <c r="CE73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35" s="19">
        <f>SUM(Table1[[#This Row],[Mid39]],Table1[[#This Row],[Mid36]],Table1[[#This Row],[Mid33]],Table1[[#This Row],[Mid30]],Table1[[#This Row],[Mid27]],Table1[[#This Row],[Mid24]],Table1[[#This Row],[Mid21]],Table1[[#This Row],[Mid18]],Table1[[#This Row],[Mid15]],Table1[[#This Row],[Mid12]],Table1[[#This Row],[Mid9]],Table1[[#This Row],[Mid6]],Table1[[#This Row],[Mid3]],Table1[[#This Row],[Mid]])</f>
        <v>176</v>
      </c>
      <c r="CG7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35" t="s">
        <v>157</v>
      </c>
      <c r="CI735" t="s">
        <v>134</v>
      </c>
      <c r="CJ735" t="s">
        <v>158</v>
      </c>
      <c r="CL735" s="19">
        <f>IF(Table1[[#This Row],[Type]]="Petroleum",1,IF(ISERROR(Table1[[#This Row],[Well Density]]*Table1[[#This Row],[Single Well Discovery Area]]),"",IF(Table1[[#This Row],[Well Density]]*Table1[[#This Row],[Single Well Discovery Area]]&gt;1,1,Table1[[#This Row],[Well Density]]*Table1[[#This Row],[Single Well Discovery Area]])))</f>
        <v>0</v>
      </c>
      <c r="CM735" t="s">
        <v>158</v>
      </c>
      <c r="CN735" s="19">
        <f>Table1[[#This Row],[Mid]]</f>
        <v>0</v>
      </c>
      <c r="CO735" s="19">
        <f>Table1[[#This Row],[Mid3]]+Table1[[#This Row],[Mid6]]+Table1[[#This Row],[Mid9]]</f>
        <v>0</v>
      </c>
      <c r="CP735" s="19">
        <f>Table1[[#This Row],[Mid12]]+Table1[[#This Row],[Mid15]]+Table1[[#This Row],[Mid18]]+Table1[[#This Row],[Mid21]]+Table1[[#This Row],[Mid24]]</f>
        <v>0</v>
      </c>
      <c r="CQ735" s="19">
        <f>Table1[[#This Row],[Mid27]]+Table1[[#This Row],[Mid30]]+Table1[[#This Row],[Mid33]]+Table1[[#This Row],[Mid36]]+Table1[[#This Row],[Mid39]]</f>
        <v>176</v>
      </c>
      <c r="CR735" t="s">
        <v>439</v>
      </c>
      <c r="CS735" s="19" t="str">
        <f>IF(AND(Table1[[#This Row],[Low41]]=0, Table1[[#This Row],[High43]]=0),"N","Y")</f>
        <v>N</v>
      </c>
    </row>
    <row r="736" spans="1:97" ht="19.5" customHeight="1" x14ac:dyDescent="0.25">
      <c r="A736">
        <v>10734</v>
      </c>
      <c r="B736" t="s">
        <v>2296</v>
      </c>
      <c r="C736" t="s">
        <v>2297</v>
      </c>
      <c r="D736">
        <v>29.408055560000001</v>
      </c>
      <c r="E736">
        <v>47.348333330000003</v>
      </c>
      <c r="F736" t="s">
        <v>2298</v>
      </c>
      <c r="G736" t="s">
        <v>2299</v>
      </c>
      <c r="H736" t="s">
        <v>2300</v>
      </c>
      <c r="I736" t="s">
        <v>118</v>
      </c>
      <c r="J736" t="s">
        <v>119</v>
      </c>
      <c r="K736" t="s">
        <v>190</v>
      </c>
      <c r="L736" t="s">
        <v>18</v>
      </c>
      <c r="M736" t="s">
        <v>2262</v>
      </c>
      <c r="N736" s="6" t="s">
        <v>2301</v>
      </c>
      <c r="O736" t="s">
        <v>2302</v>
      </c>
      <c r="P736" t="s">
        <v>2303</v>
      </c>
      <c r="Q736" t="s">
        <v>2304</v>
      </c>
      <c r="R736" t="s">
        <v>2305</v>
      </c>
      <c r="S736">
        <v>2017</v>
      </c>
      <c r="T736" t="s">
        <v>2257</v>
      </c>
      <c r="U736" t="s">
        <v>2258</v>
      </c>
      <c r="V736">
        <v>320</v>
      </c>
      <c r="W736">
        <v>2000</v>
      </c>
      <c r="X736">
        <v>0</v>
      </c>
      <c r="Y736">
        <v>0</v>
      </c>
      <c r="Z736">
        <v>0</v>
      </c>
      <c r="AA736">
        <v>0</v>
      </c>
      <c r="AB736">
        <v>0</v>
      </c>
      <c r="AC736">
        <v>0</v>
      </c>
      <c r="AD736">
        <v>0</v>
      </c>
      <c r="AE736">
        <v>0</v>
      </c>
      <c r="AF736">
        <v>200</v>
      </c>
      <c r="AG736">
        <v>0</v>
      </c>
      <c r="AH736" t="s">
        <v>2306</v>
      </c>
      <c r="AI736">
        <v>0</v>
      </c>
      <c r="AJ736">
        <v>0</v>
      </c>
      <c r="AK736">
        <v>0</v>
      </c>
      <c r="AL736">
        <v>0</v>
      </c>
      <c r="AM736" t="s">
        <v>2307</v>
      </c>
      <c r="AN736" t="s">
        <v>132</v>
      </c>
      <c r="AO736">
        <v>0</v>
      </c>
      <c r="AP736">
        <v>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BX736">
        <v>0</v>
      </c>
      <c r="BY736">
        <v>0</v>
      </c>
      <c r="BZ736">
        <v>0</v>
      </c>
      <c r="CA736">
        <v>0</v>
      </c>
      <c r="CB736">
        <v>0</v>
      </c>
      <c r="CC736">
        <v>440</v>
      </c>
      <c r="CD736">
        <v>0</v>
      </c>
      <c r="CE7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36" s="19">
        <f>SUM(Table1[[#This Row],[Mid39]],Table1[[#This Row],[Mid36]],Table1[[#This Row],[Mid33]],Table1[[#This Row],[Mid30]],Table1[[#This Row],[Mid27]],Table1[[#This Row],[Mid24]],Table1[[#This Row],[Mid21]],Table1[[#This Row],[Mid18]],Table1[[#This Row],[Mid15]],Table1[[#This Row],[Mid12]],Table1[[#This Row],[Mid9]],Table1[[#This Row],[Mid6]],Table1[[#This Row],[Mid3]],Table1[[#This Row],[Mid]])</f>
        <v>440</v>
      </c>
      <c r="CG7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36" t="s">
        <v>157</v>
      </c>
      <c r="CI736" t="s">
        <v>134</v>
      </c>
      <c r="CJ736" t="s">
        <v>158</v>
      </c>
      <c r="CL736" s="19">
        <f>IF(Table1[[#This Row],[Type]]="Petroleum",1,IF(ISERROR(Table1[[#This Row],[Well Density]]*Table1[[#This Row],[Single Well Discovery Area]]),"",IF(Table1[[#This Row],[Well Density]]*Table1[[#This Row],[Single Well Discovery Area]]&gt;1,1,Table1[[#This Row],[Well Density]]*Table1[[#This Row],[Single Well Discovery Area]])))</f>
        <v>0</v>
      </c>
      <c r="CM736" t="s">
        <v>158</v>
      </c>
      <c r="CN736" s="19">
        <f>Table1[[#This Row],[Mid]]</f>
        <v>0</v>
      </c>
      <c r="CO736" s="19">
        <f>Table1[[#This Row],[Mid3]]+Table1[[#This Row],[Mid6]]+Table1[[#This Row],[Mid9]]</f>
        <v>0</v>
      </c>
      <c r="CP736" s="19">
        <f>Table1[[#This Row],[Mid12]]+Table1[[#This Row],[Mid15]]+Table1[[#This Row],[Mid18]]+Table1[[#This Row],[Mid21]]+Table1[[#This Row],[Mid24]]</f>
        <v>0</v>
      </c>
      <c r="CQ736" s="19">
        <f>Table1[[#This Row],[Mid27]]+Table1[[#This Row],[Mid30]]+Table1[[#This Row],[Mid33]]+Table1[[#This Row],[Mid36]]+Table1[[#This Row],[Mid39]]</f>
        <v>440</v>
      </c>
      <c r="CR736" t="s">
        <v>2308</v>
      </c>
      <c r="CS736" s="19" t="str">
        <f>IF(AND(Table1[[#This Row],[Low41]]=0, Table1[[#This Row],[High43]]=0),"N","Y")</f>
        <v>N</v>
      </c>
    </row>
    <row r="737" spans="1:97" ht="19.5" customHeight="1" x14ac:dyDescent="0.25">
      <c r="A737">
        <v>10735</v>
      </c>
      <c r="B737" t="s">
        <v>2309</v>
      </c>
      <c r="C737" t="s">
        <v>2310</v>
      </c>
      <c r="D737">
        <v>-22.52333333</v>
      </c>
      <c r="E737">
        <v>33.407499999999999</v>
      </c>
      <c r="F737" t="s">
        <v>2311</v>
      </c>
      <c r="G737" t="s">
        <v>2309</v>
      </c>
      <c r="H737" t="s">
        <v>252</v>
      </c>
      <c r="I737" t="s">
        <v>118</v>
      </c>
      <c r="J737" t="s">
        <v>119</v>
      </c>
      <c r="K737" t="s">
        <v>190</v>
      </c>
      <c r="L737" t="s">
        <v>18</v>
      </c>
      <c r="N737" s="6" t="s">
        <v>2312</v>
      </c>
      <c r="O737" t="s">
        <v>2313</v>
      </c>
      <c r="P737" t="s">
        <v>1150</v>
      </c>
      <c r="Q737" t="s">
        <v>2314</v>
      </c>
      <c r="R737" t="s">
        <v>2315</v>
      </c>
      <c r="S737">
        <v>2010</v>
      </c>
      <c r="T737" t="s">
        <v>2257</v>
      </c>
      <c r="U737" t="s">
        <v>129</v>
      </c>
      <c r="V737">
        <v>653512</v>
      </c>
      <c r="W737">
        <v>0</v>
      </c>
      <c r="X737">
        <v>0</v>
      </c>
      <c r="Y737">
        <v>0</v>
      </c>
      <c r="Z737">
        <v>0</v>
      </c>
      <c r="AA737">
        <v>0</v>
      </c>
      <c r="AB737">
        <v>0</v>
      </c>
      <c r="AC737">
        <v>0</v>
      </c>
      <c r="AD737">
        <v>0</v>
      </c>
      <c r="AE737">
        <v>0</v>
      </c>
      <c r="AF737">
        <v>200</v>
      </c>
      <c r="AG737">
        <v>0</v>
      </c>
      <c r="AH737" t="s">
        <v>2259</v>
      </c>
      <c r="AI737">
        <v>0</v>
      </c>
      <c r="AJ737">
        <v>0</v>
      </c>
      <c r="AK737">
        <v>0</v>
      </c>
      <c r="AL737">
        <v>0</v>
      </c>
      <c r="AM737" t="s">
        <v>2316</v>
      </c>
      <c r="AN737" t="s">
        <v>132</v>
      </c>
      <c r="AO737">
        <v>0</v>
      </c>
      <c r="AP737">
        <v>0</v>
      </c>
      <c r="AQ737">
        <v>0</v>
      </c>
      <c r="AR737">
        <v>0</v>
      </c>
      <c r="AS737">
        <v>0</v>
      </c>
      <c r="AT737">
        <v>0</v>
      </c>
      <c r="AU737">
        <v>0</v>
      </c>
      <c r="AV737">
        <v>0</v>
      </c>
      <c r="AW737">
        <v>0</v>
      </c>
      <c r="AX737">
        <v>0</v>
      </c>
      <c r="AY737">
        <v>0</v>
      </c>
      <c r="AZ737">
        <v>0</v>
      </c>
      <c r="BA737">
        <v>0</v>
      </c>
      <c r="BB737">
        <v>0</v>
      </c>
      <c r="BC737">
        <v>0</v>
      </c>
      <c r="BD737">
        <v>0</v>
      </c>
      <c r="BE737">
        <v>0</v>
      </c>
      <c r="BF737">
        <v>0</v>
      </c>
      <c r="BG737">
        <v>0</v>
      </c>
      <c r="BH737">
        <v>0</v>
      </c>
      <c r="BI737">
        <v>0</v>
      </c>
      <c r="BJ737">
        <v>0</v>
      </c>
      <c r="BK737">
        <v>0</v>
      </c>
      <c r="BL737">
        <v>0</v>
      </c>
      <c r="BM737">
        <v>0</v>
      </c>
      <c r="BN737">
        <v>0</v>
      </c>
      <c r="BO737">
        <v>0</v>
      </c>
      <c r="BP737">
        <v>0</v>
      </c>
      <c r="BQ737">
        <v>0</v>
      </c>
      <c r="BR737">
        <v>0</v>
      </c>
      <c r="BS737">
        <v>0</v>
      </c>
      <c r="BT737">
        <v>0</v>
      </c>
      <c r="BU737">
        <v>0</v>
      </c>
      <c r="BV737">
        <v>0</v>
      </c>
      <c r="BW737">
        <v>0</v>
      </c>
      <c r="BX737">
        <v>0</v>
      </c>
      <c r="BY737">
        <v>0</v>
      </c>
      <c r="BZ737">
        <v>0</v>
      </c>
      <c r="CA737">
        <v>0</v>
      </c>
      <c r="CB737">
        <v>0</v>
      </c>
      <c r="CC737">
        <v>0</v>
      </c>
      <c r="CD737">
        <v>0</v>
      </c>
      <c r="CE73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3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7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37" t="s">
        <v>157</v>
      </c>
      <c r="CI737" t="s">
        <v>134</v>
      </c>
      <c r="CJ737" t="s">
        <v>158</v>
      </c>
      <c r="CL737" s="19">
        <f>IF(Table1[[#This Row],[Type]]="Petroleum",1,IF(ISERROR(Table1[[#This Row],[Well Density]]*Table1[[#This Row],[Single Well Discovery Area]]),"",IF(Table1[[#This Row],[Well Density]]*Table1[[#This Row],[Single Well Discovery Area]]&gt;1,1,Table1[[#This Row],[Well Density]]*Table1[[#This Row],[Single Well Discovery Area]])))</f>
        <v>0</v>
      </c>
      <c r="CM737" t="s">
        <v>158</v>
      </c>
      <c r="CN737" s="19">
        <f>Table1[[#This Row],[Mid]]</f>
        <v>0</v>
      </c>
      <c r="CO737" s="19">
        <f>Table1[[#This Row],[Mid3]]+Table1[[#This Row],[Mid6]]+Table1[[#This Row],[Mid9]]</f>
        <v>0</v>
      </c>
      <c r="CP737" s="19">
        <f>Table1[[#This Row],[Mid12]]+Table1[[#This Row],[Mid15]]+Table1[[#This Row],[Mid18]]+Table1[[#This Row],[Mid21]]+Table1[[#This Row],[Mid24]]</f>
        <v>0</v>
      </c>
      <c r="CQ737" s="19">
        <f>Table1[[#This Row],[Mid27]]+Table1[[#This Row],[Mid30]]+Table1[[#This Row],[Mid33]]+Table1[[#This Row],[Mid36]]+Table1[[#This Row],[Mid39]]</f>
        <v>0</v>
      </c>
      <c r="CR737" t="s">
        <v>2317</v>
      </c>
      <c r="CS737" s="19" t="str">
        <f>IF(AND(Table1[[#This Row],[Low41]]=0, Table1[[#This Row],[High43]]=0),"N","Y")</f>
        <v>N</v>
      </c>
    </row>
    <row r="738" spans="1:97" ht="19.5" customHeight="1" x14ac:dyDescent="0.25">
      <c r="A738">
        <v>10736</v>
      </c>
      <c r="B738" t="s">
        <v>2309</v>
      </c>
      <c r="D738">
        <v>-18.60388889</v>
      </c>
      <c r="E738">
        <v>35.927500000000002</v>
      </c>
      <c r="F738" t="s">
        <v>2318</v>
      </c>
      <c r="G738" t="s">
        <v>2309</v>
      </c>
      <c r="H738" t="s">
        <v>2319</v>
      </c>
      <c r="I738" t="s">
        <v>118</v>
      </c>
      <c r="J738" t="s">
        <v>119</v>
      </c>
      <c r="K738" t="s">
        <v>190</v>
      </c>
      <c r="L738" t="s">
        <v>147</v>
      </c>
      <c r="M738" t="s">
        <v>148</v>
      </c>
      <c r="N738" s="6" t="s">
        <v>2312</v>
      </c>
      <c r="O738" t="s">
        <v>2313</v>
      </c>
      <c r="P738" t="s">
        <v>1150</v>
      </c>
      <c r="Q738" t="s">
        <v>2320</v>
      </c>
      <c r="R738" t="s">
        <v>2321</v>
      </c>
      <c r="S738">
        <v>2013</v>
      </c>
      <c r="T738" t="s">
        <v>2257</v>
      </c>
      <c r="U738" t="s">
        <v>129</v>
      </c>
      <c r="V738">
        <v>10026</v>
      </c>
      <c r="W738">
        <v>2290</v>
      </c>
      <c r="X738">
        <v>793</v>
      </c>
      <c r="Z738">
        <v>22</v>
      </c>
      <c r="AC738">
        <v>597</v>
      </c>
      <c r="AD738">
        <v>2</v>
      </c>
      <c r="AE738">
        <v>1.99481E-4</v>
      </c>
      <c r="AF738">
        <v>200</v>
      </c>
      <c r="AG738">
        <v>22.46</v>
      </c>
      <c r="AH738" t="s">
        <v>2259</v>
      </c>
      <c r="AI738">
        <v>1</v>
      </c>
      <c r="AM738" t="s">
        <v>2316</v>
      </c>
      <c r="AN738" t="s">
        <v>132</v>
      </c>
      <c r="BM738">
        <v>2.4</v>
      </c>
      <c r="BN738">
        <v>3.7</v>
      </c>
      <c r="BO738">
        <v>5</v>
      </c>
      <c r="CB738">
        <v>57.6</v>
      </c>
      <c r="CC738">
        <v>89</v>
      </c>
      <c r="CD738">
        <v>120</v>
      </c>
      <c r="CE738" s="19">
        <f>SUM(Table1[[#This Row],[Low38]],Table1[[#This Row],[Low35]],Table1[[#This Row],[Low32]],Table1[[#This Row],[Low29]],Table1[[#This Row],[Low26]],Table1[[#This Row],[Low23]],Table1[[#This Row],[Low20]],Table1[[#This Row],[Low17]],Table1[[#This Row],[Low14]],Table1[[#This Row],[Low11]],Table1[[#This Row],[Low8]],Table1[[#This Row],[Low5]],Table1[[#This Row],[Low2]],Table1[[#This Row],[Low]])</f>
        <v>60</v>
      </c>
      <c r="CF738" s="19">
        <f>SUM(Table1[[#This Row],[Mid39]],Table1[[#This Row],[Mid36]],Table1[[#This Row],[Mid33]],Table1[[#This Row],[Mid30]],Table1[[#This Row],[Mid27]],Table1[[#This Row],[Mid24]],Table1[[#This Row],[Mid21]],Table1[[#This Row],[Mid18]],Table1[[#This Row],[Mid15]],Table1[[#This Row],[Mid12]],Table1[[#This Row],[Mid9]],Table1[[#This Row],[Mid6]],Table1[[#This Row],[Mid3]],Table1[[#This Row],[Mid]])</f>
        <v>92.7</v>
      </c>
      <c r="CG7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125</v>
      </c>
      <c r="CH738" t="s">
        <v>157</v>
      </c>
      <c r="CI738" t="s">
        <v>134</v>
      </c>
      <c r="CJ738" t="s">
        <v>158</v>
      </c>
      <c r="CL738" s="19">
        <f>IF(Table1[[#This Row],[Type]]="Petroleum",1,IF(ISERROR(Table1[[#This Row],[Well Density]]*Table1[[#This Row],[Single Well Discovery Area]]),"",IF(Table1[[#This Row],[Well Density]]*Table1[[#This Row],[Single Well Discovery Area]]&gt;1,1,Table1[[#This Row],[Well Density]]*Table1[[#This Row],[Single Well Discovery Area]])))</f>
        <v>3.98962E-2</v>
      </c>
      <c r="CM738" t="s">
        <v>158</v>
      </c>
      <c r="CN738" s="19">
        <f>Table1[[#This Row],[Mid]]</f>
        <v>0</v>
      </c>
      <c r="CO738" s="19">
        <f>Table1[[#This Row],[Mid3]]+Table1[[#This Row],[Mid6]]+Table1[[#This Row],[Mid9]]</f>
        <v>0</v>
      </c>
      <c r="CP738" s="19">
        <f>Table1[[#This Row],[Mid12]]+Table1[[#This Row],[Mid15]]+Table1[[#This Row],[Mid18]]+Table1[[#This Row],[Mid21]]+Table1[[#This Row],[Mid24]]</f>
        <v>3.7</v>
      </c>
      <c r="CQ738" s="19">
        <f>Table1[[#This Row],[Mid27]]+Table1[[#This Row],[Mid30]]+Table1[[#This Row],[Mid33]]+Table1[[#This Row],[Mid36]]+Table1[[#This Row],[Mid39]]</f>
        <v>89</v>
      </c>
      <c r="CR738" t="s">
        <v>2317</v>
      </c>
      <c r="CS738" s="19" t="str">
        <f>IF(AND(Table1[[#This Row],[Low41]]=0, Table1[[#This Row],[High43]]=0),"N","Y")</f>
        <v>Y</v>
      </c>
    </row>
    <row r="739" spans="1:97" ht="19.5" customHeight="1" x14ac:dyDescent="0.25">
      <c r="A739">
        <v>10737</v>
      </c>
      <c r="B739" t="s">
        <v>2309</v>
      </c>
      <c r="D739">
        <v>-19.43444444</v>
      </c>
      <c r="E739">
        <v>34.770277780000001</v>
      </c>
      <c r="F739" t="s">
        <v>2322</v>
      </c>
      <c r="G739" t="s">
        <v>2309</v>
      </c>
      <c r="H739" t="s">
        <v>2323</v>
      </c>
      <c r="I739" t="s">
        <v>118</v>
      </c>
      <c r="J739" t="s">
        <v>119</v>
      </c>
      <c r="K739" t="s">
        <v>190</v>
      </c>
      <c r="L739" t="s">
        <v>147</v>
      </c>
      <c r="M739" t="s">
        <v>191</v>
      </c>
      <c r="N739" s="6" t="s">
        <v>2312</v>
      </c>
      <c r="O739" t="s">
        <v>2313</v>
      </c>
      <c r="P739" t="s">
        <v>1150</v>
      </c>
      <c r="Q739" t="s">
        <v>2324</v>
      </c>
      <c r="R739" t="s">
        <v>2325</v>
      </c>
      <c r="S739">
        <v>2013</v>
      </c>
      <c r="T739" t="s">
        <v>2257</v>
      </c>
      <c r="U739" t="s">
        <v>129</v>
      </c>
      <c r="V739">
        <v>12730</v>
      </c>
      <c r="W739">
        <v>2137</v>
      </c>
      <c r="X739">
        <v>265.5</v>
      </c>
      <c r="Y739">
        <v>48</v>
      </c>
      <c r="Z739">
        <v>19</v>
      </c>
      <c r="AC739">
        <v>593</v>
      </c>
      <c r="AD739">
        <v>3</v>
      </c>
      <c r="AE739">
        <v>2.3566400000000001E-4</v>
      </c>
      <c r="AF739">
        <v>200</v>
      </c>
      <c r="AG739">
        <v>20.97</v>
      </c>
      <c r="AH739" t="s">
        <v>2259</v>
      </c>
      <c r="AI739">
        <v>1</v>
      </c>
      <c r="AM739" t="s">
        <v>2316</v>
      </c>
      <c r="AN739" t="s">
        <v>132</v>
      </c>
      <c r="BM739">
        <v>7.1</v>
      </c>
      <c r="BN739">
        <v>9.4</v>
      </c>
      <c r="BO739">
        <v>330.3</v>
      </c>
      <c r="CB739">
        <v>142.9</v>
      </c>
      <c r="CC739">
        <v>190.6</v>
      </c>
      <c r="CD739">
        <v>6676.7</v>
      </c>
      <c r="CE739" s="19">
        <f>SUM(Table1[[#This Row],[Low38]],Table1[[#This Row],[Low35]],Table1[[#This Row],[Low32]],Table1[[#This Row],[Low29]],Table1[[#This Row],[Low26]],Table1[[#This Row],[Low23]],Table1[[#This Row],[Low20]],Table1[[#This Row],[Low17]],Table1[[#This Row],[Low14]],Table1[[#This Row],[Low11]],Table1[[#This Row],[Low8]],Table1[[#This Row],[Low5]],Table1[[#This Row],[Low2]],Table1[[#This Row],[Low]])</f>
        <v>150</v>
      </c>
      <c r="CF739" s="19">
        <f>SUM(Table1[[#This Row],[Mid39]],Table1[[#This Row],[Mid36]],Table1[[#This Row],[Mid33]],Table1[[#This Row],[Mid30]],Table1[[#This Row],[Mid27]],Table1[[#This Row],[Mid24]],Table1[[#This Row],[Mid21]],Table1[[#This Row],[Mid18]],Table1[[#This Row],[Mid15]],Table1[[#This Row],[Mid12]],Table1[[#This Row],[Mid9]],Table1[[#This Row],[Mid6]],Table1[[#This Row],[Mid3]],Table1[[#This Row],[Mid]])</f>
        <v>200</v>
      </c>
      <c r="CG7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7007</v>
      </c>
      <c r="CH739" t="s">
        <v>157</v>
      </c>
      <c r="CI739" t="s">
        <v>134</v>
      </c>
      <c r="CJ739" t="s">
        <v>158</v>
      </c>
      <c r="CL739" s="19">
        <f>IF(Table1[[#This Row],[Type]]="Petroleum",1,IF(ISERROR(Table1[[#This Row],[Well Density]]*Table1[[#This Row],[Single Well Discovery Area]]),"",IF(Table1[[#This Row],[Well Density]]*Table1[[#This Row],[Single Well Discovery Area]]&gt;1,1,Table1[[#This Row],[Well Density]]*Table1[[#This Row],[Single Well Discovery Area]])))</f>
        <v>4.7132800000000002E-2</v>
      </c>
      <c r="CM739" t="s">
        <v>135</v>
      </c>
      <c r="CN739" s="19">
        <f>Table1[[#This Row],[Mid]]</f>
        <v>0</v>
      </c>
      <c r="CO739" s="19">
        <f>Table1[[#This Row],[Mid3]]+Table1[[#This Row],[Mid6]]+Table1[[#This Row],[Mid9]]</f>
        <v>0</v>
      </c>
      <c r="CP739" s="19">
        <f>Table1[[#This Row],[Mid12]]+Table1[[#This Row],[Mid15]]+Table1[[#This Row],[Mid18]]+Table1[[#This Row],[Mid21]]+Table1[[#This Row],[Mid24]]</f>
        <v>9.4</v>
      </c>
      <c r="CQ739" s="19">
        <f>Table1[[#This Row],[Mid27]]+Table1[[#This Row],[Mid30]]+Table1[[#This Row],[Mid33]]+Table1[[#This Row],[Mid36]]+Table1[[#This Row],[Mid39]]</f>
        <v>190.6</v>
      </c>
      <c r="CR739" t="s">
        <v>2317</v>
      </c>
      <c r="CS739" s="19" t="str">
        <f>IF(AND(Table1[[#This Row],[Low41]]=0, Table1[[#This Row],[High43]]=0),"N","Y")</f>
        <v>Y</v>
      </c>
    </row>
    <row r="740" spans="1:97" ht="19.5" customHeight="1" x14ac:dyDescent="0.25">
      <c r="A740">
        <v>10738</v>
      </c>
      <c r="B740" t="s">
        <v>2309</v>
      </c>
      <c r="D740">
        <v>-18.991111109999999</v>
      </c>
      <c r="E740">
        <v>35.232222219999997</v>
      </c>
      <c r="F740" t="s">
        <v>2326</v>
      </c>
      <c r="G740" t="s">
        <v>2309</v>
      </c>
      <c r="H740" t="s">
        <v>2327</v>
      </c>
      <c r="I740" t="s">
        <v>118</v>
      </c>
      <c r="J740" t="s">
        <v>119</v>
      </c>
      <c r="K740" t="s">
        <v>190</v>
      </c>
      <c r="L740" t="s">
        <v>147</v>
      </c>
      <c r="M740" t="s">
        <v>191</v>
      </c>
      <c r="N740" s="6" t="s">
        <v>2312</v>
      </c>
      <c r="O740" t="s">
        <v>2313</v>
      </c>
      <c r="P740" t="s">
        <v>1150</v>
      </c>
      <c r="Q740" t="s">
        <v>2328</v>
      </c>
      <c r="R740" t="s">
        <v>2329</v>
      </c>
      <c r="S740">
        <v>2013</v>
      </c>
      <c r="T740" t="s">
        <v>2257</v>
      </c>
      <c r="U740" t="s">
        <v>129</v>
      </c>
      <c r="V740">
        <v>35446</v>
      </c>
      <c r="W740">
        <v>1493</v>
      </c>
      <c r="X740">
        <v>585</v>
      </c>
      <c r="Y740">
        <v>25</v>
      </c>
      <c r="Z740">
        <v>25.25</v>
      </c>
      <c r="AC740">
        <v>537</v>
      </c>
      <c r="AD740">
        <v>3</v>
      </c>
      <c r="AE740" s="25" t="s">
        <v>2330</v>
      </c>
      <c r="AF740">
        <v>200</v>
      </c>
      <c r="AG740">
        <v>14.64</v>
      </c>
      <c r="AH740" t="s">
        <v>2259</v>
      </c>
      <c r="AI740">
        <v>1</v>
      </c>
      <c r="AM740" t="s">
        <v>2316</v>
      </c>
      <c r="AN740" t="s">
        <v>132</v>
      </c>
      <c r="BM740">
        <v>5.2</v>
      </c>
      <c r="BN740">
        <v>11.8</v>
      </c>
      <c r="BO740">
        <v>847.2</v>
      </c>
      <c r="CB740">
        <v>304.8</v>
      </c>
      <c r="CC740">
        <v>688.2</v>
      </c>
      <c r="CD740">
        <v>49199.8</v>
      </c>
      <c r="CE740" s="19">
        <f>SUM(Table1[[#This Row],[Low38]],Table1[[#This Row],[Low35]],Table1[[#This Row],[Low32]],Table1[[#This Row],[Low29]],Table1[[#This Row],[Low26]],Table1[[#This Row],[Low23]],Table1[[#This Row],[Low20]],Table1[[#This Row],[Low17]],Table1[[#This Row],[Low14]],Table1[[#This Row],[Low11]],Table1[[#This Row],[Low8]],Table1[[#This Row],[Low5]],Table1[[#This Row],[Low2]],Table1[[#This Row],[Low]])</f>
        <v>310</v>
      </c>
      <c r="CF740" s="19">
        <f>SUM(Table1[[#This Row],[Mid39]],Table1[[#This Row],[Mid36]],Table1[[#This Row],[Mid33]],Table1[[#This Row],[Mid30]],Table1[[#This Row],[Mid27]],Table1[[#This Row],[Mid24]],Table1[[#This Row],[Mid21]],Table1[[#This Row],[Mid18]],Table1[[#This Row],[Mid15]],Table1[[#This Row],[Mid12]],Table1[[#This Row],[Mid9]],Table1[[#This Row],[Mid6]],Table1[[#This Row],[Mid3]],Table1[[#This Row],[Mid]])</f>
        <v>700</v>
      </c>
      <c r="CG7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50047</v>
      </c>
      <c r="CH740" t="s">
        <v>157</v>
      </c>
      <c r="CI740" t="s">
        <v>134</v>
      </c>
      <c r="CJ740" t="s">
        <v>158</v>
      </c>
      <c r="CL740" s="19">
        <f>IF(Table1[[#This Row],[Type]]="Petroleum",1,IF(ISERROR(Table1[[#This Row],[Well Density]]*Table1[[#This Row],[Single Well Discovery Area]]),"",IF(Table1[[#This Row],[Well Density]]*Table1[[#This Row],[Single Well Discovery Area]]&gt;1,1,Table1[[#This Row],[Well Density]]*Table1[[#This Row],[Single Well Discovery Area]])))</f>
        <v>1.692716E-2</v>
      </c>
      <c r="CM740" t="s">
        <v>158</v>
      </c>
      <c r="CN740" s="19">
        <f>Table1[[#This Row],[Mid]]</f>
        <v>0</v>
      </c>
      <c r="CO740" s="19">
        <f>Table1[[#This Row],[Mid3]]+Table1[[#This Row],[Mid6]]+Table1[[#This Row],[Mid9]]</f>
        <v>0</v>
      </c>
      <c r="CP740" s="19">
        <f>Table1[[#This Row],[Mid12]]+Table1[[#This Row],[Mid15]]+Table1[[#This Row],[Mid18]]+Table1[[#This Row],[Mid21]]+Table1[[#This Row],[Mid24]]</f>
        <v>11.8</v>
      </c>
      <c r="CQ740" s="19">
        <f>Table1[[#This Row],[Mid27]]+Table1[[#This Row],[Mid30]]+Table1[[#This Row],[Mid33]]+Table1[[#This Row],[Mid36]]+Table1[[#This Row],[Mid39]]</f>
        <v>688.2</v>
      </c>
      <c r="CR740" t="s">
        <v>2317</v>
      </c>
      <c r="CS740" s="19" t="str">
        <f>IF(AND(Table1[[#This Row],[Low41]]=0, Table1[[#This Row],[High43]]=0),"N","Y")</f>
        <v>Y</v>
      </c>
    </row>
    <row r="741" spans="1:97" ht="19.5" customHeight="1" x14ac:dyDescent="0.25">
      <c r="A741">
        <v>10739</v>
      </c>
      <c r="B741" t="s">
        <v>2309</v>
      </c>
      <c r="D741">
        <v>-19.92361111</v>
      </c>
      <c r="E741">
        <v>35.007777779999998</v>
      </c>
      <c r="F741" t="s">
        <v>2331</v>
      </c>
      <c r="G741" t="s">
        <v>2309</v>
      </c>
      <c r="H741" t="s">
        <v>2332</v>
      </c>
      <c r="I741" t="s">
        <v>118</v>
      </c>
      <c r="J741" t="s">
        <v>119</v>
      </c>
      <c r="K741" t="s">
        <v>190</v>
      </c>
      <c r="L741" t="s">
        <v>147</v>
      </c>
      <c r="M741" t="s">
        <v>1465</v>
      </c>
      <c r="N741" s="6" t="s">
        <v>2312</v>
      </c>
      <c r="O741" t="s">
        <v>2313</v>
      </c>
      <c r="P741" t="s">
        <v>1150</v>
      </c>
      <c r="Q741" t="s">
        <v>2333</v>
      </c>
      <c r="R741" t="s">
        <v>2334</v>
      </c>
      <c r="S741">
        <v>2013</v>
      </c>
      <c r="T741" t="s">
        <v>2257</v>
      </c>
      <c r="U741" t="s">
        <v>129</v>
      </c>
      <c r="V741">
        <v>17129</v>
      </c>
      <c r="W741">
        <v>1316</v>
      </c>
      <c r="X741">
        <v>426</v>
      </c>
      <c r="Y741">
        <v>9</v>
      </c>
      <c r="Z741">
        <v>24</v>
      </c>
      <c r="AC741">
        <v>514</v>
      </c>
      <c r="AD741">
        <v>6</v>
      </c>
      <c r="AE741">
        <v>3.5028300000000001E-4</v>
      </c>
      <c r="AF741">
        <v>200</v>
      </c>
      <c r="AG741">
        <v>12.91</v>
      </c>
      <c r="AH741" t="s">
        <v>2259</v>
      </c>
      <c r="AI741">
        <v>1</v>
      </c>
      <c r="AM741" t="s">
        <v>2316</v>
      </c>
      <c r="AN741" t="s">
        <v>132</v>
      </c>
      <c r="BM741">
        <v>31.5</v>
      </c>
      <c r="BN741">
        <v>70.099999999999994</v>
      </c>
      <c r="BO741">
        <v>164.1</v>
      </c>
      <c r="CB741">
        <v>418.5</v>
      </c>
      <c r="CC741">
        <v>929.9</v>
      </c>
      <c r="CD741">
        <v>2177.9</v>
      </c>
      <c r="CE741" s="19">
        <f>SUM(Table1[[#This Row],[Low38]],Table1[[#This Row],[Low35]],Table1[[#This Row],[Low32]],Table1[[#This Row],[Low29]],Table1[[#This Row],[Low26]],Table1[[#This Row],[Low23]],Table1[[#This Row],[Low20]],Table1[[#This Row],[Low17]],Table1[[#This Row],[Low14]],Table1[[#This Row],[Low11]],Table1[[#This Row],[Low8]],Table1[[#This Row],[Low5]],Table1[[#This Row],[Low2]],Table1[[#This Row],[Low]])</f>
        <v>450</v>
      </c>
      <c r="CF741" s="19">
        <f>SUM(Table1[[#This Row],[Mid39]],Table1[[#This Row],[Mid36]],Table1[[#This Row],[Mid33]],Table1[[#This Row],[Mid30]],Table1[[#This Row],[Mid27]],Table1[[#This Row],[Mid24]],Table1[[#This Row],[Mid21]],Table1[[#This Row],[Mid18]],Table1[[#This Row],[Mid15]],Table1[[#This Row],[Mid12]],Table1[[#This Row],[Mid9]],Table1[[#This Row],[Mid6]],Table1[[#This Row],[Mid3]],Table1[[#This Row],[Mid]])</f>
        <v>1000</v>
      </c>
      <c r="CG7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2342</v>
      </c>
      <c r="CH741" t="s">
        <v>157</v>
      </c>
      <c r="CI741" t="s">
        <v>134</v>
      </c>
      <c r="CJ741" t="s">
        <v>158</v>
      </c>
      <c r="CL741" s="19">
        <f>IF(Table1[[#This Row],[Type]]="Petroleum",1,IF(ISERROR(Table1[[#This Row],[Well Density]]*Table1[[#This Row],[Single Well Discovery Area]]),"",IF(Table1[[#This Row],[Well Density]]*Table1[[#This Row],[Single Well Discovery Area]]&gt;1,1,Table1[[#This Row],[Well Density]]*Table1[[#This Row],[Single Well Discovery Area]])))</f>
        <v>7.0056599999999997E-2</v>
      </c>
      <c r="CM741" t="s">
        <v>158</v>
      </c>
      <c r="CN741" s="19">
        <f>Table1[[#This Row],[Mid]]</f>
        <v>0</v>
      </c>
      <c r="CO741" s="19">
        <f>Table1[[#This Row],[Mid3]]+Table1[[#This Row],[Mid6]]+Table1[[#This Row],[Mid9]]</f>
        <v>0</v>
      </c>
      <c r="CP741" s="19">
        <f>Table1[[#This Row],[Mid12]]+Table1[[#This Row],[Mid15]]+Table1[[#This Row],[Mid18]]+Table1[[#This Row],[Mid21]]+Table1[[#This Row],[Mid24]]</f>
        <v>70.099999999999994</v>
      </c>
      <c r="CQ741" s="19">
        <f>Table1[[#This Row],[Mid27]]+Table1[[#This Row],[Mid30]]+Table1[[#This Row],[Mid33]]+Table1[[#This Row],[Mid36]]+Table1[[#This Row],[Mid39]]</f>
        <v>929.9</v>
      </c>
      <c r="CR741" t="s">
        <v>2317</v>
      </c>
      <c r="CS741" s="19" t="str">
        <f>IF(AND(Table1[[#This Row],[Low41]]=0, Table1[[#This Row],[High43]]=0),"N","Y")</f>
        <v>Y</v>
      </c>
    </row>
    <row r="742" spans="1:97" ht="19.5" customHeight="1" x14ac:dyDescent="0.25">
      <c r="A742">
        <v>10740</v>
      </c>
      <c r="B742" t="s">
        <v>2309</v>
      </c>
      <c r="C742" t="s">
        <v>2335</v>
      </c>
      <c r="D742">
        <v>-11.070555560000001</v>
      </c>
      <c r="E742">
        <v>40.299999999999997</v>
      </c>
      <c r="F742" t="s">
        <v>2336</v>
      </c>
      <c r="G742" t="s">
        <v>2309</v>
      </c>
      <c r="H742" t="s">
        <v>2337</v>
      </c>
      <c r="I742" t="s">
        <v>118</v>
      </c>
      <c r="J742" t="s">
        <v>119</v>
      </c>
      <c r="K742" t="s">
        <v>190</v>
      </c>
      <c r="L742" t="s">
        <v>18</v>
      </c>
      <c r="M742" t="s">
        <v>1465</v>
      </c>
      <c r="N742" s="6" t="s">
        <v>2338</v>
      </c>
      <c r="O742" t="s">
        <v>2339</v>
      </c>
      <c r="P742" t="s">
        <v>1150</v>
      </c>
      <c r="Q742" t="s">
        <v>2340</v>
      </c>
      <c r="R742" t="s">
        <v>2341</v>
      </c>
      <c r="S742">
        <v>2014</v>
      </c>
      <c r="T742" t="s">
        <v>2257</v>
      </c>
      <c r="U742" t="s">
        <v>129</v>
      </c>
      <c r="V742">
        <v>1675</v>
      </c>
      <c r="X742">
        <v>220</v>
      </c>
      <c r="Z742">
        <v>20</v>
      </c>
      <c r="AC742">
        <v>500</v>
      </c>
      <c r="AD742">
        <v>0</v>
      </c>
      <c r="AE742">
        <v>0</v>
      </c>
      <c r="AF742">
        <v>200</v>
      </c>
      <c r="AH742" t="s">
        <v>2259</v>
      </c>
      <c r="AI742">
        <v>2</v>
      </c>
      <c r="AM742" t="s">
        <v>2342</v>
      </c>
      <c r="AN742" t="s">
        <v>132</v>
      </c>
      <c r="CC742">
        <v>150</v>
      </c>
      <c r="CD742">
        <v>300</v>
      </c>
      <c r="CE7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42" s="19">
        <f>SUM(Table1[[#This Row],[Mid39]],Table1[[#This Row],[Mid36]],Table1[[#This Row],[Mid33]],Table1[[#This Row],[Mid30]],Table1[[#This Row],[Mid27]],Table1[[#This Row],[Mid24]],Table1[[#This Row],[Mid21]],Table1[[#This Row],[Mid18]],Table1[[#This Row],[Mid15]],Table1[[#This Row],[Mid12]],Table1[[#This Row],[Mid9]],Table1[[#This Row],[Mid6]],Table1[[#This Row],[Mid3]],Table1[[#This Row],[Mid]])</f>
        <v>150</v>
      </c>
      <c r="CG7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300</v>
      </c>
      <c r="CH742" t="s">
        <v>157</v>
      </c>
      <c r="CI742" t="s">
        <v>134</v>
      </c>
      <c r="CJ742" t="s">
        <v>158</v>
      </c>
      <c r="CL742" s="19">
        <f>IF(Table1[[#This Row],[Type]]="Petroleum",1,IF(ISERROR(Table1[[#This Row],[Well Density]]*Table1[[#This Row],[Single Well Discovery Area]]),"",IF(Table1[[#This Row],[Well Density]]*Table1[[#This Row],[Single Well Discovery Area]]&gt;1,1,Table1[[#This Row],[Well Density]]*Table1[[#This Row],[Single Well Discovery Area]])))</f>
        <v>0</v>
      </c>
      <c r="CM742" t="s">
        <v>158</v>
      </c>
      <c r="CN742" s="19">
        <f>Table1[[#This Row],[Mid]]</f>
        <v>0</v>
      </c>
      <c r="CO742" s="19">
        <f>Table1[[#This Row],[Mid3]]+Table1[[#This Row],[Mid6]]+Table1[[#This Row],[Mid9]]</f>
        <v>0</v>
      </c>
      <c r="CP742" s="19">
        <f>Table1[[#This Row],[Mid12]]+Table1[[#This Row],[Mid15]]+Table1[[#This Row],[Mid18]]+Table1[[#This Row],[Mid21]]+Table1[[#This Row],[Mid24]]</f>
        <v>0</v>
      </c>
      <c r="CQ742" s="19">
        <f>Table1[[#This Row],[Mid27]]+Table1[[#This Row],[Mid30]]+Table1[[#This Row],[Mid33]]+Table1[[#This Row],[Mid36]]+Table1[[#This Row],[Mid39]]</f>
        <v>150</v>
      </c>
      <c r="CR742" t="s">
        <v>2317</v>
      </c>
      <c r="CS742" s="19" t="str">
        <f>IF(AND(Table1[[#This Row],[Low41]]=0, Table1[[#This Row],[High43]]=0),"N","Y")</f>
        <v>Y</v>
      </c>
    </row>
    <row r="743" spans="1:97" ht="19.5" customHeight="1" x14ac:dyDescent="0.25">
      <c r="A743">
        <v>10741</v>
      </c>
      <c r="B743" t="s">
        <v>2309</v>
      </c>
      <c r="D743">
        <v>-19.92888889</v>
      </c>
      <c r="E743">
        <v>34.615833330000001</v>
      </c>
      <c r="F743" t="s">
        <v>2343</v>
      </c>
      <c r="G743" t="s">
        <v>2309</v>
      </c>
      <c r="H743" t="s">
        <v>2319</v>
      </c>
      <c r="I743" t="s">
        <v>118</v>
      </c>
      <c r="J743" t="s">
        <v>119</v>
      </c>
      <c r="K743" t="s">
        <v>190</v>
      </c>
      <c r="L743" t="s">
        <v>147</v>
      </c>
      <c r="M743" t="s">
        <v>148</v>
      </c>
      <c r="N743" s="6" t="s">
        <v>2312</v>
      </c>
      <c r="O743" t="s">
        <v>2313</v>
      </c>
      <c r="P743" t="s">
        <v>1150</v>
      </c>
      <c r="Q743" t="s">
        <v>2320</v>
      </c>
      <c r="R743" t="s">
        <v>2344</v>
      </c>
      <c r="S743">
        <v>2013</v>
      </c>
      <c r="T743" t="s">
        <v>2257</v>
      </c>
      <c r="U743" t="s">
        <v>129</v>
      </c>
      <c r="V743">
        <v>10026</v>
      </c>
      <c r="W743">
        <v>3498</v>
      </c>
      <c r="X743">
        <v>559</v>
      </c>
      <c r="Z743">
        <v>14</v>
      </c>
      <c r="AC743">
        <v>621</v>
      </c>
      <c r="AD743">
        <v>2</v>
      </c>
      <c r="AE743">
        <v>1.99481E-4</v>
      </c>
      <c r="AF743">
        <v>200</v>
      </c>
      <c r="AG743">
        <v>34.31</v>
      </c>
      <c r="AH743" t="s">
        <v>2259</v>
      </c>
      <c r="AI743">
        <v>1</v>
      </c>
      <c r="AM743" t="s">
        <v>2316</v>
      </c>
      <c r="AN743" t="s">
        <v>132</v>
      </c>
      <c r="BM743">
        <v>1.2</v>
      </c>
      <c r="BN743">
        <v>1.8</v>
      </c>
      <c r="BO743">
        <v>2.4</v>
      </c>
      <c r="CB743">
        <v>28.8</v>
      </c>
      <c r="CC743">
        <v>43.2</v>
      </c>
      <c r="CD743">
        <v>57.6</v>
      </c>
      <c r="CE743" s="19">
        <f>SUM(Table1[[#This Row],[Low38]],Table1[[#This Row],[Low35]],Table1[[#This Row],[Low32]],Table1[[#This Row],[Low29]],Table1[[#This Row],[Low26]],Table1[[#This Row],[Low23]],Table1[[#This Row],[Low20]],Table1[[#This Row],[Low17]],Table1[[#This Row],[Low14]],Table1[[#This Row],[Low11]],Table1[[#This Row],[Low8]],Table1[[#This Row],[Low5]],Table1[[#This Row],[Low2]],Table1[[#This Row],[Low]])</f>
        <v>30</v>
      </c>
      <c r="CF743" s="19">
        <f>SUM(Table1[[#This Row],[Mid39]],Table1[[#This Row],[Mid36]],Table1[[#This Row],[Mid33]],Table1[[#This Row],[Mid30]],Table1[[#This Row],[Mid27]],Table1[[#This Row],[Mid24]],Table1[[#This Row],[Mid21]],Table1[[#This Row],[Mid18]],Table1[[#This Row],[Mid15]],Table1[[#This Row],[Mid12]],Table1[[#This Row],[Mid9]],Table1[[#This Row],[Mid6]],Table1[[#This Row],[Mid3]],Table1[[#This Row],[Mid]])</f>
        <v>45</v>
      </c>
      <c r="CG7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60</v>
      </c>
      <c r="CH743" t="s">
        <v>157</v>
      </c>
      <c r="CI743" t="s">
        <v>134</v>
      </c>
      <c r="CJ743" t="s">
        <v>158</v>
      </c>
      <c r="CL743" s="19">
        <f>IF(Table1[[#This Row],[Type]]="Petroleum",1,IF(ISERROR(Table1[[#This Row],[Well Density]]*Table1[[#This Row],[Single Well Discovery Area]]),"",IF(Table1[[#This Row],[Well Density]]*Table1[[#This Row],[Single Well Discovery Area]]&gt;1,1,Table1[[#This Row],[Well Density]]*Table1[[#This Row],[Single Well Discovery Area]])))</f>
        <v>3.98962E-2</v>
      </c>
      <c r="CM743" t="s">
        <v>158</v>
      </c>
      <c r="CN743" s="19">
        <f>Table1[[#This Row],[Mid]]</f>
        <v>0</v>
      </c>
      <c r="CO743" s="19">
        <f>Table1[[#This Row],[Mid3]]+Table1[[#This Row],[Mid6]]+Table1[[#This Row],[Mid9]]</f>
        <v>0</v>
      </c>
      <c r="CP743" s="19">
        <f>Table1[[#This Row],[Mid12]]+Table1[[#This Row],[Mid15]]+Table1[[#This Row],[Mid18]]+Table1[[#This Row],[Mid21]]+Table1[[#This Row],[Mid24]]</f>
        <v>1.8</v>
      </c>
      <c r="CQ743" s="19">
        <f>Table1[[#This Row],[Mid27]]+Table1[[#This Row],[Mid30]]+Table1[[#This Row],[Mid33]]+Table1[[#This Row],[Mid36]]+Table1[[#This Row],[Mid39]]</f>
        <v>43.2</v>
      </c>
      <c r="CR743" t="s">
        <v>2317</v>
      </c>
      <c r="CS743" s="19" t="str">
        <f>IF(AND(Table1[[#This Row],[Low41]]=0, Table1[[#This Row],[High43]]=0),"N","Y")</f>
        <v>Y</v>
      </c>
    </row>
    <row r="744" spans="1:97" ht="19.5" customHeight="1" x14ac:dyDescent="0.25">
      <c r="A744">
        <v>10742</v>
      </c>
      <c r="B744" t="s">
        <v>2309</v>
      </c>
      <c r="D744">
        <v>-22.319722219999999</v>
      </c>
      <c r="E744">
        <v>33.806944440000002</v>
      </c>
      <c r="F744" t="s">
        <v>2345</v>
      </c>
      <c r="G744" t="s">
        <v>2309</v>
      </c>
      <c r="H744" t="s">
        <v>2319</v>
      </c>
      <c r="I744" t="s">
        <v>118</v>
      </c>
      <c r="J744" t="s">
        <v>119</v>
      </c>
      <c r="K744" t="s">
        <v>190</v>
      </c>
      <c r="L744" t="s">
        <v>147</v>
      </c>
      <c r="M744" t="s">
        <v>148</v>
      </c>
      <c r="N744" s="6" t="s">
        <v>2312</v>
      </c>
      <c r="O744" t="s">
        <v>2313</v>
      </c>
      <c r="P744" t="s">
        <v>1150</v>
      </c>
      <c r="Q744" t="s">
        <v>2320</v>
      </c>
      <c r="R744" t="s">
        <v>2344</v>
      </c>
      <c r="S744">
        <v>2013</v>
      </c>
      <c r="T744" t="s">
        <v>2257</v>
      </c>
      <c r="U744" t="s">
        <v>129</v>
      </c>
      <c r="V744">
        <v>10026</v>
      </c>
      <c r="W744">
        <v>2639</v>
      </c>
      <c r="X744">
        <v>445</v>
      </c>
      <c r="Z744">
        <v>18</v>
      </c>
      <c r="AC744">
        <v>609</v>
      </c>
      <c r="AD744">
        <v>1</v>
      </c>
      <c r="AE744" s="25" t="s">
        <v>2346</v>
      </c>
      <c r="AF744">
        <v>200</v>
      </c>
      <c r="AG744">
        <v>25.88</v>
      </c>
      <c r="AH744" t="s">
        <v>2259</v>
      </c>
      <c r="AI744">
        <v>1</v>
      </c>
      <c r="AM744" t="s">
        <v>2316</v>
      </c>
      <c r="AN744" t="s">
        <v>132</v>
      </c>
      <c r="BM744">
        <v>0.6</v>
      </c>
      <c r="BN744">
        <v>0.9</v>
      </c>
      <c r="BO744">
        <v>1.2</v>
      </c>
      <c r="CB744">
        <v>29.4</v>
      </c>
      <c r="CC744">
        <v>43.6</v>
      </c>
      <c r="CD744">
        <v>57.8</v>
      </c>
      <c r="CE744" s="19">
        <f>SUM(Table1[[#This Row],[Low38]],Table1[[#This Row],[Low35]],Table1[[#This Row],[Low32]],Table1[[#This Row],[Low29]],Table1[[#This Row],[Low26]],Table1[[#This Row],[Low23]],Table1[[#This Row],[Low20]],Table1[[#This Row],[Low17]],Table1[[#This Row],[Low14]],Table1[[#This Row],[Low11]],Table1[[#This Row],[Low8]],Table1[[#This Row],[Low5]],Table1[[#This Row],[Low2]],Table1[[#This Row],[Low]])</f>
        <v>30</v>
      </c>
      <c r="CF744" s="19">
        <f>SUM(Table1[[#This Row],[Mid39]],Table1[[#This Row],[Mid36]],Table1[[#This Row],[Mid33]],Table1[[#This Row],[Mid30]],Table1[[#This Row],[Mid27]],Table1[[#This Row],[Mid24]],Table1[[#This Row],[Mid21]],Table1[[#This Row],[Mid18]],Table1[[#This Row],[Mid15]],Table1[[#This Row],[Mid12]],Table1[[#This Row],[Mid9]],Table1[[#This Row],[Mid6]],Table1[[#This Row],[Mid3]],Table1[[#This Row],[Mid]])</f>
        <v>44.5</v>
      </c>
      <c r="CG7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59</v>
      </c>
      <c r="CH744" t="s">
        <v>157</v>
      </c>
      <c r="CI744" t="s">
        <v>134</v>
      </c>
      <c r="CJ744" t="s">
        <v>158</v>
      </c>
      <c r="CL744" s="19">
        <f>IF(Table1[[#This Row],[Type]]="Petroleum",1,IF(ISERROR(Table1[[#This Row],[Well Density]]*Table1[[#This Row],[Single Well Discovery Area]]),"",IF(Table1[[#This Row],[Well Density]]*Table1[[#This Row],[Single Well Discovery Area]]&gt;1,1,Table1[[#This Row],[Well Density]]*Table1[[#This Row],[Single Well Discovery Area]])))</f>
        <v>1.994814E-2</v>
      </c>
      <c r="CM744" t="s">
        <v>158</v>
      </c>
      <c r="CN744" s="19">
        <f>Table1[[#This Row],[Mid]]</f>
        <v>0</v>
      </c>
      <c r="CO744" s="19">
        <f>Table1[[#This Row],[Mid3]]+Table1[[#This Row],[Mid6]]+Table1[[#This Row],[Mid9]]</f>
        <v>0</v>
      </c>
      <c r="CP744" s="19">
        <f>Table1[[#This Row],[Mid12]]+Table1[[#This Row],[Mid15]]+Table1[[#This Row],[Mid18]]+Table1[[#This Row],[Mid21]]+Table1[[#This Row],[Mid24]]</f>
        <v>0.9</v>
      </c>
      <c r="CQ744" s="19">
        <f>Table1[[#This Row],[Mid27]]+Table1[[#This Row],[Mid30]]+Table1[[#This Row],[Mid33]]+Table1[[#This Row],[Mid36]]+Table1[[#This Row],[Mid39]]</f>
        <v>43.6</v>
      </c>
      <c r="CR744" t="s">
        <v>2317</v>
      </c>
      <c r="CS744" s="19" t="str">
        <f>IF(AND(Table1[[#This Row],[Low41]]=0, Table1[[#This Row],[High43]]=0),"N","Y")</f>
        <v>Y</v>
      </c>
    </row>
    <row r="745" spans="1:97" ht="19.5" customHeight="1" x14ac:dyDescent="0.25">
      <c r="A745">
        <v>10743</v>
      </c>
      <c r="B745" t="s">
        <v>2309</v>
      </c>
      <c r="D745">
        <v>-20.50638889</v>
      </c>
      <c r="E745">
        <v>34.542777780000002</v>
      </c>
      <c r="F745" t="s">
        <v>2347</v>
      </c>
      <c r="G745" t="s">
        <v>2309</v>
      </c>
      <c r="H745" t="s">
        <v>2323</v>
      </c>
      <c r="I745" t="s">
        <v>118</v>
      </c>
      <c r="J745" t="s">
        <v>119</v>
      </c>
      <c r="K745" t="s">
        <v>190</v>
      </c>
      <c r="L745" t="s">
        <v>147</v>
      </c>
      <c r="M745" t="s">
        <v>191</v>
      </c>
      <c r="N745" s="6" t="s">
        <v>2312</v>
      </c>
      <c r="O745" t="s">
        <v>2313</v>
      </c>
      <c r="P745" t="s">
        <v>1150</v>
      </c>
      <c r="Q745" t="s">
        <v>2324</v>
      </c>
      <c r="R745" t="s">
        <v>2348</v>
      </c>
      <c r="S745">
        <v>2013</v>
      </c>
      <c r="T745" t="s">
        <v>2257</v>
      </c>
      <c r="U745" t="s">
        <v>129</v>
      </c>
      <c r="V745">
        <v>11364</v>
      </c>
      <c r="W745">
        <v>2895</v>
      </c>
      <c r="X745">
        <v>226</v>
      </c>
      <c r="Y745">
        <v>48</v>
      </c>
      <c r="Z745">
        <v>14</v>
      </c>
      <c r="AC745">
        <v>612</v>
      </c>
      <c r="AD745">
        <v>3</v>
      </c>
      <c r="AE745">
        <v>2.63992E-4</v>
      </c>
      <c r="AF745">
        <v>200</v>
      </c>
      <c r="AG745">
        <v>28.4</v>
      </c>
      <c r="AH745" t="s">
        <v>2259</v>
      </c>
      <c r="AI745">
        <v>1</v>
      </c>
      <c r="AM745" t="s">
        <v>2316</v>
      </c>
      <c r="AN745" t="s">
        <v>132</v>
      </c>
      <c r="BM745">
        <v>4.8</v>
      </c>
      <c r="BN745">
        <v>52.8</v>
      </c>
      <c r="BO745">
        <v>214.1</v>
      </c>
      <c r="CB745">
        <v>85.2</v>
      </c>
      <c r="CC745">
        <v>947.2</v>
      </c>
      <c r="CD745">
        <v>3840.9</v>
      </c>
      <c r="CE745" s="19">
        <f>SUM(Table1[[#This Row],[Low38]],Table1[[#This Row],[Low35]],Table1[[#This Row],[Low32]],Table1[[#This Row],[Low29]],Table1[[#This Row],[Low26]],Table1[[#This Row],[Low23]],Table1[[#This Row],[Low20]],Table1[[#This Row],[Low17]],Table1[[#This Row],[Low14]],Table1[[#This Row],[Low11]],Table1[[#This Row],[Low8]],Table1[[#This Row],[Low5]],Table1[[#This Row],[Low2]],Table1[[#This Row],[Low]])</f>
        <v>90</v>
      </c>
      <c r="CF745" s="19">
        <f>SUM(Table1[[#This Row],[Mid39]],Table1[[#This Row],[Mid36]],Table1[[#This Row],[Mid33]],Table1[[#This Row],[Mid30]],Table1[[#This Row],[Mid27]],Table1[[#This Row],[Mid24]],Table1[[#This Row],[Mid21]],Table1[[#This Row],[Mid18]],Table1[[#This Row],[Mid15]],Table1[[#This Row],[Mid12]],Table1[[#This Row],[Mid9]],Table1[[#This Row],[Mid6]],Table1[[#This Row],[Mid3]],Table1[[#This Row],[Mid]])</f>
        <v>1000</v>
      </c>
      <c r="CG7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4055</v>
      </c>
      <c r="CH745" t="s">
        <v>157</v>
      </c>
      <c r="CI745" t="s">
        <v>134</v>
      </c>
      <c r="CJ745" t="s">
        <v>158</v>
      </c>
      <c r="CL745" s="19">
        <f>IF(Table1[[#This Row],[Type]]="Petroleum",1,IF(ISERROR(Table1[[#This Row],[Well Density]]*Table1[[#This Row],[Single Well Discovery Area]]),"",IF(Table1[[#This Row],[Well Density]]*Table1[[#This Row],[Single Well Discovery Area]]&gt;1,1,Table1[[#This Row],[Well Density]]*Table1[[#This Row],[Single Well Discovery Area]])))</f>
        <v>5.2798400000000002E-2</v>
      </c>
      <c r="CM745" t="s">
        <v>158</v>
      </c>
      <c r="CN745" s="19">
        <f>Table1[[#This Row],[Mid]]</f>
        <v>0</v>
      </c>
      <c r="CO745" s="19">
        <f>Table1[[#This Row],[Mid3]]+Table1[[#This Row],[Mid6]]+Table1[[#This Row],[Mid9]]</f>
        <v>0</v>
      </c>
      <c r="CP745" s="19">
        <f>Table1[[#This Row],[Mid12]]+Table1[[#This Row],[Mid15]]+Table1[[#This Row],[Mid18]]+Table1[[#This Row],[Mid21]]+Table1[[#This Row],[Mid24]]</f>
        <v>52.8</v>
      </c>
      <c r="CQ745" s="19">
        <f>Table1[[#This Row],[Mid27]]+Table1[[#This Row],[Mid30]]+Table1[[#This Row],[Mid33]]+Table1[[#This Row],[Mid36]]+Table1[[#This Row],[Mid39]]</f>
        <v>947.2</v>
      </c>
      <c r="CR745" t="s">
        <v>2317</v>
      </c>
      <c r="CS745" s="19" t="str">
        <f>IF(AND(Table1[[#This Row],[Low41]]=0, Table1[[#This Row],[High43]]=0),"N","Y")</f>
        <v>Y</v>
      </c>
    </row>
    <row r="746" spans="1:97" ht="19.5" customHeight="1" x14ac:dyDescent="0.25">
      <c r="A746">
        <v>10744</v>
      </c>
      <c r="B746" t="s">
        <v>2309</v>
      </c>
      <c r="D746">
        <v>-22.414999999999999</v>
      </c>
      <c r="E746">
        <v>34.023611109999997</v>
      </c>
      <c r="F746" t="s">
        <v>2349</v>
      </c>
      <c r="G746" t="s">
        <v>2309</v>
      </c>
      <c r="H746" t="s">
        <v>2323</v>
      </c>
      <c r="I746" t="s">
        <v>118</v>
      </c>
      <c r="J746" t="s">
        <v>119</v>
      </c>
      <c r="K746" t="s">
        <v>190</v>
      </c>
      <c r="L746" t="s">
        <v>147</v>
      </c>
      <c r="M746" t="s">
        <v>191</v>
      </c>
      <c r="N746" s="6" t="s">
        <v>2312</v>
      </c>
      <c r="O746" t="s">
        <v>2313</v>
      </c>
      <c r="P746" t="s">
        <v>1150</v>
      </c>
      <c r="Q746" t="s">
        <v>2324</v>
      </c>
      <c r="R746" t="s">
        <v>2350</v>
      </c>
      <c r="S746">
        <v>2013</v>
      </c>
      <c r="T746" t="s">
        <v>2257</v>
      </c>
      <c r="U746" t="s">
        <v>129</v>
      </c>
      <c r="V746">
        <v>16718</v>
      </c>
      <c r="W746">
        <v>2349</v>
      </c>
      <c r="X746">
        <v>336</v>
      </c>
      <c r="Y746">
        <v>48</v>
      </c>
      <c r="Z746">
        <v>13</v>
      </c>
      <c r="AC746">
        <v>601</v>
      </c>
      <c r="AD746">
        <v>3</v>
      </c>
      <c r="AE746">
        <v>1.79447E-4</v>
      </c>
      <c r="AF746">
        <v>200</v>
      </c>
      <c r="AG746">
        <v>23.05</v>
      </c>
      <c r="AH746" t="s">
        <v>2259</v>
      </c>
      <c r="AI746">
        <v>1</v>
      </c>
      <c r="AM746" t="s">
        <v>2316</v>
      </c>
      <c r="AN746" t="s">
        <v>132</v>
      </c>
      <c r="BM746">
        <v>6.5</v>
      </c>
      <c r="BN746">
        <v>7.2</v>
      </c>
      <c r="BO746">
        <v>290.10000000000002</v>
      </c>
      <c r="CB746">
        <v>173.5</v>
      </c>
      <c r="CC746">
        <v>192.8</v>
      </c>
      <c r="CD746">
        <v>7792.9</v>
      </c>
      <c r="CE746" s="19">
        <f>SUM(Table1[[#This Row],[Low38]],Table1[[#This Row],[Low35]],Table1[[#This Row],[Low32]],Table1[[#This Row],[Low29]],Table1[[#This Row],[Low26]],Table1[[#This Row],[Low23]],Table1[[#This Row],[Low20]],Table1[[#This Row],[Low17]],Table1[[#This Row],[Low14]],Table1[[#This Row],[Low11]],Table1[[#This Row],[Low8]],Table1[[#This Row],[Low5]],Table1[[#This Row],[Low2]],Table1[[#This Row],[Low]])</f>
        <v>180</v>
      </c>
      <c r="CF746" s="19">
        <f>SUM(Table1[[#This Row],[Mid39]],Table1[[#This Row],[Mid36]],Table1[[#This Row],[Mid33]],Table1[[#This Row],[Mid30]],Table1[[#This Row],[Mid27]],Table1[[#This Row],[Mid24]],Table1[[#This Row],[Mid21]],Table1[[#This Row],[Mid18]],Table1[[#This Row],[Mid15]],Table1[[#This Row],[Mid12]],Table1[[#This Row],[Mid9]],Table1[[#This Row],[Mid6]],Table1[[#This Row],[Mid3]],Table1[[#This Row],[Mid]])</f>
        <v>200</v>
      </c>
      <c r="CG7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8083</v>
      </c>
      <c r="CH746" t="s">
        <v>157</v>
      </c>
      <c r="CI746" t="s">
        <v>134</v>
      </c>
      <c r="CJ746" t="s">
        <v>158</v>
      </c>
      <c r="CL746" s="19">
        <f>IF(Table1[[#This Row],[Type]]="Petroleum",1,IF(ISERROR(Table1[[#This Row],[Well Density]]*Table1[[#This Row],[Single Well Discovery Area]]),"",IF(Table1[[#This Row],[Well Density]]*Table1[[#This Row],[Single Well Discovery Area]]&gt;1,1,Table1[[#This Row],[Well Density]]*Table1[[#This Row],[Single Well Discovery Area]])))</f>
        <v>3.5889400000000002E-2</v>
      </c>
      <c r="CM746" t="s">
        <v>158</v>
      </c>
      <c r="CN746" s="19">
        <f>Table1[[#This Row],[Mid]]</f>
        <v>0</v>
      </c>
      <c r="CO746" s="19">
        <f>Table1[[#This Row],[Mid3]]+Table1[[#This Row],[Mid6]]+Table1[[#This Row],[Mid9]]</f>
        <v>0</v>
      </c>
      <c r="CP746" s="19">
        <f>Table1[[#This Row],[Mid12]]+Table1[[#This Row],[Mid15]]+Table1[[#This Row],[Mid18]]+Table1[[#This Row],[Mid21]]+Table1[[#This Row],[Mid24]]</f>
        <v>7.2</v>
      </c>
      <c r="CQ746" s="19">
        <f>Table1[[#This Row],[Mid27]]+Table1[[#This Row],[Mid30]]+Table1[[#This Row],[Mid33]]+Table1[[#This Row],[Mid36]]+Table1[[#This Row],[Mid39]]</f>
        <v>192.8</v>
      </c>
      <c r="CR746" t="s">
        <v>2317</v>
      </c>
      <c r="CS746" s="19" t="str">
        <f>IF(AND(Table1[[#This Row],[Low41]]=0, Table1[[#This Row],[High43]]=0),"N","Y")</f>
        <v>Y</v>
      </c>
    </row>
    <row r="747" spans="1:97" ht="19.5" customHeight="1" x14ac:dyDescent="0.25">
      <c r="A747">
        <v>10745</v>
      </c>
      <c r="B747" t="s">
        <v>2309</v>
      </c>
      <c r="D747">
        <v>-25.39722222</v>
      </c>
      <c r="E747">
        <v>32.594999999999999</v>
      </c>
      <c r="F747" t="s">
        <v>2351</v>
      </c>
      <c r="G747" t="s">
        <v>2309</v>
      </c>
      <c r="H747" t="s">
        <v>2323</v>
      </c>
      <c r="I747" t="s">
        <v>118</v>
      </c>
      <c r="J747" t="s">
        <v>119</v>
      </c>
      <c r="K747" t="s">
        <v>190</v>
      </c>
      <c r="L747" t="s">
        <v>147</v>
      </c>
      <c r="M747" t="s">
        <v>191</v>
      </c>
      <c r="N747" s="6" t="s">
        <v>2312</v>
      </c>
      <c r="O747" t="s">
        <v>2313</v>
      </c>
      <c r="P747" t="s">
        <v>1150</v>
      </c>
      <c r="Q747" t="s">
        <v>2324</v>
      </c>
      <c r="R747" t="s">
        <v>2352</v>
      </c>
      <c r="S747">
        <v>2013</v>
      </c>
      <c r="T747" t="s">
        <v>2257</v>
      </c>
      <c r="U747" t="s">
        <v>129</v>
      </c>
      <c r="V747">
        <v>23225</v>
      </c>
      <c r="W747">
        <v>2106</v>
      </c>
      <c r="X747">
        <v>185</v>
      </c>
      <c r="Y747">
        <v>48</v>
      </c>
      <c r="Z747">
        <v>15.8</v>
      </c>
      <c r="AC747">
        <v>600</v>
      </c>
      <c r="AD747">
        <v>4</v>
      </c>
      <c r="AE747">
        <v>1.7222799999999999E-4</v>
      </c>
      <c r="AF747">
        <v>200</v>
      </c>
      <c r="AG747">
        <v>20.66</v>
      </c>
      <c r="AH747" t="s">
        <v>2259</v>
      </c>
      <c r="AI747">
        <v>1</v>
      </c>
      <c r="AM747" t="s">
        <v>2316</v>
      </c>
      <c r="AN747" t="s">
        <v>132</v>
      </c>
      <c r="BM747">
        <v>5.5</v>
      </c>
      <c r="BN747">
        <v>6.9</v>
      </c>
      <c r="BO747">
        <v>257.8</v>
      </c>
      <c r="CB747">
        <v>154.5</v>
      </c>
      <c r="CC747">
        <v>193.1</v>
      </c>
      <c r="CD747">
        <v>7227.2</v>
      </c>
      <c r="CE747" s="19">
        <f>SUM(Table1[[#This Row],[Low38]],Table1[[#This Row],[Low35]],Table1[[#This Row],[Low32]],Table1[[#This Row],[Low29]],Table1[[#This Row],[Low26]],Table1[[#This Row],[Low23]],Table1[[#This Row],[Low20]],Table1[[#This Row],[Low17]],Table1[[#This Row],[Low14]],Table1[[#This Row],[Low11]],Table1[[#This Row],[Low8]],Table1[[#This Row],[Low5]],Table1[[#This Row],[Low2]],Table1[[#This Row],[Low]])</f>
        <v>160</v>
      </c>
      <c r="CF747" s="19">
        <f>SUM(Table1[[#This Row],[Mid39]],Table1[[#This Row],[Mid36]],Table1[[#This Row],[Mid33]],Table1[[#This Row],[Mid30]],Table1[[#This Row],[Mid27]],Table1[[#This Row],[Mid24]],Table1[[#This Row],[Mid21]],Table1[[#This Row],[Mid18]],Table1[[#This Row],[Mid15]],Table1[[#This Row],[Mid12]],Table1[[#This Row],[Mid9]],Table1[[#This Row],[Mid6]],Table1[[#This Row],[Mid3]],Table1[[#This Row],[Mid]])</f>
        <v>200</v>
      </c>
      <c r="CG7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7485</v>
      </c>
      <c r="CH747" t="s">
        <v>157</v>
      </c>
      <c r="CI747" t="s">
        <v>134</v>
      </c>
      <c r="CJ747" t="s">
        <v>158</v>
      </c>
      <c r="CL747" s="19">
        <f>IF(Table1[[#This Row],[Type]]="Petroleum",1,IF(ISERROR(Table1[[#This Row],[Well Density]]*Table1[[#This Row],[Single Well Discovery Area]]),"",IF(Table1[[#This Row],[Well Density]]*Table1[[#This Row],[Single Well Discovery Area]]&gt;1,1,Table1[[#This Row],[Well Density]]*Table1[[#This Row],[Single Well Discovery Area]])))</f>
        <v>3.44456E-2</v>
      </c>
      <c r="CM747" t="s">
        <v>158</v>
      </c>
      <c r="CN747" s="19">
        <f>Table1[[#This Row],[Mid]]</f>
        <v>0</v>
      </c>
      <c r="CO747" s="19">
        <f>Table1[[#This Row],[Mid3]]+Table1[[#This Row],[Mid6]]+Table1[[#This Row],[Mid9]]</f>
        <v>0</v>
      </c>
      <c r="CP747" s="19">
        <f>Table1[[#This Row],[Mid12]]+Table1[[#This Row],[Mid15]]+Table1[[#This Row],[Mid18]]+Table1[[#This Row],[Mid21]]+Table1[[#This Row],[Mid24]]</f>
        <v>6.9</v>
      </c>
      <c r="CQ747" s="19">
        <f>Table1[[#This Row],[Mid27]]+Table1[[#This Row],[Mid30]]+Table1[[#This Row],[Mid33]]+Table1[[#This Row],[Mid36]]+Table1[[#This Row],[Mid39]]</f>
        <v>193.1</v>
      </c>
      <c r="CR747" t="s">
        <v>2317</v>
      </c>
      <c r="CS747" s="19" t="str">
        <f>IF(AND(Table1[[#This Row],[Low41]]=0, Table1[[#This Row],[High43]]=0),"N","Y")</f>
        <v>Y</v>
      </c>
    </row>
    <row r="748" spans="1:97" ht="19.5" customHeight="1" x14ac:dyDescent="0.25">
      <c r="A748">
        <v>10746</v>
      </c>
      <c r="B748" t="s">
        <v>2309</v>
      </c>
      <c r="D748">
        <v>-20.95027778</v>
      </c>
      <c r="E748">
        <v>34.891666669999999</v>
      </c>
      <c r="F748" t="s">
        <v>2353</v>
      </c>
      <c r="G748" t="s">
        <v>2309</v>
      </c>
      <c r="H748" t="s">
        <v>2327</v>
      </c>
      <c r="I748" t="s">
        <v>118</v>
      </c>
      <c r="J748" t="s">
        <v>119</v>
      </c>
      <c r="K748" t="s">
        <v>190</v>
      </c>
      <c r="L748" t="s">
        <v>147</v>
      </c>
      <c r="M748" t="s">
        <v>191</v>
      </c>
      <c r="N748" s="6" t="s">
        <v>2312</v>
      </c>
      <c r="O748" t="s">
        <v>2313</v>
      </c>
      <c r="P748" t="s">
        <v>1150</v>
      </c>
      <c r="Q748" t="s">
        <v>2328</v>
      </c>
      <c r="R748" t="s">
        <v>2354</v>
      </c>
      <c r="S748">
        <v>2013</v>
      </c>
      <c r="T748" t="s">
        <v>2257</v>
      </c>
      <c r="U748" t="s">
        <v>129</v>
      </c>
      <c r="V748">
        <v>46349</v>
      </c>
      <c r="W748">
        <v>1494</v>
      </c>
      <c r="X748">
        <v>759</v>
      </c>
      <c r="Y748">
        <v>25</v>
      </c>
      <c r="Z748">
        <v>26.5</v>
      </c>
      <c r="AC748">
        <v>537</v>
      </c>
      <c r="AD748">
        <v>17</v>
      </c>
      <c r="AE748">
        <v>3.6678200000000001E-4</v>
      </c>
      <c r="AF748">
        <v>200</v>
      </c>
      <c r="AG748">
        <v>14.66</v>
      </c>
      <c r="AH748" t="s">
        <v>2259</v>
      </c>
      <c r="AI748">
        <v>1</v>
      </c>
      <c r="AM748" t="s">
        <v>2316</v>
      </c>
      <c r="AN748" t="s">
        <v>132</v>
      </c>
      <c r="BM748">
        <v>40.299999999999997</v>
      </c>
      <c r="BN748">
        <v>953.6</v>
      </c>
      <c r="BO748">
        <v>6537.8</v>
      </c>
      <c r="CB748">
        <v>509.7</v>
      </c>
      <c r="CC748">
        <v>12046.4</v>
      </c>
      <c r="CD748">
        <v>82586.2</v>
      </c>
      <c r="CE748" s="19">
        <f>SUM(Table1[[#This Row],[Low38]],Table1[[#This Row],[Low35]],Table1[[#This Row],[Low32]],Table1[[#This Row],[Low29]],Table1[[#This Row],[Low26]],Table1[[#This Row],[Low23]],Table1[[#This Row],[Low20]],Table1[[#This Row],[Low17]],Table1[[#This Row],[Low14]],Table1[[#This Row],[Low11]],Table1[[#This Row],[Low8]],Table1[[#This Row],[Low5]],Table1[[#This Row],[Low2]],Table1[[#This Row],[Low]])</f>
        <v>550</v>
      </c>
      <c r="CF748" s="19">
        <f>SUM(Table1[[#This Row],[Mid39]],Table1[[#This Row],[Mid36]],Table1[[#This Row],[Mid33]],Table1[[#This Row],[Mid30]],Table1[[#This Row],[Mid27]],Table1[[#This Row],[Mid24]],Table1[[#This Row],[Mid21]],Table1[[#This Row],[Mid18]],Table1[[#This Row],[Mid15]],Table1[[#This Row],[Mid12]],Table1[[#This Row],[Mid9]],Table1[[#This Row],[Mid6]],Table1[[#This Row],[Mid3]],Table1[[#This Row],[Mid]])</f>
        <v>13000</v>
      </c>
      <c r="CG74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89124</v>
      </c>
      <c r="CH748" t="s">
        <v>157</v>
      </c>
      <c r="CI748" t="s">
        <v>134</v>
      </c>
      <c r="CJ748" t="s">
        <v>158</v>
      </c>
      <c r="CL748" s="19">
        <f>IF(Table1[[#This Row],[Type]]="Petroleum",1,IF(ISERROR(Table1[[#This Row],[Well Density]]*Table1[[#This Row],[Single Well Discovery Area]]),"",IF(Table1[[#This Row],[Well Density]]*Table1[[#This Row],[Single Well Discovery Area]]&gt;1,1,Table1[[#This Row],[Well Density]]*Table1[[#This Row],[Single Well Discovery Area]])))</f>
        <v>7.3356400000000002E-2</v>
      </c>
      <c r="CM748" t="s">
        <v>158</v>
      </c>
      <c r="CN748" s="19">
        <f>Table1[[#This Row],[Mid]]</f>
        <v>0</v>
      </c>
      <c r="CO748" s="19">
        <f>Table1[[#This Row],[Mid3]]+Table1[[#This Row],[Mid6]]+Table1[[#This Row],[Mid9]]</f>
        <v>0</v>
      </c>
      <c r="CP748" s="19">
        <f>Table1[[#This Row],[Mid12]]+Table1[[#This Row],[Mid15]]+Table1[[#This Row],[Mid18]]+Table1[[#This Row],[Mid21]]+Table1[[#This Row],[Mid24]]</f>
        <v>953.6</v>
      </c>
      <c r="CQ748" s="19">
        <f>Table1[[#This Row],[Mid27]]+Table1[[#This Row],[Mid30]]+Table1[[#This Row],[Mid33]]+Table1[[#This Row],[Mid36]]+Table1[[#This Row],[Mid39]]</f>
        <v>12046.4</v>
      </c>
      <c r="CR748" t="s">
        <v>2317</v>
      </c>
      <c r="CS748" s="19" t="str">
        <f>IF(AND(Table1[[#This Row],[Low41]]=0, Table1[[#This Row],[High43]]=0),"N","Y")</f>
        <v>Y</v>
      </c>
    </row>
    <row r="749" spans="1:97" ht="19.5" customHeight="1" x14ac:dyDescent="0.25">
      <c r="A749">
        <v>10747</v>
      </c>
      <c r="B749" t="s">
        <v>2309</v>
      </c>
      <c r="D749">
        <v>-23.819444440000002</v>
      </c>
      <c r="E749">
        <v>34.807777780000002</v>
      </c>
      <c r="F749" t="s">
        <v>2355</v>
      </c>
      <c r="G749" t="s">
        <v>2309</v>
      </c>
      <c r="H749" t="s">
        <v>2327</v>
      </c>
      <c r="I749" t="s">
        <v>118</v>
      </c>
      <c r="J749" t="s">
        <v>119</v>
      </c>
      <c r="K749" t="s">
        <v>190</v>
      </c>
      <c r="L749" t="s">
        <v>147</v>
      </c>
      <c r="M749" t="s">
        <v>191</v>
      </c>
      <c r="N749" s="6" t="s">
        <v>2312</v>
      </c>
      <c r="O749" t="s">
        <v>2313</v>
      </c>
      <c r="P749" t="s">
        <v>1150</v>
      </c>
      <c r="Q749" t="s">
        <v>2328</v>
      </c>
      <c r="R749" t="s">
        <v>2356</v>
      </c>
      <c r="S749">
        <v>2013</v>
      </c>
      <c r="T749" t="s">
        <v>2257</v>
      </c>
      <c r="U749" t="s">
        <v>129</v>
      </c>
      <c r="V749">
        <v>70806</v>
      </c>
      <c r="W749">
        <v>1410</v>
      </c>
      <c r="X749">
        <v>293</v>
      </c>
      <c r="Y749">
        <v>25</v>
      </c>
      <c r="Z749">
        <v>30.5</v>
      </c>
      <c r="AC749">
        <v>530</v>
      </c>
      <c r="AD749">
        <v>6</v>
      </c>
      <c r="AE749" s="25" t="s">
        <v>2357</v>
      </c>
      <c r="AF749">
        <v>200</v>
      </c>
      <c r="AG749">
        <v>13.83</v>
      </c>
      <c r="AH749" t="s">
        <v>2259</v>
      </c>
      <c r="AI749">
        <v>1</v>
      </c>
      <c r="AM749" t="s">
        <v>2316</v>
      </c>
      <c r="AN749" t="s">
        <v>132</v>
      </c>
      <c r="BM749">
        <v>6.3</v>
      </c>
      <c r="BN749">
        <v>13.6</v>
      </c>
      <c r="BO749">
        <v>1012.3</v>
      </c>
      <c r="CB749">
        <v>363.7</v>
      </c>
      <c r="CC749">
        <v>786.4</v>
      </c>
      <c r="CD749">
        <v>58715.7</v>
      </c>
      <c r="CE749" s="19">
        <f>SUM(Table1[[#This Row],[Low38]],Table1[[#This Row],[Low35]],Table1[[#This Row],[Low32]],Table1[[#This Row],[Low29]],Table1[[#This Row],[Low26]],Table1[[#This Row],[Low23]],Table1[[#This Row],[Low20]],Table1[[#This Row],[Low17]],Table1[[#This Row],[Low14]],Table1[[#This Row],[Low11]],Table1[[#This Row],[Low8]],Table1[[#This Row],[Low5]],Table1[[#This Row],[Low2]],Table1[[#This Row],[Low]])</f>
        <v>370</v>
      </c>
      <c r="CF749" s="19">
        <f>SUM(Table1[[#This Row],[Mid39]],Table1[[#This Row],[Mid36]],Table1[[#This Row],[Mid33]],Table1[[#This Row],[Mid30]],Table1[[#This Row],[Mid27]],Table1[[#This Row],[Mid24]],Table1[[#This Row],[Mid21]],Table1[[#This Row],[Mid18]],Table1[[#This Row],[Mid15]],Table1[[#This Row],[Mid12]],Table1[[#This Row],[Mid9]],Table1[[#This Row],[Mid6]],Table1[[#This Row],[Mid3]],Table1[[#This Row],[Mid]])</f>
        <v>800</v>
      </c>
      <c r="CG7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59728</v>
      </c>
      <c r="CH749" t="s">
        <v>157</v>
      </c>
      <c r="CI749" t="s">
        <v>134</v>
      </c>
      <c r="CJ749" t="s">
        <v>158</v>
      </c>
      <c r="CL749" s="19">
        <f>IF(Table1[[#This Row],[Type]]="Petroleum",1,IF(ISERROR(Table1[[#This Row],[Well Density]]*Table1[[#This Row],[Single Well Discovery Area]]),"",IF(Table1[[#This Row],[Well Density]]*Table1[[#This Row],[Single Well Discovery Area]]&gt;1,1,Table1[[#This Row],[Well Density]]*Table1[[#This Row],[Single Well Discovery Area]])))</f>
        <v>1.6947719999999999E-2</v>
      </c>
      <c r="CM749" t="s">
        <v>158</v>
      </c>
      <c r="CN749" s="19">
        <f>Table1[[#This Row],[Mid]]</f>
        <v>0</v>
      </c>
      <c r="CO749" s="19">
        <f>Table1[[#This Row],[Mid3]]+Table1[[#This Row],[Mid6]]+Table1[[#This Row],[Mid9]]</f>
        <v>0</v>
      </c>
      <c r="CP749" s="19">
        <f>Table1[[#This Row],[Mid12]]+Table1[[#This Row],[Mid15]]+Table1[[#This Row],[Mid18]]+Table1[[#This Row],[Mid21]]+Table1[[#This Row],[Mid24]]</f>
        <v>13.6</v>
      </c>
      <c r="CQ749" s="19">
        <f>Table1[[#This Row],[Mid27]]+Table1[[#This Row],[Mid30]]+Table1[[#This Row],[Mid33]]+Table1[[#This Row],[Mid36]]+Table1[[#This Row],[Mid39]]</f>
        <v>786.4</v>
      </c>
      <c r="CR749" t="s">
        <v>2317</v>
      </c>
      <c r="CS749" s="19" t="str">
        <f>IF(AND(Table1[[#This Row],[Low41]]=0, Table1[[#This Row],[High43]]=0),"N","Y")</f>
        <v>Y</v>
      </c>
    </row>
    <row r="750" spans="1:97" ht="19.5" customHeight="1" x14ac:dyDescent="0.25">
      <c r="A750">
        <v>10748</v>
      </c>
      <c r="B750" t="s">
        <v>2309</v>
      </c>
      <c r="D750">
        <v>-22.925555559999999</v>
      </c>
      <c r="E750">
        <v>35.448611110000002</v>
      </c>
      <c r="F750" t="s">
        <v>2358</v>
      </c>
      <c r="G750" t="s">
        <v>2309</v>
      </c>
      <c r="H750" t="s">
        <v>2332</v>
      </c>
      <c r="I750" t="s">
        <v>118</v>
      </c>
      <c r="J750" t="s">
        <v>119</v>
      </c>
      <c r="K750" t="s">
        <v>190</v>
      </c>
      <c r="L750" t="s">
        <v>147</v>
      </c>
      <c r="N750" s="6" t="s">
        <v>2312</v>
      </c>
      <c r="O750" t="s">
        <v>2313</v>
      </c>
      <c r="P750" t="s">
        <v>1150</v>
      </c>
      <c r="Q750" t="s">
        <v>2333</v>
      </c>
      <c r="R750" t="s">
        <v>2359</v>
      </c>
      <c r="S750">
        <v>2013</v>
      </c>
      <c r="T750" t="s">
        <v>2257</v>
      </c>
      <c r="U750" t="s">
        <v>129</v>
      </c>
      <c r="V750">
        <v>6589</v>
      </c>
      <c r="W750">
        <v>1197</v>
      </c>
      <c r="X750">
        <v>35</v>
      </c>
      <c r="Y750">
        <v>9</v>
      </c>
      <c r="Z750">
        <v>22</v>
      </c>
      <c r="AC750">
        <v>466</v>
      </c>
      <c r="AD750">
        <v>1</v>
      </c>
      <c r="AE750">
        <v>1.5176799999999999E-4</v>
      </c>
      <c r="AF750">
        <v>200</v>
      </c>
      <c r="AG750">
        <v>11.74</v>
      </c>
      <c r="AH750" t="s">
        <v>2259</v>
      </c>
      <c r="AI750">
        <v>1</v>
      </c>
      <c r="AM750" t="s">
        <v>2316</v>
      </c>
      <c r="AN750" t="s">
        <v>132</v>
      </c>
      <c r="BM750">
        <v>0.3</v>
      </c>
      <c r="BN750">
        <v>1.1000000000000001</v>
      </c>
      <c r="BO750">
        <v>1.9</v>
      </c>
      <c r="CB750">
        <v>9.6999999999999993</v>
      </c>
      <c r="CC750">
        <v>34.9</v>
      </c>
      <c r="CD750">
        <v>60.1</v>
      </c>
      <c r="CE750" s="19">
        <f>SUM(Table1[[#This Row],[Low38]],Table1[[#This Row],[Low35]],Table1[[#This Row],[Low32]],Table1[[#This Row],[Low29]],Table1[[#This Row],[Low26]],Table1[[#This Row],[Low23]],Table1[[#This Row],[Low20]],Table1[[#This Row],[Low17]],Table1[[#This Row],[Low14]],Table1[[#This Row],[Low11]],Table1[[#This Row],[Low8]],Table1[[#This Row],[Low5]],Table1[[#This Row],[Low2]],Table1[[#This Row],[Low]])</f>
        <v>10</v>
      </c>
      <c r="CF750" s="19">
        <f>SUM(Table1[[#This Row],[Mid39]],Table1[[#This Row],[Mid36]],Table1[[#This Row],[Mid33]],Table1[[#This Row],[Mid30]],Table1[[#This Row],[Mid27]],Table1[[#This Row],[Mid24]],Table1[[#This Row],[Mid21]],Table1[[#This Row],[Mid18]],Table1[[#This Row],[Mid15]],Table1[[#This Row],[Mid12]],Table1[[#This Row],[Mid9]],Table1[[#This Row],[Mid6]],Table1[[#This Row],[Mid3]],Table1[[#This Row],[Mid]])</f>
        <v>36</v>
      </c>
      <c r="CG7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62</v>
      </c>
      <c r="CH750" t="s">
        <v>157</v>
      </c>
      <c r="CI750" t="s">
        <v>134</v>
      </c>
      <c r="CJ750" t="s">
        <v>158</v>
      </c>
      <c r="CL750" s="19">
        <f>IF(Table1[[#This Row],[Type]]="Petroleum",1,IF(ISERROR(Table1[[#This Row],[Well Density]]*Table1[[#This Row],[Single Well Discovery Area]]),"",IF(Table1[[#This Row],[Well Density]]*Table1[[#This Row],[Single Well Discovery Area]]&gt;1,1,Table1[[#This Row],[Well Density]]*Table1[[#This Row],[Single Well Discovery Area]])))</f>
        <v>3.0353599999999998E-2</v>
      </c>
      <c r="CM750" t="s">
        <v>158</v>
      </c>
      <c r="CN750" s="19">
        <f>Table1[[#This Row],[Mid]]</f>
        <v>0</v>
      </c>
      <c r="CO750" s="19">
        <f>Table1[[#This Row],[Mid3]]+Table1[[#This Row],[Mid6]]+Table1[[#This Row],[Mid9]]</f>
        <v>0</v>
      </c>
      <c r="CP750" s="19">
        <f>Table1[[#This Row],[Mid12]]+Table1[[#This Row],[Mid15]]+Table1[[#This Row],[Mid18]]+Table1[[#This Row],[Mid21]]+Table1[[#This Row],[Mid24]]</f>
        <v>1.1000000000000001</v>
      </c>
      <c r="CQ750" s="19">
        <f>Table1[[#This Row],[Mid27]]+Table1[[#This Row],[Mid30]]+Table1[[#This Row],[Mid33]]+Table1[[#This Row],[Mid36]]+Table1[[#This Row],[Mid39]]</f>
        <v>34.9</v>
      </c>
      <c r="CR750" t="s">
        <v>2317</v>
      </c>
      <c r="CS750" s="19" t="str">
        <f>IF(AND(Table1[[#This Row],[Low41]]=0, Table1[[#This Row],[High43]]=0),"N","Y")</f>
        <v>Y</v>
      </c>
    </row>
    <row r="751" spans="1:97" ht="19.5" customHeight="1" x14ac:dyDescent="0.25">
      <c r="A751">
        <v>10749</v>
      </c>
      <c r="B751" t="s">
        <v>2309</v>
      </c>
      <c r="C751" t="s">
        <v>2360</v>
      </c>
      <c r="D751">
        <v>-12.285</v>
      </c>
      <c r="E751">
        <v>40.308888889999999</v>
      </c>
      <c r="F751" t="s">
        <v>2361</v>
      </c>
      <c r="G751" t="s">
        <v>2309</v>
      </c>
      <c r="H751" t="s">
        <v>2362</v>
      </c>
      <c r="I751" t="s">
        <v>118</v>
      </c>
      <c r="J751" t="s">
        <v>119</v>
      </c>
      <c r="K751" t="s">
        <v>190</v>
      </c>
      <c r="L751" t="s">
        <v>18</v>
      </c>
      <c r="M751" t="s">
        <v>1499</v>
      </c>
      <c r="N751" s="6" t="s">
        <v>2338</v>
      </c>
      <c r="O751" t="s">
        <v>2339</v>
      </c>
      <c r="P751" t="s">
        <v>1150</v>
      </c>
      <c r="Q751" t="s">
        <v>2363</v>
      </c>
      <c r="R751" t="s">
        <v>2364</v>
      </c>
      <c r="S751">
        <v>2014</v>
      </c>
      <c r="T751" t="s">
        <v>2257</v>
      </c>
      <c r="U751" t="s">
        <v>129</v>
      </c>
      <c r="V751">
        <v>6754</v>
      </c>
      <c r="W751">
        <v>1200</v>
      </c>
      <c r="X751">
        <v>1000</v>
      </c>
      <c r="Z751">
        <v>20</v>
      </c>
      <c r="AC751">
        <v>700</v>
      </c>
      <c r="AD751">
        <v>0</v>
      </c>
      <c r="AE751">
        <v>0</v>
      </c>
      <c r="AF751">
        <v>200</v>
      </c>
      <c r="AH751" t="s">
        <v>2259</v>
      </c>
      <c r="AI751">
        <v>0.5</v>
      </c>
      <c r="AM751" t="s">
        <v>2342</v>
      </c>
      <c r="AN751" t="s">
        <v>132</v>
      </c>
      <c r="CC751">
        <v>85</v>
      </c>
      <c r="CD751">
        <v>170</v>
      </c>
      <c r="CE7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51" s="19">
        <f>SUM(Table1[[#This Row],[Mid39]],Table1[[#This Row],[Mid36]],Table1[[#This Row],[Mid33]],Table1[[#This Row],[Mid30]],Table1[[#This Row],[Mid27]],Table1[[#This Row],[Mid24]],Table1[[#This Row],[Mid21]],Table1[[#This Row],[Mid18]],Table1[[#This Row],[Mid15]],Table1[[#This Row],[Mid12]],Table1[[#This Row],[Mid9]],Table1[[#This Row],[Mid6]],Table1[[#This Row],[Mid3]],Table1[[#This Row],[Mid]])</f>
        <v>85</v>
      </c>
      <c r="CG7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170</v>
      </c>
      <c r="CI751" t="s">
        <v>134</v>
      </c>
      <c r="CJ751" t="s">
        <v>158</v>
      </c>
      <c r="CL751" s="19">
        <f>IF(Table1[[#This Row],[Type]]="Petroleum",1,IF(ISERROR(Table1[[#This Row],[Well Density]]*Table1[[#This Row],[Single Well Discovery Area]]),"",IF(Table1[[#This Row],[Well Density]]*Table1[[#This Row],[Single Well Discovery Area]]&gt;1,1,Table1[[#This Row],[Well Density]]*Table1[[#This Row],[Single Well Discovery Area]])))</f>
        <v>0</v>
      </c>
      <c r="CM751" t="s">
        <v>158</v>
      </c>
      <c r="CN751" s="19">
        <f>Table1[[#This Row],[Mid]]</f>
        <v>0</v>
      </c>
      <c r="CO751" s="19">
        <f>Table1[[#This Row],[Mid3]]+Table1[[#This Row],[Mid6]]+Table1[[#This Row],[Mid9]]</f>
        <v>0</v>
      </c>
      <c r="CP751" s="19">
        <f>Table1[[#This Row],[Mid12]]+Table1[[#This Row],[Mid15]]+Table1[[#This Row],[Mid18]]+Table1[[#This Row],[Mid21]]+Table1[[#This Row],[Mid24]]</f>
        <v>0</v>
      </c>
      <c r="CQ751" s="19">
        <f>Table1[[#This Row],[Mid27]]+Table1[[#This Row],[Mid30]]+Table1[[#This Row],[Mid33]]+Table1[[#This Row],[Mid36]]+Table1[[#This Row],[Mid39]]</f>
        <v>85</v>
      </c>
      <c r="CR751" t="s">
        <v>2317</v>
      </c>
      <c r="CS751" s="19" t="str">
        <f>IF(AND(Table1[[#This Row],[Low41]]=0, Table1[[#This Row],[High43]]=0),"N","Y")</f>
        <v>Y</v>
      </c>
    </row>
    <row r="752" spans="1:97" ht="19.5" customHeight="1" x14ac:dyDescent="0.25">
      <c r="A752">
        <v>10750</v>
      </c>
      <c r="B752" t="s">
        <v>2365</v>
      </c>
      <c r="C752" t="s">
        <v>2366</v>
      </c>
      <c r="D752">
        <v>24.826944439999998</v>
      </c>
      <c r="E752">
        <v>51.088611110000002</v>
      </c>
      <c r="F752" t="s">
        <v>2367</v>
      </c>
      <c r="G752" t="s">
        <v>2299</v>
      </c>
      <c r="H752" t="s">
        <v>2368</v>
      </c>
      <c r="I752" t="s">
        <v>118</v>
      </c>
      <c r="J752" t="s">
        <v>119</v>
      </c>
      <c r="K752" t="s">
        <v>190</v>
      </c>
      <c r="L752" t="s">
        <v>121</v>
      </c>
      <c r="M752" t="s">
        <v>191</v>
      </c>
      <c r="N752" s="6" t="s">
        <v>2369</v>
      </c>
      <c r="O752" t="s">
        <v>2370</v>
      </c>
      <c r="P752" t="s">
        <v>2303</v>
      </c>
      <c r="Q752" t="s">
        <v>2371</v>
      </c>
      <c r="R752" t="s">
        <v>2372</v>
      </c>
      <c r="S752">
        <v>2012</v>
      </c>
      <c r="T752" t="s">
        <v>2257</v>
      </c>
      <c r="U752" t="s">
        <v>2258</v>
      </c>
      <c r="V752">
        <v>1985</v>
      </c>
      <c r="W752">
        <v>380</v>
      </c>
      <c r="X752">
        <v>130</v>
      </c>
      <c r="Y752">
        <v>100</v>
      </c>
      <c r="Z752">
        <v>14</v>
      </c>
      <c r="AA752">
        <v>3338</v>
      </c>
      <c r="AB752">
        <v>5000</v>
      </c>
      <c r="AC752">
        <v>0</v>
      </c>
      <c r="AD752">
        <v>4</v>
      </c>
      <c r="AE752">
        <v>2.0151129999999998E-3</v>
      </c>
      <c r="AF752">
        <v>20</v>
      </c>
      <c r="AG752">
        <v>4.97</v>
      </c>
      <c r="AH752" t="s">
        <v>2306</v>
      </c>
      <c r="AI752">
        <v>0</v>
      </c>
      <c r="AJ752">
        <v>0</v>
      </c>
      <c r="AK752">
        <v>1.5699999999999999E-2</v>
      </c>
      <c r="AL752">
        <v>4.97</v>
      </c>
      <c r="AM752" t="s">
        <v>2307</v>
      </c>
      <c r="AN752" t="s">
        <v>132</v>
      </c>
      <c r="AO752">
        <v>0</v>
      </c>
      <c r="AP752">
        <v>0</v>
      </c>
      <c r="AQ752">
        <v>0</v>
      </c>
      <c r="AR752">
        <v>0</v>
      </c>
      <c r="AS752">
        <v>0</v>
      </c>
      <c r="AT752">
        <v>0</v>
      </c>
      <c r="AU752">
        <v>0</v>
      </c>
      <c r="AV752">
        <v>0</v>
      </c>
      <c r="AW752">
        <v>0</v>
      </c>
      <c r="AX752">
        <v>0</v>
      </c>
      <c r="AY752">
        <v>0</v>
      </c>
      <c r="AZ752">
        <v>0</v>
      </c>
      <c r="BA752">
        <v>0</v>
      </c>
      <c r="BB752">
        <v>0</v>
      </c>
      <c r="BC752">
        <v>0</v>
      </c>
      <c r="BD752">
        <v>0</v>
      </c>
      <c r="BE752">
        <v>0</v>
      </c>
      <c r="BF752">
        <v>0</v>
      </c>
      <c r="BG752">
        <v>0</v>
      </c>
      <c r="BH752">
        <v>0</v>
      </c>
      <c r="BI752">
        <v>0</v>
      </c>
      <c r="BJ752">
        <v>0</v>
      </c>
      <c r="BK752">
        <v>0</v>
      </c>
      <c r="BL752">
        <v>0</v>
      </c>
      <c r="BM752">
        <v>0</v>
      </c>
      <c r="BN752">
        <v>9</v>
      </c>
      <c r="BO752">
        <v>0</v>
      </c>
      <c r="BP752">
        <v>0</v>
      </c>
      <c r="BQ752">
        <v>0</v>
      </c>
      <c r="BR752">
        <v>0</v>
      </c>
      <c r="BS752">
        <v>0</v>
      </c>
      <c r="BT752">
        <v>0</v>
      </c>
      <c r="BU752">
        <v>0</v>
      </c>
      <c r="BV752">
        <v>0</v>
      </c>
      <c r="BW752">
        <v>0</v>
      </c>
      <c r="BX752">
        <v>0</v>
      </c>
      <c r="BY752">
        <v>0</v>
      </c>
      <c r="BZ752">
        <v>0</v>
      </c>
      <c r="CA752">
        <v>0</v>
      </c>
      <c r="CB752">
        <v>0</v>
      </c>
      <c r="CC752">
        <v>216</v>
      </c>
      <c r="CD752">
        <v>0</v>
      </c>
      <c r="CE7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52" s="19">
        <f>SUM(Table1[[#This Row],[Mid39]],Table1[[#This Row],[Mid36]],Table1[[#This Row],[Mid33]],Table1[[#This Row],[Mid30]],Table1[[#This Row],[Mid27]],Table1[[#This Row],[Mid24]],Table1[[#This Row],[Mid21]],Table1[[#This Row],[Mid18]],Table1[[#This Row],[Mid15]],Table1[[#This Row],[Mid12]],Table1[[#This Row],[Mid9]],Table1[[#This Row],[Mid6]],Table1[[#This Row],[Mid3]],Table1[[#This Row],[Mid]])</f>
        <v>225</v>
      </c>
      <c r="CG7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52" t="s">
        <v>157</v>
      </c>
      <c r="CI752" t="s">
        <v>176</v>
      </c>
      <c r="CJ752" t="s">
        <v>135</v>
      </c>
      <c r="CL752" s="19">
        <f>IF(Table1[[#This Row],[Type]]="Petroleum",1,IF(ISERROR(Table1[[#This Row],[Well Density]]*Table1[[#This Row],[Single Well Discovery Area]]),"",IF(Table1[[#This Row],[Well Density]]*Table1[[#This Row],[Single Well Discovery Area]]&gt;1,1,Table1[[#This Row],[Well Density]]*Table1[[#This Row],[Single Well Discovery Area]])))</f>
        <v>4.0302259999999993E-2</v>
      </c>
      <c r="CM752" t="s">
        <v>158</v>
      </c>
      <c r="CN752" s="19">
        <f>Table1[[#This Row],[Mid]]</f>
        <v>0</v>
      </c>
      <c r="CO752" s="19">
        <f>Table1[[#This Row],[Mid3]]+Table1[[#This Row],[Mid6]]+Table1[[#This Row],[Mid9]]</f>
        <v>0</v>
      </c>
      <c r="CP752" s="19">
        <f>Table1[[#This Row],[Mid12]]+Table1[[#This Row],[Mid15]]+Table1[[#This Row],[Mid18]]+Table1[[#This Row],[Mid21]]+Table1[[#This Row],[Mid24]]</f>
        <v>9</v>
      </c>
      <c r="CQ752" s="19">
        <f>Table1[[#This Row],[Mid27]]+Table1[[#This Row],[Mid30]]+Table1[[#This Row],[Mid33]]+Table1[[#This Row],[Mid36]]+Table1[[#This Row],[Mid39]]</f>
        <v>216</v>
      </c>
      <c r="CR752" t="s">
        <v>2308</v>
      </c>
      <c r="CS752" s="19" t="str">
        <f>IF(AND(Table1[[#This Row],[Low41]]=0, Table1[[#This Row],[High43]]=0),"N","Y")</f>
        <v>N</v>
      </c>
    </row>
    <row r="753" spans="1:97" ht="19.5" customHeight="1" x14ac:dyDescent="0.25">
      <c r="A753">
        <v>10751</v>
      </c>
      <c r="B753" t="s">
        <v>2373</v>
      </c>
      <c r="C753" t="s">
        <v>2374</v>
      </c>
      <c r="D753">
        <v>24.67361111</v>
      </c>
      <c r="E753">
        <v>46.664722220000002</v>
      </c>
      <c r="F753" t="s">
        <v>2375</v>
      </c>
      <c r="G753" t="s">
        <v>2299</v>
      </c>
      <c r="H753" t="s">
        <v>2375</v>
      </c>
      <c r="I753" t="s">
        <v>118</v>
      </c>
      <c r="J753" t="s">
        <v>119</v>
      </c>
      <c r="K753" t="s">
        <v>190</v>
      </c>
      <c r="L753" t="s">
        <v>121</v>
      </c>
      <c r="M753" t="s">
        <v>760</v>
      </c>
      <c r="N753" s="6" t="s">
        <v>2376</v>
      </c>
      <c r="O753" t="s">
        <v>2302</v>
      </c>
      <c r="P753" t="s">
        <v>2377</v>
      </c>
      <c r="Q753" t="s">
        <v>195</v>
      </c>
      <c r="R753" t="s">
        <v>2378</v>
      </c>
      <c r="S753">
        <v>2021</v>
      </c>
      <c r="T753" t="s">
        <v>2257</v>
      </c>
      <c r="U753" t="s">
        <v>2258</v>
      </c>
      <c r="V753"/>
      <c r="AD753">
        <v>6</v>
      </c>
      <c r="AF753">
        <v>200</v>
      </c>
      <c r="AH753" t="s">
        <v>2306</v>
      </c>
      <c r="AI753">
        <v>0</v>
      </c>
      <c r="AJ753">
        <v>0</v>
      </c>
      <c r="AM753" t="s">
        <v>2307</v>
      </c>
      <c r="AN753" t="s">
        <v>132</v>
      </c>
      <c r="BN753">
        <v>741.47</v>
      </c>
      <c r="CE7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53" s="19">
        <f>SUM(Table1[[#This Row],[Mid39]],Table1[[#This Row],[Mid36]],Table1[[#This Row],[Mid33]],Table1[[#This Row],[Mid30]],Table1[[#This Row],[Mid27]],Table1[[#This Row],[Mid24]],Table1[[#This Row],[Mid21]],Table1[[#This Row],[Mid18]],Table1[[#This Row],[Mid15]],Table1[[#This Row],[Mid12]],Table1[[#This Row],[Mid9]],Table1[[#This Row],[Mid6]],Table1[[#This Row],[Mid3]],Table1[[#This Row],[Mid]])</f>
        <v>741.47</v>
      </c>
      <c r="CG7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53" t="s">
        <v>157</v>
      </c>
      <c r="CI753" t="s">
        <v>134</v>
      </c>
      <c r="CJ753" t="s">
        <v>158</v>
      </c>
      <c r="CL753" s="19">
        <f>IF(Table1[[#This Row],[Type]]="Petroleum",1,IF(ISERROR(Table1[[#This Row],[Well Density]]*Table1[[#This Row],[Single Well Discovery Area]]),"",IF(Table1[[#This Row],[Well Density]]*Table1[[#This Row],[Single Well Discovery Area]]&gt;1,1,Table1[[#This Row],[Well Density]]*Table1[[#This Row],[Single Well Discovery Area]])))</f>
        <v>0</v>
      </c>
      <c r="CM753" t="s">
        <v>158</v>
      </c>
      <c r="CN753" s="19">
        <f>Table1[[#This Row],[Mid]]</f>
        <v>0</v>
      </c>
      <c r="CO753" s="19">
        <f>Table1[[#This Row],[Mid3]]+Table1[[#This Row],[Mid6]]+Table1[[#This Row],[Mid9]]</f>
        <v>0</v>
      </c>
      <c r="CP753" s="19">
        <f>Table1[[#This Row],[Mid12]]+Table1[[#This Row],[Mid15]]+Table1[[#This Row],[Mid18]]+Table1[[#This Row],[Mid21]]+Table1[[#This Row],[Mid24]]</f>
        <v>741.47</v>
      </c>
      <c r="CQ753" s="19">
        <f>Table1[[#This Row],[Mid27]]+Table1[[#This Row],[Mid30]]+Table1[[#This Row],[Mid33]]+Table1[[#This Row],[Mid36]]+Table1[[#This Row],[Mid39]]</f>
        <v>0</v>
      </c>
      <c r="CR753" t="s">
        <v>2308</v>
      </c>
      <c r="CS753" s="19" t="str">
        <f>IF(AND(Table1[[#This Row],[Low41]]=0, Table1[[#This Row],[High43]]=0),"N","Y")</f>
        <v>N</v>
      </c>
    </row>
    <row r="754" spans="1:97" ht="19.5" customHeight="1" x14ac:dyDescent="0.25">
      <c r="A754">
        <v>10752</v>
      </c>
      <c r="B754" t="s">
        <v>2379</v>
      </c>
      <c r="C754" t="s">
        <v>2380</v>
      </c>
      <c r="D754">
        <v>-27.625</v>
      </c>
      <c r="E754">
        <v>31.860277780000001</v>
      </c>
      <c r="F754" t="s">
        <v>2380</v>
      </c>
      <c r="G754" t="s">
        <v>2309</v>
      </c>
      <c r="H754" t="s">
        <v>252</v>
      </c>
      <c r="I754" t="s">
        <v>118</v>
      </c>
      <c r="J754" t="s">
        <v>119</v>
      </c>
      <c r="K754" t="s">
        <v>190</v>
      </c>
      <c r="L754" t="s">
        <v>18</v>
      </c>
      <c r="M754" t="s">
        <v>2262</v>
      </c>
      <c r="N754" s="6" t="s">
        <v>2381</v>
      </c>
      <c r="P754" t="s">
        <v>1150</v>
      </c>
      <c r="Q754" t="s">
        <v>2382</v>
      </c>
      <c r="R754" t="s">
        <v>2383</v>
      </c>
      <c r="S754">
        <v>2010</v>
      </c>
      <c r="T754" t="s">
        <v>2257</v>
      </c>
      <c r="U754" t="s">
        <v>2384</v>
      </c>
      <c r="V754">
        <v>200</v>
      </c>
      <c r="W754">
        <v>1898</v>
      </c>
      <c r="X754">
        <v>220</v>
      </c>
      <c r="Z754">
        <v>27.5</v>
      </c>
      <c r="AA754">
        <v>115</v>
      </c>
      <c r="AB754">
        <v>26</v>
      </c>
      <c r="AE754">
        <v>0</v>
      </c>
      <c r="AF754">
        <v>200</v>
      </c>
      <c r="AH754" t="s">
        <v>2259</v>
      </c>
      <c r="AN754" t="s">
        <v>132</v>
      </c>
      <c r="CC754">
        <v>466</v>
      </c>
      <c r="CE75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54" s="19">
        <f>SUM(Table1[[#This Row],[Mid39]],Table1[[#This Row],[Mid36]],Table1[[#This Row],[Mid33]],Table1[[#This Row],[Mid30]],Table1[[#This Row],[Mid27]],Table1[[#This Row],[Mid24]],Table1[[#This Row],[Mid21]],Table1[[#This Row],[Mid18]],Table1[[#This Row],[Mid15]],Table1[[#This Row],[Mid12]],Table1[[#This Row],[Mid9]],Table1[[#This Row],[Mid6]],Table1[[#This Row],[Mid3]],Table1[[#This Row],[Mid]])</f>
        <v>466</v>
      </c>
      <c r="CG75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54" t="s">
        <v>157</v>
      </c>
      <c r="CI754" t="s">
        <v>176</v>
      </c>
      <c r="CJ754" t="s">
        <v>158</v>
      </c>
      <c r="CL754" s="19">
        <f>IF(Table1[[#This Row],[Type]]="Petroleum",1,IF(ISERROR(Table1[[#This Row],[Well Density]]*Table1[[#This Row],[Single Well Discovery Area]]),"",IF(Table1[[#This Row],[Well Density]]*Table1[[#This Row],[Single Well Discovery Area]]&gt;1,1,Table1[[#This Row],[Well Density]]*Table1[[#This Row],[Single Well Discovery Area]])))</f>
        <v>0</v>
      </c>
      <c r="CM754" t="s">
        <v>158</v>
      </c>
      <c r="CN754" s="19">
        <f>Table1[[#This Row],[Mid]]</f>
        <v>0</v>
      </c>
      <c r="CO754" s="19">
        <f>Table1[[#This Row],[Mid3]]+Table1[[#This Row],[Mid6]]+Table1[[#This Row],[Mid9]]</f>
        <v>0</v>
      </c>
      <c r="CP754" s="19">
        <f>Table1[[#This Row],[Mid12]]+Table1[[#This Row],[Mid15]]+Table1[[#This Row],[Mid18]]+Table1[[#This Row],[Mid21]]+Table1[[#This Row],[Mid24]]</f>
        <v>0</v>
      </c>
      <c r="CQ754" s="19">
        <f>Table1[[#This Row],[Mid27]]+Table1[[#This Row],[Mid30]]+Table1[[#This Row],[Mid33]]+Table1[[#This Row],[Mid36]]+Table1[[#This Row],[Mid39]]</f>
        <v>466</v>
      </c>
      <c r="CR754" t="s">
        <v>2317</v>
      </c>
      <c r="CS754" s="19" t="str">
        <f>IF(AND(Table1[[#This Row],[Low41]]=0, Table1[[#This Row],[High43]]=0),"N","Y")</f>
        <v>N</v>
      </c>
    </row>
    <row r="755" spans="1:97" ht="19.5" customHeight="1" x14ac:dyDescent="0.25">
      <c r="A755">
        <v>10753</v>
      </c>
      <c r="B755" t="s">
        <v>2379</v>
      </c>
      <c r="C755" t="s">
        <v>2385</v>
      </c>
      <c r="D755">
        <v>-33.553611109999999</v>
      </c>
      <c r="E755">
        <v>25.65</v>
      </c>
      <c r="F755" t="s">
        <v>2385</v>
      </c>
      <c r="G755" t="s">
        <v>2386</v>
      </c>
      <c r="H755" t="s">
        <v>2387</v>
      </c>
      <c r="I755" t="s">
        <v>118</v>
      </c>
      <c r="J755" t="s">
        <v>119</v>
      </c>
      <c r="K755" t="s">
        <v>190</v>
      </c>
      <c r="L755" t="s">
        <v>18</v>
      </c>
      <c r="N755" s="6" t="s">
        <v>2381</v>
      </c>
      <c r="P755" t="s">
        <v>1150</v>
      </c>
      <c r="Q755" t="s">
        <v>2388</v>
      </c>
      <c r="R755" t="s">
        <v>2389</v>
      </c>
      <c r="S755">
        <v>2010</v>
      </c>
      <c r="T755" t="s">
        <v>2257</v>
      </c>
      <c r="U755" t="s">
        <v>2384</v>
      </c>
      <c r="V755">
        <v>400</v>
      </c>
      <c r="W755">
        <v>2300</v>
      </c>
      <c r="X755">
        <v>100</v>
      </c>
      <c r="Z755">
        <v>18.75</v>
      </c>
      <c r="AA755">
        <v>151.30000000000001</v>
      </c>
      <c r="AB755">
        <v>34</v>
      </c>
      <c r="AE755">
        <v>0</v>
      </c>
      <c r="AF755">
        <v>200</v>
      </c>
      <c r="AH755" t="s">
        <v>2259</v>
      </c>
      <c r="AN755" t="s">
        <v>132</v>
      </c>
      <c r="CC755">
        <v>404</v>
      </c>
      <c r="CE75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55" s="19">
        <f>SUM(Table1[[#This Row],[Mid39]],Table1[[#This Row],[Mid36]],Table1[[#This Row],[Mid33]],Table1[[#This Row],[Mid30]],Table1[[#This Row],[Mid27]],Table1[[#This Row],[Mid24]],Table1[[#This Row],[Mid21]],Table1[[#This Row],[Mid18]],Table1[[#This Row],[Mid15]],Table1[[#This Row],[Mid12]],Table1[[#This Row],[Mid9]],Table1[[#This Row],[Mid6]],Table1[[#This Row],[Mid3]],Table1[[#This Row],[Mid]])</f>
        <v>404</v>
      </c>
      <c r="CG75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55" t="s">
        <v>157</v>
      </c>
      <c r="CI755" t="s">
        <v>176</v>
      </c>
      <c r="CJ755" t="s">
        <v>158</v>
      </c>
      <c r="CL755" s="19">
        <f>IF(Table1[[#This Row],[Type]]="Petroleum",1,IF(ISERROR(Table1[[#This Row],[Well Density]]*Table1[[#This Row],[Single Well Discovery Area]]),"",IF(Table1[[#This Row],[Well Density]]*Table1[[#This Row],[Single Well Discovery Area]]&gt;1,1,Table1[[#This Row],[Well Density]]*Table1[[#This Row],[Single Well Discovery Area]])))</f>
        <v>0</v>
      </c>
      <c r="CM755" t="s">
        <v>135</v>
      </c>
      <c r="CN755" s="19">
        <f>Table1[[#This Row],[Mid]]</f>
        <v>0</v>
      </c>
      <c r="CO755" s="19">
        <f>Table1[[#This Row],[Mid3]]+Table1[[#This Row],[Mid6]]+Table1[[#This Row],[Mid9]]</f>
        <v>0</v>
      </c>
      <c r="CP755" s="19">
        <f>Table1[[#This Row],[Mid12]]+Table1[[#This Row],[Mid15]]+Table1[[#This Row],[Mid18]]+Table1[[#This Row],[Mid21]]+Table1[[#This Row],[Mid24]]</f>
        <v>0</v>
      </c>
      <c r="CQ755" s="19">
        <f>Table1[[#This Row],[Mid27]]+Table1[[#This Row],[Mid30]]+Table1[[#This Row],[Mid33]]+Table1[[#This Row],[Mid36]]+Table1[[#This Row],[Mid39]]</f>
        <v>404</v>
      </c>
      <c r="CR755" t="s">
        <v>2317</v>
      </c>
      <c r="CS755" s="19" t="str">
        <f>IF(AND(Table1[[#This Row],[Low41]]=0, Table1[[#This Row],[High43]]=0),"N","Y")</f>
        <v>N</v>
      </c>
    </row>
    <row r="756" spans="1:97" ht="19.5" customHeight="1" x14ac:dyDescent="0.25">
      <c r="A756">
        <v>10754</v>
      </c>
      <c r="B756" t="s">
        <v>2379</v>
      </c>
      <c r="C756" t="s">
        <v>2390</v>
      </c>
      <c r="D756">
        <v>-34.72583333</v>
      </c>
      <c r="E756">
        <v>20.93416667</v>
      </c>
      <c r="F756" t="s">
        <v>2390</v>
      </c>
      <c r="G756" t="s">
        <v>2386</v>
      </c>
      <c r="H756" t="s">
        <v>252</v>
      </c>
      <c r="I756" t="s">
        <v>118</v>
      </c>
      <c r="J756" t="s">
        <v>119</v>
      </c>
      <c r="K756" t="s">
        <v>190</v>
      </c>
      <c r="L756" t="s">
        <v>18</v>
      </c>
      <c r="N756" s="6" t="s">
        <v>2381</v>
      </c>
      <c r="P756" t="s">
        <v>1150</v>
      </c>
      <c r="Q756"/>
      <c r="R756" t="s">
        <v>2391</v>
      </c>
      <c r="S756">
        <v>2010</v>
      </c>
      <c r="T756" t="s">
        <v>2257</v>
      </c>
      <c r="U756" t="s">
        <v>2384</v>
      </c>
      <c r="V756">
        <v>19000</v>
      </c>
      <c r="W756">
        <v>5000</v>
      </c>
      <c r="X756">
        <v>80</v>
      </c>
      <c r="Z756">
        <v>20</v>
      </c>
      <c r="AB756">
        <v>10</v>
      </c>
      <c r="AE756">
        <v>0</v>
      </c>
      <c r="AF756">
        <v>200</v>
      </c>
      <c r="AH756" t="s">
        <v>2259</v>
      </c>
      <c r="AN756" t="s">
        <v>132</v>
      </c>
      <c r="CC756">
        <v>19000</v>
      </c>
      <c r="CE75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56" s="19">
        <f>SUM(Table1[[#This Row],[Mid39]],Table1[[#This Row],[Mid36]],Table1[[#This Row],[Mid33]],Table1[[#This Row],[Mid30]],Table1[[#This Row],[Mid27]],Table1[[#This Row],[Mid24]],Table1[[#This Row],[Mid21]],Table1[[#This Row],[Mid18]],Table1[[#This Row],[Mid15]],Table1[[#This Row],[Mid12]],Table1[[#This Row],[Mid9]],Table1[[#This Row],[Mid6]],Table1[[#This Row],[Mid3]],Table1[[#This Row],[Mid]])</f>
        <v>19000</v>
      </c>
      <c r="CG75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56" t="s">
        <v>157</v>
      </c>
      <c r="CI756" t="s">
        <v>176</v>
      </c>
      <c r="CJ756" t="s">
        <v>158</v>
      </c>
      <c r="CL756" s="19">
        <f>IF(Table1[[#This Row],[Type]]="Petroleum",1,IF(ISERROR(Table1[[#This Row],[Well Density]]*Table1[[#This Row],[Single Well Discovery Area]]),"",IF(Table1[[#This Row],[Well Density]]*Table1[[#This Row],[Single Well Discovery Area]]&gt;1,1,Table1[[#This Row],[Well Density]]*Table1[[#This Row],[Single Well Discovery Area]])))</f>
        <v>0</v>
      </c>
      <c r="CM756" t="s">
        <v>135</v>
      </c>
      <c r="CN756" s="19">
        <f>Table1[[#This Row],[Mid]]</f>
        <v>0</v>
      </c>
      <c r="CO756" s="19">
        <f>Table1[[#This Row],[Mid3]]+Table1[[#This Row],[Mid6]]+Table1[[#This Row],[Mid9]]</f>
        <v>0</v>
      </c>
      <c r="CP756" s="19">
        <f>Table1[[#This Row],[Mid12]]+Table1[[#This Row],[Mid15]]+Table1[[#This Row],[Mid18]]+Table1[[#This Row],[Mid21]]+Table1[[#This Row],[Mid24]]</f>
        <v>0</v>
      </c>
      <c r="CQ756" s="19">
        <f>Table1[[#This Row],[Mid27]]+Table1[[#This Row],[Mid30]]+Table1[[#This Row],[Mid33]]+Table1[[#This Row],[Mid36]]+Table1[[#This Row],[Mid39]]</f>
        <v>19000</v>
      </c>
      <c r="CR756" t="s">
        <v>2317</v>
      </c>
      <c r="CS756" s="19" t="str">
        <f>IF(AND(Table1[[#This Row],[Low41]]=0, Table1[[#This Row],[High43]]=0),"N","Y")</f>
        <v>N</v>
      </c>
    </row>
    <row r="757" spans="1:97" ht="19.5" customHeight="1" x14ac:dyDescent="0.25">
      <c r="A757">
        <v>10755</v>
      </c>
      <c r="B757" t="s">
        <v>2379</v>
      </c>
      <c r="C757" t="s">
        <v>2392</v>
      </c>
      <c r="D757">
        <v>-34.696388890000001</v>
      </c>
      <c r="E757">
        <v>23.287500000000001</v>
      </c>
      <c r="F757" t="s">
        <v>2392</v>
      </c>
      <c r="G757" t="s">
        <v>2386</v>
      </c>
      <c r="H757" t="s">
        <v>252</v>
      </c>
      <c r="I757" t="s">
        <v>118</v>
      </c>
      <c r="J757" t="s">
        <v>119</v>
      </c>
      <c r="K757" t="s">
        <v>190</v>
      </c>
      <c r="L757" t="s">
        <v>18</v>
      </c>
      <c r="N757" s="6" t="s">
        <v>2381</v>
      </c>
      <c r="P757" t="s">
        <v>1150</v>
      </c>
      <c r="Q757"/>
      <c r="R757" t="s">
        <v>2393</v>
      </c>
      <c r="S757">
        <v>2010</v>
      </c>
      <c r="T757" t="s">
        <v>2257</v>
      </c>
      <c r="U757" t="s">
        <v>2384</v>
      </c>
      <c r="V757">
        <v>18000</v>
      </c>
      <c r="W757">
        <v>4000</v>
      </c>
      <c r="X757">
        <v>80</v>
      </c>
      <c r="Z757">
        <v>14</v>
      </c>
      <c r="AB757">
        <v>100</v>
      </c>
      <c r="AE757">
        <v>0</v>
      </c>
      <c r="AF757">
        <v>200</v>
      </c>
      <c r="AH757" t="s">
        <v>2259</v>
      </c>
      <c r="AN757" t="s">
        <v>132</v>
      </c>
      <c r="CC757">
        <v>18000</v>
      </c>
      <c r="CE75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57" s="19">
        <f>SUM(Table1[[#This Row],[Mid39]],Table1[[#This Row],[Mid36]],Table1[[#This Row],[Mid33]],Table1[[#This Row],[Mid30]],Table1[[#This Row],[Mid27]],Table1[[#This Row],[Mid24]],Table1[[#This Row],[Mid21]],Table1[[#This Row],[Mid18]],Table1[[#This Row],[Mid15]],Table1[[#This Row],[Mid12]],Table1[[#This Row],[Mid9]],Table1[[#This Row],[Mid6]],Table1[[#This Row],[Mid3]],Table1[[#This Row],[Mid]])</f>
        <v>18000</v>
      </c>
      <c r="CG75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57" t="s">
        <v>157</v>
      </c>
      <c r="CI757" t="s">
        <v>176</v>
      </c>
      <c r="CJ757" t="s">
        <v>158</v>
      </c>
      <c r="CL757" s="19">
        <f>IF(Table1[[#This Row],[Type]]="Petroleum",1,IF(ISERROR(Table1[[#This Row],[Well Density]]*Table1[[#This Row],[Single Well Discovery Area]]),"",IF(Table1[[#This Row],[Well Density]]*Table1[[#This Row],[Single Well Discovery Area]]&gt;1,1,Table1[[#This Row],[Well Density]]*Table1[[#This Row],[Single Well Discovery Area]])))</f>
        <v>0</v>
      </c>
      <c r="CM757" t="s">
        <v>158</v>
      </c>
      <c r="CN757" s="19">
        <f>Table1[[#This Row],[Mid]]</f>
        <v>0</v>
      </c>
      <c r="CO757" s="19">
        <f>Table1[[#This Row],[Mid3]]+Table1[[#This Row],[Mid6]]+Table1[[#This Row],[Mid9]]</f>
        <v>0</v>
      </c>
      <c r="CP757" s="19">
        <f>Table1[[#This Row],[Mid12]]+Table1[[#This Row],[Mid15]]+Table1[[#This Row],[Mid18]]+Table1[[#This Row],[Mid21]]+Table1[[#This Row],[Mid24]]</f>
        <v>0</v>
      </c>
      <c r="CQ757" s="19">
        <f>Table1[[#This Row],[Mid27]]+Table1[[#This Row],[Mid30]]+Table1[[#This Row],[Mid33]]+Table1[[#This Row],[Mid36]]+Table1[[#This Row],[Mid39]]</f>
        <v>18000</v>
      </c>
      <c r="CR757" t="s">
        <v>2317</v>
      </c>
      <c r="CS757" s="19" t="str">
        <f>IF(AND(Table1[[#This Row],[Low41]]=0, Table1[[#This Row],[High43]]=0),"N","Y")</f>
        <v>N</v>
      </c>
    </row>
    <row r="758" spans="1:97" ht="19.5" customHeight="1" x14ac:dyDescent="0.25">
      <c r="A758">
        <v>10756</v>
      </c>
      <c r="B758" t="s">
        <v>2379</v>
      </c>
      <c r="C758" t="s">
        <v>2394</v>
      </c>
      <c r="D758">
        <v>-34.089722219999999</v>
      </c>
      <c r="E758">
        <v>25.82</v>
      </c>
      <c r="F758" t="s">
        <v>2394</v>
      </c>
      <c r="G758" t="s">
        <v>2386</v>
      </c>
      <c r="H758" t="s">
        <v>252</v>
      </c>
      <c r="I758" t="s">
        <v>118</v>
      </c>
      <c r="J758" t="s">
        <v>119</v>
      </c>
      <c r="K758" t="s">
        <v>190</v>
      </c>
      <c r="L758" t="s">
        <v>18</v>
      </c>
      <c r="N758" s="6" t="s">
        <v>2381</v>
      </c>
      <c r="P758" t="s">
        <v>1150</v>
      </c>
      <c r="Q758"/>
      <c r="R758" t="s">
        <v>2395</v>
      </c>
      <c r="S758">
        <v>2010</v>
      </c>
      <c r="T758" t="s">
        <v>2257</v>
      </c>
      <c r="U758" t="s">
        <v>2384</v>
      </c>
      <c r="V758">
        <v>7000</v>
      </c>
      <c r="W758">
        <v>5000</v>
      </c>
      <c r="X758">
        <v>60</v>
      </c>
      <c r="Z758">
        <v>16</v>
      </c>
      <c r="AA758">
        <v>400</v>
      </c>
      <c r="AB758">
        <v>100</v>
      </c>
      <c r="AE758">
        <v>0</v>
      </c>
      <c r="AF758">
        <v>200</v>
      </c>
      <c r="AH758" t="s">
        <v>2259</v>
      </c>
      <c r="AN758" t="s">
        <v>132</v>
      </c>
      <c r="CC758">
        <v>4166</v>
      </c>
      <c r="CE75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58" s="19">
        <f>SUM(Table1[[#This Row],[Mid39]],Table1[[#This Row],[Mid36]],Table1[[#This Row],[Mid33]],Table1[[#This Row],[Mid30]],Table1[[#This Row],[Mid27]],Table1[[#This Row],[Mid24]],Table1[[#This Row],[Mid21]],Table1[[#This Row],[Mid18]],Table1[[#This Row],[Mid15]],Table1[[#This Row],[Mid12]],Table1[[#This Row],[Mid9]],Table1[[#This Row],[Mid6]],Table1[[#This Row],[Mid3]],Table1[[#This Row],[Mid]])</f>
        <v>4166</v>
      </c>
      <c r="CG75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58" t="s">
        <v>157</v>
      </c>
      <c r="CI758" t="s">
        <v>176</v>
      </c>
      <c r="CJ758" t="s">
        <v>158</v>
      </c>
      <c r="CL758" s="19">
        <f>IF(Table1[[#This Row],[Type]]="Petroleum",1,IF(ISERROR(Table1[[#This Row],[Well Density]]*Table1[[#This Row],[Single Well Discovery Area]]),"",IF(Table1[[#This Row],[Well Density]]*Table1[[#This Row],[Single Well Discovery Area]]&gt;1,1,Table1[[#This Row],[Well Density]]*Table1[[#This Row],[Single Well Discovery Area]])))</f>
        <v>0</v>
      </c>
      <c r="CM758" t="s">
        <v>158</v>
      </c>
      <c r="CN758" s="19">
        <f>Table1[[#This Row],[Mid]]</f>
        <v>0</v>
      </c>
      <c r="CO758" s="19">
        <f>Table1[[#This Row],[Mid3]]+Table1[[#This Row],[Mid6]]+Table1[[#This Row],[Mid9]]</f>
        <v>0</v>
      </c>
      <c r="CP758" s="19">
        <f>Table1[[#This Row],[Mid12]]+Table1[[#This Row],[Mid15]]+Table1[[#This Row],[Mid18]]+Table1[[#This Row],[Mid21]]+Table1[[#This Row],[Mid24]]</f>
        <v>0</v>
      </c>
      <c r="CQ758" s="19">
        <f>Table1[[#This Row],[Mid27]]+Table1[[#This Row],[Mid30]]+Table1[[#This Row],[Mid33]]+Table1[[#This Row],[Mid36]]+Table1[[#This Row],[Mid39]]</f>
        <v>4166</v>
      </c>
      <c r="CR758" t="s">
        <v>2317</v>
      </c>
      <c r="CS758" s="19" t="str">
        <f>IF(AND(Table1[[#This Row],[Low41]]=0, Table1[[#This Row],[High43]]=0),"N","Y")</f>
        <v>N</v>
      </c>
    </row>
    <row r="759" spans="1:97" ht="19.5" customHeight="1" x14ac:dyDescent="0.25">
      <c r="A759">
        <v>10757</v>
      </c>
      <c r="B759" t="s">
        <v>2379</v>
      </c>
      <c r="C759" t="s">
        <v>2396</v>
      </c>
      <c r="D759">
        <v>-35.65583333</v>
      </c>
      <c r="E759">
        <v>21.973055559999999</v>
      </c>
      <c r="F759" t="s">
        <v>2396</v>
      </c>
      <c r="G759" t="s">
        <v>2386</v>
      </c>
      <c r="H759" t="s">
        <v>252</v>
      </c>
      <c r="I759" t="s">
        <v>118</v>
      </c>
      <c r="J759" t="s">
        <v>119</v>
      </c>
      <c r="K759" t="s">
        <v>190</v>
      </c>
      <c r="L759" t="s">
        <v>18</v>
      </c>
      <c r="N759" s="6" t="s">
        <v>2381</v>
      </c>
      <c r="P759" t="s">
        <v>1150</v>
      </c>
      <c r="Q759"/>
      <c r="R759" t="s">
        <v>2397</v>
      </c>
      <c r="S759">
        <v>2010</v>
      </c>
      <c r="T759" t="s">
        <v>2257</v>
      </c>
      <c r="U759" t="s">
        <v>2384</v>
      </c>
      <c r="V759">
        <v>21000</v>
      </c>
      <c r="W759">
        <v>3000</v>
      </c>
      <c r="X759">
        <v>50</v>
      </c>
      <c r="Z759">
        <v>10</v>
      </c>
      <c r="AB759">
        <v>100</v>
      </c>
      <c r="AE759">
        <v>0</v>
      </c>
      <c r="AF759">
        <v>200</v>
      </c>
      <c r="AH759" t="s">
        <v>2259</v>
      </c>
      <c r="AN759" t="s">
        <v>132</v>
      </c>
      <c r="CC759">
        <v>6600</v>
      </c>
      <c r="CE75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59" s="19">
        <f>SUM(Table1[[#This Row],[Mid39]],Table1[[#This Row],[Mid36]],Table1[[#This Row],[Mid33]],Table1[[#This Row],[Mid30]],Table1[[#This Row],[Mid27]],Table1[[#This Row],[Mid24]],Table1[[#This Row],[Mid21]],Table1[[#This Row],[Mid18]],Table1[[#This Row],[Mid15]],Table1[[#This Row],[Mid12]],Table1[[#This Row],[Mid9]],Table1[[#This Row],[Mid6]],Table1[[#This Row],[Mid3]],Table1[[#This Row],[Mid]])</f>
        <v>6600</v>
      </c>
      <c r="CG75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59" t="s">
        <v>157</v>
      </c>
      <c r="CI759" t="s">
        <v>176</v>
      </c>
      <c r="CJ759" t="s">
        <v>158</v>
      </c>
      <c r="CL759" s="19">
        <f>IF(Table1[[#This Row],[Type]]="Petroleum",1,IF(ISERROR(Table1[[#This Row],[Well Density]]*Table1[[#This Row],[Single Well Discovery Area]]),"",IF(Table1[[#This Row],[Well Density]]*Table1[[#This Row],[Single Well Discovery Area]]&gt;1,1,Table1[[#This Row],[Well Density]]*Table1[[#This Row],[Single Well Discovery Area]])))</f>
        <v>0</v>
      </c>
      <c r="CM759" t="s">
        <v>158</v>
      </c>
      <c r="CN759" s="19">
        <f>Table1[[#This Row],[Mid]]</f>
        <v>0</v>
      </c>
      <c r="CO759" s="19">
        <f>Table1[[#This Row],[Mid3]]+Table1[[#This Row],[Mid6]]+Table1[[#This Row],[Mid9]]</f>
        <v>0</v>
      </c>
      <c r="CP759" s="19">
        <f>Table1[[#This Row],[Mid12]]+Table1[[#This Row],[Mid15]]+Table1[[#This Row],[Mid18]]+Table1[[#This Row],[Mid21]]+Table1[[#This Row],[Mid24]]</f>
        <v>0</v>
      </c>
      <c r="CQ759" s="19">
        <f>Table1[[#This Row],[Mid27]]+Table1[[#This Row],[Mid30]]+Table1[[#This Row],[Mid33]]+Table1[[#This Row],[Mid36]]+Table1[[#This Row],[Mid39]]</f>
        <v>6600</v>
      </c>
      <c r="CR759" t="s">
        <v>2317</v>
      </c>
      <c r="CS759" s="19" t="str">
        <f>IF(AND(Table1[[#This Row],[Low41]]=0, Table1[[#This Row],[High43]]=0),"N","Y")</f>
        <v>N</v>
      </c>
    </row>
    <row r="760" spans="1:97" ht="19.5" customHeight="1" x14ac:dyDescent="0.25">
      <c r="A760">
        <v>10758</v>
      </c>
      <c r="B760" t="s">
        <v>2379</v>
      </c>
      <c r="C760" t="s">
        <v>2398</v>
      </c>
      <c r="D760">
        <v>-34.613055559999999</v>
      </c>
      <c r="E760">
        <v>23.28722222</v>
      </c>
      <c r="F760" t="s">
        <v>2399</v>
      </c>
      <c r="G760" t="s">
        <v>2386</v>
      </c>
      <c r="H760" t="s">
        <v>252</v>
      </c>
      <c r="I760" t="s">
        <v>118</v>
      </c>
      <c r="J760" t="s">
        <v>119</v>
      </c>
      <c r="K760" t="s">
        <v>190</v>
      </c>
      <c r="L760" t="s">
        <v>18</v>
      </c>
      <c r="N760" s="6" t="s">
        <v>2381</v>
      </c>
      <c r="P760" t="s">
        <v>1150</v>
      </c>
      <c r="Q760" t="s">
        <v>2400</v>
      </c>
      <c r="R760" t="s">
        <v>2401</v>
      </c>
      <c r="S760">
        <v>2010</v>
      </c>
      <c r="T760" t="s">
        <v>2257</v>
      </c>
      <c r="U760" t="s">
        <v>2384</v>
      </c>
      <c r="V760">
        <v>65000</v>
      </c>
      <c r="W760">
        <v>3000</v>
      </c>
      <c r="X760">
        <v>80</v>
      </c>
      <c r="Z760">
        <v>15</v>
      </c>
      <c r="AA760">
        <v>400</v>
      </c>
      <c r="AB760">
        <v>10</v>
      </c>
      <c r="AE760">
        <v>0</v>
      </c>
      <c r="AF760">
        <v>200</v>
      </c>
      <c r="AH760" t="s">
        <v>2259</v>
      </c>
      <c r="AN760" t="s">
        <v>132</v>
      </c>
      <c r="CC760">
        <v>48438</v>
      </c>
      <c r="CE76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60" s="19">
        <f>SUM(Table1[[#This Row],[Mid39]],Table1[[#This Row],[Mid36]],Table1[[#This Row],[Mid33]],Table1[[#This Row],[Mid30]],Table1[[#This Row],[Mid27]],Table1[[#This Row],[Mid24]],Table1[[#This Row],[Mid21]],Table1[[#This Row],[Mid18]],Table1[[#This Row],[Mid15]],Table1[[#This Row],[Mid12]],Table1[[#This Row],[Mid9]],Table1[[#This Row],[Mid6]],Table1[[#This Row],[Mid3]],Table1[[#This Row],[Mid]])</f>
        <v>48438</v>
      </c>
      <c r="CG76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60" t="s">
        <v>157</v>
      </c>
      <c r="CI760" t="s">
        <v>176</v>
      </c>
      <c r="CJ760" t="s">
        <v>158</v>
      </c>
      <c r="CL760" s="19">
        <f>IF(Table1[[#This Row],[Type]]="Petroleum",1,IF(ISERROR(Table1[[#This Row],[Well Density]]*Table1[[#This Row],[Single Well Discovery Area]]),"",IF(Table1[[#This Row],[Well Density]]*Table1[[#This Row],[Single Well Discovery Area]]&gt;1,1,Table1[[#This Row],[Well Density]]*Table1[[#This Row],[Single Well Discovery Area]])))</f>
        <v>0</v>
      </c>
      <c r="CM760" t="s">
        <v>158</v>
      </c>
      <c r="CN760" s="19">
        <f>Table1[[#This Row],[Mid]]</f>
        <v>0</v>
      </c>
      <c r="CO760" s="19">
        <f>Table1[[#This Row],[Mid3]]+Table1[[#This Row],[Mid6]]+Table1[[#This Row],[Mid9]]</f>
        <v>0</v>
      </c>
      <c r="CP760" s="19">
        <f>Table1[[#This Row],[Mid12]]+Table1[[#This Row],[Mid15]]+Table1[[#This Row],[Mid18]]+Table1[[#This Row],[Mid21]]+Table1[[#This Row],[Mid24]]</f>
        <v>0</v>
      </c>
      <c r="CQ760" s="19">
        <f>Table1[[#This Row],[Mid27]]+Table1[[#This Row],[Mid30]]+Table1[[#This Row],[Mid33]]+Table1[[#This Row],[Mid36]]+Table1[[#This Row],[Mid39]]</f>
        <v>48438</v>
      </c>
      <c r="CR760" t="s">
        <v>2317</v>
      </c>
      <c r="CS760" s="19" t="str">
        <f>IF(AND(Table1[[#This Row],[Low41]]=0, Table1[[#This Row],[High43]]=0),"N","Y")</f>
        <v>N</v>
      </c>
    </row>
    <row r="761" spans="1:97" ht="19.5" customHeight="1" x14ac:dyDescent="0.25">
      <c r="A761">
        <v>10759</v>
      </c>
      <c r="B761" t="s">
        <v>2379</v>
      </c>
      <c r="C761" t="s">
        <v>2402</v>
      </c>
      <c r="D761">
        <v>-29.24583333</v>
      </c>
      <c r="E761">
        <v>14.820833329999999</v>
      </c>
      <c r="F761" t="s">
        <v>2402</v>
      </c>
      <c r="G761" t="s">
        <v>2403</v>
      </c>
      <c r="H761" t="s">
        <v>252</v>
      </c>
      <c r="I761" t="s">
        <v>118</v>
      </c>
      <c r="J761" t="s">
        <v>119</v>
      </c>
      <c r="K761" t="s">
        <v>190</v>
      </c>
      <c r="L761" t="s">
        <v>18</v>
      </c>
      <c r="N761" s="6" t="s">
        <v>2381</v>
      </c>
      <c r="P761" t="s">
        <v>1150</v>
      </c>
      <c r="Q761" t="s">
        <v>2400</v>
      </c>
      <c r="R761" t="s">
        <v>2401</v>
      </c>
      <c r="S761">
        <v>2010</v>
      </c>
      <c r="T761" t="s">
        <v>2257</v>
      </c>
      <c r="U761" t="s">
        <v>2384</v>
      </c>
      <c r="V761">
        <v>118000</v>
      </c>
      <c r="W761">
        <v>3000</v>
      </c>
      <c r="X761">
        <v>50</v>
      </c>
      <c r="Z761">
        <v>15</v>
      </c>
      <c r="AA761">
        <v>700</v>
      </c>
      <c r="AB761">
        <v>10</v>
      </c>
      <c r="AE761">
        <v>0</v>
      </c>
      <c r="AF761">
        <v>200</v>
      </c>
      <c r="AH761" t="s">
        <v>2259</v>
      </c>
      <c r="AN761" t="s">
        <v>132</v>
      </c>
      <c r="CC761">
        <v>56906</v>
      </c>
      <c r="CE76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61" s="19">
        <f>SUM(Table1[[#This Row],[Mid39]],Table1[[#This Row],[Mid36]],Table1[[#This Row],[Mid33]],Table1[[#This Row],[Mid30]],Table1[[#This Row],[Mid27]],Table1[[#This Row],[Mid24]],Table1[[#This Row],[Mid21]],Table1[[#This Row],[Mid18]],Table1[[#This Row],[Mid15]],Table1[[#This Row],[Mid12]],Table1[[#This Row],[Mid9]],Table1[[#This Row],[Mid6]],Table1[[#This Row],[Mid3]],Table1[[#This Row],[Mid]])</f>
        <v>56906</v>
      </c>
      <c r="CG76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61" t="s">
        <v>157</v>
      </c>
      <c r="CI761" t="s">
        <v>176</v>
      </c>
      <c r="CJ761" t="s">
        <v>158</v>
      </c>
      <c r="CL761" s="19">
        <f>IF(Table1[[#This Row],[Type]]="Petroleum",1,IF(ISERROR(Table1[[#This Row],[Well Density]]*Table1[[#This Row],[Single Well Discovery Area]]),"",IF(Table1[[#This Row],[Well Density]]*Table1[[#This Row],[Single Well Discovery Area]]&gt;1,1,Table1[[#This Row],[Well Density]]*Table1[[#This Row],[Single Well Discovery Area]])))</f>
        <v>0</v>
      </c>
      <c r="CM761" t="s">
        <v>158</v>
      </c>
      <c r="CN761" s="19">
        <f>Table1[[#This Row],[Mid]]</f>
        <v>0</v>
      </c>
      <c r="CO761" s="19">
        <f>Table1[[#This Row],[Mid3]]+Table1[[#This Row],[Mid6]]+Table1[[#This Row],[Mid9]]</f>
        <v>0</v>
      </c>
      <c r="CP761" s="19">
        <f>Table1[[#This Row],[Mid12]]+Table1[[#This Row],[Mid15]]+Table1[[#This Row],[Mid18]]+Table1[[#This Row],[Mid21]]+Table1[[#This Row],[Mid24]]</f>
        <v>0</v>
      </c>
      <c r="CQ761" s="19">
        <f>Table1[[#This Row],[Mid27]]+Table1[[#This Row],[Mid30]]+Table1[[#This Row],[Mid33]]+Table1[[#This Row],[Mid36]]+Table1[[#This Row],[Mid39]]</f>
        <v>56906</v>
      </c>
      <c r="CR761" t="s">
        <v>2317</v>
      </c>
      <c r="CS761" s="19" t="str">
        <f>IF(AND(Table1[[#This Row],[Low41]]=0, Table1[[#This Row],[High43]]=0),"N","Y")</f>
        <v>N</v>
      </c>
    </row>
    <row r="762" spans="1:97" ht="19.5" customHeight="1" x14ac:dyDescent="0.25">
      <c r="A762">
        <v>10760</v>
      </c>
      <c r="B762" t="s">
        <v>2379</v>
      </c>
      <c r="C762" t="s">
        <v>2404</v>
      </c>
      <c r="D762">
        <v>-34.613055559999999</v>
      </c>
      <c r="E762">
        <v>23.28722222</v>
      </c>
      <c r="F762" t="s">
        <v>2405</v>
      </c>
      <c r="G762" t="s">
        <v>2386</v>
      </c>
      <c r="H762" t="s">
        <v>252</v>
      </c>
      <c r="I762" t="s">
        <v>2245</v>
      </c>
      <c r="J762" t="s">
        <v>202</v>
      </c>
      <c r="K762" t="s">
        <v>190</v>
      </c>
      <c r="L762" t="s">
        <v>121</v>
      </c>
      <c r="N762" s="6" t="s">
        <v>2381</v>
      </c>
      <c r="P762" t="s">
        <v>1150</v>
      </c>
      <c r="Q762"/>
      <c r="R762" t="s">
        <v>2406</v>
      </c>
      <c r="S762">
        <v>2010</v>
      </c>
      <c r="T762" t="s">
        <v>2257</v>
      </c>
      <c r="U762" t="s">
        <v>2384</v>
      </c>
      <c r="V762"/>
      <c r="AF762">
        <v>200</v>
      </c>
      <c r="AH762" t="s">
        <v>2259</v>
      </c>
      <c r="AN762" t="s">
        <v>132</v>
      </c>
      <c r="BN762">
        <v>5635</v>
      </c>
      <c r="CE76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62" s="19">
        <f>SUM(Table1[[#This Row],[Mid39]],Table1[[#This Row],[Mid36]],Table1[[#This Row],[Mid33]],Table1[[#This Row],[Mid30]],Table1[[#This Row],[Mid27]],Table1[[#This Row],[Mid24]],Table1[[#This Row],[Mid21]],Table1[[#This Row],[Mid18]],Table1[[#This Row],[Mid15]],Table1[[#This Row],[Mid12]],Table1[[#This Row],[Mid9]],Table1[[#This Row],[Mid6]],Table1[[#This Row],[Mid3]],Table1[[#This Row],[Mid]])</f>
        <v>5635</v>
      </c>
      <c r="CG76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62" t="s">
        <v>157</v>
      </c>
      <c r="CI762" t="s">
        <v>176</v>
      </c>
      <c r="CJ762" t="s">
        <v>158</v>
      </c>
      <c r="CL762" s="19">
        <f>IF(Table1[[#This Row],[Type]]="Petroleum",1,IF(ISERROR(Table1[[#This Row],[Well Density]]*Table1[[#This Row],[Single Well Discovery Area]]),"",IF(Table1[[#This Row],[Well Density]]*Table1[[#This Row],[Single Well Discovery Area]]&gt;1,1,Table1[[#This Row],[Well Density]]*Table1[[#This Row],[Single Well Discovery Area]])))</f>
        <v>1</v>
      </c>
      <c r="CM762" t="s">
        <v>158</v>
      </c>
      <c r="CN762" s="19">
        <f>Table1[[#This Row],[Mid]]</f>
        <v>0</v>
      </c>
      <c r="CO762" s="19">
        <f>Table1[[#This Row],[Mid3]]+Table1[[#This Row],[Mid6]]+Table1[[#This Row],[Mid9]]</f>
        <v>0</v>
      </c>
      <c r="CP762" s="19">
        <f>Table1[[#This Row],[Mid12]]+Table1[[#This Row],[Mid15]]+Table1[[#This Row],[Mid18]]+Table1[[#This Row],[Mid21]]+Table1[[#This Row],[Mid24]]</f>
        <v>5635</v>
      </c>
      <c r="CQ762" s="19">
        <f>Table1[[#This Row],[Mid27]]+Table1[[#This Row],[Mid30]]+Table1[[#This Row],[Mid33]]+Table1[[#This Row],[Mid36]]+Table1[[#This Row],[Mid39]]</f>
        <v>0</v>
      </c>
      <c r="CR762" t="s">
        <v>2317</v>
      </c>
      <c r="CS762" s="19" t="str">
        <f>IF(AND(Table1[[#This Row],[Low41]]=0, Table1[[#This Row],[High43]]=0),"N","Y")</f>
        <v>N</v>
      </c>
    </row>
    <row r="763" spans="1:97" ht="19.5" customHeight="1" x14ac:dyDescent="0.25">
      <c r="A763">
        <v>10761</v>
      </c>
      <c r="B763" t="s">
        <v>2379</v>
      </c>
      <c r="C763" t="s">
        <v>2407</v>
      </c>
      <c r="D763">
        <v>-34.613055559999999</v>
      </c>
      <c r="E763">
        <v>23.28722222</v>
      </c>
      <c r="F763" t="s">
        <v>2408</v>
      </c>
      <c r="G763" t="s">
        <v>2386</v>
      </c>
      <c r="H763" t="s">
        <v>252</v>
      </c>
      <c r="I763" t="s">
        <v>2245</v>
      </c>
      <c r="J763" t="s">
        <v>202</v>
      </c>
      <c r="K763" t="s">
        <v>190</v>
      </c>
      <c r="L763" t="s">
        <v>121</v>
      </c>
      <c r="N763" s="6" t="s">
        <v>2381</v>
      </c>
      <c r="P763" t="s">
        <v>1150</v>
      </c>
      <c r="Q763"/>
      <c r="R763" t="s">
        <v>2406</v>
      </c>
      <c r="S763">
        <v>2010</v>
      </c>
      <c r="T763" t="s">
        <v>2257</v>
      </c>
      <c r="U763" t="s">
        <v>2384</v>
      </c>
      <c r="V763"/>
      <c r="AF763">
        <v>200</v>
      </c>
      <c r="AH763" t="s">
        <v>2259</v>
      </c>
      <c r="AN763" t="s">
        <v>132</v>
      </c>
      <c r="BN763">
        <v>530</v>
      </c>
      <c r="CE76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63" s="19">
        <f>SUM(Table1[[#This Row],[Mid39]],Table1[[#This Row],[Mid36]],Table1[[#This Row],[Mid33]],Table1[[#This Row],[Mid30]],Table1[[#This Row],[Mid27]],Table1[[#This Row],[Mid24]],Table1[[#This Row],[Mid21]],Table1[[#This Row],[Mid18]],Table1[[#This Row],[Mid15]],Table1[[#This Row],[Mid12]],Table1[[#This Row],[Mid9]],Table1[[#This Row],[Mid6]],Table1[[#This Row],[Mid3]],Table1[[#This Row],[Mid]])</f>
        <v>530</v>
      </c>
      <c r="CG76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63" t="s">
        <v>157</v>
      </c>
      <c r="CI763" t="s">
        <v>176</v>
      </c>
      <c r="CJ763" t="s">
        <v>158</v>
      </c>
      <c r="CL763" s="19">
        <f>IF(Table1[[#This Row],[Type]]="Petroleum",1,IF(ISERROR(Table1[[#This Row],[Well Density]]*Table1[[#This Row],[Single Well Discovery Area]]),"",IF(Table1[[#This Row],[Well Density]]*Table1[[#This Row],[Single Well Discovery Area]]&gt;1,1,Table1[[#This Row],[Well Density]]*Table1[[#This Row],[Single Well Discovery Area]])))</f>
        <v>1</v>
      </c>
      <c r="CM763" t="s">
        <v>158</v>
      </c>
      <c r="CN763" s="19">
        <f>Table1[[#This Row],[Mid]]</f>
        <v>0</v>
      </c>
      <c r="CO763" s="19">
        <f>Table1[[#This Row],[Mid3]]+Table1[[#This Row],[Mid6]]+Table1[[#This Row],[Mid9]]</f>
        <v>0</v>
      </c>
      <c r="CP763" s="19">
        <f>Table1[[#This Row],[Mid12]]+Table1[[#This Row],[Mid15]]+Table1[[#This Row],[Mid18]]+Table1[[#This Row],[Mid21]]+Table1[[#This Row],[Mid24]]</f>
        <v>530</v>
      </c>
      <c r="CQ763" s="19">
        <f>Table1[[#This Row],[Mid27]]+Table1[[#This Row],[Mid30]]+Table1[[#This Row],[Mid33]]+Table1[[#This Row],[Mid36]]+Table1[[#This Row],[Mid39]]</f>
        <v>0</v>
      </c>
      <c r="CR763" t="s">
        <v>2317</v>
      </c>
      <c r="CS763" s="19" t="str">
        <f>IF(AND(Table1[[#This Row],[Low41]]=0, Table1[[#This Row],[High43]]=0),"N","Y")</f>
        <v>N</v>
      </c>
    </row>
    <row r="764" spans="1:97" ht="19.5" customHeight="1" x14ac:dyDescent="0.25">
      <c r="A764">
        <v>10762</v>
      </c>
      <c r="B764" t="s">
        <v>2379</v>
      </c>
      <c r="C764" t="s">
        <v>2407</v>
      </c>
      <c r="D764">
        <v>-34.613055559999999</v>
      </c>
      <c r="E764">
        <v>23.28722222</v>
      </c>
      <c r="F764" t="s">
        <v>2409</v>
      </c>
      <c r="G764" t="s">
        <v>2386</v>
      </c>
      <c r="H764" t="s">
        <v>252</v>
      </c>
      <c r="I764" t="s">
        <v>2245</v>
      </c>
      <c r="J764" t="s">
        <v>202</v>
      </c>
      <c r="K764" t="s">
        <v>190</v>
      </c>
      <c r="L764" t="s">
        <v>121</v>
      </c>
      <c r="N764" s="6" t="s">
        <v>2381</v>
      </c>
      <c r="P764" t="s">
        <v>1150</v>
      </c>
      <c r="Q764"/>
      <c r="R764" t="s">
        <v>2406</v>
      </c>
      <c r="S764">
        <v>2010</v>
      </c>
      <c r="T764" t="s">
        <v>2257</v>
      </c>
      <c r="U764" t="s">
        <v>2384</v>
      </c>
      <c r="V764"/>
      <c r="AF764">
        <v>200</v>
      </c>
      <c r="AH764" t="s">
        <v>2259</v>
      </c>
      <c r="AN764" t="s">
        <v>132</v>
      </c>
      <c r="BN764">
        <v>8242</v>
      </c>
      <c r="CE76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64" s="19">
        <f>SUM(Table1[[#This Row],[Mid39]],Table1[[#This Row],[Mid36]],Table1[[#This Row],[Mid33]],Table1[[#This Row],[Mid30]],Table1[[#This Row],[Mid27]],Table1[[#This Row],[Mid24]],Table1[[#This Row],[Mid21]],Table1[[#This Row],[Mid18]],Table1[[#This Row],[Mid15]],Table1[[#This Row],[Mid12]],Table1[[#This Row],[Mid9]],Table1[[#This Row],[Mid6]],Table1[[#This Row],[Mid3]],Table1[[#This Row],[Mid]])</f>
        <v>8242</v>
      </c>
      <c r="CG76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64" t="s">
        <v>157</v>
      </c>
      <c r="CI764" t="s">
        <v>176</v>
      </c>
      <c r="CJ764" t="s">
        <v>158</v>
      </c>
      <c r="CL764" s="19">
        <f>IF(Table1[[#This Row],[Type]]="Petroleum",1,IF(ISERROR(Table1[[#This Row],[Well Density]]*Table1[[#This Row],[Single Well Discovery Area]]),"",IF(Table1[[#This Row],[Well Density]]*Table1[[#This Row],[Single Well Discovery Area]]&gt;1,1,Table1[[#This Row],[Well Density]]*Table1[[#This Row],[Single Well Discovery Area]])))</f>
        <v>1</v>
      </c>
      <c r="CM764" t="s">
        <v>158</v>
      </c>
      <c r="CN764" s="19">
        <f>Table1[[#This Row],[Mid]]</f>
        <v>0</v>
      </c>
      <c r="CO764" s="19">
        <f>Table1[[#This Row],[Mid3]]+Table1[[#This Row],[Mid6]]+Table1[[#This Row],[Mid9]]</f>
        <v>0</v>
      </c>
      <c r="CP764" s="19">
        <f>Table1[[#This Row],[Mid12]]+Table1[[#This Row],[Mid15]]+Table1[[#This Row],[Mid18]]+Table1[[#This Row],[Mid21]]+Table1[[#This Row],[Mid24]]</f>
        <v>8242</v>
      </c>
      <c r="CQ764" s="19">
        <f>Table1[[#This Row],[Mid27]]+Table1[[#This Row],[Mid30]]+Table1[[#This Row],[Mid33]]+Table1[[#This Row],[Mid36]]+Table1[[#This Row],[Mid39]]</f>
        <v>0</v>
      </c>
      <c r="CR764" t="s">
        <v>2317</v>
      </c>
      <c r="CS764" s="19" t="str">
        <f>IF(AND(Table1[[#This Row],[Low41]]=0, Table1[[#This Row],[High43]]=0),"N","Y")</f>
        <v>N</v>
      </c>
    </row>
    <row r="765" spans="1:97" ht="19.5" customHeight="1" x14ac:dyDescent="0.25">
      <c r="A765">
        <v>10763</v>
      </c>
      <c r="B765" t="s">
        <v>2379</v>
      </c>
      <c r="C765" t="s">
        <v>2407</v>
      </c>
      <c r="D765">
        <v>-34.613055559999999</v>
      </c>
      <c r="E765">
        <v>23.28722222</v>
      </c>
      <c r="F765" t="s">
        <v>2410</v>
      </c>
      <c r="G765" t="s">
        <v>2386</v>
      </c>
      <c r="H765" t="s">
        <v>252</v>
      </c>
      <c r="I765" t="s">
        <v>2245</v>
      </c>
      <c r="J765" t="s">
        <v>202</v>
      </c>
      <c r="K765" t="s">
        <v>190</v>
      </c>
      <c r="L765" t="s">
        <v>18</v>
      </c>
      <c r="N765" s="6" t="s">
        <v>2381</v>
      </c>
      <c r="P765" t="s">
        <v>1150</v>
      </c>
      <c r="Q765"/>
      <c r="R765" t="s">
        <v>2411</v>
      </c>
      <c r="S765">
        <v>2010</v>
      </c>
      <c r="T765" t="s">
        <v>2257</v>
      </c>
      <c r="U765" t="s">
        <v>2384</v>
      </c>
      <c r="V765"/>
      <c r="AF765">
        <v>200</v>
      </c>
      <c r="AH765" t="s">
        <v>2259</v>
      </c>
      <c r="AN765" t="s">
        <v>132</v>
      </c>
      <c r="CC765">
        <v>37089</v>
      </c>
      <c r="CE76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65" s="19">
        <f>SUM(Table1[[#This Row],[Mid39]],Table1[[#This Row],[Mid36]],Table1[[#This Row],[Mid33]],Table1[[#This Row],[Mid30]],Table1[[#This Row],[Mid27]],Table1[[#This Row],[Mid24]],Table1[[#This Row],[Mid21]],Table1[[#This Row],[Mid18]],Table1[[#This Row],[Mid15]],Table1[[#This Row],[Mid12]],Table1[[#This Row],[Mid9]],Table1[[#This Row],[Mid6]],Table1[[#This Row],[Mid3]],Table1[[#This Row],[Mid]])</f>
        <v>37089</v>
      </c>
      <c r="CG76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65" t="s">
        <v>157</v>
      </c>
      <c r="CI765" t="s">
        <v>176</v>
      </c>
      <c r="CJ765" t="s">
        <v>158</v>
      </c>
      <c r="CL765" s="19">
        <f>IF(Table1[[#This Row],[Type]]="Petroleum",1,IF(ISERROR(Table1[[#This Row],[Well Density]]*Table1[[#This Row],[Single Well Discovery Area]]),"",IF(Table1[[#This Row],[Well Density]]*Table1[[#This Row],[Single Well Discovery Area]]&gt;1,1,Table1[[#This Row],[Well Density]]*Table1[[#This Row],[Single Well Discovery Area]])))</f>
        <v>1</v>
      </c>
      <c r="CM765" t="s">
        <v>158</v>
      </c>
      <c r="CN765" s="19">
        <f>Table1[[#This Row],[Mid]]</f>
        <v>0</v>
      </c>
      <c r="CO765" s="19">
        <f>Table1[[#This Row],[Mid3]]+Table1[[#This Row],[Mid6]]+Table1[[#This Row],[Mid9]]</f>
        <v>0</v>
      </c>
      <c r="CP765" s="19">
        <f>Table1[[#This Row],[Mid12]]+Table1[[#This Row],[Mid15]]+Table1[[#This Row],[Mid18]]+Table1[[#This Row],[Mid21]]+Table1[[#This Row],[Mid24]]</f>
        <v>0</v>
      </c>
      <c r="CQ765" s="19">
        <f>Table1[[#This Row],[Mid27]]+Table1[[#This Row],[Mid30]]+Table1[[#This Row],[Mid33]]+Table1[[#This Row],[Mid36]]+Table1[[#This Row],[Mid39]]</f>
        <v>37089</v>
      </c>
      <c r="CR765" t="s">
        <v>2317</v>
      </c>
      <c r="CS765" s="19" t="str">
        <f>IF(AND(Table1[[#This Row],[Low41]]=0, Table1[[#This Row],[High43]]=0),"N","Y")</f>
        <v>N</v>
      </c>
    </row>
    <row r="766" spans="1:97" ht="19.5" customHeight="1" x14ac:dyDescent="0.25">
      <c r="A766">
        <v>10764</v>
      </c>
      <c r="B766" t="s">
        <v>2379</v>
      </c>
      <c r="C766" t="s">
        <v>2407</v>
      </c>
      <c r="D766">
        <v>-34.613055559999999</v>
      </c>
      <c r="E766">
        <v>23.28722222</v>
      </c>
      <c r="F766" t="s">
        <v>2412</v>
      </c>
      <c r="G766" t="s">
        <v>2386</v>
      </c>
      <c r="H766" t="s">
        <v>252</v>
      </c>
      <c r="I766" t="s">
        <v>582</v>
      </c>
      <c r="J766" t="s">
        <v>202</v>
      </c>
      <c r="K766" t="s">
        <v>190</v>
      </c>
      <c r="L766" t="s">
        <v>121</v>
      </c>
      <c r="N766" s="6" t="s">
        <v>2381</v>
      </c>
      <c r="P766" t="s">
        <v>1150</v>
      </c>
      <c r="Q766"/>
      <c r="R766" t="s">
        <v>2406</v>
      </c>
      <c r="S766">
        <v>2010</v>
      </c>
      <c r="T766" t="s">
        <v>2257</v>
      </c>
      <c r="U766" t="s">
        <v>2384</v>
      </c>
      <c r="V766"/>
      <c r="AF766">
        <v>200</v>
      </c>
      <c r="AH766" t="s">
        <v>2259</v>
      </c>
      <c r="AN766" t="s">
        <v>132</v>
      </c>
      <c r="BN766">
        <v>575</v>
      </c>
      <c r="CE76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66" s="19">
        <f>SUM(Table1[[#This Row],[Mid39]],Table1[[#This Row],[Mid36]],Table1[[#This Row],[Mid33]],Table1[[#This Row],[Mid30]],Table1[[#This Row],[Mid27]],Table1[[#This Row],[Mid24]],Table1[[#This Row],[Mid21]],Table1[[#This Row],[Mid18]],Table1[[#This Row],[Mid15]],Table1[[#This Row],[Mid12]],Table1[[#This Row],[Mid9]],Table1[[#This Row],[Mid6]],Table1[[#This Row],[Mid3]],Table1[[#This Row],[Mid]])</f>
        <v>575</v>
      </c>
      <c r="CG76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66" t="s">
        <v>157</v>
      </c>
      <c r="CI766" t="s">
        <v>176</v>
      </c>
      <c r="CJ766" t="s">
        <v>158</v>
      </c>
      <c r="CL766" s="19">
        <f>IF(Table1[[#This Row],[Type]]="Petroleum",1,IF(ISERROR(Table1[[#This Row],[Well Density]]*Table1[[#This Row],[Single Well Discovery Area]]),"",IF(Table1[[#This Row],[Well Density]]*Table1[[#This Row],[Single Well Discovery Area]]&gt;1,1,Table1[[#This Row],[Well Density]]*Table1[[#This Row],[Single Well Discovery Area]])))</f>
        <v>1</v>
      </c>
      <c r="CM766" t="s">
        <v>158</v>
      </c>
      <c r="CN766" s="19">
        <f>Table1[[#This Row],[Mid]]</f>
        <v>0</v>
      </c>
      <c r="CO766" s="19">
        <f>Table1[[#This Row],[Mid3]]+Table1[[#This Row],[Mid6]]+Table1[[#This Row],[Mid9]]</f>
        <v>0</v>
      </c>
      <c r="CP766" s="19">
        <f>Table1[[#This Row],[Mid12]]+Table1[[#This Row],[Mid15]]+Table1[[#This Row],[Mid18]]+Table1[[#This Row],[Mid21]]+Table1[[#This Row],[Mid24]]</f>
        <v>575</v>
      </c>
      <c r="CQ766" s="19">
        <f>Table1[[#This Row],[Mid27]]+Table1[[#This Row],[Mid30]]+Table1[[#This Row],[Mid33]]+Table1[[#This Row],[Mid36]]+Table1[[#This Row],[Mid39]]</f>
        <v>0</v>
      </c>
      <c r="CR766" t="s">
        <v>2317</v>
      </c>
      <c r="CS766" s="19" t="str">
        <f>IF(AND(Table1[[#This Row],[Low41]]=0, Table1[[#This Row],[High43]]=0),"N","Y")</f>
        <v>N</v>
      </c>
    </row>
    <row r="767" spans="1:97" ht="19.5" customHeight="1" x14ac:dyDescent="0.25">
      <c r="A767">
        <v>10765</v>
      </c>
      <c r="B767" t="s">
        <v>2379</v>
      </c>
      <c r="C767" t="s">
        <v>2407</v>
      </c>
      <c r="D767">
        <v>-34.613055559999999</v>
      </c>
      <c r="E767">
        <v>23.28722222</v>
      </c>
      <c r="F767" t="s">
        <v>2413</v>
      </c>
      <c r="G767" t="s">
        <v>2386</v>
      </c>
      <c r="H767" t="s">
        <v>252</v>
      </c>
      <c r="I767" t="s">
        <v>582</v>
      </c>
      <c r="J767" t="s">
        <v>202</v>
      </c>
      <c r="K767" t="s">
        <v>190</v>
      </c>
      <c r="L767" t="s">
        <v>121</v>
      </c>
      <c r="N767" s="6" t="s">
        <v>2381</v>
      </c>
      <c r="P767" t="s">
        <v>1150</v>
      </c>
      <c r="Q767"/>
      <c r="R767" t="s">
        <v>2406</v>
      </c>
      <c r="S767">
        <v>2010</v>
      </c>
      <c r="T767" t="s">
        <v>2257</v>
      </c>
      <c r="U767" t="s">
        <v>2384</v>
      </c>
      <c r="V767"/>
      <c r="AF767">
        <v>200</v>
      </c>
      <c r="AH767" t="s">
        <v>2259</v>
      </c>
      <c r="AN767" t="s">
        <v>132</v>
      </c>
      <c r="BN767">
        <v>42</v>
      </c>
      <c r="CE76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67" s="19">
        <f>SUM(Table1[[#This Row],[Mid39]],Table1[[#This Row],[Mid36]],Table1[[#This Row],[Mid33]],Table1[[#This Row],[Mid30]],Table1[[#This Row],[Mid27]],Table1[[#This Row],[Mid24]],Table1[[#This Row],[Mid21]],Table1[[#This Row],[Mid18]],Table1[[#This Row],[Mid15]],Table1[[#This Row],[Mid12]],Table1[[#This Row],[Mid9]],Table1[[#This Row],[Mid6]],Table1[[#This Row],[Mid3]],Table1[[#This Row],[Mid]])</f>
        <v>42</v>
      </c>
      <c r="CG76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67" t="s">
        <v>157</v>
      </c>
      <c r="CI767" t="s">
        <v>176</v>
      </c>
      <c r="CJ767" t="s">
        <v>158</v>
      </c>
      <c r="CL767" s="19">
        <f>IF(Table1[[#This Row],[Type]]="Petroleum",1,IF(ISERROR(Table1[[#This Row],[Well Density]]*Table1[[#This Row],[Single Well Discovery Area]]),"",IF(Table1[[#This Row],[Well Density]]*Table1[[#This Row],[Single Well Discovery Area]]&gt;1,1,Table1[[#This Row],[Well Density]]*Table1[[#This Row],[Single Well Discovery Area]])))</f>
        <v>1</v>
      </c>
      <c r="CM767" t="s">
        <v>158</v>
      </c>
      <c r="CN767" s="19">
        <f>Table1[[#This Row],[Mid]]</f>
        <v>0</v>
      </c>
      <c r="CO767" s="19">
        <f>Table1[[#This Row],[Mid3]]+Table1[[#This Row],[Mid6]]+Table1[[#This Row],[Mid9]]</f>
        <v>0</v>
      </c>
      <c r="CP767" s="19">
        <f>Table1[[#This Row],[Mid12]]+Table1[[#This Row],[Mid15]]+Table1[[#This Row],[Mid18]]+Table1[[#This Row],[Mid21]]+Table1[[#This Row],[Mid24]]</f>
        <v>42</v>
      </c>
      <c r="CQ767" s="19">
        <f>Table1[[#This Row],[Mid27]]+Table1[[#This Row],[Mid30]]+Table1[[#This Row],[Mid33]]+Table1[[#This Row],[Mid36]]+Table1[[#This Row],[Mid39]]</f>
        <v>0</v>
      </c>
      <c r="CR767" t="s">
        <v>2317</v>
      </c>
      <c r="CS767" s="19" t="str">
        <f>IF(AND(Table1[[#This Row],[Low41]]=0, Table1[[#This Row],[High43]]=0),"N","Y")</f>
        <v>N</v>
      </c>
    </row>
    <row r="768" spans="1:97" ht="19.5" customHeight="1" x14ac:dyDescent="0.25">
      <c r="A768">
        <v>10766</v>
      </c>
      <c r="B768" t="s">
        <v>2379</v>
      </c>
      <c r="C768" t="s">
        <v>2407</v>
      </c>
      <c r="D768">
        <v>-34.613055559999999</v>
      </c>
      <c r="E768">
        <v>23.28722222</v>
      </c>
      <c r="F768" t="s">
        <v>2414</v>
      </c>
      <c r="G768" t="s">
        <v>2386</v>
      </c>
      <c r="H768" t="s">
        <v>252</v>
      </c>
      <c r="I768" t="s">
        <v>582</v>
      </c>
      <c r="J768" t="s">
        <v>202</v>
      </c>
      <c r="K768" t="s">
        <v>190</v>
      </c>
      <c r="L768" t="s">
        <v>121</v>
      </c>
      <c r="N768" s="6" t="s">
        <v>2381</v>
      </c>
      <c r="P768" t="s">
        <v>1150</v>
      </c>
      <c r="Q768"/>
      <c r="R768" t="s">
        <v>2406</v>
      </c>
      <c r="S768">
        <v>2010</v>
      </c>
      <c r="T768" t="s">
        <v>2257</v>
      </c>
      <c r="U768" t="s">
        <v>2384</v>
      </c>
      <c r="V768"/>
      <c r="AF768">
        <v>200</v>
      </c>
      <c r="AH768" t="s">
        <v>2259</v>
      </c>
      <c r="AN768" t="s">
        <v>132</v>
      </c>
      <c r="BN768">
        <v>75</v>
      </c>
      <c r="CE76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68" s="19">
        <f>SUM(Table1[[#This Row],[Mid39]],Table1[[#This Row],[Mid36]],Table1[[#This Row],[Mid33]],Table1[[#This Row],[Mid30]],Table1[[#This Row],[Mid27]],Table1[[#This Row],[Mid24]],Table1[[#This Row],[Mid21]],Table1[[#This Row],[Mid18]],Table1[[#This Row],[Mid15]],Table1[[#This Row],[Mid12]],Table1[[#This Row],[Mid9]],Table1[[#This Row],[Mid6]],Table1[[#This Row],[Mid3]],Table1[[#This Row],[Mid]])</f>
        <v>75</v>
      </c>
      <c r="CG76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68" t="s">
        <v>157</v>
      </c>
      <c r="CI768" t="s">
        <v>176</v>
      </c>
      <c r="CJ768" t="s">
        <v>158</v>
      </c>
      <c r="CL768" s="19">
        <f>IF(Table1[[#This Row],[Type]]="Petroleum",1,IF(ISERROR(Table1[[#This Row],[Well Density]]*Table1[[#This Row],[Single Well Discovery Area]]),"",IF(Table1[[#This Row],[Well Density]]*Table1[[#This Row],[Single Well Discovery Area]]&gt;1,1,Table1[[#This Row],[Well Density]]*Table1[[#This Row],[Single Well Discovery Area]])))</f>
        <v>1</v>
      </c>
      <c r="CM768" t="s">
        <v>158</v>
      </c>
      <c r="CN768" s="19">
        <f>Table1[[#This Row],[Mid]]</f>
        <v>0</v>
      </c>
      <c r="CO768" s="19">
        <f>Table1[[#This Row],[Mid3]]+Table1[[#This Row],[Mid6]]+Table1[[#This Row],[Mid9]]</f>
        <v>0</v>
      </c>
      <c r="CP768" s="19">
        <f>Table1[[#This Row],[Mid12]]+Table1[[#This Row],[Mid15]]+Table1[[#This Row],[Mid18]]+Table1[[#This Row],[Mid21]]+Table1[[#This Row],[Mid24]]</f>
        <v>75</v>
      </c>
      <c r="CQ768" s="19">
        <f>Table1[[#This Row],[Mid27]]+Table1[[#This Row],[Mid30]]+Table1[[#This Row],[Mid33]]+Table1[[#This Row],[Mid36]]+Table1[[#This Row],[Mid39]]</f>
        <v>0</v>
      </c>
      <c r="CR768" t="s">
        <v>2317</v>
      </c>
      <c r="CS768" s="19" t="str">
        <f>IF(AND(Table1[[#This Row],[Low41]]=0, Table1[[#This Row],[High43]]=0),"N","Y")</f>
        <v>N</v>
      </c>
    </row>
    <row r="769" spans="1:97" ht="19.5" customHeight="1" x14ac:dyDescent="0.25">
      <c r="A769">
        <v>10767</v>
      </c>
      <c r="B769" t="s">
        <v>2379</v>
      </c>
      <c r="C769" t="s">
        <v>2407</v>
      </c>
      <c r="D769">
        <v>-34.613055559999999</v>
      </c>
      <c r="E769">
        <v>23.28722222</v>
      </c>
      <c r="F769" t="s">
        <v>2415</v>
      </c>
      <c r="G769" t="s">
        <v>2386</v>
      </c>
      <c r="H769" t="s">
        <v>252</v>
      </c>
      <c r="I769" t="s">
        <v>582</v>
      </c>
      <c r="J769" t="s">
        <v>202</v>
      </c>
      <c r="K769" t="s">
        <v>190</v>
      </c>
      <c r="L769" t="s">
        <v>18</v>
      </c>
      <c r="N769" s="6" t="s">
        <v>2381</v>
      </c>
      <c r="P769" t="s">
        <v>1150</v>
      </c>
      <c r="Q769"/>
      <c r="R769" t="s">
        <v>2416</v>
      </c>
      <c r="S769">
        <v>2010</v>
      </c>
      <c r="T769" t="s">
        <v>2257</v>
      </c>
      <c r="U769" t="s">
        <v>2384</v>
      </c>
      <c r="V769"/>
      <c r="AF769">
        <v>200</v>
      </c>
      <c r="AH769" t="s">
        <v>2259</v>
      </c>
      <c r="AN769" t="s">
        <v>132</v>
      </c>
      <c r="CC769">
        <v>36659</v>
      </c>
      <c r="CE76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69" s="19">
        <f>SUM(Table1[[#This Row],[Mid39]],Table1[[#This Row],[Mid36]],Table1[[#This Row],[Mid33]],Table1[[#This Row],[Mid30]],Table1[[#This Row],[Mid27]],Table1[[#This Row],[Mid24]],Table1[[#This Row],[Mid21]],Table1[[#This Row],[Mid18]],Table1[[#This Row],[Mid15]],Table1[[#This Row],[Mid12]],Table1[[#This Row],[Mid9]],Table1[[#This Row],[Mid6]],Table1[[#This Row],[Mid3]],Table1[[#This Row],[Mid]])</f>
        <v>36659</v>
      </c>
      <c r="CG76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69" t="s">
        <v>157</v>
      </c>
      <c r="CI769" t="s">
        <v>176</v>
      </c>
      <c r="CJ769" t="s">
        <v>158</v>
      </c>
      <c r="CL769" s="19">
        <f>IF(Table1[[#This Row],[Type]]="Petroleum",1,IF(ISERROR(Table1[[#This Row],[Well Density]]*Table1[[#This Row],[Single Well Discovery Area]]),"",IF(Table1[[#This Row],[Well Density]]*Table1[[#This Row],[Single Well Discovery Area]]&gt;1,1,Table1[[#This Row],[Well Density]]*Table1[[#This Row],[Single Well Discovery Area]])))</f>
        <v>1</v>
      </c>
      <c r="CM769" t="s">
        <v>158</v>
      </c>
      <c r="CN769" s="19">
        <f>Table1[[#This Row],[Mid]]</f>
        <v>0</v>
      </c>
      <c r="CO769" s="19">
        <f>Table1[[#This Row],[Mid3]]+Table1[[#This Row],[Mid6]]+Table1[[#This Row],[Mid9]]</f>
        <v>0</v>
      </c>
      <c r="CP769" s="19">
        <f>Table1[[#This Row],[Mid12]]+Table1[[#This Row],[Mid15]]+Table1[[#This Row],[Mid18]]+Table1[[#This Row],[Mid21]]+Table1[[#This Row],[Mid24]]</f>
        <v>0</v>
      </c>
      <c r="CQ769" s="19">
        <f>Table1[[#This Row],[Mid27]]+Table1[[#This Row],[Mid30]]+Table1[[#This Row],[Mid33]]+Table1[[#This Row],[Mid36]]+Table1[[#This Row],[Mid39]]</f>
        <v>36659</v>
      </c>
      <c r="CR769" t="s">
        <v>2317</v>
      </c>
      <c r="CS769" s="19" t="str">
        <f>IF(AND(Table1[[#This Row],[Low41]]=0, Table1[[#This Row],[High43]]=0),"N","Y")</f>
        <v>N</v>
      </c>
    </row>
    <row r="770" spans="1:97" ht="19.5" customHeight="1" x14ac:dyDescent="0.25">
      <c r="A770">
        <v>10768</v>
      </c>
      <c r="B770" t="s">
        <v>2379</v>
      </c>
      <c r="C770" t="s">
        <v>2417</v>
      </c>
      <c r="D770">
        <v>-27.917222219999999</v>
      </c>
      <c r="E770">
        <v>32.581944440000001</v>
      </c>
      <c r="F770" t="s">
        <v>2417</v>
      </c>
      <c r="G770" t="s">
        <v>2309</v>
      </c>
      <c r="H770" t="s">
        <v>2418</v>
      </c>
      <c r="I770" t="s">
        <v>118</v>
      </c>
      <c r="J770" t="s">
        <v>119</v>
      </c>
      <c r="K770" t="s">
        <v>190</v>
      </c>
      <c r="L770" t="s">
        <v>18</v>
      </c>
      <c r="M770" t="s">
        <v>148</v>
      </c>
      <c r="N770" s="6" t="s">
        <v>2419</v>
      </c>
      <c r="P770" t="s">
        <v>1150</v>
      </c>
      <c r="Q770" t="s">
        <v>2420</v>
      </c>
      <c r="R770" t="s">
        <v>2416</v>
      </c>
      <c r="S770">
        <v>2017</v>
      </c>
      <c r="T770" t="s">
        <v>2257</v>
      </c>
      <c r="U770" t="s">
        <v>2384</v>
      </c>
      <c r="V770">
        <v>1500</v>
      </c>
      <c r="X770">
        <v>50</v>
      </c>
      <c r="Z770">
        <v>0.3</v>
      </c>
      <c r="AC770">
        <v>670</v>
      </c>
      <c r="AE770">
        <v>0</v>
      </c>
      <c r="AF770">
        <v>200</v>
      </c>
      <c r="AH770" t="s">
        <v>2259</v>
      </c>
      <c r="AN770" t="s">
        <v>132</v>
      </c>
      <c r="CC770">
        <v>1507.5</v>
      </c>
      <c r="CE77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70" s="19">
        <f>SUM(Table1[[#This Row],[Mid39]],Table1[[#This Row],[Mid36]],Table1[[#This Row],[Mid33]],Table1[[#This Row],[Mid30]],Table1[[#This Row],[Mid27]],Table1[[#This Row],[Mid24]],Table1[[#This Row],[Mid21]],Table1[[#This Row],[Mid18]],Table1[[#This Row],[Mid15]],Table1[[#This Row],[Mid12]],Table1[[#This Row],[Mid9]],Table1[[#This Row],[Mid6]],Table1[[#This Row],[Mid3]],Table1[[#This Row],[Mid]])</f>
        <v>1507.5</v>
      </c>
      <c r="CG77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70" t="s">
        <v>157</v>
      </c>
      <c r="CI770" t="s">
        <v>176</v>
      </c>
      <c r="CJ770" t="s">
        <v>158</v>
      </c>
      <c r="CL770" s="19">
        <f>IF(Table1[[#This Row],[Type]]="Petroleum",1,IF(ISERROR(Table1[[#This Row],[Well Density]]*Table1[[#This Row],[Single Well Discovery Area]]),"",IF(Table1[[#This Row],[Well Density]]*Table1[[#This Row],[Single Well Discovery Area]]&gt;1,1,Table1[[#This Row],[Well Density]]*Table1[[#This Row],[Single Well Discovery Area]])))</f>
        <v>0</v>
      </c>
      <c r="CM770" t="s">
        <v>158</v>
      </c>
      <c r="CN770" s="19">
        <f>Table1[[#This Row],[Mid]]</f>
        <v>0</v>
      </c>
      <c r="CO770" s="19">
        <f>Table1[[#This Row],[Mid3]]+Table1[[#This Row],[Mid6]]+Table1[[#This Row],[Mid9]]</f>
        <v>0</v>
      </c>
      <c r="CP770" s="19">
        <f>Table1[[#This Row],[Mid12]]+Table1[[#This Row],[Mid15]]+Table1[[#This Row],[Mid18]]+Table1[[#This Row],[Mid21]]+Table1[[#This Row],[Mid24]]</f>
        <v>0</v>
      </c>
      <c r="CQ770" s="19">
        <f>Table1[[#This Row],[Mid27]]+Table1[[#This Row],[Mid30]]+Table1[[#This Row],[Mid33]]+Table1[[#This Row],[Mid36]]+Table1[[#This Row],[Mid39]]</f>
        <v>1507.5</v>
      </c>
      <c r="CR770" t="s">
        <v>2317</v>
      </c>
      <c r="CS770" s="19" t="str">
        <f>IF(AND(Table1[[#This Row],[Low41]]=0, Table1[[#This Row],[High43]]=0),"N","Y")</f>
        <v>N</v>
      </c>
    </row>
    <row r="771" spans="1:97" ht="19.5" customHeight="1" x14ac:dyDescent="0.25">
      <c r="A771">
        <v>10769</v>
      </c>
      <c r="B771" t="s">
        <v>2379</v>
      </c>
      <c r="C771" t="s">
        <v>2417</v>
      </c>
      <c r="D771">
        <v>-27.917222219999999</v>
      </c>
      <c r="E771">
        <v>32.581944440000001</v>
      </c>
      <c r="F771" t="s">
        <v>2417</v>
      </c>
      <c r="G771" t="s">
        <v>2309</v>
      </c>
      <c r="H771" t="s">
        <v>2421</v>
      </c>
      <c r="I771" t="s">
        <v>118</v>
      </c>
      <c r="J771" t="s">
        <v>119</v>
      </c>
      <c r="K771" t="s">
        <v>190</v>
      </c>
      <c r="L771" t="s">
        <v>18</v>
      </c>
      <c r="M771" t="s">
        <v>148</v>
      </c>
      <c r="N771" s="6" t="s">
        <v>2419</v>
      </c>
      <c r="P771" t="s">
        <v>1150</v>
      </c>
      <c r="Q771" t="s">
        <v>2420</v>
      </c>
      <c r="R771" t="s">
        <v>2416</v>
      </c>
      <c r="S771">
        <v>2017</v>
      </c>
      <c r="T771" t="s">
        <v>2257</v>
      </c>
      <c r="U771" t="s">
        <v>2384</v>
      </c>
      <c r="V771">
        <v>730</v>
      </c>
      <c r="X771">
        <v>161</v>
      </c>
      <c r="Z771">
        <v>0.15</v>
      </c>
      <c r="AC771">
        <v>699</v>
      </c>
      <c r="AE771">
        <v>0</v>
      </c>
      <c r="AF771">
        <v>200</v>
      </c>
      <c r="AH771" t="s">
        <v>2259</v>
      </c>
      <c r="AN771" t="s">
        <v>132</v>
      </c>
      <c r="CC771">
        <v>1232.3</v>
      </c>
      <c r="CE77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71" s="19">
        <f>SUM(Table1[[#This Row],[Mid39]],Table1[[#This Row],[Mid36]],Table1[[#This Row],[Mid33]],Table1[[#This Row],[Mid30]],Table1[[#This Row],[Mid27]],Table1[[#This Row],[Mid24]],Table1[[#This Row],[Mid21]],Table1[[#This Row],[Mid18]],Table1[[#This Row],[Mid15]],Table1[[#This Row],[Mid12]],Table1[[#This Row],[Mid9]],Table1[[#This Row],[Mid6]],Table1[[#This Row],[Mid3]],Table1[[#This Row],[Mid]])</f>
        <v>1232.3</v>
      </c>
      <c r="CG77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71" t="s">
        <v>157</v>
      </c>
      <c r="CI771" t="s">
        <v>176</v>
      </c>
      <c r="CJ771" t="s">
        <v>158</v>
      </c>
      <c r="CL771" s="19">
        <f>IF(Table1[[#This Row],[Type]]="Petroleum",1,IF(ISERROR(Table1[[#This Row],[Well Density]]*Table1[[#This Row],[Single Well Discovery Area]]),"",IF(Table1[[#This Row],[Well Density]]*Table1[[#This Row],[Single Well Discovery Area]]&gt;1,1,Table1[[#This Row],[Well Density]]*Table1[[#This Row],[Single Well Discovery Area]])))</f>
        <v>0</v>
      </c>
      <c r="CM771" t="s">
        <v>158</v>
      </c>
      <c r="CN771" s="19">
        <f>Table1[[#This Row],[Mid]]</f>
        <v>0</v>
      </c>
      <c r="CO771" s="19">
        <f>Table1[[#This Row],[Mid3]]+Table1[[#This Row],[Mid6]]+Table1[[#This Row],[Mid9]]</f>
        <v>0</v>
      </c>
      <c r="CP771" s="19">
        <f>Table1[[#This Row],[Mid12]]+Table1[[#This Row],[Mid15]]+Table1[[#This Row],[Mid18]]+Table1[[#This Row],[Mid21]]+Table1[[#This Row],[Mid24]]</f>
        <v>0</v>
      </c>
      <c r="CQ771" s="19">
        <f>Table1[[#This Row],[Mid27]]+Table1[[#This Row],[Mid30]]+Table1[[#This Row],[Mid33]]+Table1[[#This Row],[Mid36]]+Table1[[#This Row],[Mid39]]</f>
        <v>1232.3</v>
      </c>
      <c r="CR771" t="s">
        <v>2317</v>
      </c>
      <c r="CS771" s="19" t="str">
        <f>IF(AND(Table1[[#This Row],[Low41]]=0, Table1[[#This Row],[High43]]=0),"N","Y")</f>
        <v>N</v>
      </c>
    </row>
    <row r="772" spans="1:97" ht="19.5" customHeight="1" x14ac:dyDescent="0.25">
      <c r="A772">
        <v>10770</v>
      </c>
      <c r="B772" t="s">
        <v>2379</v>
      </c>
      <c r="C772" t="s">
        <v>2417</v>
      </c>
      <c r="D772">
        <v>-27.917222219999999</v>
      </c>
      <c r="E772">
        <v>32.581944440000001</v>
      </c>
      <c r="F772" t="s">
        <v>2417</v>
      </c>
      <c r="G772" t="s">
        <v>2309</v>
      </c>
      <c r="H772" t="s">
        <v>2422</v>
      </c>
      <c r="I772" t="s">
        <v>118</v>
      </c>
      <c r="J772" t="s">
        <v>119</v>
      </c>
      <c r="K772" t="s">
        <v>190</v>
      </c>
      <c r="L772" t="s">
        <v>18</v>
      </c>
      <c r="M772" t="s">
        <v>148</v>
      </c>
      <c r="N772" s="6" t="s">
        <v>2419</v>
      </c>
      <c r="P772" t="s">
        <v>1150</v>
      </c>
      <c r="Q772" t="s">
        <v>2420</v>
      </c>
      <c r="R772" t="s">
        <v>2416</v>
      </c>
      <c r="S772">
        <v>2017</v>
      </c>
      <c r="T772" t="s">
        <v>2257</v>
      </c>
      <c r="U772" t="s">
        <v>2384</v>
      </c>
      <c r="V772">
        <v>10</v>
      </c>
      <c r="X772">
        <v>123.5</v>
      </c>
      <c r="Z772">
        <v>0.15</v>
      </c>
      <c r="AC772">
        <v>684</v>
      </c>
      <c r="AE772">
        <v>0</v>
      </c>
      <c r="AF772">
        <v>200</v>
      </c>
      <c r="AH772" t="s">
        <v>2259</v>
      </c>
      <c r="AN772" t="s">
        <v>132</v>
      </c>
      <c r="CC772">
        <v>12.67</v>
      </c>
      <c r="CE77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72" s="19">
        <f>SUM(Table1[[#This Row],[Mid39]],Table1[[#This Row],[Mid36]],Table1[[#This Row],[Mid33]],Table1[[#This Row],[Mid30]],Table1[[#This Row],[Mid27]],Table1[[#This Row],[Mid24]],Table1[[#This Row],[Mid21]],Table1[[#This Row],[Mid18]],Table1[[#This Row],[Mid15]],Table1[[#This Row],[Mid12]],Table1[[#This Row],[Mid9]],Table1[[#This Row],[Mid6]],Table1[[#This Row],[Mid3]],Table1[[#This Row],[Mid]])</f>
        <v>12.67</v>
      </c>
      <c r="CG77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72" t="s">
        <v>157</v>
      </c>
      <c r="CI772" t="s">
        <v>176</v>
      </c>
      <c r="CJ772" t="s">
        <v>158</v>
      </c>
      <c r="CL772" s="19">
        <f>IF(Table1[[#This Row],[Type]]="Petroleum",1,IF(ISERROR(Table1[[#This Row],[Well Density]]*Table1[[#This Row],[Single Well Discovery Area]]),"",IF(Table1[[#This Row],[Well Density]]*Table1[[#This Row],[Single Well Discovery Area]]&gt;1,1,Table1[[#This Row],[Well Density]]*Table1[[#This Row],[Single Well Discovery Area]])))</f>
        <v>0</v>
      </c>
      <c r="CM772" t="s">
        <v>158</v>
      </c>
      <c r="CN772" s="19">
        <f>Table1[[#This Row],[Mid]]</f>
        <v>0</v>
      </c>
      <c r="CO772" s="19">
        <f>Table1[[#This Row],[Mid3]]+Table1[[#This Row],[Mid6]]+Table1[[#This Row],[Mid9]]</f>
        <v>0</v>
      </c>
      <c r="CP772" s="19">
        <f>Table1[[#This Row],[Mid12]]+Table1[[#This Row],[Mid15]]+Table1[[#This Row],[Mid18]]+Table1[[#This Row],[Mid21]]+Table1[[#This Row],[Mid24]]</f>
        <v>0</v>
      </c>
      <c r="CQ772" s="19">
        <f>Table1[[#This Row],[Mid27]]+Table1[[#This Row],[Mid30]]+Table1[[#This Row],[Mid33]]+Table1[[#This Row],[Mid36]]+Table1[[#This Row],[Mid39]]</f>
        <v>12.67</v>
      </c>
      <c r="CR772" t="s">
        <v>2317</v>
      </c>
      <c r="CS772" s="19" t="str">
        <f>IF(AND(Table1[[#This Row],[Low41]]=0, Table1[[#This Row],[High43]]=0),"N","Y")</f>
        <v>N</v>
      </c>
    </row>
    <row r="773" spans="1:97" ht="19.5" customHeight="1" x14ac:dyDescent="0.25">
      <c r="A773">
        <v>10771</v>
      </c>
      <c r="B773" t="s">
        <v>2379</v>
      </c>
      <c r="C773" t="s">
        <v>2417</v>
      </c>
      <c r="D773">
        <v>-27.917222219999999</v>
      </c>
      <c r="E773">
        <v>32.581944440000001</v>
      </c>
      <c r="F773" t="s">
        <v>2417</v>
      </c>
      <c r="G773" t="s">
        <v>2309</v>
      </c>
      <c r="H773" t="s">
        <v>2423</v>
      </c>
      <c r="I773" t="s">
        <v>118</v>
      </c>
      <c r="J773" t="s">
        <v>119</v>
      </c>
      <c r="K773" t="s">
        <v>190</v>
      </c>
      <c r="L773" t="s">
        <v>18</v>
      </c>
      <c r="M773" t="s">
        <v>148</v>
      </c>
      <c r="N773" s="6" t="s">
        <v>2419</v>
      </c>
      <c r="P773" t="s">
        <v>1150</v>
      </c>
      <c r="Q773" t="s">
        <v>2420</v>
      </c>
      <c r="R773" t="s">
        <v>2416</v>
      </c>
      <c r="S773">
        <v>2017</v>
      </c>
      <c r="T773" t="s">
        <v>2257</v>
      </c>
      <c r="U773" t="s">
        <v>2384</v>
      </c>
      <c r="V773">
        <v>1500</v>
      </c>
      <c r="X773">
        <v>40</v>
      </c>
      <c r="Z773">
        <v>0.3</v>
      </c>
      <c r="AC773">
        <v>689</v>
      </c>
      <c r="AE773">
        <v>0</v>
      </c>
      <c r="AF773">
        <v>200</v>
      </c>
      <c r="AH773" t="s">
        <v>2259</v>
      </c>
      <c r="AN773" t="s">
        <v>132</v>
      </c>
      <c r="CC773">
        <v>1240.2</v>
      </c>
      <c r="CE77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73" s="19">
        <f>SUM(Table1[[#This Row],[Mid39]],Table1[[#This Row],[Mid36]],Table1[[#This Row],[Mid33]],Table1[[#This Row],[Mid30]],Table1[[#This Row],[Mid27]],Table1[[#This Row],[Mid24]],Table1[[#This Row],[Mid21]],Table1[[#This Row],[Mid18]],Table1[[#This Row],[Mid15]],Table1[[#This Row],[Mid12]],Table1[[#This Row],[Mid9]],Table1[[#This Row],[Mid6]],Table1[[#This Row],[Mid3]],Table1[[#This Row],[Mid]])</f>
        <v>1240.2</v>
      </c>
      <c r="CG77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73" t="s">
        <v>157</v>
      </c>
      <c r="CI773" t="s">
        <v>176</v>
      </c>
      <c r="CJ773" t="s">
        <v>158</v>
      </c>
      <c r="CL773" s="19">
        <f>IF(Table1[[#This Row],[Type]]="Petroleum",1,IF(ISERROR(Table1[[#This Row],[Well Density]]*Table1[[#This Row],[Single Well Discovery Area]]),"",IF(Table1[[#This Row],[Well Density]]*Table1[[#This Row],[Single Well Discovery Area]]&gt;1,1,Table1[[#This Row],[Well Density]]*Table1[[#This Row],[Single Well Discovery Area]])))</f>
        <v>0</v>
      </c>
      <c r="CM773" t="s">
        <v>158</v>
      </c>
      <c r="CN773" s="19">
        <f>Table1[[#This Row],[Mid]]</f>
        <v>0</v>
      </c>
      <c r="CO773" s="19">
        <f>Table1[[#This Row],[Mid3]]+Table1[[#This Row],[Mid6]]+Table1[[#This Row],[Mid9]]</f>
        <v>0</v>
      </c>
      <c r="CP773" s="19">
        <f>Table1[[#This Row],[Mid12]]+Table1[[#This Row],[Mid15]]+Table1[[#This Row],[Mid18]]+Table1[[#This Row],[Mid21]]+Table1[[#This Row],[Mid24]]</f>
        <v>0</v>
      </c>
      <c r="CQ773" s="19">
        <f>Table1[[#This Row],[Mid27]]+Table1[[#This Row],[Mid30]]+Table1[[#This Row],[Mid33]]+Table1[[#This Row],[Mid36]]+Table1[[#This Row],[Mid39]]</f>
        <v>1240.2</v>
      </c>
      <c r="CR773" t="s">
        <v>2317</v>
      </c>
      <c r="CS773" s="19" t="str">
        <f>IF(AND(Table1[[#This Row],[Low41]]=0, Table1[[#This Row],[High43]]=0),"N","Y")</f>
        <v>N</v>
      </c>
    </row>
    <row r="774" spans="1:97" ht="19.5" customHeight="1" x14ac:dyDescent="0.25">
      <c r="A774">
        <v>10772</v>
      </c>
      <c r="B774" t="s">
        <v>2379</v>
      </c>
      <c r="C774" t="s">
        <v>2417</v>
      </c>
      <c r="D774">
        <v>-27.917222219999999</v>
      </c>
      <c r="E774">
        <v>32.581944440000001</v>
      </c>
      <c r="F774" t="s">
        <v>2417</v>
      </c>
      <c r="G774" t="s">
        <v>2309</v>
      </c>
      <c r="H774" t="s">
        <v>2424</v>
      </c>
      <c r="I774" t="s">
        <v>118</v>
      </c>
      <c r="J774" t="s">
        <v>119</v>
      </c>
      <c r="K774" t="s">
        <v>190</v>
      </c>
      <c r="L774" t="s">
        <v>18</v>
      </c>
      <c r="M774" t="s">
        <v>148</v>
      </c>
      <c r="N774" s="6" t="s">
        <v>2419</v>
      </c>
      <c r="P774" t="s">
        <v>1150</v>
      </c>
      <c r="Q774" t="s">
        <v>2420</v>
      </c>
      <c r="R774" t="s">
        <v>2416</v>
      </c>
      <c r="S774">
        <v>2017</v>
      </c>
      <c r="T774" t="s">
        <v>2257</v>
      </c>
      <c r="U774" t="s">
        <v>2384</v>
      </c>
      <c r="V774">
        <v>280</v>
      </c>
      <c r="X774">
        <v>180</v>
      </c>
      <c r="Z774">
        <v>0.2</v>
      </c>
      <c r="AC774">
        <v>684</v>
      </c>
      <c r="AE774">
        <v>0</v>
      </c>
      <c r="AF774">
        <v>200</v>
      </c>
      <c r="AH774" t="s">
        <v>2259</v>
      </c>
      <c r="AN774" t="s">
        <v>132</v>
      </c>
      <c r="CC774">
        <v>689.47</v>
      </c>
      <c r="CE77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74" s="19">
        <f>SUM(Table1[[#This Row],[Mid39]],Table1[[#This Row],[Mid36]],Table1[[#This Row],[Mid33]],Table1[[#This Row],[Mid30]],Table1[[#This Row],[Mid27]],Table1[[#This Row],[Mid24]],Table1[[#This Row],[Mid21]],Table1[[#This Row],[Mid18]],Table1[[#This Row],[Mid15]],Table1[[#This Row],[Mid12]],Table1[[#This Row],[Mid9]],Table1[[#This Row],[Mid6]],Table1[[#This Row],[Mid3]],Table1[[#This Row],[Mid]])</f>
        <v>689.47</v>
      </c>
      <c r="CG77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74" t="s">
        <v>157</v>
      </c>
      <c r="CI774" t="s">
        <v>176</v>
      </c>
      <c r="CJ774" t="s">
        <v>158</v>
      </c>
      <c r="CL774" s="19">
        <f>IF(Table1[[#This Row],[Type]]="Petroleum",1,IF(ISERROR(Table1[[#This Row],[Well Density]]*Table1[[#This Row],[Single Well Discovery Area]]),"",IF(Table1[[#This Row],[Well Density]]*Table1[[#This Row],[Single Well Discovery Area]]&gt;1,1,Table1[[#This Row],[Well Density]]*Table1[[#This Row],[Single Well Discovery Area]])))</f>
        <v>0</v>
      </c>
      <c r="CM774" t="s">
        <v>158</v>
      </c>
      <c r="CN774" s="19">
        <f>Table1[[#This Row],[Mid]]</f>
        <v>0</v>
      </c>
      <c r="CO774" s="19">
        <f>Table1[[#This Row],[Mid3]]+Table1[[#This Row],[Mid6]]+Table1[[#This Row],[Mid9]]</f>
        <v>0</v>
      </c>
      <c r="CP774" s="19">
        <f>Table1[[#This Row],[Mid12]]+Table1[[#This Row],[Mid15]]+Table1[[#This Row],[Mid18]]+Table1[[#This Row],[Mid21]]+Table1[[#This Row],[Mid24]]</f>
        <v>0</v>
      </c>
      <c r="CQ774" s="19">
        <f>Table1[[#This Row],[Mid27]]+Table1[[#This Row],[Mid30]]+Table1[[#This Row],[Mid33]]+Table1[[#This Row],[Mid36]]+Table1[[#This Row],[Mid39]]</f>
        <v>689.47</v>
      </c>
      <c r="CR774" t="s">
        <v>2317</v>
      </c>
      <c r="CS774" s="19" t="str">
        <f>IF(AND(Table1[[#This Row],[Low41]]=0, Table1[[#This Row],[High43]]=0),"N","Y")</f>
        <v>N</v>
      </c>
    </row>
    <row r="775" spans="1:97" ht="19.5" customHeight="1" x14ac:dyDescent="0.25">
      <c r="A775">
        <v>10773</v>
      </c>
      <c r="B775" t="s">
        <v>2379</v>
      </c>
      <c r="C775" t="s">
        <v>2417</v>
      </c>
      <c r="D775">
        <v>-27.917222219999999</v>
      </c>
      <c r="E775">
        <v>32.581944440000001</v>
      </c>
      <c r="F775" t="s">
        <v>2417</v>
      </c>
      <c r="G775" t="s">
        <v>2309</v>
      </c>
      <c r="H775" t="s">
        <v>2425</v>
      </c>
      <c r="I775" t="s">
        <v>118</v>
      </c>
      <c r="J775" t="s">
        <v>119</v>
      </c>
      <c r="K775" t="s">
        <v>190</v>
      </c>
      <c r="L775" t="s">
        <v>18</v>
      </c>
      <c r="M775" t="s">
        <v>148</v>
      </c>
      <c r="N775" s="6" t="s">
        <v>2419</v>
      </c>
      <c r="P775" t="s">
        <v>1150</v>
      </c>
      <c r="Q775" t="s">
        <v>2420</v>
      </c>
      <c r="R775" t="s">
        <v>2416</v>
      </c>
      <c r="S775">
        <v>2017</v>
      </c>
      <c r="T775" t="s">
        <v>2257</v>
      </c>
      <c r="U775" t="s">
        <v>2384</v>
      </c>
      <c r="V775">
        <v>38</v>
      </c>
      <c r="X775">
        <v>156</v>
      </c>
      <c r="Z775">
        <v>0.2</v>
      </c>
      <c r="AC775">
        <v>690</v>
      </c>
      <c r="AE775">
        <v>0</v>
      </c>
      <c r="AF775">
        <v>200</v>
      </c>
      <c r="AH775" t="s">
        <v>2259</v>
      </c>
      <c r="AN775" t="s">
        <v>132</v>
      </c>
      <c r="CC775">
        <v>81.81</v>
      </c>
      <c r="CE77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75" s="19">
        <f>SUM(Table1[[#This Row],[Mid39]],Table1[[#This Row],[Mid36]],Table1[[#This Row],[Mid33]],Table1[[#This Row],[Mid30]],Table1[[#This Row],[Mid27]],Table1[[#This Row],[Mid24]],Table1[[#This Row],[Mid21]],Table1[[#This Row],[Mid18]],Table1[[#This Row],[Mid15]],Table1[[#This Row],[Mid12]],Table1[[#This Row],[Mid9]],Table1[[#This Row],[Mid6]],Table1[[#This Row],[Mid3]],Table1[[#This Row],[Mid]])</f>
        <v>81.81</v>
      </c>
      <c r="CG77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75" t="s">
        <v>157</v>
      </c>
      <c r="CI775" t="s">
        <v>176</v>
      </c>
      <c r="CJ775" t="s">
        <v>158</v>
      </c>
      <c r="CL775" s="19">
        <f>IF(Table1[[#This Row],[Type]]="Petroleum",1,IF(ISERROR(Table1[[#This Row],[Well Density]]*Table1[[#This Row],[Single Well Discovery Area]]),"",IF(Table1[[#This Row],[Well Density]]*Table1[[#This Row],[Single Well Discovery Area]]&gt;1,1,Table1[[#This Row],[Well Density]]*Table1[[#This Row],[Single Well Discovery Area]])))</f>
        <v>0</v>
      </c>
      <c r="CM775" t="s">
        <v>158</v>
      </c>
      <c r="CN775" s="19">
        <f>Table1[[#This Row],[Mid]]</f>
        <v>0</v>
      </c>
      <c r="CO775" s="19">
        <f>Table1[[#This Row],[Mid3]]+Table1[[#This Row],[Mid6]]+Table1[[#This Row],[Mid9]]</f>
        <v>0</v>
      </c>
      <c r="CP775" s="19">
        <f>Table1[[#This Row],[Mid12]]+Table1[[#This Row],[Mid15]]+Table1[[#This Row],[Mid18]]+Table1[[#This Row],[Mid21]]+Table1[[#This Row],[Mid24]]</f>
        <v>0</v>
      </c>
      <c r="CQ775" s="19">
        <f>Table1[[#This Row],[Mid27]]+Table1[[#This Row],[Mid30]]+Table1[[#This Row],[Mid33]]+Table1[[#This Row],[Mid36]]+Table1[[#This Row],[Mid39]]</f>
        <v>81.81</v>
      </c>
      <c r="CR775" t="s">
        <v>2317</v>
      </c>
      <c r="CS775" s="19" t="str">
        <f>IF(AND(Table1[[#This Row],[Low41]]=0, Table1[[#This Row],[High43]]=0),"N","Y")</f>
        <v>N</v>
      </c>
    </row>
    <row r="776" spans="1:97" ht="19.5" customHeight="1" x14ac:dyDescent="0.25">
      <c r="A776">
        <v>10774</v>
      </c>
      <c r="B776" t="s">
        <v>2379</v>
      </c>
      <c r="C776" t="s">
        <v>2417</v>
      </c>
      <c r="D776">
        <v>-27.917222219999999</v>
      </c>
      <c r="E776">
        <v>32.581944440000001</v>
      </c>
      <c r="F776" t="s">
        <v>2417</v>
      </c>
      <c r="G776" t="s">
        <v>2309</v>
      </c>
      <c r="H776" t="s">
        <v>2426</v>
      </c>
      <c r="I776" t="s">
        <v>118</v>
      </c>
      <c r="J776" t="s">
        <v>119</v>
      </c>
      <c r="K776" t="s">
        <v>190</v>
      </c>
      <c r="L776" t="s">
        <v>18</v>
      </c>
      <c r="M776" t="s">
        <v>148</v>
      </c>
      <c r="N776" s="6" t="s">
        <v>2419</v>
      </c>
      <c r="P776" t="s">
        <v>1150</v>
      </c>
      <c r="Q776" t="s">
        <v>2420</v>
      </c>
      <c r="R776" t="s">
        <v>2416</v>
      </c>
      <c r="S776">
        <v>2017</v>
      </c>
      <c r="T776" t="s">
        <v>2257</v>
      </c>
      <c r="U776" t="s">
        <v>2384</v>
      </c>
      <c r="V776">
        <v>93</v>
      </c>
      <c r="X776">
        <v>234</v>
      </c>
      <c r="Z776">
        <v>0.2</v>
      </c>
      <c r="AC776">
        <v>696</v>
      </c>
      <c r="AE776">
        <v>0</v>
      </c>
      <c r="AF776">
        <v>200</v>
      </c>
      <c r="AH776" t="s">
        <v>2259</v>
      </c>
      <c r="AN776" t="s">
        <v>132</v>
      </c>
      <c r="CC776">
        <v>302.93</v>
      </c>
      <c r="CE77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76" s="19">
        <f>SUM(Table1[[#This Row],[Mid39]],Table1[[#This Row],[Mid36]],Table1[[#This Row],[Mid33]],Table1[[#This Row],[Mid30]],Table1[[#This Row],[Mid27]],Table1[[#This Row],[Mid24]],Table1[[#This Row],[Mid21]],Table1[[#This Row],[Mid18]],Table1[[#This Row],[Mid15]],Table1[[#This Row],[Mid12]],Table1[[#This Row],[Mid9]],Table1[[#This Row],[Mid6]],Table1[[#This Row],[Mid3]],Table1[[#This Row],[Mid]])</f>
        <v>302.93</v>
      </c>
      <c r="CG77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76" t="s">
        <v>157</v>
      </c>
      <c r="CI776" t="s">
        <v>176</v>
      </c>
      <c r="CJ776" t="s">
        <v>158</v>
      </c>
      <c r="CL776" s="19">
        <f>IF(Table1[[#This Row],[Type]]="Petroleum",1,IF(ISERROR(Table1[[#This Row],[Well Density]]*Table1[[#This Row],[Single Well Discovery Area]]),"",IF(Table1[[#This Row],[Well Density]]*Table1[[#This Row],[Single Well Discovery Area]]&gt;1,1,Table1[[#This Row],[Well Density]]*Table1[[#This Row],[Single Well Discovery Area]])))</f>
        <v>0</v>
      </c>
      <c r="CM776" t="s">
        <v>158</v>
      </c>
      <c r="CN776" s="19">
        <f>Table1[[#This Row],[Mid]]</f>
        <v>0</v>
      </c>
      <c r="CO776" s="19">
        <f>Table1[[#This Row],[Mid3]]+Table1[[#This Row],[Mid6]]+Table1[[#This Row],[Mid9]]</f>
        <v>0</v>
      </c>
      <c r="CP776" s="19">
        <f>Table1[[#This Row],[Mid12]]+Table1[[#This Row],[Mid15]]+Table1[[#This Row],[Mid18]]+Table1[[#This Row],[Mid21]]+Table1[[#This Row],[Mid24]]</f>
        <v>0</v>
      </c>
      <c r="CQ776" s="19">
        <f>Table1[[#This Row],[Mid27]]+Table1[[#This Row],[Mid30]]+Table1[[#This Row],[Mid33]]+Table1[[#This Row],[Mid36]]+Table1[[#This Row],[Mid39]]</f>
        <v>302.93</v>
      </c>
      <c r="CR776" t="s">
        <v>2317</v>
      </c>
      <c r="CS776" s="19" t="str">
        <f>IF(AND(Table1[[#This Row],[Low41]]=0, Table1[[#This Row],[High43]]=0),"N","Y")</f>
        <v>N</v>
      </c>
    </row>
    <row r="777" spans="1:97" ht="19.5" customHeight="1" x14ac:dyDescent="0.25">
      <c r="A777">
        <v>10775</v>
      </c>
      <c r="B777" t="s">
        <v>2379</v>
      </c>
      <c r="C777" t="s">
        <v>2417</v>
      </c>
      <c r="D777">
        <v>-27.917222219999999</v>
      </c>
      <c r="E777">
        <v>32.581944440000001</v>
      </c>
      <c r="F777" t="s">
        <v>2417</v>
      </c>
      <c r="G777" t="s">
        <v>2309</v>
      </c>
      <c r="H777" t="s">
        <v>2427</v>
      </c>
      <c r="I777" t="s">
        <v>118</v>
      </c>
      <c r="J777" t="s">
        <v>119</v>
      </c>
      <c r="K777" t="s">
        <v>190</v>
      </c>
      <c r="L777" t="s">
        <v>18</v>
      </c>
      <c r="M777" t="s">
        <v>148</v>
      </c>
      <c r="N777" s="6" t="s">
        <v>2419</v>
      </c>
      <c r="P777" t="s">
        <v>1150</v>
      </c>
      <c r="Q777" t="s">
        <v>2420</v>
      </c>
      <c r="R777" t="s">
        <v>2416</v>
      </c>
      <c r="S777">
        <v>2017</v>
      </c>
      <c r="T777" t="s">
        <v>2257</v>
      </c>
      <c r="U777" t="s">
        <v>2384</v>
      </c>
      <c r="V777">
        <v>50</v>
      </c>
      <c r="X777">
        <v>125</v>
      </c>
      <c r="Z777">
        <v>0.2</v>
      </c>
      <c r="AC777">
        <v>691</v>
      </c>
      <c r="AE777">
        <v>0</v>
      </c>
      <c r="AF777">
        <v>200</v>
      </c>
      <c r="AH777" t="s">
        <v>2259</v>
      </c>
      <c r="AN777" t="s">
        <v>132</v>
      </c>
      <c r="CC777">
        <v>86.38</v>
      </c>
      <c r="CE77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77" s="19">
        <f>SUM(Table1[[#This Row],[Mid39]],Table1[[#This Row],[Mid36]],Table1[[#This Row],[Mid33]],Table1[[#This Row],[Mid30]],Table1[[#This Row],[Mid27]],Table1[[#This Row],[Mid24]],Table1[[#This Row],[Mid21]],Table1[[#This Row],[Mid18]],Table1[[#This Row],[Mid15]],Table1[[#This Row],[Mid12]],Table1[[#This Row],[Mid9]],Table1[[#This Row],[Mid6]],Table1[[#This Row],[Mid3]],Table1[[#This Row],[Mid]])</f>
        <v>86.38</v>
      </c>
      <c r="CG77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77" t="s">
        <v>157</v>
      </c>
      <c r="CI777" t="s">
        <v>176</v>
      </c>
      <c r="CJ777" t="s">
        <v>158</v>
      </c>
      <c r="CL777" s="19">
        <f>IF(Table1[[#This Row],[Type]]="Petroleum",1,IF(ISERROR(Table1[[#This Row],[Well Density]]*Table1[[#This Row],[Single Well Discovery Area]]),"",IF(Table1[[#This Row],[Well Density]]*Table1[[#This Row],[Single Well Discovery Area]]&gt;1,1,Table1[[#This Row],[Well Density]]*Table1[[#This Row],[Single Well Discovery Area]])))</f>
        <v>0</v>
      </c>
      <c r="CM777" t="s">
        <v>158</v>
      </c>
      <c r="CN777" s="19">
        <f>Table1[[#This Row],[Mid]]</f>
        <v>0</v>
      </c>
      <c r="CO777" s="19">
        <f>Table1[[#This Row],[Mid3]]+Table1[[#This Row],[Mid6]]+Table1[[#This Row],[Mid9]]</f>
        <v>0</v>
      </c>
      <c r="CP777" s="19">
        <f>Table1[[#This Row],[Mid12]]+Table1[[#This Row],[Mid15]]+Table1[[#This Row],[Mid18]]+Table1[[#This Row],[Mid21]]+Table1[[#This Row],[Mid24]]</f>
        <v>0</v>
      </c>
      <c r="CQ777" s="19">
        <f>Table1[[#This Row],[Mid27]]+Table1[[#This Row],[Mid30]]+Table1[[#This Row],[Mid33]]+Table1[[#This Row],[Mid36]]+Table1[[#This Row],[Mid39]]</f>
        <v>86.38</v>
      </c>
      <c r="CR777" t="s">
        <v>2317</v>
      </c>
      <c r="CS777" s="19" t="str">
        <f>IF(AND(Table1[[#This Row],[Low41]]=0, Table1[[#This Row],[High43]]=0),"N","Y")</f>
        <v>N</v>
      </c>
    </row>
    <row r="778" spans="1:97" ht="19.5" customHeight="1" x14ac:dyDescent="0.25">
      <c r="A778">
        <v>10776</v>
      </c>
      <c r="B778" t="s">
        <v>2379</v>
      </c>
      <c r="C778" t="s">
        <v>2417</v>
      </c>
      <c r="D778">
        <v>-27.917222219999999</v>
      </c>
      <c r="E778">
        <v>32.581944440000001</v>
      </c>
      <c r="F778" t="s">
        <v>2417</v>
      </c>
      <c r="G778" t="s">
        <v>2309</v>
      </c>
      <c r="H778" t="s">
        <v>2428</v>
      </c>
      <c r="I778" t="s">
        <v>118</v>
      </c>
      <c r="J778" t="s">
        <v>119</v>
      </c>
      <c r="K778" t="s">
        <v>190</v>
      </c>
      <c r="L778" t="s">
        <v>18</v>
      </c>
      <c r="M778" t="s">
        <v>148</v>
      </c>
      <c r="N778" s="6" t="s">
        <v>2419</v>
      </c>
      <c r="P778" t="s">
        <v>1150</v>
      </c>
      <c r="Q778" t="s">
        <v>2420</v>
      </c>
      <c r="R778" t="s">
        <v>2416</v>
      </c>
      <c r="S778">
        <v>2017</v>
      </c>
      <c r="T778" t="s">
        <v>2257</v>
      </c>
      <c r="U778" t="s">
        <v>2384</v>
      </c>
      <c r="V778">
        <v>120</v>
      </c>
      <c r="X778">
        <v>142.5</v>
      </c>
      <c r="Z778">
        <v>0.2</v>
      </c>
      <c r="AC778">
        <v>696</v>
      </c>
      <c r="AE778">
        <v>0</v>
      </c>
      <c r="AF778">
        <v>200</v>
      </c>
      <c r="AH778" t="s">
        <v>2259</v>
      </c>
      <c r="AN778" t="s">
        <v>132</v>
      </c>
      <c r="CC778">
        <v>238.03</v>
      </c>
      <c r="CE77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78" s="19">
        <f>SUM(Table1[[#This Row],[Mid39]],Table1[[#This Row],[Mid36]],Table1[[#This Row],[Mid33]],Table1[[#This Row],[Mid30]],Table1[[#This Row],[Mid27]],Table1[[#This Row],[Mid24]],Table1[[#This Row],[Mid21]],Table1[[#This Row],[Mid18]],Table1[[#This Row],[Mid15]],Table1[[#This Row],[Mid12]],Table1[[#This Row],[Mid9]],Table1[[#This Row],[Mid6]],Table1[[#This Row],[Mid3]],Table1[[#This Row],[Mid]])</f>
        <v>238.03</v>
      </c>
      <c r="CG77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78" t="s">
        <v>157</v>
      </c>
      <c r="CI778" t="s">
        <v>176</v>
      </c>
      <c r="CJ778" t="s">
        <v>158</v>
      </c>
      <c r="CL778" s="19">
        <f>IF(Table1[[#This Row],[Type]]="Petroleum",1,IF(ISERROR(Table1[[#This Row],[Well Density]]*Table1[[#This Row],[Single Well Discovery Area]]),"",IF(Table1[[#This Row],[Well Density]]*Table1[[#This Row],[Single Well Discovery Area]]&gt;1,1,Table1[[#This Row],[Well Density]]*Table1[[#This Row],[Single Well Discovery Area]])))</f>
        <v>0</v>
      </c>
      <c r="CM778" t="s">
        <v>158</v>
      </c>
      <c r="CN778" s="19">
        <f>Table1[[#This Row],[Mid]]</f>
        <v>0</v>
      </c>
      <c r="CO778" s="19">
        <f>Table1[[#This Row],[Mid3]]+Table1[[#This Row],[Mid6]]+Table1[[#This Row],[Mid9]]</f>
        <v>0</v>
      </c>
      <c r="CP778" s="19">
        <f>Table1[[#This Row],[Mid12]]+Table1[[#This Row],[Mid15]]+Table1[[#This Row],[Mid18]]+Table1[[#This Row],[Mid21]]+Table1[[#This Row],[Mid24]]</f>
        <v>0</v>
      </c>
      <c r="CQ778" s="19">
        <f>Table1[[#This Row],[Mid27]]+Table1[[#This Row],[Mid30]]+Table1[[#This Row],[Mid33]]+Table1[[#This Row],[Mid36]]+Table1[[#This Row],[Mid39]]</f>
        <v>238.03</v>
      </c>
      <c r="CR778" t="s">
        <v>2317</v>
      </c>
      <c r="CS778" s="19" t="str">
        <f>IF(AND(Table1[[#This Row],[Low41]]=0, Table1[[#This Row],[High43]]=0),"N","Y")</f>
        <v>N</v>
      </c>
    </row>
    <row r="779" spans="1:97" ht="19.5" customHeight="1" x14ac:dyDescent="0.25">
      <c r="A779">
        <v>10777</v>
      </c>
      <c r="B779" t="s">
        <v>2379</v>
      </c>
      <c r="C779" t="s">
        <v>2429</v>
      </c>
      <c r="D779">
        <v>-29.24583333</v>
      </c>
      <c r="E779">
        <v>14.820833329999999</v>
      </c>
      <c r="F779" t="s">
        <v>2430</v>
      </c>
      <c r="G779" t="s">
        <v>2403</v>
      </c>
      <c r="H779" t="s">
        <v>252</v>
      </c>
      <c r="I779" t="s">
        <v>2245</v>
      </c>
      <c r="J779" t="s">
        <v>202</v>
      </c>
      <c r="K779" t="s">
        <v>190</v>
      </c>
      <c r="L779" t="s">
        <v>121</v>
      </c>
      <c r="N779" s="6" t="s">
        <v>2381</v>
      </c>
      <c r="P779" t="s">
        <v>1150</v>
      </c>
      <c r="Q779"/>
      <c r="R779" t="s">
        <v>2406</v>
      </c>
      <c r="S779">
        <v>2010</v>
      </c>
      <c r="T779" t="s">
        <v>2257</v>
      </c>
      <c r="U779" t="s">
        <v>2384</v>
      </c>
      <c r="V779"/>
      <c r="AF779">
        <v>200</v>
      </c>
      <c r="AH779" t="s">
        <v>2259</v>
      </c>
      <c r="AN779" t="s">
        <v>132</v>
      </c>
      <c r="BN779">
        <v>883</v>
      </c>
      <c r="CE77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79" s="19">
        <f>SUM(Table1[[#This Row],[Mid39]],Table1[[#This Row],[Mid36]],Table1[[#This Row],[Mid33]],Table1[[#This Row],[Mid30]],Table1[[#This Row],[Mid27]],Table1[[#This Row],[Mid24]],Table1[[#This Row],[Mid21]],Table1[[#This Row],[Mid18]],Table1[[#This Row],[Mid15]],Table1[[#This Row],[Mid12]],Table1[[#This Row],[Mid9]],Table1[[#This Row],[Mid6]],Table1[[#This Row],[Mid3]],Table1[[#This Row],[Mid]])</f>
        <v>883</v>
      </c>
      <c r="CG77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79" t="s">
        <v>157</v>
      </c>
      <c r="CI779" t="s">
        <v>176</v>
      </c>
      <c r="CJ779" t="s">
        <v>158</v>
      </c>
      <c r="CL779" s="19">
        <f>IF(Table1[[#This Row],[Type]]="Petroleum",1,IF(ISERROR(Table1[[#This Row],[Well Density]]*Table1[[#This Row],[Single Well Discovery Area]]),"",IF(Table1[[#This Row],[Well Density]]*Table1[[#This Row],[Single Well Discovery Area]]&gt;1,1,Table1[[#This Row],[Well Density]]*Table1[[#This Row],[Single Well Discovery Area]])))</f>
        <v>1</v>
      </c>
      <c r="CM779" t="s">
        <v>158</v>
      </c>
      <c r="CN779" s="19">
        <f>Table1[[#This Row],[Mid]]</f>
        <v>0</v>
      </c>
      <c r="CO779" s="19">
        <f>Table1[[#This Row],[Mid3]]+Table1[[#This Row],[Mid6]]+Table1[[#This Row],[Mid9]]</f>
        <v>0</v>
      </c>
      <c r="CP779" s="19">
        <f>Table1[[#This Row],[Mid12]]+Table1[[#This Row],[Mid15]]+Table1[[#This Row],[Mid18]]+Table1[[#This Row],[Mid21]]+Table1[[#This Row],[Mid24]]</f>
        <v>883</v>
      </c>
      <c r="CQ779" s="19">
        <f>Table1[[#This Row],[Mid27]]+Table1[[#This Row],[Mid30]]+Table1[[#This Row],[Mid33]]+Table1[[#This Row],[Mid36]]+Table1[[#This Row],[Mid39]]</f>
        <v>0</v>
      </c>
      <c r="CR779" t="s">
        <v>2317</v>
      </c>
      <c r="CS779" s="19" t="str">
        <f>IF(AND(Table1[[#This Row],[Low41]]=0, Table1[[#This Row],[High43]]=0),"N","Y")</f>
        <v>N</v>
      </c>
    </row>
    <row r="780" spans="1:97" ht="19.5" customHeight="1" x14ac:dyDescent="0.25">
      <c r="A780">
        <v>10778</v>
      </c>
      <c r="B780" t="s">
        <v>2379</v>
      </c>
      <c r="C780" t="s">
        <v>2402</v>
      </c>
      <c r="D780">
        <v>-29.24583333</v>
      </c>
      <c r="E780">
        <v>14.820833329999999</v>
      </c>
      <c r="F780" t="s">
        <v>2431</v>
      </c>
      <c r="G780" t="s">
        <v>2403</v>
      </c>
      <c r="H780" t="s">
        <v>252</v>
      </c>
      <c r="I780" t="s">
        <v>2245</v>
      </c>
      <c r="J780" t="s">
        <v>202</v>
      </c>
      <c r="K780" t="s">
        <v>190</v>
      </c>
      <c r="L780" t="s">
        <v>121</v>
      </c>
      <c r="N780" s="6" t="s">
        <v>2381</v>
      </c>
      <c r="P780" t="s">
        <v>1150</v>
      </c>
      <c r="Q780"/>
      <c r="R780" t="s">
        <v>2406</v>
      </c>
      <c r="S780">
        <v>2010</v>
      </c>
      <c r="T780" t="s">
        <v>2257</v>
      </c>
      <c r="U780" t="s">
        <v>2384</v>
      </c>
      <c r="V780"/>
      <c r="AF780">
        <v>200</v>
      </c>
      <c r="AH780" t="s">
        <v>2259</v>
      </c>
      <c r="AN780" t="s">
        <v>132</v>
      </c>
      <c r="BN780">
        <v>3925</v>
      </c>
      <c r="CE78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80" s="19">
        <f>SUM(Table1[[#This Row],[Mid39]],Table1[[#This Row],[Mid36]],Table1[[#This Row],[Mid33]],Table1[[#This Row],[Mid30]],Table1[[#This Row],[Mid27]],Table1[[#This Row],[Mid24]],Table1[[#This Row],[Mid21]],Table1[[#This Row],[Mid18]],Table1[[#This Row],[Mid15]],Table1[[#This Row],[Mid12]],Table1[[#This Row],[Mid9]],Table1[[#This Row],[Mid6]],Table1[[#This Row],[Mid3]],Table1[[#This Row],[Mid]])</f>
        <v>3925</v>
      </c>
      <c r="CG78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80" t="s">
        <v>157</v>
      </c>
      <c r="CI780" t="s">
        <v>176</v>
      </c>
      <c r="CJ780" t="s">
        <v>158</v>
      </c>
      <c r="CL780" s="19">
        <f>IF(Table1[[#This Row],[Type]]="Petroleum",1,IF(ISERROR(Table1[[#This Row],[Well Density]]*Table1[[#This Row],[Single Well Discovery Area]]),"",IF(Table1[[#This Row],[Well Density]]*Table1[[#This Row],[Single Well Discovery Area]]&gt;1,1,Table1[[#This Row],[Well Density]]*Table1[[#This Row],[Single Well Discovery Area]])))</f>
        <v>1</v>
      </c>
      <c r="CM780" t="s">
        <v>158</v>
      </c>
      <c r="CN780" s="19">
        <f>Table1[[#This Row],[Mid]]</f>
        <v>0</v>
      </c>
      <c r="CO780" s="19">
        <f>Table1[[#This Row],[Mid3]]+Table1[[#This Row],[Mid6]]+Table1[[#This Row],[Mid9]]</f>
        <v>0</v>
      </c>
      <c r="CP780" s="19">
        <f>Table1[[#This Row],[Mid12]]+Table1[[#This Row],[Mid15]]+Table1[[#This Row],[Mid18]]+Table1[[#This Row],[Mid21]]+Table1[[#This Row],[Mid24]]</f>
        <v>3925</v>
      </c>
      <c r="CQ780" s="19">
        <f>Table1[[#This Row],[Mid27]]+Table1[[#This Row],[Mid30]]+Table1[[#This Row],[Mid33]]+Table1[[#This Row],[Mid36]]+Table1[[#This Row],[Mid39]]</f>
        <v>0</v>
      </c>
      <c r="CR780" t="s">
        <v>2317</v>
      </c>
      <c r="CS780" s="19" t="str">
        <f>IF(AND(Table1[[#This Row],[Low41]]=0, Table1[[#This Row],[High43]]=0),"N","Y")</f>
        <v>N</v>
      </c>
    </row>
    <row r="781" spans="1:97" ht="19.5" customHeight="1" x14ac:dyDescent="0.25">
      <c r="A781">
        <v>10779</v>
      </c>
      <c r="B781" t="s">
        <v>2379</v>
      </c>
      <c r="C781" t="s">
        <v>2432</v>
      </c>
      <c r="D781">
        <v>-29.24583333</v>
      </c>
      <c r="E781">
        <v>14.820833329999999</v>
      </c>
      <c r="F781" t="s">
        <v>2433</v>
      </c>
      <c r="G781" t="s">
        <v>2403</v>
      </c>
      <c r="H781" t="s">
        <v>252</v>
      </c>
      <c r="I781" t="s">
        <v>2245</v>
      </c>
      <c r="J781" t="s">
        <v>202</v>
      </c>
      <c r="K781" t="s">
        <v>190</v>
      </c>
      <c r="L781" t="s">
        <v>18</v>
      </c>
      <c r="N781" s="6" t="s">
        <v>2381</v>
      </c>
      <c r="P781" t="s">
        <v>1150</v>
      </c>
      <c r="Q781"/>
      <c r="R781" t="s">
        <v>2416</v>
      </c>
      <c r="S781">
        <v>2010</v>
      </c>
      <c r="T781" t="s">
        <v>2257</v>
      </c>
      <c r="U781" t="s">
        <v>2384</v>
      </c>
      <c r="V781"/>
      <c r="AF781">
        <v>200</v>
      </c>
      <c r="AH781" t="s">
        <v>2259</v>
      </c>
      <c r="AN781" t="s">
        <v>132</v>
      </c>
      <c r="CC781">
        <v>37285</v>
      </c>
      <c r="CE78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81" s="19">
        <f>SUM(Table1[[#This Row],[Mid39]],Table1[[#This Row],[Mid36]],Table1[[#This Row],[Mid33]],Table1[[#This Row],[Mid30]],Table1[[#This Row],[Mid27]],Table1[[#This Row],[Mid24]],Table1[[#This Row],[Mid21]],Table1[[#This Row],[Mid18]],Table1[[#This Row],[Mid15]],Table1[[#This Row],[Mid12]],Table1[[#This Row],[Mid9]],Table1[[#This Row],[Mid6]],Table1[[#This Row],[Mid3]],Table1[[#This Row],[Mid]])</f>
        <v>37285</v>
      </c>
      <c r="CG78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81" t="s">
        <v>157</v>
      </c>
      <c r="CI781" t="s">
        <v>176</v>
      </c>
      <c r="CJ781" t="s">
        <v>158</v>
      </c>
      <c r="CL781" s="19">
        <f>IF(Table1[[#This Row],[Type]]="Petroleum",1,IF(ISERROR(Table1[[#This Row],[Well Density]]*Table1[[#This Row],[Single Well Discovery Area]]),"",IF(Table1[[#This Row],[Well Density]]*Table1[[#This Row],[Single Well Discovery Area]]&gt;1,1,Table1[[#This Row],[Well Density]]*Table1[[#This Row],[Single Well Discovery Area]])))</f>
        <v>1</v>
      </c>
      <c r="CM781" t="s">
        <v>158</v>
      </c>
      <c r="CN781" s="19">
        <f>Table1[[#This Row],[Mid]]</f>
        <v>0</v>
      </c>
      <c r="CO781" s="19">
        <f>Table1[[#This Row],[Mid3]]+Table1[[#This Row],[Mid6]]+Table1[[#This Row],[Mid9]]</f>
        <v>0</v>
      </c>
      <c r="CP781" s="19">
        <f>Table1[[#This Row],[Mid12]]+Table1[[#This Row],[Mid15]]+Table1[[#This Row],[Mid18]]+Table1[[#This Row],[Mid21]]+Table1[[#This Row],[Mid24]]</f>
        <v>0</v>
      </c>
      <c r="CQ781" s="19">
        <f>Table1[[#This Row],[Mid27]]+Table1[[#This Row],[Mid30]]+Table1[[#This Row],[Mid33]]+Table1[[#This Row],[Mid36]]+Table1[[#This Row],[Mid39]]</f>
        <v>37285</v>
      </c>
      <c r="CR781" t="s">
        <v>2317</v>
      </c>
      <c r="CS781" s="19" t="str">
        <f>IF(AND(Table1[[#This Row],[Low41]]=0, Table1[[#This Row],[High43]]=0),"N","Y")</f>
        <v>N</v>
      </c>
    </row>
    <row r="782" spans="1:97" ht="19.5" customHeight="1" x14ac:dyDescent="0.25">
      <c r="A782">
        <v>10780</v>
      </c>
      <c r="B782" t="s">
        <v>2379</v>
      </c>
      <c r="C782" t="s">
        <v>2432</v>
      </c>
      <c r="D782">
        <v>-29.24583333</v>
      </c>
      <c r="E782">
        <v>14.820833329999999</v>
      </c>
      <c r="F782" t="s">
        <v>2434</v>
      </c>
      <c r="G782" t="s">
        <v>2403</v>
      </c>
      <c r="H782" t="s">
        <v>252</v>
      </c>
      <c r="I782" t="s">
        <v>582</v>
      </c>
      <c r="J782" t="s">
        <v>202</v>
      </c>
      <c r="K782" t="s">
        <v>190</v>
      </c>
      <c r="L782" t="s">
        <v>18</v>
      </c>
      <c r="N782" s="6" t="s">
        <v>2381</v>
      </c>
      <c r="P782" t="s">
        <v>1150</v>
      </c>
      <c r="Q782"/>
      <c r="R782" t="s">
        <v>2416</v>
      </c>
      <c r="S782">
        <v>2010</v>
      </c>
      <c r="T782" t="s">
        <v>2257</v>
      </c>
      <c r="U782" t="s">
        <v>2384</v>
      </c>
      <c r="V782"/>
      <c r="AF782">
        <v>200</v>
      </c>
      <c r="AH782" t="s">
        <v>2259</v>
      </c>
      <c r="AN782" t="s">
        <v>132</v>
      </c>
      <c r="CC782">
        <v>31996</v>
      </c>
      <c r="CE78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82" s="19">
        <f>SUM(Table1[[#This Row],[Mid39]],Table1[[#This Row],[Mid36]],Table1[[#This Row],[Mid33]],Table1[[#This Row],[Mid30]],Table1[[#This Row],[Mid27]],Table1[[#This Row],[Mid24]],Table1[[#This Row],[Mid21]],Table1[[#This Row],[Mid18]],Table1[[#This Row],[Mid15]],Table1[[#This Row],[Mid12]],Table1[[#This Row],[Mid9]],Table1[[#This Row],[Mid6]],Table1[[#This Row],[Mid3]],Table1[[#This Row],[Mid]])</f>
        <v>31996</v>
      </c>
      <c r="CG78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82" t="s">
        <v>157</v>
      </c>
      <c r="CI782" t="s">
        <v>176</v>
      </c>
      <c r="CJ782" t="s">
        <v>158</v>
      </c>
      <c r="CL782" s="19">
        <f>IF(Table1[[#This Row],[Type]]="Petroleum",1,IF(ISERROR(Table1[[#This Row],[Well Density]]*Table1[[#This Row],[Single Well Discovery Area]]),"",IF(Table1[[#This Row],[Well Density]]*Table1[[#This Row],[Single Well Discovery Area]]&gt;1,1,Table1[[#This Row],[Well Density]]*Table1[[#This Row],[Single Well Discovery Area]])))</f>
        <v>1</v>
      </c>
      <c r="CM782" t="s">
        <v>158</v>
      </c>
      <c r="CN782" s="19">
        <f>Table1[[#This Row],[Mid]]</f>
        <v>0</v>
      </c>
      <c r="CO782" s="19">
        <f>Table1[[#This Row],[Mid3]]+Table1[[#This Row],[Mid6]]+Table1[[#This Row],[Mid9]]</f>
        <v>0</v>
      </c>
      <c r="CP782" s="19">
        <f>Table1[[#This Row],[Mid12]]+Table1[[#This Row],[Mid15]]+Table1[[#This Row],[Mid18]]+Table1[[#This Row],[Mid21]]+Table1[[#This Row],[Mid24]]</f>
        <v>0</v>
      </c>
      <c r="CQ782" s="19">
        <f>Table1[[#This Row],[Mid27]]+Table1[[#This Row],[Mid30]]+Table1[[#This Row],[Mid33]]+Table1[[#This Row],[Mid36]]+Table1[[#This Row],[Mid39]]</f>
        <v>31996</v>
      </c>
      <c r="CR782" t="s">
        <v>2317</v>
      </c>
      <c r="CS782" s="19" t="str">
        <f>IF(AND(Table1[[#This Row],[Low41]]=0, Table1[[#This Row],[High43]]=0),"N","Y")</f>
        <v>N</v>
      </c>
    </row>
    <row r="783" spans="1:97" ht="19.5" customHeight="1" x14ac:dyDescent="0.25">
      <c r="A783">
        <v>10781</v>
      </c>
      <c r="B783" t="s">
        <v>2379</v>
      </c>
      <c r="C783" t="s">
        <v>2417</v>
      </c>
      <c r="D783">
        <v>-27.917222219999999</v>
      </c>
      <c r="E783">
        <v>32.581944440000001</v>
      </c>
      <c r="F783" t="s">
        <v>2435</v>
      </c>
      <c r="G783" t="s">
        <v>2309</v>
      </c>
      <c r="H783" t="s">
        <v>252</v>
      </c>
      <c r="I783" t="s">
        <v>2245</v>
      </c>
      <c r="J783" t="s">
        <v>202</v>
      </c>
      <c r="K783" t="s">
        <v>190</v>
      </c>
      <c r="L783" t="s">
        <v>18</v>
      </c>
      <c r="N783" s="6" t="s">
        <v>2381</v>
      </c>
      <c r="P783" t="s">
        <v>1150</v>
      </c>
      <c r="Q783"/>
      <c r="R783" t="s">
        <v>2416</v>
      </c>
      <c r="S783">
        <v>2010</v>
      </c>
      <c r="T783" t="s">
        <v>2257</v>
      </c>
      <c r="U783" t="s">
        <v>2384</v>
      </c>
      <c r="V783"/>
      <c r="AF783">
        <v>200</v>
      </c>
      <c r="AH783" t="s">
        <v>2259</v>
      </c>
      <c r="AN783" t="s">
        <v>132</v>
      </c>
      <c r="CC783">
        <v>11774</v>
      </c>
      <c r="CE78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83" s="19">
        <f>SUM(Table1[[#This Row],[Mid39]],Table1[[#This Row],[Mid36]],Table1[[#This Row],[Mid33]],Table1[[#This Row],[Mid30]],Table1[[#This Row],[Mid27]],Table1[[#This Row],[Mid24]],Table1[[#This Row],[Mid21]],Table1[[#This Row],[Mid18]],Table1[[#This Row],[Mid15]],Table1[[#This Row],[Mid12]],Table1[[#This Row],[Mid9]],Table1[[#This Row],[Mid6]],Table1[[#This Row],[Mid3]],Table1[[#This Row],[Mid]])</f>
        <v>11774</v>
      </c>
      <c r="CG78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83" t="s">
        <v>157</v>
      </c>
      <c r="CI783" t="s">
        <v>176</v>
      </c>
      <c r="CJ783" t="s">
        <v>158</v>
      </c>
      <c r="CL783" s="19">
        <f>IF(Table1[[#This Row],[Type]]="Petroleum",1,IF(ISERROR(Table1[[#This Row],[Well Density]]*Table1[[#This Row],[Single Well Discovery Area]]),"",IF(Table1[[#This Row],[Well Density]]*Table1[[#This Row],[Single Well Discovery Area]]&gt;1,1,Table1[[#This Row],[Well Density]]*Table1[[#This Row],[Single Well Discovery Area]])))</f>
        <v>1</v>
      </c>
      <c r="CM783" t="s">
        <v>158</v>
      </c>
      <c r="CN783" s="19">
        <f>Table1[[#This Row],[Mid]]</f>
        <v>0</v>
      </c>
      <c r="CO783" s="19">
        <f>Table1[[#This Row],[Mid3]]+Table1[[#This Row],[Mid6]]+Table1[[#This Row],[Mid9]]</f>
        <v>0</v>
      </c>
      <c r="CP783" s="19">
        <f>Table1[[#This Row],[Mid12]]+Table1[[#This Row],[Mid15]]+Table1[[#This Row],[Mid18]]+Table1[[#This Row],[Mid21]]+Table1[[#This Row],[Mid24]]</f>
        <v>0</v>
      </c>
      <c r="CQ783" s="19">
        <f>Table1[[#This Row],[Mid27]]+Table1[[#This Row],[Mid30]]+Table1[[#This Row],[Mid33]]+Table1[[#This Row],[Mid36]]+Table1[[#This Row],[Mid39]]</f>
        <v>11774</v>
      </c>
      <c r="CR783" t="s">
        <v>2317</v>
      </c>
      <c r="CS783" s="19" t="str">
        <f>IF(AND(Table1[[#This Row],[Low41]]=0, Table1[[#This Row],[High43]]=0),"N","Y")</f>
        <v>N</v>
      </c>
    </row>
    <row r="784" spans="1:97" ht="19.5" customHeight="1" x14ac:dyDescent="0.25">
      <c r="A784">
        <v>10782</v>
      </c>
      <c r="B784" t="s">
        <v>2379</v>
      </c>
      <c r="C784" t="s">
        <v>2417</v>
      </c>
      <c r="D784">
        <v>-27.917222219999999</v>
      </c>
      <c r="E784">
        <v>32.581944440000001</v>
      </c>
      <c r="F784" t="s">
        <v>2436</v>
      </c>
      <c r="G784" t="s">
        <v>2309</v>
      </c>
      <c r="H784" t="s">
        <v>252</v>
      </c>
      <c r="I784" t="s">
        <v>582</v>
      </c>
      <c r="J784" t="s">
        <v>202</v>
      </c>
      <c r="K784" t="s">
        <v>190</v>
      </c>
      <c r="L784" t="s">
        <v>18</v>
      </c>
      <c r="N784" s="6" t="s">
        <v>2381</v>
      </c>
      <c r="P784" t="s">
        <v>1150</v>
      </c>
      <c r="Q784"/>
      <c r="R784" t="s">
        <v>2416</v>
      </c>
      <c r="S784">
        <v>2010</v>
      </c>
      <c r="T784" t="s">
        <v>2257</v>
      </c>
      <c r="U784" t="s">
        <v>2384</v>
      </c>
      <c r="V784"/>
      <c r="AF784">
        <v>200</v>
      </c>
      <c r="AH784" t="s">
        <v>2259</v>
      </c>
      <c r="AN784" t="s">
        <v>132</v>
      </c>
      <c r="CC784">
        <v>8848</v>
      </c>
      <c r="CE78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84" s="19">
        <f>SUM(Table1[[#This Row],[Mid39]],Table1[[#This Row],[Mid36]],Table1[[#This Row],[Mid33]],Table1[[#This Row],[Mid30]],Table1[[#This Row],[Mid27]],Table1[[#This Row],[Mid24]],Table1[[#This Row],[Mid21]],Table1[[#This Row],[Mid18]],Table1[[#This Row],[Mid15]],Table1[[#This Row],[Mid12]],Table1[[#This Row],[Mid9]],Table1[[#This Row],[Mid6]],Table1[[#This Row],[Mid3]],Table1[[#This Row],[Mid]])</f>
        <v>8848</v>
      </c>
      <c r="CG78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84" t="s">
        <v>157</v>
      </c>
      <c r="CI784" t="s">
        <v>176</v>
      </c>
      <c r="CJ784" t="s">
        <v>158</v>
      </c>
      <c r="CL784" s="19">
        <f>IF(Table1[[#This Row],[Type]]="Petroleum",1,IF(ISERROR(Table1[[#This Row],[Well Density]]*Table1[[#This Row],[Single Well Discovery Area]]),"",IF(Table1[[#This Row],[Well Density]]*Table1[[#This Row],[Single Well Discovery Area]]&gt;1,1,Table1[[#This Row],[Well Density]]*Table1[[#This Row],[Single Well Discovery Area]])))</f>
        <v>1</v>
      </c>
      <c r="CM784" t="s">
        <v>158</v>
      </c>
      <c r="CN784" s="19">
        <f>Table1[[#This Row],[Mid]]</f>
        <v>0</v>
      </c>
      <c r="CO784" s="19">
        <f>Table1[[#This Row],[Mid3]]+Table1[[#This Row],[Mid6]]+Table1[[#This Row],[Mid9]]</f>
        <v>0</v>
      </c>
      <c r="CP784" s="19">
        <f>Table1[[#This Row],[Mid12]]+Table1[[#This Row],[Mid15]]+Table1[[#This Row],[Mid18]]+Table1[[#This Row],[Mid21]]+Table1[[#This Row],[Mid24]]</f>
        <v>0</v>
      </c>
      <c r="CQ784" s="19">
        <f>Table1[[#This Row],[Mid27]]+Table1[[#This Row],[Mid30]]+Table1[[#This Row],[Mid33]]+Table1[[#This Row],[Mid36]]+Table1[[#This Row],[Mid39]]</f>
        <v>8848</v>
      </c>
      <c r="CR784" t="s">
        <v>2317</v>
      </c>
      <c r="CS784" s="19" t="str">
        <f>IF(AND(Table1[[#This Row],[Low41]]=0, Table1[[#This Row],[High43]]=0),"N","Y")</f>
        <v>N</v>
      </c>
    </row>
    <row r="785" spans="1:97" ht="19.5" customHeight="1" x14ac:dyDescent="0.25">
      <c r="A785">
        <v>10783</v>
      </c>
      <c r="B785" t="s">
        <v>2437</v>
      </c>
      <c r="C785" t="s">
        <v>2438</v>
      </c>
      <c r="D785">
        <v>10.374722220000001</v>
      </c>
      <c r="E785">
        <v>101.2625</v>
      </c>
      <c r="F785" t="s">
        <v>2439</v>
      </c>
      <c r="G785" t="s">
        <v>2440</v>
      </c>
      <c r="H785" t="s">
        <v>189</v>
      </c>
      <c r="I785" t="s">
        <v>2245</v>
      </c>
      <c r="J785" t="s">
        <v>202</v>
      </c>
      <c r="K785" t="s">
        <v>1044</v>
      </c>
      <c r="L785" t="s">
        <v>121</v>
      </c>
      <c r="M785" t="s">
        <v>252</v>
      </c>
      <c r="N785" s="6" t="s">
        <v>2441</v>
      </c>
      <c r="O785" t="s">
        <v>2442</v>
      </c>
      <c r="P785" t="s">
        <v>2443</v>
      </c>
      <c r="Q785" t="s">
        <v>255</v>
      </c>
      <c r="R785" t="s">
        <v>2444</v>
      </c>
      <c r="S785">
        <v>2013</v>
      </c>
      <c r="T785" t="s">
        <v>2257</v>
      </c>
      <c r="U785" t="s">
        <v>2445</v>
      </c>
      <c r="V785"/>
      <c r="AF785">
        <v>200</v>
      </c>
      <c r="AH785" t="s">
        <v>2446</v>
      </c>
      <c r="AI785" t="s">
        <v>2447</v>
      </c>
      <c r="AM785" t="s">
        <v>2448</v>
      </c>
      <c r="AN785" t="s">
        <v>132</v>
      </c>
      <c r="BN785">
        <v>10</v>
      </c>
      <c r="CE78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85"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78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785" t="s">
        <v>189</v>
      </c>
      <c r="CJ785" t="s">
        <v>158</v>
      </c>
      <c r="CL785" s="19">
        <f>IF(Table1[[#This Row],[Type]]="Petroleum",1,IF(ISERROR(Table1[[#This Row],[Well Density]]*Table1[[#This Row],[Single Well Discovery Area]]),"",IF(Table1[[#This Row],[Well Density]]*Table1[[#This Row],[Single Well Discovery Area]]&gt;1,1,Table1[[#This Row],[Well Density]]*Table1[[#This Row],[Single Well Discovery Area]])))</f>
        <v>1</v>
      </c>
      <c r="CM785" t="s">
        <v>158</v>
      </c>
      <c r="CN785" s="19">
        <f>Table1[[#This Row],[Mid]]</f>
        <v>0</v>
      </c>
      <c r="CO785" s="19">
        <f>Table1[[#This Row],[Mid3]]+Table1[[#This Row],[Mid6]]+Table1[[#This Row],[Mid9]]</f>
        <v>0</v>
      </c>
      <c r="CP785" s="19">
        <f>Table1[[#This Row],[Mid12]]+Table1[[#This Row],[Mid15]]+Table1[[#This Row],[Mid18]]+Table1[[#This Row],[Mid21]]+Table1[[#This Row],[Mid24]]</f>
        <v>10</v>
      </c>
      <c r="CQ785" s="19">
        <f>Table1[[#This Row],[Mid27]]+Table1[[#This Row],[Mid30]]+Table1[[#This Row],[Mid33]]+Table1[[#This Row],[Mid36]]+Table1[[#This Row],[Mid39]]</f>
        <v>0</v>
      </c>
      <c r="CR785" t="s">
        <v>439</v>
      </c>
      <c r="CS785" s="19" t="str">
        <f>IF(AND(Table1[[#This Row],[Low41]]=0, Table1[[#This Row],[High43]]=0),"N","Y")</f>
        <v>N</v>
      </c>
    </row>
    <row r="786" spans="1:97" ht="19.5" customHeight="1" x14ac:dyDescent="0.25">
      <c r="A786">
        <v>10784</v>
      </c>
      <c r="B786" t="s">
        <v>2437</v>
      </c>
      <c r="C786" t="s">
        <v>2438</v>
      </c>
      <c r="D786">
        <v>10.371111109999999</v>
      </c>
      <c r="E786">
        <v>100.0138889</v>
      </c>
      <c r="F786" t="s">
        <v>2449</v>
      </c>
      <c r="G786" t="s">
        <v>2450</v>
      </c>
      <c r="H786" t="s">
        <v>189</v>
      </c>
      <c r="I786" t="s">
        <v>2245</v>
      </c>
      <c r="J786" t="s">
        <v>202</v>
      </c>
      <c r="K786" t="s">
        <v>1044</v>
      </c>
      <c r="L786" t="s">
        <v>121</v>
      </c>
      <c r="M786" t="s">
        <v>252</v>
      </c>
      <c r="N786" s="6" t="s">
        <v>2441</v>
      </c>
      <c r="O786" t="s">
        <v>2442</v>
      </c>
      <c r="P786" t="s">
        <v>2443</v>
      </c>
      <c r="Q786" t="s">
        <v>255</v>
      </c>
      <c r="R786" t="s">
        <v>2444</v>
      </c>
      <c r="S786">
        <v>2013</v>
      </c>
      <c r="T786" t="s">
        <v>2257</v>
      </c>
      <c r="U786" t="s">
        <v>2445</v>
      </c>
      <c r="V786"/>
      <c r="AF786">
        <v>200</v>
      </c>
      <c r="AH786" t="s">
        <v>2446</v>
      </c>
      <c r="AI786" t="s">
        <v>2447</v>
      </c>
      <c r="AM786" t="s">
        <v>2448</v>
      </c>
      <c r="AN786" t="s">
        <v>132</v>
      </c>
      <c r="BN786">
        <v>10</v>
      </c>
      <c r="CE78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86"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78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786" t="s">
        <v>189</v>
      </c>
      <c r="CJ786" t="s">
        <v>158</v>
      </c>
      <c r="CL786" s="19">
        <f>IF(Table1[[#This Row],[Type]]="Petroleum",1,IF(ISERROR(Table1[[#This Row],[Well Density]]*Table1[[#This Row],[Single Well Discovery Area]]),"",IF(Table1[[#This Row],[Well Density]]*Table1[[#This Row],[Single Well Discovery Area]]&gt;1,1,Table1[[#This Row],[Well Density]]*Table1[[#This Row],[Single Well Discovery Area]])))</f>
        <v>1</v>
      </c>
      <c r="CM786" t="s">
        <v>158</v>
      </c>
      <c r="CN786" s="19">
        <f>Table1[[#This Row],[Mid]]</f>
        <v>0</v>
      </c>
      <c r="CO786" s="19">
        <f>Table1[[#This Row],[Mid3]]+Table1[[#This Row],[Mid6]]+Table1[[#This Row],[Mid9]]</f>
        <v>0</v>
      </c>
      <c r="CP786" s="19">
        <f>Table1[[#This Row],[Mid12]]+Table1[[#This Row],[Mid15]]+Table1[[#This Row],[Mid18]]+Table1[[#This Row],[Mid21]]+Table1[[#This Row],[Mid24]]</f>
        <v>10</v>
      </c>
      <c r="CQ786" s="19">
        <f>Table1[[#This Row],[Mid27]]+Table1[[#This Row],[Mid30]]+Table1[[#This Row],[Mid33]]+Table1[[#This Row],[Mid36]]+Table1[[#This Row],[Mid39]]</f>
        <v>0</v>
      </c>
      <c r="CR786" t="s">
        <v>439</v>
      </c>
      <c r="CS786" s="19" t="str">
        <f>IF(AND(Table1[[#This Row],[Low41]]=0, Table1[[#This Row],[High43]]=0),"N","Y")</f>
        <v>N</v>
      </c>
    </row>
    <row r="787" spans="1:97" ht="19.5" customHeight="1" x14ac:dyDescent="0.25">
      <c r="A787">
        <v>10785</v>
      </c>
      <c r="B787" t="s">
        <v>2437</v>
      </c>
      <c r="C787" t="s">
        <v>2438</v>
      </c>
      <c r="D787">
        <v>10.17166667</v>
      </c>
      <c r="E787">
        <v>100.0141667</v>
      </c>
      <c r="F787" t="s">
        <v>2451</v>
      </c>
      <c r="G787" t="s">
        <v>2450</v>
      </c>
      <c r="H787" t="s">
        <v>189</v>
      </c>
      <c r="I787" t="s">
        <v>2245</v>
      </c>
      <c r="J787" t="s">
        <v>202</v>
      </c>
      <c r="K787" t="s">
        <v>1044</v>
      </c>
      <c r="L787" t="s">
        <v>121</v>
      </c>
      <c r="M787" t="s">
        <v>252</v>
      </c>
      <c r="N787" s="6" t="s">
        <v>2441</v>
      </c>
      <c r="O787" t="s">
        <v>2442</v>
      </c>
      <c r="P787" t="s">
        <v>2443</v>
      </c>
      <c r="Q787" t="s">
        <v>255</v>
      </c>
      <c r="R787" t="s">
        <v>2444</v>
      </c>
      <c r="S787">
        <v>2013</v>
      </c>
      <c r="T787" t="s">
        <v>2257</v>
      </c>
      <c r="U787" t="s">
        <v>2445</v>
      </c>
      <c r="V787"/>
      <c r="AF787">
        <v>200</v>
      </c>
      <c r="AH787" t="s">
        <v>2446</v>
      </c>
      <c r="AI787" t="s">
        <v>2447</v>
      </c>
      <c r="AM787" t="s">
        <v>2448</v>
      </c>
      <c r="AN787" t="s">
        <v>132</v>
      </c>
      <c r="BN787">
        <v>10</v>
      </c>
      <c r="CE78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87"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78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787" t="s">
        <v>189</v>
      </c>
      <c r="CJ787" t="s">
        <v>158</v>
      </c>
      <c r="CL787" s="19">
        <f>IF(Table1[[#This Row],[Type]]="Petroleum",1,IF(ISERROR(Table1[[#This Row],[Well Density]]*Table1[[#This Row],[Single Well Discovery Area]]),"",IF(Table1[[#This Row],[Well Density]]*Table1[[#This Row],[Single Well Discovery Area]]&gt;1,1,Table1[[#This Row],[Well Density]]*Table1[[#This Row],[Single Well Discovery Area]])))</f>
        <v>1</v>
      </c>
      <c r="CM787" t="s">
        <v>158</v>
      </c>
      <c r="CN787" s="19">
        <f>Table1[[#This Row],[Mid]]</f>
        <v>0</v>
      </c>
      <c r="CO787" s="19">
        <f>Table1[[#This Row],[Mid3]]+Table1[[#This Row],[Mid6]]+Table1[[#This Row],[Mid9]]</f>
        <v>0</v>
      </c>
      <c r="CP787" s="19">
        <f>Table1[[#This Row],[Mid12]]+Table1[[#This Row],[Mid15]]+Table1[[#This Row],[Mid18]]+Table1[[#This Row],[Mid21]]+Table1[[#This Row],[Mid24]]</f>
        <v>10</v>
      </c>
      <c r="CQ787" s="19">
        <f>Table1[[#This Row],[Mid27]]+Table1[[#This Row],[Mid30]]+Table1[[#This Row],[Mid33]]+Table1[[#This Row],[Mid36]]+Table1[[#This Row],[Mid39]]</f>
        <v>0</v>
      </c>
      <c r="CR787" t="s">
        <v>439</v>
      </c>
      <c r="CS787" s="19" t="str">
        <f>IF(AND(Table1[[#This Row],[Low41]]=0, Table1[[#This Row],[High43]]=0),"N","Y")</f>
        <v>N</v>
      </c>
    </row>
    <row r="788" spans="1:97" ht="19.5" customHeight="1" x14ac:dyDescent="0.25">
      <c r="A788">
        <v>10786</v>
      </c>
      <c r="B788" t="s">
        <v>2437</v>
      </c>
      <c r="C788" t="s">
        <v>2438</v>
      </c>
      <c r="D788">
        <v>10.119999999999999</v>
      </c>
      <c r="E788">
        <v>100.0141667</v>
      </c>
      <c r="F788" t="s">
        <v>2452</v>
      </c>
      <c r="G788" t="s">
        <v>2450</v>
      </c>
      <c r="H788" t="s">
        <v>189</v>
      </c>
      <c r="I788" t="s">
        <v>2245</v>
      </c>
      <c r="J788" t="s">
        <v>202</v>
      </c>
      <c r="K788" t="s">
        <v>1044</v>
      </c>
      <c r="L788" t="s">
        <v>121</v>
      </c>
      <c r="M788" t="s">
        <v>252</v>
      </c>
      <c r="N788" s="6" t="s">
        <v>2441</v>
      </c>
      <c r="O788" t="s">
        <v>2442</v>
      </c>
      <c r="P788" t="s">
        <v>2443</v>
      </c>
      <c r="Q788" t="s">
        <v>255</v>
      </c>
      <c r="R788" t="s">
        <v>2444</v>
      </c>
      <c r="S788">
        <v>2013</v>
      </c>
      <c r="T788" t="s">
        <v>2257</v>
      </c>
      <c r="U788" t="s">
        <v>2445</v>
      </c>
      <c r="V788"/>
      <c r="AF788">
        <v>200</v>
      </c>
      <c r="AH788" t="s">
        <v>2446</v>
      </c>
      <c r="AI788" t="s">
        <v>2447</v>
      </c>
      <c r="AM788" t="s">
        <v>2448</v>
      </c>
      <c r="AN788" t="s">
        <v>132</v>
      </c>
      <c r="BN788">
        <v>10</v>
      </c>
      <c r="CE78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88"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78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788" t="s">
        <v>189</v>
      </c>
      <c r="CJ788" t="s">
        <v>158</v>
      </c>
      <c r="CL788" s="19">
        <f>IF(Table1[[#This Row],[Type]]="Petroleum",1,IF(ISERROR(Table1[[#This Row],[Well Density]]*Table1[[#This Row],[Single Well Discovery Area]]),"",IF(Table1[[#This Row],[Well Density]]*Table1[[#This Row],[Single Well Discovery Area]]&gt;1,1,Table1[[#This Row],[Well Density]]*Table1[[#This Row],[Single Well Discovery Area]])))</f>
        <v>1</v>
      </c>
      <c r="CM788" t="s">
        <v>2453</v>
      </c>
      <c r="CN788" s="19">
        <f>Table1[[#This Row],[Mid]]</f>
        <v>0</v>
      </c>
      <c r="CO788" s="19">
        <f>Table1[[#This Row],[Mid3]]+Table1[[#This Row],[Mid6]]+Table1[[#This Row],[Mid9]]</f>
        <v>0</v>
      </c>
      <c r="CP788" s="19">
        <f>Table1[[#This Row],[Mid12]]+Table1[[#This Row],[Mid15]]+Table1[[#This Row],[Mid18]]+Table1[[#This Row],[Mid21]]+Table1[[#This Row],[Mid24]]</f>
        <v>10</v>
      </c>
      <c r="CQ788" s="19">
        <f>Table1[[#This Row],[Mid27]]+Table1[[#This Row],[Mid30]]+Table1[[#This Row],[Mid33]]+Table1[[#This Row],[Mid36]]+Table1[[#This Row],[Mid39]]</f>
        <v>0</v>
      </c>
      <c r="CR788" t="s">
        <v>439</v>
      </c>
      <c r="CS788" s="19" t="str">
        <f>IF(AND(Table1[[#This Row],[Low41]]=0, Table1[[#This Row],[High43]]=0),"N","Y")</f>
        <v>N</v>
      </c>
    </row>
    <row r="789" spans="1:97" ht="19.5" customHeight="1" x14ac:dyDescent="0.25">
      <c r="A789">
        <v>10787</v>
      </c>
      <c r="B789" t="s">
        <v>2437</v>
      </c>
      <c r="C789" t="s">
        <v>2454</v>
      </c>
      <c r="D789">
        <v>16.197777779999999</v>
      </c>
      <c r="E789">
        <v>102.655</v>
      </c>
      <c r="F789" t="s">
        <v>2455</v>
      </c>
      <c r="G789" t="s">
        <v>2456</v>
      </c>
      <c r="H789" t="s">
        <v>189</v>
      </c>
      <c r="I789" t="s">
        <v>520</v>
      </c>
      <c r="J789" t="s">
        <v>202</v>
      </c>
      <c r="K789" t="s">
        <v>1044</v>
      </c>
      <c r="L789" t="s">
        <v>121</v>
      </c>
      <c r="M789" t="s">
        <v>252</v>
      </c>
      <c r="N789" s="6" t="s">
        <v>2457</v>
      </c>
      <c r="O789" t="s">
        <v>2458</v>
      </c>
      <c r="P789" t="s">
        <v>2443</v>
      </c>
      <c r="Q789" t="s">
        <v>2459</v>
      </c>
      <c r="R789" t="s">
        <v>2460</v>
      </c>
      <c r="S789">
        <v>2017</v>
      </c>
      <c r="T789" t="s">
        <v>2257</v>
      </c>
      <c r="U789" t="s">
        <v>2445</v>
      </c>
      <c r="V789"/>
      <c r="AF789">
        <v>200</v>
      </c>
      <c r="AH789" t="s">
        <v>2446</v>
      </c>
      <c r="AI789" t="s">
        <v>2447</v>
      </c>
      <c r="AM789" t="s">
        <v>2448</v>
      </c>
      <c r="AN789" t="s">
        <v>132</v>
      </c>
      <c r="BN789">
        <v>33.42</v>
      </c>
      <c r="CE78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89" s="19">
        <f>SUM(Table1[[#This Row],[Mid39]],Table1[[#This Row],[Mid36]],Table1[[#This Row],[Mid33]],Table1[[#This Row],[Mid30]],Table1[[#This Row],[Mid27]],Table1[[#This Row],[Mid24]],Table1[[#This Row],[Mid21]],Table1[[#This Row],[Mid18]],Table1[[#This Row],[Mid15]],Table1[[#This Row],[Mid12]],Table1[[#This Row],[Mid9]],Table1[[#This Row],[Mid6]],Table1[[#This Row],[Mid3]],Table1[[#This Row],[Mid]])</f>
        <v>33.42</v>
      </c>
      <c r="CG78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789" t="s">
        <v>189</v>
      </c>
      <c r="CJ789" t="s">
        <v>158</v>
      </c>
      <c r="CL789" s="19">
        <f>IF(Table1[[#This Row],[Type]]="Petroleum",1,IF(ISERROR(Table1[[#This Row],[Well Density]]*Table1[[#This Row],[Single Well Discovery Area]]),"",IF(Table1[[#This Row],[Well Density]]*Table1[[#This Row],[Single Well Discovery Area]]&gt;1,1,Table1[[#This Row],[Well Density]]*Table1[[#This Row],[Single Well Discovery Area]])))</f>
        <v>1</v>
      </c>
      <c r="CM789" t="s">
        <v>2453</v>
      </c>
      <c r="CN789" s="19">
        <f>Table1[[#This Row],[Mid]]</f>
        <v>0</v>
      </c>
      <c r="CO789" s="19">
        <f>Table1[[#This Row],[Mid3]]+Table1[[#This Row],[Mid6]]+Table1[[#This Row],[Mid9]]</f>
        <v>0</v>
      </c>
      <c r="CP789" s="19">
        <f>Table1[[#This Row],[Mid12]]+Table1[[#This Row],[Mid15]]+Table1[[#This Row],[Mid18]]+Table1[[#This Row],[Mid21]]+Table1[[#This Row],[Mid24]]</f>
        <v>33.42</v>
      </c>
      <c r="CQ789" s="19">
        <f>Table1[[#This Row],[Mid27]]+Table1[[#This Row],[Mid30]]+Table1[[#This Row],[Mid33]]+Table1[[#This Row],[Mid36]]+Table1[[#This Row],[Mid39]]</f>
        <v>0</v>
      </c>
      <c r="CR789" t="s">
        <v>439</v>
      </c>
      <c r="CS789" s="19" t="str">
        <f>IF(AND(Table1[[#This Row],[Low41]]=0, Table1[[#This Row],[High43]]=0),"N","Y")</f>
        <v>N</v>
      </c>
    </row>
    <row r="790" spans="1:97" ht="19.5" customHeight="1" x14ac:dyDescent="0.25">
      <c r="A790">
        <v>10788</v>
      </c>
      <c r="B790" t="s">
        <v>2437</v>
      </c>
      <c r="C790" t="s">
        <v>2461</v>
      </c>
      <c r="D790">
        <v>19.655000000000001</v>
      </c>
      <c r="E790">
        <v>99.036944439999999</v>
      </c>
      <c r="F790" t="s">
        <v>2462</v>
      </c>
      <c r="G790" t="s">
        <v>2463</v>
      </c>
      <c r="H790" t="s">
        <v>252</v>
      </c>
      <c r="I790" t="s">
        <v>520</v>
      </c>
      <c r="J790" t="s">
        <v>202</v>
      </c>
      <c r="K790" t="s">
        <v>1044</v>
      </c>
      <c r="L790" t="s">
        <v>121</v>
      </c>
      <c r="M790" t="s">
        <v>252</v>
      </c>
      <c r="N790" s="6" t="s">
        <v>2464</v>
      </c>
      <c r="O790" t="s">
        <v>2465</v>
      </c>
      <c r="P790" t="s">
        <v>2466</v>
      </c>
      <c r="Q790" t="s">
        <v>2467</v>
      </c>
      <c r="R790" t="s">
        <v>2468</v>
      </c>
      <c r="S790">
        <v>2017</v>
      </c>
      <c r="T790" t="s">
        <v>2257</v>
      </c>
      <c r="U790" t="s">
        <v>2445</v>
      </c>
      <c r="V790"/>
      <c r="W790">
        <v>2450</v>
      </c>
      <c r="X790">
        <v>70</v>
      </c>
      <c r="Z790">
        <v>23.6</v>
      </c>
      <c r="AA790" t="s">
        <v>2469</v>
      </c>
      <c r="AC790">
        <v>450</v>
      </c>
      <c r="AF790">
        <v>200</v>
      </c>
      <c r="AG790">
        <v>32.29</v>
      </c>
      <c r="AH790" t="s">
        <v>2470</v>
      </c>
      <c r="AL790">
        <v>27.76</v>
      </c>
      <c r="AM790" t="s">
        <v>1612</v>
      </c>
      <c r="AN790" t="s">
        <v>132</v>
      </c>
      <c r="BN790">
        <v>16</v>
      </c>
      <c r="CE79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90" s="19">
        <f>SUM(Table1[[#This Row],[Mid39]],Table1[[#This Row],[Mid36]],Table1[[#This Row],[Mid33]],Table1[[#This Row],[Mid30]],Table1[[#This Row],[Mid27]],Table1[[#This Row],[Mid24]],Table1[[#This Row],[Mid21]],Table1[[#This Row],[Mid18]],Table1[[#This Row],[Mid15]],Table1[[#This Row],[Mid12]],Table1[[#This Row],[Mid9]],Table1[[#This Row],[Mid6]],Table1[[#This Row],[Mid3]],Table1[[#This Row],[Mid]])</f>
        <v>16</v>
      </c>
      <c r="CG79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790" t="s">
        <v>2471</v>
      </c>
      <c r="CJ790" t="s">
        <v>158</v>
      </c>
      <c r="CL790" s="19">
        <f>IF(Table1[[#This Row],[Type]]="Petroleum",1,IF(ISERROR(Table1[[#This Row],[Well Density]]*Table1[[#This Row],[Single Well Discovery Area]]),"",IF(Table1[[#This Row],[Well Density]]*Table1[[#This Row],[Single Well Discovery Area]]&gt;1,1,Table1[[#This Row],[Well Density]]*Table1[[#This Row],[Single Well Discovery Area]])))</f>
        <v>1</v>
      </c>
      <c r="CM790" t="s">
        <v>2453</v>
      </c>
      <c r="CN790" s="19">
        <f>Table1[[#This Row],[Mid]]</f>
        <v>0</v>
      </c>
      <c r="CO790" s="19">
        <f>Table1[[#This Row],[Mid3]]+Table1[[#This Row],[Mid6]]+Table1[[#This Row],[Mid9]]</f>
        <v>0</v>
      </c>
      <c r="CP790" s="19">
        <f>Table1[[#This Row],[Mid12]]+Table1[[#This Row],[Mid15]]+Table1[[#This Row],[Mid18]]+Table1[[#This Row],[Mid21]]+Table1[[#This Row],[Mid24]]</f>
        <v>16</v>
      </c>
      <c r="CQ790" s="19">
        <f>Table1[[#This Row],[Mid27]]+Table1[[#This Row],[Mid30]]+Table1[[#This Row],[Mid33]]+Table1[[#This Row],[Mid36]]+Table1[[#This Row],[Mid39]]</f>
        <v>0</v>
      </c>
      <c r="CR790" t="s">
        <v>439</v>
      </c>
      <c r="CS790" s="19" t="str">
        <f>IF(AND(Table1[[#This Row],[Low41]]=0, Table1[[#This Row],[High43]]=0),"N","Y")</f>
        <v>N</v>
      </c>
    </row>
    <row r="791" spans="1:97" ht="19.5" customHeight="1" x14ac:dyDescent="0.25">
      <c r="A791">
        <v>10789</v>
      </c>
      <c r="B791" t="s">
        <v>2437</v>
      </c>
      <c r="C791" t="s">
        <v>2472</v>
      </c>
      <c r="D791">
        <v>7.6147222220000002</v>
      </c>
      <c r="E791">
        <v>100.60777779999999</v>
      </c>
      <c r="F791" t="s">
        <v>2473</v>
      </c>
      <c r="G791" t="s">
        <v>2450</v>
      </c>
      <c r="H791" t="s">
        <v>2474</v>
      </c>
      <c r="I791" t="s">
        <v>520</v>
      </c>
      <c r="J791" t="s">
        <v>202</v>
      </c>
      <c r="K791" t="s">
        <v>1044</v>
      </c>
      <c r="L791" t="s">
        <v>121</v>
      </c>
      <c r="M791" t="s">
        <v>2475</v>
      </c>
      <c r="N791" s="6" t="s">
        <v>2457</v>
      </c>
      <c r="O791" t="s">
        <v>2476</v>
      </c>
      <c r="P791" t="s">
        <v>2477</v>
      </c>
      <c r="Q791" t="s">
        <v>2478</v>
      </c>
      <c r="R791" t="s">
        <v>2479</v>
      </c>
      <c r="S791">
        <v>2020</v>
      </c>
      <c r="T791" t="s">
        <v>2257</v>
      </c>
      <c r="U791" t="s">
        <v>2445</v>
      </c>
      <c r="V791"/>
      <c r="W791">
        <v>1950</v>
      </c>
      <c r="X791">
        <v>200</v>
      </c>
      <c r="Z791">
        <v>27.5</v>
      </c>
      <c r="AA791">
        <v>55</v>
      </c>
      <c r="AC791">
        <v>164</v>
      </c>
      <c r="AF791">
        <v>200</v>
      </c>
      <c r="AG791">
        <v>22.4</v>
      </c>
      <c r="AH791" t="s">
        <v>2470</v>
      </c>
      <c r="AL791">
        <v>22.4</v>
      </c>
      <c r="AM791" t="s">
        <v>1612</v>
      </c>
      <c r="AN791" t="s">
        <v>132</v>
      </c>
      <c r="BN791">
        <v>10.76</v>
      </c>
      <c r="CE79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91" s="19">
        <f>SUM(Table1[[#This Row],[Mid39]],Table1[[#This Row],[Mid36]],Table1[[#This Row],[Mid33]],Table1[[#This Row],[Mid30]],Table1[[#This Row],[Mid27]],Table1[[#This Row],[Mid24]],Table1[[#This Row],[Mid21]],Table1[[#This Row],[Mid18]],Table1[[#This Row],[Mid15]],Table1[[#This Row],[Mid12]],Table1[[#This Row],[Mid9]],Table1[[#This Row],[Mid6]],Table1[[#This Row],[Mid3]],Table1[[#This Row],[Mid]])</f>
        <v>10.76</v>
      </c>
      <c r="CG79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791" t="s">
        <v>133</v>
      </c>
      <c r="CI791" t="s">
        <v>2471</v>
      </c>
      <c r="CJ791" t="s">
        <v>135</v>
      </c>
      <c r="CL791" s="19">
        <f>IF(Table1[[#This Row],[Type]]="Petroleum",1,IF(ISERROR(Table1[[#This Row],[Well Density]]*Table1[[#This Row],[Single Well Discovery Area]]),"",IF(Table1[[#This Row],[Well Density]]*Table1[[#This Row],[Single Well Discovery Area]]&gt;1,1,Table1[[#This Row],[Well Density]]*Table1[[#This Row],[Single Well Discovery Area]])))</f>
        <v>1</v>
      </c>
      <c r="CM791" t="s">
        <v>2453</v>
      </c>
      <c r="CN791" s="19">
        <f>Table1[[#This Row],[Mid]]</f>
        <v>0</v>
      </c>
      <c r="CO791" s="19">
        <f>Table1[[#This Row],[Mid3]]+Table1[[#This Row],[Mid6]]+Table1[[#This Row],[Mid9]]</f>
        <v>0</v>
      </c>
      <c r="CP791" s="19">
        <f>Table1[[#This Row],[Mid12]]+Table1[[#This Row],[Mid15]]+Table1[[#This Row],[Mid18]]+Table1[[#This Row],[Mid21]]+Table1[[#This Row],[Mid24]]</f>
        <v>10.76</v>
      </c>
      <c r="CQ791" s="19">
        <f>Table1[[#This Row],[Mid27]]+Table1[[#This Row],[Mid30]]+Table1[[#This Row],[Mid33]]+Table1[[#This Row],[Mid36]]+Table1[[#This Row],[Mid39]]</f>
        <v>0</v>
      </c>
      <c r="CR791" t="s">
        <v>439</v>
      </c>
      <c r="CS791" s="19" t="str">
        <f>IF(AND(Table1[[#This Row],[Low41]]=0, Table1[[#This Row],[High43]]=0),"N","Y")</f>
        <v>N</v>
      </c>
    </row>
    <row r="792" spans="1:97" ht="19.5" customHeight="1" x14ac:dyDescent="0.25">
      <c r="A792">
        <v>10790</v>
      </c>
      <c r="B792" t="s">
        <v>2437</v>
      </c>
      <c r="C792" t="s">
        <v>2438</v>
      </c>
      <c r="D792">
        <v>16.487500000000001</v>
      </c>
      <c r="E792">
        <v>100.0141667</v>
      </c>
      <c r="F792" t="s">
        <v>2480</v>
      </c>
      <c r="H792" t="s">
        <v>189</v>
      </c>
      <c r="I792" t="s">
        <v>2245</v>
      </c>
      <c r="J792" t="s">
        <v>202</v>
      </c>
      <c r="K792" t="s">
        <v>1044</v>
      </c>
      <c r="L792" t="s">
        <v>121</v>
      </c>
      <c r="M792" t="s">
        <v>252</v>
      </c>
      <c r="N792" s="6" t="s">
        <v>2441</v>
      </c>
      <c r="O792" t="s">
        <v>2442</v>
      </c>
      <c r="P792" t="s">
        <v>2443</v>
      </c>
      <c r="Q792" t="s">
        <v>255</v>
      </c>
      <c r="R792" t="s">
        <v>2444</v>
      </c>
      <c r="S792">
        <v>2013</v>
      </c>
      <c r="T792" t="s">
        <v>2257</v>
      </c>
      <c r="U792" t="s">
        <v>2445</v>
      </c>
      <c r="V792"/>
      <c r="AF792">
        <v>200</v>
      </c>
      <c r="AH792" t="s">
        <v>2446</v>
      </c>
      <c r="AI792" t="s">
        <v>2447</v>
      </c>
      <c r="AM792" t="s">
        <v>2448</v>
      </c>
      <c r="AN792" t="s">
        <v>132</v>
      </c>
      <c r="BN792">
        <v>248</v>
      </c>
      <c r="CE79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92" s="19">
        <f>SUM(Table1[[#This Row],[Mid39]],Table1[[#This Row],[Mid36]],Table1[[#This Row],[Mid33]],Table1[[#This Row],[Mid30]],Table1[[#This Row],[Mid27]],Table1[[#This Row],[Mid24]],Table1[[#This Row],[Mid21]],Table1[[#This Row],[Mid18]],Table1[[#This Row],[Mid15]],Table1[[#This Row],[Mid12]],Table1[[#This Row],[Mid9]],Table1[[#This Row],[Mid6]],Table1[[#This Row],[Mid3]],Table1[[#This Row],[Mid]])</f>
        <v>248</v>
      </c>
      <c r="CG79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792" t="s">
        <v>189</v>
      </c>
      <c r="CJ792" t="s">
        <v>158</v>
      </c>
      <c r="CL792" s="19">
        <f>IF(Table1[[#This Row],[Type]]="Petroleum",1,IF(ISERROR(Table1[[#This Row],[Well Density]]*Table1[[#This Row],[Single Well Discovery Area]]),"",IF(Table1[[#This Row],[Well Density]]*Table1[[#This Row],[Single Well Discovery Area]]&gt;1,1,Table1[[#This Row],[Well Density]]*Table1[[#This Row],[Single Well Discovery Area]])))</f>
        <v>1</v>
      </c>
      <c r="CM792" t="s">
        <v>2453</v>
      </c>
      <c r="CN792" s="19">
        <f>Table1[[#This Row],[Mid]]</f>
        <v>0</v>
      </c>
      <c r="CO792" s="19">
        <f>Table1[[#This Row],[Mid3]]+Table1[[#This Row],[Mid6]]+Table1[[#This Row],[Mid9]]</f>
        <v>0</v>
      </c>
      <c r="CP792" s="19">
        <f>Table1[[#This Row],[Mid12]]+Table1[[#This Row],[Mid15]]+Table1[[#This Row],[Mid18]]+Table1[[#This Row],[Mid21]]+Table1[[#This Row],[Mid24]]</f>
        <v>248</v>
      </c>
      <c r="CQ792" s="19">
        <f>Table1[[#This Row],[Mid27]]+Table1[[#This Row],[Mid30]]+Table1[[#This Row],[Mid33]]+Table1[[#This Row],[Mid36]]+Table1[[#This Row],[Mid39]]</f>
        <v>0</v>
      </c>
      <c r="CR792" t="s">
        <v>439</v>
      </c>
      <c r="CS792" s="19" t="str">
        <f>IF(AND(Table1[[#This Row],[Low41]]=0, Table1[[#This Row],[High43]]=0),"N","Y")</f>
        <v>N</v>
      </c>
    </row>
    <row r="793" spans="1:97" ht="19.5" customHeight="1" x14ac:dyDescent="0.25">
      <c r="A793">
        <v>10791</v>
      </c>
      <c r="B793" t="s">
        <v>2437</v>
      </c>
      <c r="C793" t="s">
        <v>2438</v>
      </c>
      <c r="D793">
        <v>17.263611109999999</v>
      </c>
      <c r="E793">
        <v>102.67638890000001</v>
      </c>
      <c r="F793" t="s">
        <v>2481</v>
      </c>
      <c r="G793" t="s">
        <v>2456</v>
      </c>
      <c r="H793" t="s">
        <v>189</v>
      </c>
      <c r="I793" t="s">
        <v>520</v>
      </c>
      <c r="J793" t="s">
        <v>202</v>
      </c>
      <c r="K793" t="s">
        <v>1044</v>
      </c>
      <c r="L793" t="s">
        <v>121</v>
      </c>
      <c r="M793" t="s">
        <v>252</v>
      </c>
      <c r="N793" s="6" t="s">
        <v>2441</v>
      </c>
      <c r="O793" t="s">
        <v>2442</v>
      </c>
      <c r="P793" t="s">
        <v>2443</v>
      </c>
      <c r="Q793" t="s">
        <v>255</v>
      </c>
      <c r="R793" t="s">
        <v>2444</v>
      </c>
      <c r="S793">
        <v>2013</v>
      </c>
      <c r="T793" t="s">
        <v>2257</v>
      </c>
      <c r="U793" t="s">
        <v>2445</v>
      </c>
      <c r="V793"/>
      <c r="AF793">
        <v>200</v>
      </c>
      <c r="AH793" t="s">
        <v>2446</v>
      </c>
      <c r="AI793" t="s">
        <v>2447</v>
      </c>
      <c r="AM793" t="s">
        <v>2448</v>
      </c>
      <c r="AN793" t="s">
        <v>132</v>
      </c>
      <c r="BN793">
        <v>50</v>
      </c>
      <c r="CE79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93" s="19">
        <f>SUM(Table1[[#This Row],[Mid39]],Table1[[#This Row],[Mid36]],Table1[[#This Row],[Mid33]],Table1[[#This Row],[Mid30]],Table1[[#This Row],[Mid27]],Table1[[#This Row],[Mid24]],Table1[[#This Row],[Mid21]],Table1[[#This Row],[Mid18]],Table1[[#This Row],[Mid15]],Table1[[#This Row],[Mid12]],Table1[[#This Row],[Mid9]],Table1[[#This Row],[Mid6]],Table1[[#This Row],[Mid3]],Table1[[#This Row],[Mid]])</f>
        <v>50</v>
      </c>
      <c r="CG79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793" t="s">
        <v>189</v>
      </c>
      <c r="CJ793" t="s">
        <v>158</v>
      </c>
      <c r="CL793" s="19">
        <f>IF(Table1[[#This Row],[Type]]="Petroleum",1,IF(ISERROR(Table1[[#This Row],[Well Density]]*Table1[[#This Row],[Single Well Discovery Area]]),"",IF(Table1[[#This Row],[Well Density]]*Table1[[#This Row],[Single Well Discovery Area]]&gt;1,1,Table1[[#This Row],[Well Density]]*Table1[[#This Row],[Single Well Discovery Area]])))</f>
        <v>1</v>
      </c>
      <c r="CM793" t="s">
        <v>2453</v>
      </c>
      <c r="CN793" s="19">
        <f>Table1[[#This Row],[Mid]]</f>
        <v>0</v>
      </c>
      <c r="CO793" s="19">
        <f>Table1[[#This Row],[Mid3]]+Table1[[#This Row],[Mid6]]+Table1[[#This Row],[Mid9]]</f>
        <v>0</v>
      </c>
      <c r="CP793" s="19">
        <f>Table1[[#This Row],[Mid12]]+Table1[[#This Row],[Mid15]]+Table1[[#This Row],[Mid18]]+Table1[[#This Row],[Mid21]]+Table1[[#This Row],[Mid24]]</f>
        <v>50</v>
      </c>
      <c r="CQ793" s="19">
        <f>Table1[[#This Row],[Mid27]]+Table1[[#This Row],[Mid30]]+Table1[[#This Row],[Mid33]]+Table1[[#This Row],[Mid36]]+Table1[[#This Row],[Mid39]]</f>
        <v>0</v>
      </c>
      <c r="CR793" t="s">
        <v>439</v>
      </c>
      <c r="CS793" s="19" t="str">
        <f>IF(AND(Table1[[#This Row],[Low41]]=0, Table1[[#This Row],[High43]]=0),"N","Y")</f>
        <v>N</v>
      </c>
    </row>
    <row r="794" spans="1:97" ht="19.5" customHeight="1" x14ac:dyDescent="0.25">
      <c r="A794">
        <v>10792</v>
      </c>
      <c r="B794" t="s">
        <v>2437</v>
      </c>
      <c r="C794" t="s">
        <v>2438</v>
      </c>
      <c r="D794">
        <v>16.931666669999998</v>
      </c>
      <c r="E794">
        <v>103.0272222</v>
      </c>
      <c r="F794" t="s">
        <v>2482</v>
      </c>
      <c r="G794" t="s">
        <v>2456</v>
      </c>
      <c r="H794" t="s">
        <v>189</v>
      </c>
      <c r="I794" t="s">
        <v>520</v>
      </c>
      <c r="J794" t="s">
        <v>202</v>
      </c>
      <c r="K794" t="s">
        <v>1044</v>
      </c>
      <c r="L794" t="s">
        <v>121</v>
      </c>
      <c r="M794" t="s">
        <v>252</v>
      </c>
      <c r="N794" s="6" t="s">
        <v>2441</v>
      </c>
      <c r="O794" t="s">
        <v>2442</v>
      </c>
      <c r="P794" t="s">
        <v>2443</v>
      </c>
      <c r="Q794" t="s">
        <v>255</v>
      </c>
      <c r="R794" t="s">
        <v>2444</v>
      </c>
      <c r="S794">
        <v>2013</v>
      </c>
      <c r="T794" t="s">
        <v>2257</v>
      </c>
      <c r="U794" t="s">
        <v>2445</v>
      </c>
      <c r="V794"/>
      <c r="AF794">
        <v>200</v>
      </c>
      <c r="AH794" t="s">
        <v>2446</v>
      </c>
      <c r="AI794" t="s">
        <v>2447</v>
      </c>
      <c r="AM794" t="s">
        <v>2448</v>
      </c>
      <c r="AN794" t="s">
        <v>132</v>
      </c>
      <c r="BN794">
        <v>59</v>
      </c>
      <c r="CE79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94" s="19">
        <f>SUM(Table1[[#This Row],[Mid39]],Table1[[#This Row],[Mid36]],Table1[[#This Row],[Mid33]],Table1[[#This Row],[Mid30]],Table1[[#This Row],[Mid27]],Table1[[#This Row],[Mid24]],Table1[[#This Row],[Mid21]],Table1[[#This Row],[Mid18]],Table1[[#This Row],[Mid15]],Table1[[#This Row],[Mid12]],Table1[[#This Row],[Mid9]],Table1[[#This Row],[Mid6]],Table1[[#This Row],[Mid3]],Table1[[#This Row],[Mid]])</f>
        <v>59</v>
      </c>
      <c r="CG79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794" t="s">
        <v>189</v>
      </c>
      <c r="CJ794" t="s">
        <v>158</v>
      </c>
      <c r="CL794" s="19">
        <f>IF(Table1[[#This Row],[Type]]="Petroleum",1,IF(ISERROR(Table1[[#This Row],[Well Density]]*Table1[[#This Row],[Single Well Discovery Area]]),"",IF(Table1[[#This Row],[Well Density]]*Table1[[#This Row],[Single Well Discovery Area]]&gt;1,1,Table1[[#This Row],[Well Density]]*Table1[[#This Row],[Single Well Discovery Area]])))</f>
        <v>1</v>
      </c>
      <c r="CM794" t="s">
        <v>135</v>
      </c>
      <c r="CN794" s="19">
        <f>Table1[[#This Row],[Mid]]</f>
        <v>0</v>
      </c>
      <c r="CO794" s="19">
        <f>Table1[[#This Row],[Mid3]]+Table1[[#This Row],[Mid6]]+Table1[[#This Row],[Mid9]]</f>
        <v>0</v>
      </c>
      <c r="CP794" s="19">
        <f>Table1[[#This Row],[Mid12]]+Table1[[#This Row],[Mid15]]+Table1[[#This Row],[Mid18]]+Table1[[#This Row],[Mid21]]+Table1[[#This Row],[Mid24]]</f>
        <v>59</v>
      </c>
      <c r="CQ794" s="19">
        <f>Table1[[#This Row],[Mid27]]+Table1[[#This Row],[Mid30]]+Table1[[#This Row],[Mid33]]+Table1[[#This Row],[Mid36]]+Table1[[#This Row],[Mid39]]</f>
        <v>0</v>
      </c>
      <c r="CR794" t="s">
        <v>439</v>
      </c>
      <c r="CS794" s="19" t="str">
        <f>IF(AND(Table1[[#This Row],[Low41]]=0, Table1[[#This Row],[High43]]=0),"N","Y")</f>
        <v>N</v>
      </c>
    </row>
    <row r="795" spans="1:97" ht="19.5" customHeight="1" x14ac:dyDescent="0.25">
      <c r="A795">
        <v>10793</v>
      </c>
      <c r="B795" t="s">
        <v>2437</v>
      </c>
      <c r="C795" t="s">
        <v>2438</v>
      </c>
      <c r="D795">
        <v>13.99583333</v>
      </c>
      <c r="E795">
        <v>99.61527778</v>
      </c>
      <c r="F795" t="s">
        <v>2483</v>
      </c>
      <c r="G795" t="s">
        <v>2484</v>
      </c>
      <c r="H795" t="s">
        <v>189</v>
      </c>
      <c r="I795" t="s">
        <v>520</v>
      </c>
      <c r="J795" t="s">
        <v>202</v>
      </c>
      <c r="K795" t="s">
        <v>1044</v>
      </c>
      <c r="L795" t="s">
        <v>121</v>
      </c>
      <c r="M795" t="s">
        <v>252</v>
      </c>
      <c r="N795" s="6" t="s">
        <v>2441</v>
      </c>
      <c r="O795" t="s">
        <v>2442</v>
      </c>
      <c r="P795" t="s">
        <v>2443</v>
      </c>
      <c r="Q795" t="s">
        <v>255</v>
      </c>
      <c r="R795" t="s">
        <v>2444</v>
      </c>
      <c r="S795">
        <v>2013</v>
      </c>
      <c r="T795" t="s">
        <v>2257</v>
      </c>
      <c r="U795" t="s">
        <v>2445</v>
      </c>
      <c r="V795"/>
      <c r="AF795">
        <v>200</v>
      </c>
      <c r="AH795" t="s">
        <v>2446</v>
      </c>
      <c r="AI795" t="s">
        <v>2447</v>
      </c>
      <c r="AM795" t="s">
        <v>2448</v>
      </c>
      <c r="AN795" t="s">
        <v>132</v>
      </c>
      <c r="BN795">
        <v>40</v>
      </c>
      <c r="CE79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95" s="19">
        <f>SUM(Table1[[#This Row],[Mid39]],Table1[[#This Row],[Mid36]],Table1[[#This Row],[Mid33]],Table1[[#This Row],[Mid30]],Table1[[#This Row],[Mid27]],Table1[[#This Row],[Mid24]],Table1[[#This Row],[Mid21]],Table1[[#This Row],[Mid18]],Table1[[#This Row],[Mid15]],Table1[[#This Row],[Mid12]],Table1[[#This Row],[Mid9]],Table1[[#This Row],[Mid6]],Table1[[#This Row],[Mid3]],Table1[[#This Row],[Mid]])</f>
        <v>40</v>
      </c>
      <c r="CG79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795" t="s">
        <v>189</v>
      </c>
      <c r="CJ795" t="s">
        <v>158</v>
      </c>
      <c r="CL795" s="19">
        <f>IF(Table1[[#This Row],[Type]]="Petroleum",1,IF(ISERROR(Table1[[#This Row],[Well Density]]*Table1[[#This Row],[Single Well Discovery Area]]),"",IF(Table1[[#This Row],[Well Density]]*Table1[[#This Row],[Single Well Discovery Area]]&gt;1,1,Table1[[#This Row],[Well Density]]*Table1[[#This Row],[Single Well Discovery Area]])))</f>
        <v>1</v>
      </c>
      <c r="CM795" t="s">
        <v>2453</v>
      </c>
      <c r="CN795" s="19">
        <f>Table1[[#This Row],[Mid]]</f>
        <v>0</v>
      </c>
      <c r="CO795" s="19">
        <f>Table1[[#This Row],[Mid3]]+Table1[[#This Row],[Mid6]]+Table1[[#This Row],[Mid9]]</f>
        <v>0</v>
      </c>
      <c r="CP795" s="19">
        <f>Table1[[#This Row],[Mid12]]+Table1[[#This Row],[Mid15]]+Table1[[#This Row],[Mid18]]+Table1[[#This Row],[Mid21]]+Table1[[#This Row],[Mid24]]</f>
        <v>40</v>
      </c>
      <c r="CQ795" s="19">
        <f>Table1[[#This Row],[Mid27]]+Table1[[#This Row],[Mid30]]+Table1[[#This Row],[Mid33]]+Table1[[#This Row],[Mid36]]+Table1[[#This Row],[Mid39]]</f>
        <v>0</v>
      </c>
      <c r="CR795" t="s">
        <v>439</v>
      </c>
      <c r="CS795" s="19" t="str">
        <f>IF(AND(Table1[[#This Row],[Low41]]=0, Table1[[#This Row],[High43]]=0),"N","Y")</f>
        <v>N</v>
      </c>
    </row>
    <row r="796" spans="1:97" ht="19.5" customHeight="1" x14ac:dyDescent="0.25">
      <c r="A796">
        <v>10794</v>
      </c>
      <c r="B796" t="s">
        <v>2437</v>
      </c>
      <c r="C796" t="s">
        <v>2438</v>
      </c>
      <c r="D796">
        <v>14.48361111</v>
      </c>
      <c r="E796">
        <v>100.1416667</v>
      </c>
      <c r="F796" t="s">
        <v>2485</v>
      </c>
      <c r="G796" t="s">
        <v>2484</v>
      </c>
      <c r="H796" t="s">
        <v>189</v>
      </c>
      <c r="I796" t="s">
        <v>2245</v>
      </c>
      <c r="J796" t="s">
        <v>202</v>
      </c>
      <c r="K796" t="s">
        <v>1044</v>
      </c>
      <c r="L796" t="s">
        <v>121</v>
      </c>
      <c r="M796" t="s">
        <v>252</v>
      </c>
      <c r="N796" s="6" t="s">
        <v>2441</v>
      </c>
      <c r="O796" t="s">
        <v>2442</v>
      </c>
      <c r="P796" t="s">
        <v>2443</v>
      </c>
      <c r="Q796" t="s">
        <v>255</v>
      </c>
      <c r="R796" t="s">
        <v>2444</v>
      </c>
      <c r="S796">
        <v>2013</v>
      </c>
      <c r="T796" t="s">
        <v>2257</v>
      </c>
      <c r="U796" t="s">
        <v>2445</v>
      </c>
      <c r="V796"/>
      <c r="AF796">
        <v>200</v>
      </c>
      <c r="AH796" t="s">
        <v>2446</v>
      </c>
      <c r="AI796" t="s">
        <v>2447</v>
      </c>
      <c r="AM796" t="s">
        <v>2448</v>
      </c>
      <c r="AN796" t="s">
        <v>132</v>
      </c>
      <c r="BN796">
        <v>182</v>
      </c>
      <c r="CE79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96" s="19">
        <f>SUM(Table1[[#This Row],[Mid39]],Table1[[#This Row],[Mid36]],Table1[[#This Row],[Mid33]],Table1[[#This Row],[Mid30]],Table1[[#This Row],[Mid27]],Table1[[#This Row],[Mid24]],Table1[[#This Row],[Mid21]],Table1[[#This Row],[Mid18]],Table1[[#This Row],[Mid15]],Table1[[#This Row],[Mid12]],Table1[[#This Row],[Mid9]],Table1[[#This Row],[Mid6]],Table1[[#This Row],[Mid3]],Table1[[#This Row],[Mid]])</f>
        <v>182</v>
      </c>
      <c r="CG79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796" t="s">
        <v>189</v>
      </c>
      <c r="CJ796" t="s">
        <v>158</v>
      </c>
      <c r="CL796" s="19">
        <f>IF(Table1[[#This Row],[Type]]="Petroleum",1,IF(ISERROR(Table1[[#This Row],[Well Density]]*Table1[[#This Row],[Single Well Discovery Area]]),"",IF(Table1[[#This Row],[Well Density]]*Table1[[#This Row],[Single Well Discovery Area]]&gt;1,1,Table1[[#This Row],[Well Density]]*Table1[[#This Row],[Single Well Discovery Area]])))</f>
        <v>1</v>
      </c>
      <c r="CM796" t="s">
        <v>2453</v>
      </c>
      <c r="CN796" s="19">
        <f>Table1[[#This Row],[Mid]]</f>
        <v>0</v>
      </c>
      <c r="CO796" s="19">
        <f>Table1[[#This Row],[Mid3]]+Table1[[#This Row],[Mid6]]+Table1[[#This Row],[Mid9]]</f>
        <v>0</v>
      </c>
      <c r="CP796" s="19">
        <f>Table1[[#This Row],[Mid12]]+Table1[[#This Row],[Mid15]]+Table1[[#This Row],[Mid18]]+Table1[[#This Row],[Mid21]]+Table1[[#This Row],[Mid24]]</f>
        <v>182</v>
      </c>
      <c r="CQ796" s="19">
        <f>Table1[[#This Row],[Mid27]]+Table1[[#This Row],[Mid30]]+Table1[[#This Row],[Mid33]]+Table1[[#This Row],[Mid36]]+Table1[[#This Row],[Mid39]]</f>
        <v>0</v>
      </c>
      <c r="CR796" t="s">
        <v>439</v>
      </c>
      <c r="CS796" s="19" t="str">
        <f>IF(AND(Table1[[#This Row],[Low41]]=0, Table1[[#This Row],[High43]]=0),"N","Y")</f>
        <v>N</v>
      </c>
    </row>
    <row r="797" spans="1:97" ht="19.5" customHeight="1" x14ac:dyDescent="0.25">
      <c r="A797">
        <v>10795</v>
      </c>
      <c r="B797" t="s">
        <v>2437</v>
      </c>
      <c r="C797" t="s">
        <v>2438</v>
      </c>
      <c r="D797">
        <v>11.31138889</v>
      </c>
      <c r="E797">
        <v>101.2386111</v>
      </c>
      <c r="F797" t="s">
        <v>2486</v>
      </c>
      <c r="G797" t="s">
        <v>2440</v>
      </c>
      <c r="H797" t="s">
        <v>189</v>
      </c>
      <c r="I797" t="s">
        <v>520</v>
      </c>
      <c r="J797" t="s">
        <v>202</v>
      </c>
      <c r="K797" t="s">
        <v>1044</v>
      </c>
      <c r="L797" t="s">
        <v>121</v>
      </c>
      <c r="M797" t="s">
        <v>252</v>
      </c>
      <c r="N797" s="6" t="s">
        <v>2441</v>
      </c>
      <c r="O797" t="s">
        <v>2442</v>
      </c>
      <c r="P797" t="s">
        <v>2443</v>
      </c>
      <c r="Q797" t="s">
        <v>255</v>
      </c>
      <c r="R797" t="s">
        <v>2444</v>
      </c>
      <c r="S797">
        <v>2013</v>
      </c>
      <c r="T797" t="s">
        <v>2257</v>
      </c>
      <c r="U797" t="s">
        <v>2445</v>
      </c>
      <c r="V797"/>
      <c r="AF797">
        <v>200</v>
      </c>
      <c r="AH797" t="s">
        <v>2446</v>
      </c>
      <c r="AI797" t="s">
        <v>2447</v>
      </c>
      <c r="AM797" t="s">
        <v>2448</v>
      </c>
      <c r="AN797" t="s">
        <v>132</v>
      </c>
      <c r="BN797">
        <v>32</v>
      </c>
      <c r="CE79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97" s="19">
        <f>SUM(Table1[[#This Row],[Mid39]],Table1[[#This Row],[Mid36]],Table1[[#This Row],[Mid33]],Table1[[#This Row],[Mid30]],Table1[[#This Row],[Mid27]],Table1[[#This Row],[Mid24]],Table1[[#This Row],[Mid21]],Table1[[#This Row],[Mid18]],Table1[[#This Row],[Mid15]],Table1[[#This Row],[Mid12]],Table1[[#This Row],[Mid9]],Table1[[#This Row],[Mid6]],Table1[[#This Row],[Mid3]],Table1[[#This Row],[Mid]])</f>
        <v>32</v>
      </c>
      <c r="CG79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797" t="s">
        <v>189</v>
      </c>
      <c r="CJ797" t="s">
        <v>158</v>
      </c>
      <c r="CL797" s="19">
        <f>IF(Table1[[#This Row],[Type]]="Petroleum",1,IF(ISERROR(Table1[[#This Row],[Well Density]]*Table1[[#This Row],[Single Well Discovery Area]]),"",IF(Table1[[#This Row],[Well Density]]*Table1[[#This Row],[Single Well Discovery Area]]&gt;1,1,Table1[[#This Row],[Well Density]]*Table1[[#This Row],[Single Well Discovery Area]])))</f>
        <v>1</v>
      </c>
      <c r="CM797" t="s">
        <v>2453</v>
      </c>
      <c r="CN797" s="19">
        <f>Table1[[#This Row],[Mid]]</f>
        <v>0</v>
      </c>
      <c r="CO797" s="19">
        <f>Table1[[#This Row],[Mid3]]+Table1[[#This Row],[Mid6]]+Table1[[#This Row],[Mid9]]</f>
        <v>0</v>
      </c>
      <c r="CP797" s="19">
        <f>Table1[[#This Row],[Mid12]]+Table1[[#This Row],[Mid15]]+Table1[[#This Row],[Mid18]]+Table1[[#This Row],[Mid21]]+Table1[[#This Row],[Mid24]]</f>
        <v>32</v>
      </c>
      <c r="CQ797" s="19">
        <f>Table1[[#This Row],[Mid27]]+Table1[[#This Row],[Mid30]]+Table1[[#This Row],[Mid33]]+Table1[[#This Row],[Mid36]]+Table1[[#This Row],[Mid39]]</f>
        <v>0</v>
      </c>
      <c r="CR797" t="s">
        <v>439</v>
      </c>
      <c r="CS797" s="19" t="str">
        <f>IF(AND(Table1[[#This Row],[Low41]]=0, Table1[[#This Row],[High43]]=0),"N","Y")</f>
        <v>N</v>
      </c>
    </row>
    <row r="798" spans="1:97" ht="19.5" customHeight="1" x14ac:dyDescent="0.25">
      <c r="A798">
        <v>10796</v>
      </c>
      <c r="B798" t="s">
        <v>2437</v>
      </c>
      <c r="C798" t="s">
        <v>2438</v>
      </c>
      <c r="D798">
        <v>11.26305556</v>
      </c>
      <c r="E798">
        <v>101.35777779999999</v>
      </c>
      <c r="F798" t="s">
        <v>2487</v>
      </c>
      <c r="G798" t="s">
        <v>2440</v>
      </c>
      <c r="H798" t="s">
        <v>189</v>
      </c>
      <c r="I798" t="s">
        <v>520</v>
      </c>
      <c r="J798" t="s">
        <v>202</v>
      </c>
      <c r="K798" t="s">
        <v>1044</v>
      </c>
      <c r="L798" t="s">
        <v>121</v>
      </c>
      <c r="M798" t="s">
        <v>252</v>
      </c>
      <c r="N798" s="6" t="s">
        <v>2441</v>
      </c>
      <c r="O798" t="s">
        <v>2442</v>
      </c>
      <c r="P798" t="s">
        <v>2443</v>
      </c>
      <c r="Q798" t="s">
        <v>255</v>
      </c>
      <c r="R798" t="s">
        <v>2444</v>
      </c>
      <c r="S798">
        <v>2013</v>
      </c>
      <c r="T798" t="s">
        <v>2257</v>
      </c>
      <c r="U798" t="s">
        <v>2445</v>
      </c>
      <c r="V798"/>
      <c r="AF798">
        <v>200</v>
      </c>
      <c r="AH798" t="s">
        <v>2446</v>
      </c>
      <c r="AI798" t="s">
        <v>2447</v>
      </c>
      <c r="AM798" t="s">
        <v>2448</v>
      </c>
      <c r="AN798" t="s">
        <v>132</v>
      </c>
      <c r="BN798">
        <v>41</v>
      </c>
      <c r="CE79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98" s="19">
        <f>SUM(Table1[[#This Row],[Mid39]],Table1[[#This Row],[Mid36]],Table1[[#This Row],[Mid33]],Table1[[#This Row],[Mid30]],Table1[[#This Row],[Mid27]],Table1[[#This Row],[Mid24]],Table1[[#This Row],[Mid21]],Table1[[#This Row],[Mid18]],Table1[[#This Row],[Mid15]],Table1[[#This Row],[Mid12]],Table1[[#This Row],[Mid9]],Table1[[#This Row],[Mid6]],Table1[[#This Row],[Mid3]],Table1[[#This Row],[Mid]])</f>
        <v>41</v>
      </c>
      <c r="CG79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798" t="s">
        <v>189</v>
      </c>
      <c r="CJ798" t="s">
        <v>158</v>
      </c>
      <c r="CL798" s="19">
        <f>IF(Table1[[#This Row],[Type]]="Petroleum",1,IF(ISERROR(Table1[[#This Row],[Well Density]]*Table1[[#This Row],[Single Well Discovery Area]]),"",IF(Table1[[#This Row],[Well Density]]*Table1[[#This Row],[Single Well Discovery Area]]&gt;1,1,Table1[[#This Row],[Well Density]]*Table1[[#This Row],[Single Well Discovery Area]])))</f>
        <v>1</v>
      </c>
      <c r="CM798" t="s">
        <v>2453</v>
      </c>
      <c r="CN798" s="19">
        <f>Table1[[#This Row],[Mid]]</f>
        <v>0</v>
      </c>
      <c r="CO798" s="19">
        <f>Table1[[#This Row],[Mid3]]+Table1[[#This Row],[Mid6]]+Table1[[#This Row],[Mid9]]</f>
        <v>0</v>
      </c>
      <c r="CP798" s="19">
        <f>Table1[[#This Row],[Mid12]]+Table1[[#This Row],[Mid15]]+Table1[[#This Row],[Mid18]]+Table1[[#This Row],[Mid21]]+Table1[[#This Row],[Mid24]]</f>
        <v>41</v>
      </c>
      <c r="CQ798" s="19">
        <f>Table1[[#This Row],[Mid27]]+Table1[[#This Row],[Mid30]]+Table1[[#This Row],[Mid33]]+Table1[[#This Row],[Mid36]]+Table1[[#This Row],[Mid39]]</f>
        <v>0</v>
      </c>
      <c r="CR798" t="s">
        <v>439</v>
      </c>
      <c r="CS798" s="19" t="str">
        <f>IF(AND(Table1[[#This Row],[Low41]]=0, Table1[[#This Row],[High43]]=0),"N","Y")</f>
        <v>N</v>
      </c>
    </row>
    <row r="799" spans="1:97" ht="19.5" customHeight="1" x14ac:dyDescent="0.25">
      <c r="A799">
        <v>10797</v>
      </c>
      <c r="B799" t="s">
        <v>2437</v>
      </c>
      <c r="C799" t="s">
        <v>2438</v>
      </c>
      <c r="D799">
        <v>10.57</v>
      </c>
      <c r="E799">
        <v>99.972499999999997</v>
      </c>
      <c r="F799" t="s">
        <v>2488</v>
      </c>
      <c r="G799" t="s">
        <v>2450</v>
      </c>
      <c r="H799" t="s">
        <v>189</v>
      </c>
      <c r="I799" t="s">
        <v>520</v>
      </c>
      <c r="J799" t="s">
        <v>202</v>
      </c>
      <c r="K799" t="s">
        <v>1044</v>
      </c>
      <c r="L799" t="s">
        <v>121</v>
      </c>
      <c r="M799" t="s">
        <v>252</v>
      </c>
      <c r="N799" s="6" t="s">
        <v>2441</v>
      </c>
      <c r="O799" t="s">
        <v>2442</v>
      </c>
      <c r="P799" t="s">
        <v>2443</v>
      </c>
      <c r="Q799" t="s">
        <v>255</v>
      </c>
      <c r="R799" t="s">
        <v>2444</v>
      </c>
      <c r="S799">
        <v>2013</v>
      </c>
      <c r="T799" t="s">
        <v>2257</v>
      </c>
      <c r="U799" t="s">
        <v>2445</v>
      </c>
      <c r="V799"/>
      <c r="AF799">
        <v>200</v>
      </c>
      <c r="AH799" t="s">
        <v>2446</v>
      </c>
      <c r="AI799" t="s">
        <v>2447</v>
      </c>
      <c r="AM799" t="s">
        <v>2448</v>
      </c>
      <c r="AN799" t="s">
        <v>132</v>
      </c>
      <c r="BN799">
        <v>30</v>
      </c>
      <c r="CE79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799" s="19">
        <f>SUM(Table1[[#This Row],[Mid39]],Table1[[#This Row],[Mid36]],Table1[[#This Row],[Mid33]],Table1[[#This Row],[Mid30]],Table1[[#This Row],[Mid27]],Table1[[#This Row],[Mid24]],Table1[[#This Row],[Mid21]],Table1[[#This Row],[Mid18]],Table1[[#This Row],[Mid15]],Table1[[#This Row],[Mid12]],Table1[[#This Row],[Mid9]],Table1[[#This Row],[Mid6]],Table1[[#This Row],[Mid3]],Table1[[#This Row],[Mid]])</f>
        <v>30</v>
      </c>
      <c r="CG79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799" t="s">
        <v>189</v>
      </c>
      <c r="CJ799" t="s">
        <v>158</v>
      </c>
      <c r="CL799" s="19">
        <f>IF(Table1[[#This Row],[Type]]="Petroleum",1,IF(ISERROR(Table1[[#This Row],[Well Density]]*Table1[[#This Row],[Single Well Discovery Area]]),"",IF(Table1[[#This Row],[Well Density]]*Table1[[#This Row],[Single Well Discovery Area]]&gt;1,1,Table1[[#This Row],[Well Density]]*Table1[[#This Row],[Single Well Discovery Area]])))</f>
        <v>1</v>
      </c>
      <c r="CM799" t="s">
        <v>2453</v>
      </c>
      <c r="CN799" s="19">
        <f>Table1[[#This Row],[Mid]]</f>
        <v>0</v>
      </c>
      <c r="CO799" s="19">
        <f>Table1[[#This Row],[Mid3]]+Table1[[#This Row],[Mid6]]+Table1[[#This Row],[Mid9]]</f>
        <v>0</v>
      </c>
      <c r="CP799" s="19">
        <f>Table1[[#This Row],[Mid12]]+Table1[[#This Row],[Mid15]]+Table1[[#This Row],[Mid18]]+Table1[[#This Row],[Mid21]]+Table1[[#This Row],[Mid24]]</f>
        <v>30</v>
      </c>
      <c r="CQ799" s="19">
        <f>Table1[[#This Row],[Mid27]]+Table1[[#This Row],[Mid30]]+Table1[[#This Row],[Mid33]]+Table1[[#This Row],[Mid36]]+Table1[[#This Row],[Mid39]]</f>
        <v>0</v>
      </c>
      <c r="CR799" t="s">
        <v>439</v>
      </c>
      <c r="CS799" s="19" t="str">
        <f>IF(AND(Table1[[#This Row],[Low41]]=0, Table1[[#This Row],[High43]]=0),"N","Y")</f>
        <v>N</v>
      </c>
    </row>
    <row r="800" spans="1:97" ht="19.5" customHeight="1" x14ac:dyDescent="0.25">
      <c r="A800">
        <v>10798</v>
      </c>
      <c r="B800" t="s">
        <v>2437</v>
      </c>
      <c r="C800" t="s">
        <v>2438</v>
      </c>
      <c r="D800">
        <v>10.590833330000001</v>
      </c>
      <c r="E800">
        <v>101.3475</v>
      </c>
      <c r="F800" t="s">
        <v>2489</v>
      </c>
      <c r="G800" t="s">
        <v>2440</v>
      </c>
      <c r="H800" t="s">
        <v>189</v>
      </c>
      <c r="I800" t="s">
        <v>520</v>
      </c>
      <c r="J800" t="s">
        <v>202</v>
      </c>
      <c r="K800" t="s">
        <v>1044</v>
      </c>
      <c r="L800" t="s">
        <v>121</v>
      </c>
      <c r="M800" t="s">
        <v>252</v>
      </c>
      <c r="N800" s="6" t="s">
        <v>2441</v>
      </c>
      <c r="O800" t="s">
        <v>2442</v>
      </c>
      <c r="P800" t="s">
        <v>2443</v>
      </c>
      <c r="Q800" t="s">
        <v>255</v>
      </c>
      <c r="R800" t="s">
        <v>2444</v>
      </c>
      <c r="S800">
        <v>2013</v>
      </c>
      <c r="T800" t="s">
        <v>2257</v>
      </c>
      <c r="U800" t="s">
        <v>2445</v>
      </c>
      <c r="V800"/>
      <c r="AF800">
        <v>200</v>
      </c>
      <c r="AH800" t="s">
        <v>2446</v>
      </c>
      <c r="AI800" t="s">
        <v>2447</v>
      </c>
      <c r="AM800" t="s">
        <v>2448</v>
      </c>
      <c r="AN800" t="s">
        <v>132</v>
      </c>
      <c r="BN800">
        <v>41</v>
      </c>
      <c r="CE80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00" s="19">
        <f>SUM(Table1[[#This Row],[Mid39]],Table1[[#This Row],[Mid36]],Table1[[#This Row],[Mid33]],Table1[[#This Row],[Mid30]],Table1[[#This Row],[Mid27]],Table1[[#This Row],[Mid24]],Table1[[#This Row],[Mid21]],Table1[[#This Row],[Mid18]],Table1[[#This Row],[Mid15]],Table1[[#This Row],[Mid12]],Table1[[#This Row],[Mid9]],Table1[[#This Row],[Mid6]],Table1[[#This Row],[Mid3]],Table1[[#This Row],[Mid]])</f>
        <v>41</v>
      </c>
      <c r="CG80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00" t="s">
        <v>189</v>
      </c>
      <c r="CJ800" t="s">
        <v>158</v>
      </c>
      <c r="CL800" s="19">
        <f>IF(Table1[[#This Row],[Type]]="Petroleum",1,IF(ISERROR(Table1[[#This Row],[Well Density]]*Table1[[#This Row],[Single Well Discovery Area]]),"",IF(Table1[[#This Row],[Well Density]]*Table1[[#This Row],[Single Well Discovery Area]]&gt;1,1,Table1[[#This Row],[Well Density]]*Table1[[#This Row],[Single Well Discovery Area]])))</f>
        <v>1</v>
      </c>
      <c r="CM800" t="s">
        <v>2453</v>
      </c>
      <c r="CN800" s="19">
        <f>Table1[[#This Row],[Mid]]</f>
        <v>0</v>
      </c>
      <c r="CO800" s="19">
        <f>Table1[[#This Row],[Mid3]]+Table1[[#This Row],[Mid6]]+Table1[[#This Row],[Mid9]]</f>
        <v>0</v>
      </c>
      <c r="CP800" s="19">
        <f>Table1[[#This Row],[Mid12]]+Table1[[#This Row],[Mid15]]+Table1[[#This Row],[Mid18]]+Table1[[#This Row],[Mid21]]+Table1[[#This Row],[Mid24]]</f>
        <v>41</v>
      </c>
      <c r="CQ800" s="19">
        <f>Table1[[#This Row],[Mid27]]+Table1[[#This Row],[Mid30]]+Table1[[#This Row],[Mid33]]+Table1[[#This Row],[Mid36]]+Table1[[#This Row],[Mid39]]</f>
        <v>0</v>
      </c>
      <c r="CR800" t="s">
        <v>439</v>
      </c>
      <c r="CS800" s="19" t="str">
        <f>IF(AND(Table1[[#This Row],[Low41]]=0, Table1[[#This Row],[High43]]=0),"N","Y")</f>
        <v>N</v>
      </c>
    </row>
    <row r="801" spans="1:97" ht="19.5" customHeight="1" x14ac:dyDescent="0.25">
      <c r="A801">
        <v>10799</v>
      </c>
      <c r="B801" t="s">
        <v>2437</v>
      </c>
      <c r="C801" t="s">
        <v>2438</v>
      </c>
      <c r="D801">
        <v>10.356666669999999</v>
      </c>
      <c r="E801">
        <v>101.4083333</v>
      </c>
      <c r="F801" t="s">
        <v>2490</v>
      </c>
      <c r="G801" t="s">
        <v>2440</v>
      </c>
      <c r="H801" t="s">
        <v>189</v>
      </c>
      <c r="I801" t="s">
        <v>520</v>
      </c>
      <c r="J801" t="s">
        <v>202</v>
      </c>
      <c r="K801" t="s">
        <v>1044</v>
      </c>
      <c r="L801" t="s">
        <v>121</v>
      </c>
      <c r="M801" t="s">
        <v>252</v>
      </c>
      <c r="N801" s="6" t="s">
        <v>2441</v>
      </c>
      <c r="O801" t="s">
        <v>2442</v>
      </c>
      <c r="P801" t="s">
        <v>2443</v>
      </c>
      <c r="Q801" t="s">
        <v>255</v>
      </c>
      <c r="R801" t="s">
        <v>2444</v>
      </c>
      <c r="S801">
        <v>2013</v>
      </c>
      <c r="T801" t="s">
        <v>2257</v>
      </c>
      <c r="U801" t="s">
        <v>2445</v>
      </c>
      <c r="V801"/>
      <c r="AF801">
        <v>200</v>
      </c>
      <c r="AH801" t="s">
        <v>2446</v>
      </c>
      <c r="AI801" t="s">
        <v>2447</v>
      </c>
      <c r="AM801" t="s">
        <v>2448</v>
      </c>
      <c r="AN801" t="s">
        <v>132</v>
      </c>
      <c r="BN801">
        <v>80</v>
      </c>
      <c r="CE80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01" s="19">
        <f>SUM(Table1[[#This Row],[Mid39]],Table1[[#This Row],[Mid36]],Table1[[#This Row],[Mid33]],Table1[[#This Row],[Mid30]],Table1[[#This Row],[Mid27]],Table1[[#This Row],[Mid24]],Table1[[#This Row],[Mid21]],Table1[[#This Row],[Mid18]],Table1[[#This Row],[Mid15]],Table1[[#This Row],[Mid12]],Table1[[#This Row],[Mid9]],Table1[[#This Row],[Mid6]],Table1[[#This Row],[Mid3]],Table1[[#This Row],[Mid]])</f>
        <v>80</v>
      </c>
      <c r="CG80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01" t="s">
        <v>189</v>
      </c>
      <c r="CJ801" t="s">
        <v>158</v>
      </c>
      <c r="CL801" s="19">
        <f>IF(Table1[[#This Row],[Type]]="Petroleum",1,IF(ISERROR(Table1[[#This Row],[Well Density]]*Table1[[#This Row],[Single Well Discovery Area]]),"",IF(Table1[[#This Row],[Well Density]]*Table1[[#This Row],[Single Well Discovery Area]]&gt;1,1,Table1[[#This Row],[Well Density]]*Table1[[#This Row],[Single Well Discovery Area]])))</f>
        <v>1</v>
      </c>
      <c r="CM801" t="s">
        <v>2453</v>
      </c>
      <c r="CN801" s="19">
        <f>Table1[[#This Row],[Mid]]</f>
        <v>0</v>
      </c>
      <c r="CO801" s="19">
        <f>Table1[[#This Row],[Mid3]]+Table1[[#This Row],[Mid6]]+Table1[[#This Row],[Mid9]]</f>
        <v>0</v>
      </c>
      <c r="CP801" s="19">
        <f>Table1[[#This Row],[Mid12]]+Table1[[#This Row],[Mid15]]+Table1[[#This Row],[Mid18]]+Table1[[#This Row],[Mid21]]+Table1[[#This Row],[Mid24]]</f>
        <v>80</v>
      </c>
      <c r="CQ801" s="19">
        <f>Table1[[#This Row],[Mid27]]+Table1[[#This Row],[Mid30]]+Table1[[#This Row],[Mid33]]+Table1[[#This Row],[Mid36]]+Table1[[#This Row],[Mid39]]</f>
        <v>0</v>
      </c>
      <c r="CR801" t="s">
        <v>439</v>
      </c>
      <c r="CS801" s="19" t="str">
        <f>IF(AND(Table1[[#This Row],[Low41]]=0, Table1[[#This Row],[High43]]=0),"N","Y")</f>
        <v>N</v>
      </c>
    </row>
    <row r="802" spans="1:97" ht="19.5" customHeight="1" x14ac:dyDescent="0.25">
      <c r="A802">
        <v>10800</v>
      </c>
      <c r="B802" t="s">
        <v>2437</v>
      </c>
      <c r="C802" t="s">
        <v>2438</v>
      </c>
      <c r="D802">
        <v>10.36611111</v>
      </c>
      <c r="E802">
        <v>101.45638889999999</v>
      </c>
      <c r="F802" t="s">
        <v>2491</v>
      </c>
      <c r="G802" t="s">
        <v>2440</v>
      </c>
      <c r="H802" t="s">
        <v>189</v>
      </c>
      <c r="I802" t="s">
        <v>520</v>
      </c>
      <c r="J802" t="s">
        <v>202</v>
      </c>
      <c r="K802" t="s">
        <v>1044</v>
      </c>
      <c r="L802" t="s">
        <v>121</v>
      </c>
      <c r="M802" t="s">
        <v>252</v>
      </c>
      <c r="N802" s="6" t="s">
        <v>2441</v>
      </c>
      <c r="O802" t="s">
        <v>2442</v>
      </c>
      <c r="P802" t="s">
        <v>2443</v>
      </c>
      <c r="Q802" t="s">
        <v>255</v>
      </c>
      <c r="R802" t="s">
        <v>2444</v>
      </c>
      <c r="S802">
        <v>2013</v>
      </c>
      <c r="T802" t="s">
        <v>2257</v>
      </c>
      <c r="U802" t="s">
        <v>2445</v>
      </c>
      <c r="V802"/>
      <c r="AF802">
        <v>200</v>
      </c>
      <c r="AH802" t="s">
        <v>2446</v>
      </c>
      <c r="AI802" t="s">
        <v>2447</v>
      </c>
      <c r="AM802" t="s">
        <v>2448</v>
      </c>
      <c r="AN802" t="s">
        <v>132</v>
      </c>
      <c r="BN802">
        <v>71</v>
      </c>
      <c r="CE80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02" s="19">
        <f>SUM(Table1[[#This Row],[Mid39]],Table1[[#This Row],[Mid36]],Table1[[#This Row],[Mid33]],Table1[[#This Row],[Mid30]],Table1[[#This Row],[Mid27]],Table1[[#This Row],[Mid24]],Table1[[#This Row],[Mid21]],Table1[[#This Row],[Mid18]],Table1[[#This Row],[Mid15]],Table1[[#This Row],[Mid12]],Table1[[#This Row],[Mid9]],Table1[[#This Row],[Mid6]],Table1[[#This Row],[Mid3]],Table1[[#This Row],[Mid]])</f>
        <v>71</v>
      </c>
      <c r="CG80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02" t="s">
        <v>189</v>
      </c>
      <c r="CJ802" t="s">
        <v>158</v>
      </c>
      <c r="CL802" s="19">
        <f>IF(Table1[[#This Row],[Type]]="Petroleum",1,IF(ISERROR(Table1[[#This Row],[Well Density]]*Table1[[#This Row],[Single Well Discovery Area]]),"",IF(Table1[[#This Row],[Well Density]]*Table1[[#This Row],[Single Well Discovery Area]]&gt;1,1,Table1[[#This Row],[Well Density]]*Table1[[#This Row],[Single Well Discovery Area]])))</f>
        <v>1</v>
      </c>
      <c r="CM802" t="s">
        <v>2453</v>
      </c>
      <c r="CN802" s="19">
        <f>Table1[[#This Row],[Mid]]</f>
        <v>0</v>
      </c>
      <c r="CO802" s="19">
        <f>Table1[[#This Row],[Mid3]]+Table1[[#This Row],[Mid6]]+Table1[[#This Row],[Mid9]]</f>
        <v>0</v>
      </c>
      <c r="CP802" s="19">
        <f>Table1[[#This Row],[Mid12]]+Table1[[#This Row],[Mid15]]+Table1[[#This Row],[Mid18]]+Table1[[#This Row],[Mid21]]+Table1[[#This Row],[Mid24]]</f>
        <v>71</v>
      </c>
      <c r="CQ802" s="19">
        <f>Table1[[#This Row],[Mid27]]+Table1[[#This Row],[Mid30]]+Table1[[#This Row],[Mid33]]+Table1[[#This Row],[Mid36]]+Table1[[#This Row],[Mid39]]</f>
        <v>0</v>
      </c>
      <c r="CR802" t="s">
        <v>439</v>
      </c>
      <c r="CS802" s="19" t="str">
        <f>IF(AND(Table1[[#This Row],[Low41]]=0, Table1[[#This Row],[High43]]=0),"N","Y")</f>
        <v>N</v>
      </c>
    </row>
    <row r="803" spans="1:97" ht="19.5" customHeight="1" x14ac:dyDescent="0.25">
      <c r="A803">
        <v>10801</v>
      </c>
      <c r="B803" t="s">
        <v>2437</v>
      </c>
      <c r="C803" t="s">
        <v>2438</v>
      </c>
      <c r="D803">
        <v>9.8363888890000002</v>
      </c>
      <c r="E803">
        <v>101.4030556</v>
      </c>
      <c r="F803" t="s">
        <v>2492</v>
      </c>
      <c r="G803" t="s">
        <v>2440</v>
      </c>
      <c r="H803" t="s">
        <v>189</v>
      </c>
      <c r="I803" t="s">
        <v>520</v>
      </c>
      <c r="J803" t="s">
        <v>202</v>
      </c>
      <c r="K803" t="s">
        <v>1044</v>
      </c>
      <c r="L803" t="s">
        <v>121</v>
      </c>
      <c r="M803" t="s">
        <v>252</v>
      </c>
      <c r="N803" s="6" t="s">
        <v>2441</v>
      </c>
      <c r="O803" t="s">
        <v>2442</v>
      </c>
      <c r="P803" t="s">
        <v>2443</v>
      </c>
      <c r="Q803" t="s">
        <v>255</v>
      </c>
      <c r="R803" t="s">
        <v>2444</v>
      </c>
      <c r="S803">
        <v>2013</v>
      </c>
      <c r="T803" t="s">
        <v>2257</v>
      </c>
      <c r="U803" t="s">
        <v>2445</v>
      </c>
      <c r="V803"/>
      <c r="AF803">
        <v>200</v>
      </c>
      <c r="AH803" t="s">
        <v>2446</v>
      </c>
      <c r="AI803" t="s">
        <v>2447</v>
      </c>
      <c r="AM803" t="s">
        <v>2448</v>
      </c>
      <c r="AN803" t="s">
        <v>132</v>
      </c>
      <c r="BN803">
        <v>18</v>
      </c>
      <c r="CE80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03" s="19">
        <f>SUM(Table1[[#This Row],[Mid39]],Table1[[#This Row],[Mid36]],Table1[[#This Row],[Mid33]],Table1[[#This Row],[Mid30]],Table1[[#This Row],[Mid27]],Table1[[#This Row],[Mid24]],Table1[[#This Row],[Mid21]],Table1[[#This Row],[Mid18]],Table1[[#This Row],[Mid15]],Table1[[#This Row],[Mid12]],Table1[[#This Row],[Mid9]],Table1[[#This Row],[Mid6]],Table1[[#This Row],[Mid3]],Table1[[#This Row],[Mid]])</f>
        <v>18</v>
      </c>
      <c r="CG80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03" t="s">
        <v>189</v>
      </c>
      <c r="CJ803" t="s">
        <v>158</v>
      </c>
      <c r="CL803" s="19">
        <f>IF(Table1[[#This Row],[Type]]="Petroleum",1,IF(ISERROR(Table1[[#This Row],[Well Density]]*Table1[[#This Row],[Single Well Discovery Area]]),"",IF(Table1[[#This Row],[Well Density]]*Table1[[#This Row],[Single Well Discovery Area]]&gt;1,1,Table1[[#This Row],[Well Density]]*Table1[[#This Row],[Single Well Discovery Area]])))</f>
        <v>1</v>
      </c>
      <c r="CM803" t="s">
        <v>2453</v>
      </c>
      <c r="CN803" s="19">
        <f>Table1[[#This Row],[Mid]]</f>
        <v>0</v>
      </c>
      <c r="CO803" s="19">
        <f>Table1[[#This Row],[Mid3]]+Table1[[#This Row],[Mid6]]+Table1[[#This Row],[Mid9]]</f>
        <v>0</v>
      </c>
      <c r="CP803" s="19">
        <f>Table1[[#This Row],[Mid12]]+Table1[[#This Row],[Mid15]]+Table1[[#This Row],[Mid18]]+Table1[[#This Row],[Mid21]]+Table1[[#This Row],[Mid24]]</f>
        <v>18</v>
      </c>
      <c r="CQ803" s="19">
        <f>Table1[[#This Row],[Mid27]]+Table1[[#This Row],[Mid30]]+Table1[[#This Row],[Mid33]]+Table1[[#This Row],[Mid36]]+Table1[[#This Row],[Mid39]]</f>
        <v>0</v>
      </c>
      <c r="CR803" t="s">
        <v>439</v>
      </c>
      <c r="CS803" s="19" t="str">
        <f>IF(AND(Table1[[#This Row],[Low41]]=0, Table1[[#This Row],[High43]]=0),"N","Y")</f>
        <v>N</v>
      </c>
    </row>
    <row r="804" spans="1:97" ht="19.5" customHeight="1" x14ac:dyDescent="0.25">
      <c r="A804">
        <v>10802</v>
      </c>
      <c r="B804" t="s">
        <v>2437</v>
      </c>
      <c r="C804" t="s">
        <v>2438</v>
      </c>
      <c r="D804">
        <v>9.7108333330000001</v>
      </c>
      <c r="E804">
        <v>101.45</v>
      </c>
      <c r="F804" t="s">
        <v>2493</v>
      </c>
      <c r="G804" t="s">
        <v>2440</v>
      </c>
      <c r="H804" t="s">
        <v>189</v>
      </c>
      <c r="I804" t="s">
        <v>520</v>
      </c>
      <c r="J804" t="s">
        <v>202</v>
      </c>
      <c r="K804" t="s">
        <v>1044</v>
      </c>
      <c r="L804" t="s">
        <v>121</v>
      </c>
      <c r="M804" t="s">
        <v>252</v>
      </c>
      <c r="N804" s="6" t="s">
        <v>2441</v>
      </c>
      <c r="O804" t="s">
        <v>2442</v>
      </c>
      <c r="P804" t="s">
        <v>2443</v>
      </c>
      <c r="Q804" t="s">
        <v>255</v>
      </c>
      <c r="R804" t="s">
        <v>2444</v>
      </c>
      <c r="S804">
        <v>2013</v>
      </c>
      <c r="T804" t="s">
        <v>2257</v>
      </c>
      <c r="U804" t="s">
        <v>2445</v>
      </c>
      <c r="V804"/>
      <c r="AF804">
        <v>200</v>
      </c>
      <c r="AH804" t="s">
        <v>2446</v>
      </c>
      <c r="AI804" t="s">
        <v>2447</v>
      </c>
      <c r="AM804" t="s">
        <v>2448</v>
      </c>
      <c r="AN804" t="s">
        <v>132</v>
      </c>
      <c r="BN804">
        <v>18</v>
      </c>
      <c r="CE80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04" s="19">
        <f>SUM(Table1[[#This Row],[Mid39]],Table1[[#This Row],[Mid36]],Table1[[#This Row],[Mid33]],Table1[[#This Row],[Mid30]],Table1[[#This Row],[Mid27]],Table1[[#This Row],[Mid24]],Table1[[#This Row],[Mid21]],Table1[[#This Row],[Mid18]],Table1[[#This Row],[Mid15]],Table1[[#This Row],[Mid12]],Table1[[#This Row],[Mid9]],Table1[[#This Row],[Mid6]],Table1[[#This Row],[Mid3]],Table1[[#This Row],[Mid]])</f>
        <v>18</v>
      </c>
      <c r="CG80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04" t="s">
        <v>189</v>
      </c>
      <c r="CJ804" t="s">
        <v>158</v>
      </c>
      <c r="CL804" s="19">
        <f>IF(Table1[[#This Row],[Type]]="Petroleum",1,IF(ISERROR(Table1[[#This Row],[Well Density]]*Table1[[#This Row],[Single Well Discovery Area]]),"",IF(Table1[[#This Row],[Well Density]]*Table1[[#This Row],[Single Well Discovery Area]]&gt;1,1,Table1[[#This Row],[Well Density]]*Table1[[#This Row],[Single Well Discovery Area]])))</f>
        <v>1</v>
      </c>
      <c r="CM804" t="s">
        <v>2453</v>
      </c>
      <c r="CN804" s="19">
        <f>Table1[[#This Row],[Mid]]</f>
        <v>0</v>
      </c>
      <c r="CO804" s="19">
        <f>Table1[[#This Row],[Mid3]]+Table1[[#This Row],[Mid6]]+Table1[[#This Row],[Mid9]]</f>
        <v>0</v>
      </c>
      <c r="CP804" s="19">
        <f>Table1[[#This Row],[Mid12]]+Table1[[#This Row],[Mid15]]+Table1[[#This Row],[Mid18]]+Table1[[#This Row],[Mid21]]+Table1[[#This Row],[Mid24]]</f>
        <v>18</v>
      </c>
      <c r="CQ804" s="19">
        <f>Table1[[#This Row],[Mid27]]+Table1[[#This Row],[Mid30]]+Table1[[#This Row],[Mid33]]+Table1[[#This Row],[Mid36]]+Table1[[#This Row],[Mid39]]</f>
        <v>0</v>
      </c>
      <c r="CR804" t="s">
        <v>439</v>
      </c>
      <c r="CS804" s="19" t="str">
        <f>IF(AND(Table1[[#This Row],[Low41]]=0, Table1[[#This Row],[High43]]=0),"N","Y")</f>
        <v>N</v>
      </c>
    </row>
    <row r="805" spans="1:97" ht="19.5" customHeight="1" x14ac:dyDescent="0.25">
      <c r="A805">
        <v>10803</v>
      </c>
      <c r="B805" t="s">
        <v>2437</v>
      </c>
      <c r="C805" t="s">
        <v>2438</v>
      </c>
      <c r="D805">
        <v>9.5747222220000001</v>
      </c>
      <c r="E805">
        <v>101.4105556</v>
      </c>
      <c r="F805" t="s">
        <v>2494</v>
      </c>
      <c r="G805" t="s">
        <v>2440</v>
      </c>
      <c r="H805" t="s">
        <v>189</v>
      </c>
      <c r="I805" t="s">
        <v>520</v>
      </c>
      <c r="J805" t="s">
        <v>202</v>
      </c>
      <c r="K805" t="s">
        <v>1044</v>
      </c>
      <c r="L805" t="s">
        <v>121</v>
      </c>
      <c r="M805" t="s">
        <v>252</v>
      </c>
      <c r="N805" s="6" t="s">
        <v>2441</v>
      </c>
      <c r="O805" t="s">
        <v>2442</v>
      </c>
      <c r="P805" t="s">
        <v>2443</v>
      </c>
      <c r="Q805" t="s">
        <v>255</v>
      </c>
      <c r="R805" t="s">
        <v>2444</v>
      </c>
      <c r="S805">
        <v>2013</v>
      </c>
      <c r="T805" t="s">
        <v>2257</v>
      </c>
      <c r="U805" t="s">
        <v>2445</v>
      </c>
      <c r="V805"/>
      <c r="AF805">
        <v>200</v>
      </c>
      <c r="AH805" t="s">
        <v>2446</v>
      </c>
      <c r="AI805" t="s">
        <v>2447</v>
      </c>
      <c r="AM805" t="s">
        <v>2448</v>
      </c>
      <c r="AN805" t="s">
        <v>132</v>
      </c>
      <c r="BN805">
        <v>80</v>
      </c>
      <c r="CE80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05" s="19">
        <f>SUM(Table1[[#This Row],[Mid39]],Table1[[#This Row],[Mid36]],Table1[[#This Row],[Mid33]],Table1[[#This Row],[Mid30]],Table1[[#This Row],[Mid27]],Table1[[#This Row],[Mid24]],Table1[[#This Row],[Mid21]],Table1[[#This Row],[Mid18]],Table1[[#This Row],[Mid15]],Table1[[#This Row],[Mid12]],Table1[[#This Row],[Mid9]],Table1[[#This Row],[Mid6]],Table1[[#This Row],[Mid3]],Table1[[#This Row],[Mid]])</f>
        <v>80</v>
      </c>
      <c r="CG80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05" t="s">
        <v>189</v>
      </c>
      <c r="CJ805" t="s">
        <v>158</v>
      </c>
      <c r="CL805" s="19">
        <f>IF(Table1[[#This Row],[Type]]="Petroleum",1,IF(ISERROR(Table1[[#This Row],[Well Density]]*Table1[[#This Row],[Single Well Discovery Area]]),"",IF(Table1[[#This Row],[Well Density]]*Table1[[#This Row],[Single Well Discovery Area]]&gt;1,1,Table1[[#This Row],[Well Density]]*Table1[[#This Row],[Single Well Discovery Area]])))</f>
        <v>1</v>
      </c>
      <c r="CM805" t="s">
        <v>2453</v>
      </c>
      <c r="CN805" s="19">
        <f>Table1[[#This Row],[Mid]]</f>
        <v>0</v>
      </c>
      <c r="CO805" s="19">
        <f>Table1[[#This Row],[Mid3]]+Table1[[#This Row],[Mid6]]+Table1[[#This Row],[Mid9]]</f>
        <v>0</v>
      </c>
      <c r="CP805" s="19">
        <f>Table1[[#This Row],[Mid12]]+Table1[[#This Row],[Mid15]]+Table1[[#This Row],[Mid18]]+Table1[[#This Row],[Mid21]]+Table1[[#This Row],[Mid24]]</f>
        <v>80</v>
      </c>
      <c r="CQ805" s="19">
        <f>Table1[[#This Row],[Mid27]]+Table1[[#This Row],[Mid30]]+Table1[[#This Row],[Mid33]]+Table1[[#This Row],[Mid36]]+Table1[[#This Row],[Mid39]]</f>
        <v>0</v>
      </c>
      <c r="CR805" t="s">
        <v>439</v>
      </c>
      <c r="CS805" s="19" t="str">
        <f>IF(AND(Table1[[#This Row],[Low41]]=0, Table1[[#This Row],[High43]]=0),"N","Y")</f>
        <v>N</v>
      </c>
    </row>
    <row r="806" spans="1:97" ht="19.5" customHeight="1" x14ac:dyDescent="0.25">
      <c r="A806">
        <v>10804</v>
      </c>
      <c r="B806" t="s">
        <v>2437</v>
      </c>
      <c r="C806" t="s">
        <v>2438</v>
      </c>
      <c r="D806">
        <v>9.4055555559999995</v>
      </c>
      <c r="E806">
        <v>101.48111110000001</v>
      </c>
      <c r="F806" t="s">
        <v>2495</v>
      </c>
      <c r="G806" t="s">
        <v>2440</v>
      </c>
      <c r="H806" t="s">
        <v>189</v>
      </c>
      <c r="I806" t="s">
        <v>520</v>
      </c>
      <c r="J806" t="s">
        <v>202</v>
      </c>
      <c r="K806" t="s">
        <v>1044</v>
      </c>
      <c r="L806" t="s">
        <v>121</v>
      </c>
      <c r="M806" t="s">
        <v>252</v>
      </c>
      <c r="N806" s="6" t="s">
        <v>2441</v>
      </c>
      <c r="O806" t="s">
        <v>2442</v>
      </c>
      <c r="P806" t="s">
        <v>2443</v>
      </c>
      <c r="Q806" t="s">
        <v>255</v>
      </c>
      <c r="R806" t="s">
        <v>2444</v>
      </c>
      <c r="S806">
        <v>2013</v>
      </c>
      <c r="T806" t="s">
        <v>2257</v>
      </c>
      <c r="U806" t="s">
        <v>2445</v>
      </c>
      <c r="V806"/>
      <c r="AF806">
        <v>200</v>
      </c>
      <c r="AH806" t="s">
        <v>2446</v>
      </c>
      <c r="AI806" t="s">
        <v>2447</v>
      </c>
      <c r="AM806" t="s">
        <v>2448</v>
      </c>
      <c r="AN806" t="s">
        <v>132</v>
      </c>
      <c r="BN806">
        <v>145</v>
      </c>
      <c r="CE80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06" s="19">
        <f>SUM(Table1[[#This Row],[Mid39]],Table1[[#This Row],[Mid36]],Table1[[#This Row],[Mid33]],Table1[[#This Row],[Mid30]],Table1[[#This Row],[Mid27]],Table1[[#This Row],[Mid24]],Table1[[#This Row],[Mid21]],Table1[[#This Row],[Mid18]],Table1[[#This Row],[Mid15]],Table1[[#This Row],[Mid12]],Table1[[#This Row],[Mid9]],Table1[[#This Row],[Mid6]],Table1[[#This Row],[Mid3]],Table1[[#This Row],[Mid]])</f>
        <v>145</v>
      </c>
      <c r="CG80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06" t="s">
        <v>189</v>
      </c>
      <c r="CJ806" t="s">
        <v>158</v>
      </c>
      <c r="CL806" s="19">
        <f>IF(Table1[[#This Row],[Type]]="Petroleum",1,IF(ISERROR(Table1[[#This Row],[Well Density]]*Table1[[#This Row],[Single Well Discovery Area]]),"",IF(Table1[[#This Row],[Well Density]]*Table1[[#This Row],[Single Well Discovery Area]]&gt;1,1,Table1[[#This Row],[Well Density]]*Table1[[#This Row],[Single Well Discovery Area]])))</f>
        <v>1</v>
      </c>
      <c r="CM806" t="s">
        <v>2453</v>
      </c>
      <c r="CN806" s="19">
        <f>Table1[[#This Row],[Mid]]</f>
        <v>0</v>
      </c>
      <c r="CO806" s="19">
        <f>Table1[[#This Row],[Mid3]]+Table1[[#This Row],[Mid6]]+Table1[[#This Row],[Mid9]]</f>
        <v>0</v>
      </c>
      <c r="CP806" s="19">
        <f>Table1[[#This Row],[Mid12]]+Table1[[#This Row],[Mid15]]+Table1[[#This Row],[Mid18]]+Table1[[#This Row],[Mid21]]+Table1[[#This Row],[Mid24]]</f>
        <v>145</v>
      </c>
      <c r="CQ806" s="19">
        <f>Table1[[#This Row],[Mid27]]+Table1[[#This Row],[Mid30]]+Table1[[#This Row],[Mid33]]+Table1[[#This Row],[Mid36]]+Table1[[#This Row],[Mid39]]</f>
        <v>0</v>
      </c>
      <c r="CR806" t="s">
        <v>439</v>
      </c>
      <c r="CS806" s="19" t="str">
        <f>IF(AND(Table1[[#This Row],[Low41]]=0, Table1[[#This Row],[High43]]=0),"N","Y")</f>
        <v>N</v>
      </c>
    </row>
    <row r="807" spans="1:97" ht="19.5" customHeight="1" x14ac:dyDescent="0.25">
      <c r="A807">
        <v>10805</v>
      </c>
      <c r="B807" t="s">
        <v>2437</v>
      </c>
      <c r="C807" t="s">
        <v>2438</v>
      </c>
      <c r="D807">
        <v>9.091111111</v>
      </c>
      <c r="E807">
        <v>101.4286111</v>
      </c>
      <c r="F807" t="s">
        <v>2496</v>
      </c>
      <c r="G807" t="s">
        <v>2440</v>
      </c>
      <c r="H807" t="s">
        <v>189</v>
      </c>
      <c r="I807" t="s">
        <v>520</v>
      </c>
      <c r="J807" t="s">
        <v>202</v>
      </c>
      <c r="K807" t="s">
        <v>1044</v>
      </c>
      <c r="L807" t="s">
        <v>121</v>
      </c>
      <c r="M807" t="s">
        <v>252</v>
      </c>
      <c r="N807" s="6" t="s">
        <v>2441</v>
      </c>
      <c r="O807" t="s">
        <v>2442</v>
      </c>
      <c r="P807" t="s">
        <v>2443</v>
      </c>
      <c r="Q807" t="s">
        <v>255</v>
      </c>
      <c r="R807" t="s">
        <v>2444</v>
      </c>
      <c r="S807">
        <v>2013</v>
      </c>
      <c r="T807" t="s">
        <v>2257</v>
      </c>
      <c r="U807" t="s">
        <v>2445</v>
      </c>
      <c r="V807"/>
      <c r="AF807">
        <v>200</v>
      </c>
      <c r="AH807" t="s">
        <v>2446</v>
      </c>
      <c r="AI807" t="s">
        <v>2447</v>
      </c>
      <c r="AM807" t="s">
        <v>2448</v>
      </c>
      <c r="AN807" t="s">
        <v>132</v>
      </c>
      <c r="BN807">
        <v>65</v>
      </c>
      <c r="CE80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07" s="19">
        <f>SUM(Table1[[#This Row],[Mid39]],Table1[[#This Row],[Mid36]],Table1[[#This Row],[Mid33]],Table1[[#This Row],[Mid30]],Table1[[#This Row],[Mid27]],Table1[[#This Row],[Mid24]],Table1[[#This Row],[Mid21]],Table1[[#This Row],[Mid18]],Table1[[#This Row],[Mid15]],Table1[[#This Row],[Mid12]],Table1[[#This Row],[Mid9]],Table1[[#This Row],[Mid6]],Table1[[#This Row],[Mid3]],Table1[[#This Row],[Mid]])</f>
        <v>65</v>
      </c>
      <c r="CG80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07" t="s">
        <v>189</v>
      </c>
      <c r="CJ807" t="s">
        <v>158</v>
      </c>
      <c r="CL807" s="19">
        <f>IF(Table1[[#This Row],[Type]]="Petroleum",1,IF(ISERROR(Table1[[#This Row],[Well Density]]*Table1[[#This Row],[Single Well Discovery Area]]),"",IF(Table1[[#This Row],[Well Density]]*Table1[[#This Row],[Single Well Discovery Area]]&gt;1,1,Table1[[#This Row],[Well Density]]*Table1[[#This Row],[Single Well Discovery Area]])))</f>
        <v>1</v>
      </c>
      <c r="CM807" t="s">
        <v>2453</v>
      </c>
      <c r="CN807" s="19">
        <f>Table1[[#This Row],[Mid]]</f>
        <v>0</v>
      </c>
      <c r="CO807" s="19">
        <f>Table1[[#This Row],[Mid3]]+Table1[[#This Row],[Mid6]]+Table1[[#This Row],[Mid9]]</f>
        <v>0</v>
      </c>
      <c r="CP807" s="19">
        <f>Table1[[#This Row],[Mid12]]+Table1[[#This Row],[Mid15]]+Table1[[#This Row],[Mid18]]+Table1[[#This Row],[Mid21]]+Table1[[#This Row],[Mid24]]</f>
        <v>65</v>
      </c>
      <c r="CQ807" s="19">
        <f>Table1[[#This Row],[Mid27]]+Table1[[#This Row],[Mid30]]+Table1[[#This Row],[Mid33]]+Table1[[#This Row],[Mid36]]+Table1[[#This Row],[Mid39]]</f>
        <v>0</v>
      </c>
      <c r="CR807" t="s">
        <v>439</v>
      </c>
      <c r="CS807" s="19" t="str">
        <f>IF(AND(Table1[[#This Row],[Low41]]=0, Table1[[#This Row],[High43]]=0),"N","Y")</f>
        <v>N</v>
      </c>
    </row>
    <row r="808" spans="1:97" ht="19.5" customHeight="1" x14ac:dyDescent="0.25">
      <c r="A808">
        <v>10806</v>
      </c>
      <c r="B808" t="s">
        <v>2437</v>
      </c>
      <c r="C808" t="s">
        <v>2438</v>
      </c>
      <c r="D808">
        <v>8.9944444440000009</v>
      </c>
      <c r="E808">
        <v>101.4208333</v>
      </c>
      <c r="F808" t="s">
        <v>2497</v>
      </c>
      <c r="G808" t="s">
        <v>2440</v>
      </c>
      <c r="H808" t="s">
        <v>189</v>
      </c>
      <c r="I808" t="s">
        <v>520</v>
      </c>
      <c r="J808" t="s">
        <v>202</v>
      </c>
      <c r="K808" t="s">
        <v>1044</v>
      </c>
      <c r="L808" t="s">
        <v>121</v>
      </c>
      <c r="M808" t="s">
        <v>252</v>
      </c>
      <c r="N808" s="6" t="s">
        <v>2441</v>
      </c>
      <c r="O808" t="s">
        <v>2442</v>
      </c>
      <c r="P808" t="s">
        <v>2443</v>
      </c>
      <c r="Q808" t="s">
        <v>255</v>
      </c>
      <c r="R808" t="s">
        <v>2444</v>
      </c>
      <c r="S808">
        <v>2013</v>
      </c>
      <c r="T808" t="s">
        <v>2257</v>
      </c>
      <c r="U808" t="s">
        <v>2445</v>
      </c>
      <c r="V808"/>
      <c r="AF808">
        <v>200</v>
      </c>
      <c r="AH808" t="s">
        <v>2446</v>
      </c>
      <c r="AI808" t="s">
        <v>2447</v>
      </c>
      <c r="AM808" t="s">
        <v>2448</v>
      </c>
      <c r="AN808" t="s">
        <v>132</v>
      </c>
      <c r="BN808">
        <v>16</v>
      </c>
      <c r="CE80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08" s="19">
        <f>SUM(Table1[[#This Row],[Mid39]],Table1[[#This Row],[Mid36]],Table1[[#This Row],[Mid33]],Table1[[#This Row],[Mid30]],Table1[[#This Row],[Mid27]],Table1[[#This Row],[Mid24]],Table1[[#This Row],[Mid21]],Table1[[#This Row],[Mid18]],Table1[[#This Row],[Mid15]],Table1[[#This Row],[Mid12]],Table1[[#This Row],[Mid9]],Table1[[#This Row],[Mid6]],Table1[[#This Row],[Mid3]],Table1[[#This Row],[Mid]])</f>
        <v>16</v>
      </c>
      <c r="CG80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08" t="s">
        <v>189</v>
      </c>
      <c r="CJ808" t="s">
        <v>158</v>
      </c>
      <c r="CL808" s="19">
        <f>IF(Table1[[#This Row],[Type]]="Petroleum",1,IF(ISERROR(Table1[[#This Row],[Well Density]]*Table1[[#This Row],[Single Well Discovery Area]]),"",IF(Table1[[#This Row],[Well Density]]*Table1[[#This Row],[Single Well Discovery Area]]&gt;1,1,Table1[[#This Row],[Well Density]]*Table1[[#This Row],[Single Well Discovery Area]])))</f>
        <v>1</v>
      </c>
      <c r="CM808" t="s">
        <v>2453</v>
      </c>
      <c r="CN808" s="19">
        <f>Table1[[#This Row],[Mid]]</f>
        <v>0</v>
      </c>
      <c r="CO808" s="19">
        <f>Table1[[#This Row],[Mid3]]+Table1[[#This Row],[Mid6]]+Table1[[#This Row],[Mid9]]</f>
        <v>0</v>
      </c>
      <c r="CP808" s="19">
        <f>Table1[[#This Row],[Mid12]]+Table1[[#This Row],[Mid15]]+Table1[[#This Row],[Mid18]]+Table1[[#This Row],[Mid21]]+Table1[[#This Row],[Mid24]]</f>
        <v>16</v>
      </c>
      <c r="CQ808" s="19">
        <f>Table1[[#This Row],[Mid27]]+Table1[[#This Row],[Mid30]]+Table1[[#This Row],[Mid33]]+Table1[[#This Row],[Mid36]]+Table1[[#This Row],[Mid39]]</f>
        <v>0</v>
      </c>
      <c r="CR808" t="s">
        <v>439</v>
      </c>
      <c r="CS808" s="19" t="str">
        <f>IF(AND(Table1[[#This Row],[Low41]]=0, Table1[[#This Row],[High43]]=0),"N","Y")</f>
        <v>N</v>
      </c>
    </row>
    <row r="809" spans="1:97" ht="19.5" customHeight="1" x14ac:dyDescent="0.25">
      <c r="A809">
        <v>10807</v>
      </c>
      <c r="B809" t="s">
        <v>2437</v>
      </c>
      <c r="C809" t="s">
        <v>2438</v>
      </c>
      <c r="D809">
        <v>8.9224999999999994</v>
      </c>
      <c r="E809">
        <v>101.4708333</v>
      </c>
      <c r="F809" t="s">
        <v>2498</v>
      </c>
      <c r="G809" t="s">
        <v>2440</v>
      </c>
      <c r="H809" t="s">
        <v>189</v>
      </c>
      <c r="I809" t="s">
        <v>520</v>
      </c>
      <c r="J809" t="s">
        <v>202</v>
      </c>
      <c r="K809" t="s">
        <v>1044</v>
      </c>
      <c r="L809" t="s">
        <v>121</v>
      </c>
      <c r="M809" t="s">
        <v>252</v>
      </c>
      <c r="N809" s="6" t="s">
        <v>2441</v>
      </c>
      <c r="O809" t="s">
        <v>2442</v>
      </c>
      <c r="P809" t="s">
        <v>2443</v>
      </c>
      <c r="Q809" t="s">
        <v>255</v>
      </c>
      <c r="R809" t="s">
        <v>2444</v>
      </c>
      <c r="S809">
        <v>2013</v>
      </c>
      <c r="T809" t="s">
        <v>2257</v>
      </c>
      <c r="U809" t="s">
        <v>2445</v>
      </c>
      <c r="V809"/>
      <c r="AF809">
        <v>200</v>
      </c>
      <c r="AH809" t="s">
        <v>2446</v>
      </c>
      <c r="AI809" t="s">
        <v>2447</v>
      </c>
      <c r="AM809" t="s">
        <v>2448</v>
      </c>
      <c r="AN809" t="s">
        <v>132</v>
      </c>
      <c r="BN809">
        <v>14</v>
      </c>
      <c r="CE80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09" s="19">
        <f>SUM(Table1[[#This Row],[Mid39]],Table1[[#This Row],[Mid36]],Table1[[#This Row],[Mid33]],Table1[[#This Row],[Mid30]],Table1[[#This Row],[Mid27]],Table1[[#This Row],[Mid24]],Table1[[#This Row],[Mid21]],Table1[[#This Row],[Mid18]],Table1[[#This Row],[Mid15]],Table1[[#This Row],[Mid12]],Table1[[#This Row],[Mid9]],Table1[[#This Row],[Mid6]],Table1[[#This Row],[Mid3]],Table1[[#This Row],[Mid]])</f>
        <v>14</v>
      </c>
      <c r="CG80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09" t="s">
        <v>189</v>
      </c>
      <c r="CJ809" t="s">
        <v>158</v>
      </c>
      <c r="CL809" s="19">
        <f>IF(Table1[[#This Row],[Type]]="Petroleum",1,IF(ISERROR(Table1[[#This Row],[Well Density]]*Table1[[#This Row],[Single Well Discovery Area]]),"",IF(Table1[[#This Row],[Well Density]]*Table1[[#This Row],[Single Well Discovery Area]]&gt;1,1,Table1[[#This Row],[Well Density]]*Table1[[#This Row],[Single Well Discovery Area]])))</f>
        <v>1</v>
      </c>
      <c r="CM809" t="s">
        <v>2453</v>
      </c>
      <c r="CN809" s="19">
        <f>Table1[[#This Row],[Mid]]</f>
        <v>0</v>
      </c>
      <c r="CO809" s="19">
        <f>Table1[[#This Row],[Mid3]]+Table1[[#This Row],[Mid6]]+Table1[[#This Row],[Mid9]]</f>
        <v>0</v>
      </c>
      <c r="CP809" s="19">
        <f>Table1[[#This Row],[Mid12]]+Table1[[#This Row],[Mid15]]+Table1[[#This Row],[Mid18]]+Table1[[#This Row],[Mid21]]+Table1[[#This Row],[Mid24]]</f>
        <v>14</v>
      </c>
      <c r="CQ809" s="19">
        <f>Table1[[#This Row],[Mid27]]+Table1[[#This Row],[Mid30]]+Table1[[#This Row],[Mid33]]+Table1[[#This Row],[Mid36]]+Table1[[#This Row],[Mid39]]</f>
        <v>0</v>
      </c>
      <c r="CR809" t="s">
        <v>439</v>
      </c>
      <c r="CS809" s="19" t="str">
        <f>IF(AND(Table1[[#This Row],[Low41]]=0, Table1[[#This Row],[High43]]=0),"N","Y")</f>
        <v>N</v>
      </c>
    </row>
    <row r="810" spans="1:97" ht="19.5" customHeight="1" x14ac:dyDescent="0.25">
      <c r="A810">
        <v>10808</v>
      </c>
      <c r="B810" t="s">
        <v>2437</v>
      </c>
      <c r="C810" t="s">
        <v>2438</v>
      </c>
      <c r="D810">
        <v>8.5213888890000007</v>
      </c>
      <c r="E810">
        <v>101.4244444</v>
      </c>
      <c r="F810" t="s">
        <v>2499</v>
      </c>
      <c r="G810" t="s">
        <v>2440</v>
      </c>
      <c r="H810" t="s">
        <v>189</v>
      </c>
      <c r="I810" t="s">
        <v>520</v>
      </c>
      <c r="J810" t="s">
        <v>202</v>
      </c>
      <c r="K810" t="s">
        <v>1044</v>
      </c>
      <c r="L810" t="s">
        <v>121</v>
      </c>
      <c r="M810" t="s">
        <v>252</v>
      </c>
      <c r="N810" s="6" t="s">
        <v>2441</v>
      </c>
      <c r="O810" t="s">
        <v>2442</v>
      </c>
      <c r="P810" t="s">
        <v>2443</v>
      </c>
      <c r="Q810" t="s">
        <v>255</v>
      </c>
      <c r="R810" t="s">
        <v>2444</v>
      </c>
      <c r="S810">
        <v>2013</v>
      </c>
      <c r="T810" t="s">
        <v>2257</v>
      </c>
      <c r="U810" t="s">
        <v>2445</v>
      </c>
      <c r="V810"/>
      <c r="AF810">
        <v>200</v>
      </c>
      <c r="AH810" t="s">
        <v>2446</v>
      </c>
      <c r="AI810" t="s">
        <v>2447</v>
      </c>
      <c r="AM810" t="s">
        <v>2448</v>
      </c>
      <c r="AN810" t="s">
        <v>132</v>
      </c>
      <c r="BN810">
        <v>31</v>
      </c>
      <c r="CE81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10" s="19">
        <f>SUM(Table1[[#This Row],[Mid39]],Table1[[#This Row],[Mid36]],Table1[[#This Row],[Mid33]],Table1[[#This Row],[Mid30]],Table1[[#This Row],[Mid27]],Table1[[#This Row],[Mid24]],Table1[[#This Row],[Mid21]],Table1[[#This Row],[Mid18]],Table1[[#This Row],[Mid15]],Table1[[#This Row],[Mid12]],Table1[[#This Row],[Mid9]],Table1[[#This Row],[Mid6]],Table1[[#This Row],[Mid3]],Table1[[#This Row],[Mid]])</f>
        <v>31</v>
      </c>
      <c r="CG8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10" t="s">
        <v>189</v>
      </c>
      <c r="CJ810" t="s">
        <v>158</v>
      </c>
      <c r="CL810" s="19">
        <f>IF(Table1[[#This Row],[Type]]="Petroleum",1,IF(ISERROR(Table1[[#This Row],[Well Density]]*Table1[[#This Row],[Single Well Discovery Area]]),"",IF(Table1[[#This Row],[Well Density]]*Table1[[#This Row],[Single Well Discovery Area]]&gt;1,1,Table1[[#This Row],[Well Density]]*Table1[[#This Row],[Single Well Discovery Area]])))</f>
        <v>1</v>
      </c>
      <c r="CM810" t="s">
        <v>2453</v>
      </c>
      <c r="CN810" s="19">
        <f>Table1[[#This Row],[Mid]]</f>
        <v>0</v>
      </c>
      <c r="CO810" s="19">
        <f>Table1[[#This Row],[Mid3]]+Table1[[#This Row],[Mid6]]+Table1[[#This Row],[Mid9]]</f>
        <v>0</v>
      </c>
      <c r="CP810" s="19">
        <f>Table1[[#This Row],[Mid12]]+Table1[[#This Row],[Mid15]]+Table1[[#This Row],[Mid18]]+Table1[[#This Row],[Mid21]]+Table1[[#This Row],[Mid24]]</f>
        <v>31</v>
      </c>
      <c r="CQ810" s="19">
        <f>Table1[[#This Row],[Mid27]]+Table1[[#This Row],[Mid30]]+Table1[[#This Row],[Mid33]]+Table1[[#This Row],[Mid36]]+Table1[[#This Row],[Mid39]]</f>
        <v>0</v>
      </c>
      <c r="CR810" t="s">
        <v>439</v>
      </c>
      <c r="CS810" s="19" t="str">
        <f>IF(AND(Table1[[#This Row],[Low41]]=0, Table1[[#This Row],[High43]]=0),"N","Y")</f>
        <v>N</v>
      </c>
    </row>
    <row r="811" spans="1:97" ht="19.5" customHeight="1" x14ac:dyDescent="0.25">
      <c r="A811">
        <v>10809</v>
      </c>
      <c r="B811" t="s">
        <v>2437</v>
      </c>
      <c r="C811" t="s">
        <v>2438</v>
      </c>
      <c r="D811">
        <v>8.2205555560000008</v>
      </c>
      <c r="E811">
        <v>101.2733333</v>
      </c>
      <c r="F811" t="s">
        <v>2500</v>
      </c>
      <c r="G811" t="s">
        <v>2440</v>
      </c>
      <c r="H811" t="s">
        <v>189</v>
      </c>
      <c r="I811" t="s">
        <v>520</v>
      </c>
      <c r="J811" t="s">
        <v>202</v>
      </c>
      <c r="K811" t="s">
        <v>1044</v>
      </c>
      <c r="L811" t="s">
        <v>121</v>
      </c>
      <c r="M811" t="s">
        <v>252</v>
      </c>
      <c r="N811" s="6" t="s">
        <v>2441</v>
      </c>
      <c r="O811" t="s">
        <v>2442</v>
      </c>
      <c r="P811" t="s">
        <v>2443</v>
      </c>
      <c r="Q811" t="s">
        <v>255</v>
      </c>
      <c r="R811" t="s">
        <v>2444</v>
      </c>
      <c r="S811">
        <v>2013</v>
      </c>
      <c r="T811" t="s">
        <v>2257</v>
      </c>
      <c r="U811" t="s">
        <v>2445</v>
      </c>
      <c r="V811"/>
      <c r="AF811">
        <v>200</v>
      </c>
      <c r="AH811" t="s">
        <v>2446</v>
      </c>
      <c r="AI811" t="s">
        <v>2447</v>
      </c>
      <c r="AM811" t="s">
        <v>2448</v>
      </c>
      <c r="AN811" t="s">
        <v>132</v>
      </c>
      <c r="BN811">
        <v>34</v>
      </c>
      <c r="CE81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11" s="19">
        <f>SUM(Table1[[#This Row],[Mid39]],Table1[[#This Row],[Mid36]],Table1[[#This Row],[Mid33]],Table1[[#This Row],[Mid30]],Table1[[#This Row],[Mid27]],Table1[[#This Row],[Mid24]],Table1[[#This Row],[Mid21]],Table1[[#This Row],[Mid18]],Table1[[#This Row],[Mid15]],Table1[[#This Row],[Mid12]],Table1[[#This Row],[Mid9]],Table1[[#This Row],[Mid6]],Table1[[#This Row],[Mid3]],Table1[[#This Row],[Mid]])</f>
        <v>34</v>
      </c>
      <c r="CG8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11" t="s">
        <v>189</v>
      </c>
      <c r="CJ811" t="s">
        <v>158</v>
      </c>
      <c r="CL811" s="19">
        <f>IF(Table1[[#This Row],[Type]]="Petroleum",1,IF(ISERROR(Table1[[#This Row],[Well Density]]*Table1[[#This Row],[Single Well Discovery Area]]),"",IF(Table1[[#This Row],[Well Density]]*Table1[[#This Row],[Single Well Discovery Area]]&gt;1,1,Table1[[#This Row],[Well Density]]*Table1[[#This Row],[Single Well Discovery Area]])))</f>
        <v>1</v>
      </c>
      <c r="CM811" t="s">
        <v>2453</v>
      </c>
      <c r="CN811" s="19">
        <f>Table1[[#This Row],[Mid]]</f>
        <v>0</v>
      </c>
      <c r="CO811" s="19">
        <f>Table1[[#This Row],[Mid3]]+Table1[[#This Row],[Mid6]]+Table1[[#This Row],[Mid9]]</f>
        <v>0</v>
      </c>
      <c r="CP811" s="19">
        <f>Table1[[#This Row],[Mid12]]+Table1[[#This Row],[Mid15]]+Table1[[#This Row],[Mid18]]+Table1[[#This Row],[Mid21]]+Table1[[#This Row],[Mid24]]</f>
        <v>34</v>
      </c>
      <c r="CQ811" s="19">
        <f>Table1[[#This Row],[Mid27]]+Table1[[#This Row],[Mid30]]+Table1[[#This Row],[Mid33]]+Table1[[#This Row],[Mid36]]+Table1[[#This Row],[Mid39]]</f>
        <v>0</v>
      </c>
      <c r="CR811" t="s">
        <v>439</v>
      </c>
      <c r="CS811" s="19" t="str">
        <f>IF(AND(Table1[[#This Row],[Low41]]=0, Table1[[#This Row],[High43]]=0),"N","Y")</f>
        <v>N</v>
      </c>
    </row>
    <row r="812" spans="1:97" ht="19.5" customHeight="1" x14ac:dyDescent="0.25">
      <c r="A812">
        <v>10810</v>
      </c>
      <c r="B812" t="s">
        <v>2437</v>
      </c>
      <c r="C812" t="s">
        <v>2438</v>
      </c>
      <c r="D812">
        <v>8.1111111109999996</v>
      </c>
      <c r="E812">
        <v>101.75388890000001</v>
      </c>
      <c r="F812" t="s">
        <v>2501</v>
      </c>
      <c r="G812" t="s">
        <v>2440</v>
      </c>
      <c r="H812" t="s">
        <v>189</v>
      </c>
      <c r="I812" t="s">
        <v>520</v>
      </c>
      <c r="J812" t="s">
        <v>202</v>
      </c>
      <c r="K812" t="s">
        <v>1044</v>
      </c>
      <c r="L812" t="s">
        <v>121</v>
      </c>
      <c r="M812" t="s">
        <v>252</v>
      </c>
      <c r="N812" s="6" t="s">
        <v>2441</v>
      </c>
      <c r="O812" t="s">
        <v>2442</v>
      </c>
      <c r="P812" t="s">
        <v>2443</v>
      </c>
      <c r="Q812" t="s">
        <v>255</v>
      </c>
      <c r="R812" t="s">
        <v>2444</v>
      </c>
      <c r="S812">
        <v>2013</v>
      </c>
      <c r="T812" t="s">
        <v>2257</v>
      </c>
      <c r="U812" t="s">
        <v>2445</v>
      </c>
      <c r="V812"/>
      <c r="AF812">
        <v>200</v>
      </c>
      <c r="AH812" t="s">
        <v>2446</v>
      </c>
      <c r="AI812" t="s">
        <v>2447</v>
      </c>
      <c r="AM812" t="s">
        <v>2448</v>
      </c>
      <c r="AN812" t="s">
        <v>132</v>
      </c>
      <c r="BN812">
        <v>25</v>
      </c>
      <c r="CE81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12" s="19">
        <f>SUM(Table1[[#This Row],[Mid39]],Table1[[#This Row],[Mid36]],Table1[[#This Row],[Mid33]],Table1[[#This Row],[Mid30]],Table1[[#This Row],[Mid27]],Table1[[#This Row],[Mid24]],Table1[[#This Row],[Mid21]],Table1[[#This Row],[Mid18]],Table1[[#This Row],[Mid15]],Table1[[#This Row],[Mid12]],Table1[[#This Row],[Mid9]],Table1[[#This Row],[Mid6]],Table1[[#This Row],[Mid3]],Table1[[#This Row],[Mid]])</f>
        <v>25</v>
      </c>
      <c r="CG8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12" t="s">
        <v>189</v>
      </c>
      <c r="CJ812" t="s">
        <v>158</v>
      </c>
      <c r="CL812" s="19">
        <f>IF(Table1[[#This Row],[Type]]="Petroleum",1,IF(ISERROR(Table1[[#This Row],[Well Density]]*Table1[[#This Row],[Single Well Discovery Area]]),"",IF(Table1[[#This Row],[Well Density]]*Table1[[#This Row],[Single Well Discovery Area]]&gt;1,1,Table1[[#This Row],[Well Density]]*Table1[[#This Row],[Single Well Discovery Area]])))</f>
        <v>1</v>
      </c>
      <c r="CM812" t="s">
        <v>2453</v>
      </c>
      <c r="CN812" s="19">
        <f>Table1[[#This Row],[Mid]]</f>
        <v>0</v>
      </c>
      <c r="CO812" s="19">
        <f>Table1[[#This Row],[Mid3]]+Table1[[#This Row],[Mid6]]+Table1[[#This Row],[Mid9]]</f>
        <v>0</v>
      </c>
      <c r="CP812" s="19">
        <f>Table1[[#This Row],[Mid12]]+Table1[[#This Row],[Mid15]]+Table1[[#This Row],[Mid18]]+Table1[[#This Row],[Mid21]]+Table1[[#This Row],[Mid24]]</f>
        <v>25</v>
      </c>
      <c r="CQ812" s="19">
        <f>Table1[[#This Row],[Mid27]]+Table1[[#This Row],[Mid30]]+Table1[[#This Row],[Mid33]]+Table1[[#This Row],[Mid36]]+Table1[[#This Row],[Mid39]]</f>
        <v>0</v>
      </c>
      <c r="CR812" t="s">
        <v>439</v>
      </c>
      <c r="CS812" s="19" t="str">
        <f>IF(AND(Table1[[#This Row],[Low41]]=0, Table1[[#This Row],[High43]]=0),"N","Y")</f>
        <v>N</v>
      </c>
    </row>
    <row r="813" spans="1:97" ht="19.5" customHeight="1" x14ac:dyDescent="0.25">
      <c r="A813">
        <v>10811</v>
      </c>
      <c r="B813" t="s">
        <v>2437</v>
      </c>
      <c r="C813" t="s">
        <v>2438</v>
      </c>
      <c r="D813">
        <v>7.8419444440000001</v>
      </c>
      <c r="E813">
        <v>102.2891667</v>
      </c>
      <c r="F813" t="s">
        <v>2502</v>
      </c>
      <c r="G813" t="s">
        <v>1270</v>
      </c>
      <c r="H813" t="s">
        <v>189</v>
      </c>
      <c r="I813" t="s">
        <v>520</v>
      </c>
      <c r="J813" t="s">
        <v>202</v>
      </c>
      <c r="K813" t="s">
        <v>1044</v>
      </c>
      <c r="L813" t="s">
        <v>121</v>
      </c>
      <c r="M813" t="s">
        <v>252</v>
      </c>
      <c r="N813" s="6" t="s">
        <v>2441</v>
      </c>
      <c r="O813" t="s">
        <v>2442</v>
      </c>
      <c r="P813" t="s">
        <v>2443</v>
      </c>
      <c r="Q813" t="s">
        <v>255</v>
      </c>
      <c r="R813" t="s">
        <v>2444</v>
      </c>
      <c r="S813">
        <v>2013</v>
      </c>
      <c r="T813" t="s">
        <v>2257</v>
      </c>
      <c r="U813" t="s">
        <v>2445</v>
      </c>
      <c r="V813"/>
      <c r="AF813">
        <v>200</v>
      </c>
      <c r="AH813" t="s">
        <v>2446</v>
      </c>
      <c r="AI813" t="s">
        <v>2447</v>
      </c>
      <c r="AM813" t="s">
        <v>2448</v>
      </c>
      <c r="AN813" t="s">
        <v>132</v>
      </c>
      <c r="BN813">
        <v>40</v>
      </c>
      <c r="CE81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13" s="19">
        <f>SUM(Table1[[#This Row],[Mid39]],Table1[[#This Row],[Mid36]],Table1[[#This Row],[Mid33]],Table1[[#This Row],[Mid30]],Table1[[#This Row],[Mid27]],Table1[[#This Row],[Mid24]],Table1[[#This Row],[Mid21]],Table1[[#This Row],[Mid18]],Table1[[#This Row],[Mid15]],Table1[[#This Row],[Mid12]],Table1[[#This Row],[Mid9]],Table1[[#This Row],[Mid6]],Table1[[#This Row],[Mid3]],Table1[[#This Row],[Mid]])</f>
        <v>40</v>
      </c>
      <c r="CG8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13" t="s">
        <v>189</v>
      </c>
      <c r="CJ813" t="s">
        <v>158</v>
      </c>
      <c r="CL813" s="19">
        <f>IF(Table1[[#This Row],[Type]]="Petroleum",1,IF(ISERROR(Table1[[#This Row],[Well Density]]*Table1[[#This Row],[Single Well Discovery Area]]),"",IF(Table1[[#This Row],[Well Density]]*Table1[[#This Row],[Single Well Discovery Area]]&gt;1,1,Table1[[#This Row],[Well Density]]*Table1[[#This Row],[Single Well Discovery Area]])))</f>
        <v>1</v>
      </c>
      <c r="CM813" t="s">
        <v>2453</v>
      </c>
      <c r="CN813" s="19">
        <f>Table1[[#This Row],[Mid]]</f>
        <v>0</v>
      </c>
      <c r="CO813" s="19">
        <f>Table1[[#This Row],[Mid3]]+Table1[[#This Row],[Mid6]]+Table1[[#This Row],[Mid9]]</f>
        <v>0</v>
      </c>
      <c r="CP813" s="19">
        <f>Table1[[#This Row],[Mid12]]+Table1[[#This Row],[Mid15]]+Table1[[#This Row],[Mid18]]+Table1[[#This Row],[Mid21]]+Table1[[#This Row],[Mid24]]</f>
        <v>40</v>
      </c>
      <c r="CQ813" s="19">
        <f>Table1[[#This Row],[Mid27]]+Table1[[#This Row],[Mid30]]+Table1[[#This Row],[Mid33]]+Table1[[#This Row],[Mid36]]+Table1[[#This Row],[Mid39]]</f>
        <v>0</v>
      </c>
      <c r="CR813" t="s">
        <v>439</v>
      </c>
      <c r="CS813" s="19" t="str">
        <f>IF(AND(Table1[[#This Row],[Low41]]=0, Table1[[#This Row],[High43]]=0),"N","Y")</f>
        <v>N</v>
      </c>
    </row>
    <row r="814" spans="1:97" ht="19.5" customHeight="1" x14ac:dyDescent="0.25">
      <c r="A814">
        <v>10812</v>
      </c>
      <c r="B814" t="s">
        <v>2437</v>
      </c>
      <c r="C814" t="s">
        <v>2438</v>
      </c>
      <c r="D814">
        <v>7.7777777779999999</v>
      </c>
      <c r="E814">
        <v>102.6591667</v>
      </c>
      <c r="F814" t="s">
        <v>2503</v>
      </c>
      <c r="G814" t="s">
        <v>1270</v>
      </c>
      <c r="H814" t="s">
        <v>189</v>
      </c>
      <c r="I814" t="s">
        <v>520</v>
      </c>
      <c r="J814" t="s">
        <v>202</v>
      </c>
      <c r="K814" t="s">
        <v>1044</v>
      </c>
      <c r="L814" t="s">
        <v>121</v>
      </c>
      <c r="M814" t="s">
        <v>252</v>
      </c>
      <c r="N814" s="6" t="s">
        <v>2441</v>
      </c>
      <c r="O814" t="s">
        <v>2442</v>
      </c>
      <c r="P814" t="s">
        <v>2443</v>
      </c>
      <c r="Q814" t="s">
        <v>255</v>
      </c>
      <c r="R814" t="s">
        <v>2444</v>
      </c>
      <c r="S814">
        <v>2013</v>
      </c>
      <c r="T814" t="s">
        <v>2257</v>
      </c>
      <c r="U814" t="s">
        <v>2445</v>
      </c>
      <c r="V814"/>
      <c r="AF814">
        <v>200</v>
      </c>
      <c r="AH814" t="s">
        <v>2446</v>
      </c>
      <c r="AI814" t="s">
        <v>2447</v>
      </c>
      <c r="AM814" t="s">
        <v>2448</v>
      </c>
      <c r="AN814" t="s">
        <v>132</v>
      </c>
      <c r="BN814">
        <v>24</v>
      </c>
      <c r="CE81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14" s="19">
        <f>SUM(Table1[[#This Row],[Mid39]],Table1[[#This Row],[Mid36]],Table1[[#This Row],[Mid33]],Table1[[#This Row],[Mid30]],Table1[[#This Row],[Mid27]],Table1[[#This Row],[Mid24]],Table1[[#This Row],[Mid21]],Table1[[#This Row],[Mid18]],Table1[[#This Row],[Mid15]],Table1[[#This Row],[Mid12]],Table1[[#This Row],[Mid9]],Table1[[#This Row],[Mid6]],Table1[[#This Row],[Mid3]],Table1[[#This Row],[Mid]])</f>
        <v>24</v>
      </c>
      <c r="CG8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14" t="s">
        <v>189</v>
      </c>
      <c r="CJ814" t="s">
        <v>158</v>
      </c>
      <c r="CL814" s="19">
        <f>IF(Table1[[#This Row],[Type]]="Petroleum",1,IF(ISERROR(Table1[[#This Row],[Well Density]]*Table1[[#This Row],[Single Well Discovery Area]]),"",IF(Table1[[#This Row],[Well Density]]*Table1[[#This Row],[Single Well Discovery Area]]&gt;1,1,Table1[[#This Row],[Well Density]]*Table1[[#This Row],[Single Well Discovery Area]])))</f>
        <v>1</v>
      </c>
      <c r="CM814" t="s">
        <v>2453</v>
      </c>
      <c r="CN814" s="19">
        <f>Table1[[#This Row],[Mid]]</f>
        <v>0</v>
      </c>
      <c r="CO814" s="19">
        <f>Table1[[#This Row],[Mid3]]+Table1[[#This Row],[Mid6]]+Table1[[#This Row],[Mid9]]</f>
        <v>0</v>
      </c>
      <c r="CP814" s="19">
        <f>Table1[[#This Row],[Mid12]]+Table1[[#This Row],[Mid15]]+Table1[[#This Row],[Mid18]]+Table1[[#This Row],[Mid21]]+Table1[[#This Row],[Mid24]]</f>
        <v>24</v>
      </c>
      <c r="CQ814" s="19">
        <f>Table1[[#This Row],[Mid27]]+Table1[[#This Row],[Mid30]]+Table1[[#This Row],[Mid33]]+Table1[[#This Row],[Mid36]]+Table1[[#This Row],[Mid39]]</f>
        <v>0</v>
      </c>
      <c r="CR814" t="s">
        <v>439</v>
      </c>
      <c r="CS814" s="19" t="str">
        <f>IF(AND(Table1[[#This Row],[Low41]]=0, Table1[[#This Row],[High43]]=0),"N","Y")</f>
        <v>N</v>
      </c>
    </row>
    <row r="815" spans="1:97" ht="19.5" customHeight="1" x14ac:dyDescent="0.25">
      <c r="A815">
        <v>10813</v>
      </c>
      <c r="B815" t="s">
        <v>2437</v>
      </c>
      <c r="C815" t="s">
        <v>2438</v>
      </c>
      <c r="D815">
        <v>7.5977777780000002</v>
      </c>
      <c r="E815">
        <v>102.8113889</v>
      </c>
      <c r="F815" t="s">
        <v>2504</v>
      </c>
      <c r="G815" t="s">
        <v>1270</v>
      </c>
      <c r="H815" t="s">
        <v>189</v>
      </c>
      <c r="I815" t="s">
        <v>520</v>
      </c>
      <c r="J815" t="s">
        <v>202</v>
      </c>
      <c r="K815" t="s">
        <v>1044</v>
      </c>
      <c r="L815" t="s">
        <v>121</v>
      </c>
      <c r="M815" t="s">
        <v>252</v>
      </c>
      <c r="N815" s="6" t="s">
        <v>2441</v>
      </c>
      <c r="O815" t="s">
        <v>2442</v>
      </c>
      <c r="P815" t="s">
        <v>2443</v>
      </c>
      <c r="Q815" t="s">
        <v>255</v>
      </c>
      <c r="R815" t="s">
        <v>2444</v>
      </c>
      <c r="S815">
        <v>2013</v>
      </c>
      <c r="T815" t="s">
        <v>2257</v>
      </c>
      <c r="U815" t="s">
        <v>2445</v>
      </c>
      <c r="V815"/>
      <c r="AF815">
        <v>200</v>
      </c>
      <c r="AH815" t="s">
        <v>2446</v>
      </c>
      <c r="AI815" t="s">
        <v>2447</v>
      </c>
      <c r="AM815" t="s">
        <v>2448</v>
      </c>
      <c r="AN815" t="s">
        <v>132</v>
      </c>
      <c r="BN815">
        <v>17</v>
      </c>
      <c r="CE81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15" s="19">
        <f>SUM(Table1[[#This Row],[Mid39]],Table1[[#This Row],[Mid36]],Table1[[#This Row],[Mid33]],Table1[[#This Row],[Mid30]],Table1[[#This Row],[Mid27]],Table1[[#This Row],[Mid24]],Table1[[#This Row],[Mid21]],Table1[[#This Row],[Mid18]],Table1[[#This Row],[Mid15]],Table1[[#This Row],[Mid12]],Table1[[#This Row],[Mid9]],Table1[[#This Row],[Mid6]],Table1[[#This Row],[Mid3]],Table1[[#This Row],[Mid]])</f>
        <v>17</v>
      </c>
      <c r="CG8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15" t="s">
        <v>189</v>
      </c>
      <c r="CJ815" t="s">
        <v>158</v>
      </c>
      <c r="CL815" s="19">
        <f>IF(Table1[[#This Row],[Type]]="Petroleum",1,IF(ISERROR(Table1[[#This Row],[Well Density]]*Table1[[#This Row],[Single Well Discovery Area]]),"",IF(Table1[[#This Row],[Well Density]]*Table1[[#This Row],[Single Well Discovery Area]]&gt;1,1,Table1[[#This Row],[Well Density]]*Table1[[#This Row],[Single Well Discovery Area]])))</f>
        <v>1</v>
      </c>
      <c r="CM815" t="s">
        <v>2453</v>
      </c>
      <c r="CN815" s="19">
        <f>Table1[[#This Row],[Mid]]</f>
        <v>0</v>
      </c>
      <c r="CO815" s="19">
        <f>Table1[[#This Row],[Mid3]]+Table1[[#This Row],[Mid6]]+Table1[[#This Row],[Mid9]]</f>
        <v>0</v>
      </c>
      <c r="CP815" s="19">
        <f>Table1[[#This Row],[Mid12]]+Table1[[#This Row],[Mid15]]+Table1[[#This Row],[Mid18]]+Table1[[#This Row],[Mid21]]+Table1[[#This Row],[Mid24]]</f>
        <v>17</v>
      </c>
      <c r="CQ815" s="19">
        <f>Table1[[#This Row],[Mid27]]+Table1[[#This Row],[Mid30]]+Table1[[#This Row],[Mid33]]+Table1[[#This Row],[Mid36]]+Table1[[#This Row],[Mid39]]</f>
        <v>0</v>
      </c>
      <c r="CR815" t="s">
        <v>439</v>
      </c>
      <c r="CS815" s="19" t="str">
        <f>IF(AND(Table1[[#This Row],[Low41]]=0, Table1[[#This Row],[High43]]=0),"N","Y")</f>
        <v>N</v>
      </c>
    </row>
    <row r="816" spans="1:97" ht="19.5" customHeight="1" x14ac:dyDescent="0.25">
      <c r="A816">
        <v>10814</v>
      </c>
      <c r="B816" t="s">
        <v>2437</v>
      </c>
      <c r="C816" t="s">
        <v>2438</v>
      </c>
      <c r="D816">
        <v>7.5222222219999999</v>
      </c>
      <c r="E816">
        <v>100.30555560000001</v>
      </c>
      <c r="F816" t="s">
        <v>2505</v>
      </c>
      <c r="G816" t="s">
        <v>2450</v>
      </c>
      <c r="H816" t="s">
        <v>189</v>
      </c>
      <c r="I816" t="s">
        <v>520</v>
      </c>
      <c r="J816" t="s">
        <v>202</v>
      </c>
      <c r="K816" t="s">
        <v>1044</v>
      </c>
      <c r="L816" t="s">
        <v>121</v>
      </c>
      <c r="M816" t="s">
        <v>252</v>
      </c>
      <c r="N816" s="6" t="s">
        <v>2441</v>
      </c>
      <c r="O816" t="s">
        <v>2442</v>
      </c>
      <c r="P816" t="s">
        <v>2443</v>
      </c>
      <c r="Q816" t="s">
        <v>255</v>
      </c>
      <c r="R816" t="s">
        <v>2444</v>
      </c>
      <c r="S816">
        <v>2013</v>
      </c>
      <c r="T816" t="s">
        <v>2257</v>
      </c>
      <c r="U816" t="s">
        <v>2445</v>
      </c>
      <c r="V816"/>
      <c r="AF816">
        <v>200</v>
      </c>
      <c r="AH816" t="s">
        <v>2446</v>
      </c>
      <c r="AI816" t="s">
        <v>2447</v>
      </c>
      <c r="AM816" t="s">
        <v>2448</v>
      </c>
      <c r="AN816" t="s">
        <v>132</v>
      </c>
      <c r="BN816">
        <v>16</v>
      </c>
      <c r="CE81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16" s="19">
        <f>SUM(Table1[[#This Row],[Mid39]],Table1[[#This Row],[Mid36]],Table1[[#This Row],[Mid33]],Table1[[#This Row],[Mid30]],Table1[[#This Row],[Mid27]],Table1[[#This Row],[Mid24]],Table1[[#This Row],[Mid21]],Table1[[#This Row],[Mid18]],Table1[[#This Row],[Mid15]],Table1[[#This Row],[Mid12]],Table1[[#This Row],[Mid9]],Table1[[#This Row],[Mid6]],Table1[[#This Row],[Mid3]],Table1[[#This Row],[Mid]])</f>
        <v>16</v>
      </c>
      <c r="CG8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16" t="s">
        <v>189</v>
      </c>
      <c r="CJ816" t="s">
        <v>158</v>
      </c>
      <c r="CL816" s="19">
        <f>IF(Table1[[#This Row],[Type]]="Petroleum",1,IF(ISERROR(Table1[[#This Row],[Well Density]]*Table1[[#This Row],[Single Well Discovery Area]]),"",IF(Table1[[#This Row],[Well Density]]*Table1[[#This Row],[Single Well Discovery Area]]&gt;1,1,Table1[[#This Row],[Well Density]]*Table1[[#This Row],[Single Well Discovery Area]])))</f>
        <v>1</v>
      </c>
      <c r="CM816" t="s">
        <v>2453</v>
      </c>
      <c r="CN816" s="19">
        <f>Table1[[#This Row],[Mid]]</f>
        <v>0</v>
      </c>
      <c r="CO816" s="19">
        <f>Table1[[#This Row],[Mid3]]+Table1[[#This Row],[Mid6]]+Table1[[#This Row],[Mid9]]</f>
        <v>0</v>
      </c>
      <c r="CP816" s="19">
        <f>Table1[[#This Row],[Mid12]]+Table1[[#This Row],[Mid15]]+Table1[[#This Row],[Mid18]]+Table1[[#This Row],[Mid21]]+Table1[[#This Row],[Mid24]]</f>
        <v>16</v>
      </c>
      <c r="CQ816" s="19">
        <f>Table1[[#This Row],[Mid27]]+Table1[[#This Row],[Mid30]]+Table1[[#This Row],[Mid33]]+Table1[[#This Row],[Mid36]]+Table1[[#This Row],[Mid39]]</f>
        <v>0</v>
      </c>
      <c r="CR816" t="s">
        <v>439</v>
      </c>
      <c r="CS816" s="19" t="str">
        <f>IF(AND(Table1[[#This Row],[Low41]]=0, Table1[[#This Row],[High43]]=0),"N","Y")</f>
        <v>N</v>
      </c>
    </row>
    <row r="817" spans="1:97" ht="19.5" customHeight="1" x14ac:dyDescent="0.25">
      <c r="A817">
        <v>10815</v>
      </c>
      <c r="B817" t="s">
        <v>2437</v>
      </c>
      <c r="C817" t="s">
        <v>2438</v>
      </c>
      <c r="D817">
        <v>7.7461111110000003</v>
      </c>
      <c r="E817">
        <v>100.4891667</v>
      </c>
      <c r="F817" t="s">
        <v>2506</v>
      </c>
      <c r="G817" t="s">
        <v>2450</v>
      </c>
      <c r="H817" t="s">
        <v>189</v>
      </c>
      <c r="I817" t="s">
        <v>520</v>
      </c>
      <c r="J817" t="s">
        <v>202</v>
      </c>
      <c r="K817" t="s">
        <v>1044</v>
      </c>
      <c r="L817" t="s">
        <v>121</v>
      </c>
      <c r="M817" t="s">
        <v>252</v>
      </c>
      <c r="N817" s="6" t="s">
        <v>2441</v>
      </c>
      <c r="O817" t="s">
        <v>2442</v>
      </c>
      <c r="P817" t="s">
        <v>2443</v>
      </c>
      <c r="Q817" t="s">
        <v>255</v>
      </c>
      <c r="R817" t="s">
        <v>2444</v>
      </c>
      <c r="S817">
        <v>2013</v>
      </c>
      <c r="T817" t="s">
        <v>2257</v>
      </c>
      <c r="U817" t="s">
        <v>2445</v>
      </c>
      <c r="V817"/>
      <c r="AF817">
        <v>200</v>
      </c>
      <c r="AH817" t="s">
        <v>2446</v>
      </c>
      <c r="AI817" t="s">
        <v>2447</v>
      </c>
      <c r="AM817" t="s">
        <v>2448</v>
      </c>
      <c r="AN817" t="s">
        <v>132</v>
      </c>
      <c r="BN817">
        <v>14</v>
      </c>
      <c r="CE81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17" s="19">
        <f>SUM(Table1[[#This Row],[Mid39]],Table1[[#This Row],[Mid36]],Table1[[#This Row],[Mid33]],Table1[[#This Row],[Mid30]],Table1[[#This Row],[Mid27]],Table1[[#This Row],[Mid24]],Table1[[#This Row],[Mid21]],Table1[[#This Row],[Mid18]],Table1[[#This Row],[Mid15]],Table1[[#This Row],[Mid12]],Table1[[#This Row],[Mid9]],Table1[[#This Row],[Mid6]],Table1[[#This Row],[Mid3]],Table1[[#This Row],[Mid]])</f>
        <v>14</v>
      </c>
      <c r="CG8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17" t="s">
        <v>189</v>
      </c>
      <c r="CJ817" t="s">
        <v>158</v>
      </c>
      <c r="CL817" s="19">
        <f>IF(Table1[[#This Row],[Type]]="Petroleum",1,IF(ISERROR(Table1[[#This Row],[Well Density]]*Table1[[#This Row],[Single Well Discovery Area]]),"",IF(Table1[[#This Row],[Well Density]]*Table1[[#This Row],[Single Well Discovery Area]]&gt;1,1,Table1[[#This Row],[Well Density]]*Table1[[#This Row],[Single Well Discovery Area]])))</f>
        <v>1</v>
      </c>
      <c r="CM817" t="s">
        <v>2453</v>
      </c>
      <c r="CN817" s="19">
        <f>Table1[[#This Row],[Mid]]</f>
        <v>0</v>
      </c>
      <c r="CO817" s="19">
        <f>Table1[[#This Row],[Mid3]]+Table1[[#This Row],[Mid6]]+Table1[[#This Row],[Mid9]]</f>
        <v>0</v>
      </c>
      <c r="CP817" s="19">
        <f>Table1[[#This Row],[Mid12]]+Table1[[#This Row],[Mid15]]+Table1[[#This Row],[Mid18]]+Table1[[#This Row],[Mid21]]+Table1[[#This Row],[Mid24]]</f>
        <v>14</v>
      </c>
      <c r="CQ817" s="19">
        <f>Table1[[#This Row],[Mid27]]+Table1[[#This Row],[Mid30]]+Table1[[#This Row],[Mid33]]+Table1[[#This Row],[Mid36]]+Table1[[#This Row],[Mid39]]</f>
        <v>0</v>
      </c>
      <c r="CR817" t="s">
        <v>439</v>
      </c>
      <c r="CS817" s="19" t="str">
        <f>IF(AND(Table1[[#This Row],[Low41]]=0, Table1[[#This Row],[High43]]=0),"N","Y")</f>
        <v>N</v>
      </c>
    </row>
    <row r="818" spans="1:97" ht="19.5" customHeight="1" x14ac:dyDescent="0.25">
      <c r="A818">
        <v>10816</v>
      </c>
      <c r="B818" t="s">
        <v>2437</v>
      </c>
      <c r="C818" t="s">
        <v>2472</v>
      </c>
      <c r="D818">
        <v>8.7486111110000007</v>
      </c>
      <c r="E818">
        <v>101.4086111</v>
      </c>
      <c r="F818" t="s">
        <v>2507</v>
      </c>
      <c r="G818" t="s">
        <v>2440</v>
      </c>
      <c r="H818" t="s">
        <v>2508</v>
      </c>
      <c r="I818" t="s">
        <v>118</v>
      </c>
      <c r="J818" t="s">
        <v>119</v>
      </c>
      <c r="K818" t="s">
        <v>190</v>
      </c>
      <c r="L818" t="s">
        <v>18</v>
      </c>
      <c r="M818" t="s">
        <v>252</v>
      </c>
      <c r="N818" s="6" t="s">
        <v>2509</v>
      </c>
      <c r="O818" t="s">
        <v>2510</v>
      </c>
      <c r="P818" t="s">
        <v>2511</v>
      </c>
      <c r="Q818" t="s">
        <v>2512</v>
      </c>
      <c r="R818" t="s">
        <v>2513</v>
      </c>
      <c r="S818">
        <v>2010</v>
      </c>
      <c r="T818" t="s">
        <v>2257</v>
      </c>
      <c r="U818" t="s">
        <v>2445</v>
      </c>
      <c r="V818"/>
      <c r="W818">
        <v>2870</v>
      </c>
      <c r="X818">
        <v>50</v>
      </c>
      <c r="AA818">
        <v>500</v>
      </c>
      <c r="AD818">
        <v>3</v>
      </c>
      <c r="AF818">
        <v>200</v>
      </c>
      <c r="AH818" t="s">
        <v>2470</v>
      </c>
      <c r="AK818">
        <v>32</v>
      </c>
      <c r="AL818">
        <v>20</v>
      </c>
      <c r="AM818" t="s">
        <v>1612</v>
      </c>
      <c r="AN818" t="s">
        <v>132</v>
      </c>
      <c r="CC818">
        <v>69.8</v>
      </c>
      <c r="CE81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18" s="19">
        <f>SUM(Table1[[#This Row],[Mid39]],Table1[[#This Row],[Mid36]],Table1[[#This Row],[Mid33]],Table1[[#This Row],[Mid30]],Table1[[#This Row],[Mid27]],Table1[[#This Row],[Mid24]],Table1[[#This Row],[Mid21]],Table1[[#This Row],[Mid18]],Table1[[#This Row],[Mid15]],Table1[[#This Row],[Mid12]],Table1[[#This Row],[Mid9]],Table1[[#This Row],[Mid6]],Table1[[#This Row],[Mid3]],Table1[[#This Row],[Mid]])</f>
        <v>69.8</v>
      </c>
      <c r="CG81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18" t="s">
        <v>189</v>
      </c>
      <c r="CJ818" t="s">
        <v>158</v>
      </c>
      <c r="CL818" s="19">
        <f>IF(Table1[[#This Row],[Type]]="Petroleum",1,IF(ISERROR(Table1[[#This Row],[Well Density]]*Table1[[#This Row],[Single Well Discovery Area]]),"",IF(Table1[[#This Row],[Well Density]]*Table1[[#This Row],[Single Well Discovery Area]]&gt;1,1,Table1[[#This Row],[Well Density]]*Table1[[#This Row],[Single Well Discovery Area]])))</f>
        <v>0</v>
      </c>
      <c r="CM818" t="s">
        <v>2453</v>
      </c>
      <c r="CN818" s="19">
        <f>Table1[[#This Row],[Mid]]</f>
        <v>0</v>
      </c>
      <c r="CO818" s="19">
        <f>Table1[[#This Row],[Mid3]]+Table1[[#This Row],[Mid6]]+Table1[[#This Row],[Mid9]]</f>
        <v>0</v>
      </c>
      <c r="CP818" s="19">
        <f>Table1[[#This Row],[Mid12]]+Table1[[#This Row],[Mid15]]+Table1[[#This Row],[Mid18]]+Table1[[#This Row],[Mid21]]+Table1[[#This Row],[Mid24]]</f>
        <v>0</v>
      </c>
      <c r="CQ818" s="19">
        <f>Table1[[#This Row],[Mid27]]+Table1[[#This Row],[Mid30]]+Table1[[#This Row],[Mid33]]+Table1[[#This Row],[Mid36]]+Table1[[#This Row],[Mid39]]</f>
        <v>69.8</v>
      </c>
      <c r="CR818" t="s">
        <v>439</v>
      </c>
      <c r="CS818" s="19" t="str">
        <f>IF(AND(Table1[[#This Row],[Low41]]=0, Table1[[#This Row],[High43]]=0),"N","Y")</f>
        <v>N</v>
      </c>
    </row>
    <row r="819" spans="1:97" ht="19.5" customHeight="1" x14ac:dyDescent="0.25">
      <c r="A819">
        <v>10817</v>
      </c>
      <c r="B819" t="s">
        <v>2437</v>
      </c>
      <c r="C819" t="s">
        <v>2438</v>
      </c>
      <c r="D819">
        <v>13.462222219999999</v>
      </c>
      <c r="E819">
        <v>100.7986111</v>
      </c>
      <c r="F819" t="s">
        <v>2514</v>
      </c>
      <c r="G819" t="s">
        <v>2484</v>
      </c>
      <c r="H819" t="s">
        <v>189</v>
      </c>
      <c r="I819" t="s">
        <v>118</v>
      </c>
      <c r="J819" t="s">
        <v>119</v>
      </c>
      <c r="K819" t="s">
        <v>190</v>
      </c>
      <c r="L819" t="s">
        <v>18</v>
      </c>
      <c r="M819" t="s">
        <v>252</v>
      </c>
      <c r="N819" s="6" t="s">
        <v>2441</v>
      </c>
      <c r="O819" t="s">
        <v>2442</v>
      </c>
      <c r="P819" t="s">
        <v>2443</v>
      </c>
      <c r="Q819" t="s">
        <v>255</v>
      </c>
      <c r="R819" t="s">
        <v>2515</v>
      </c>
      <c r="S819">
        <v>2013</v>
      </c>
      <c r="T819" t="s">
        <v>2257</v>
      </c>
      <c r="U819" t="s">
        <v>2445</v>
      </c>
      <c r="V819"/>
      <c r="AF819">
        <v>200</v>
      </c>
      <c r="CC819">
        <v>8830</v>
      </c>
      <c r="CE81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19" s="19">
        <f>SUM(Table1[[#This Row],[Mid39]],Table1[[#This Row],[Mid36]],Table1[[#This Row],[Mid33]],Table1[[#This Row],[Mid30]],Table1[[#This Row],[Mid27]],Table1[[#This Row],[Mid24]],Table1[[#This Row],[Mid21]],Table1[[#This Row],[Mid18]],Table1[[#This Row],[Mid15]],Table1[[#This Row],[Mid12]],Table1[[#This Row],[Mid9]],Table1[[#This Row],[Mid6]],Table1[[#This Row],[Mid3]],Table1[[#This Row],[Mid]])</f>
        <v>8830</v>
      </c>
      <c r="CG8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19" t="s">
        <v>189</v>
      </c>
      <c r="CJ819" t="s">
        <v>158</v>
      </c>
      <c r="CL819" s="19">
        <f>IF(Table1[[#This Row],[Type]]="Petroleum",1,IF(ISERROR(Table1[[#This Row],[Well Density]]*Table1[[#This Row],[Single Well Discovery Area]]),"",IF(Table1[[#This Row],[Well Density]]*Table1[[#This Row],[Single Well Discovery Area]]&gt;1,1,Table1[[#This Row],[Well Density]]*Table1[[#This Row],[Single Well Discovery Area]])))</f>
        <v>0</v>
      </c>
      <c r="CM819" t="s">
        <v>2453</v>
      </c>
      <c r="CN819" s="19">
        <f>Table1[[#This Row],[Mid]]</f>
        <v>0</v>
      </c>
      <c r="CO819" s="19">
        <f>Table1[[#This Row],[Mid3]]+Table1[[#This Row],[Mid6]]+Table1[[#This Row],[Mid9]]</f>
        <v>0</v>
      </c>
      <c r="CP819" s="19">
        <f>Table1[[#This Row],[Mid12]]+Table1[[#This Row],[Mid15]]+Table1[[#This Row],[Mid18]]+Table1[[#This Row],[Mid21]]+Table1[[#This Row],[Mid24]]</f>
        <v>0</v>
      </c>
      <c r="CQ819" s="19">
        <f>Table1[[#This Row],[Mid27]]+Table1[[#This Row],[Mid30]]+Table1[[#This Row],[Mid33]]+Table1[[#This Row],[Mid36]]+Table1[[#This Row],[Mid39]]</f>
        <v>8830</v>
      </c>
      <c r="CR819" t="s">
        <v>439</v>
      </c>
      <c r="CS819" s="19" t="str">
        <f>IF(AND(Table1[[#This Row],[Low41]]=0, Table1[[#This Row],[High43]]=0),"N","Y")</f>
        <v>N</v>
      </c>
    </row>
    <row r="820" spans="1:97" ht="19.5" customHeight="1" x14ac:dyDescent="0.25">
      <c r="A820">
        <v>10818</v>
      </c>
      <c r="B820" t="s">
        <v>2437</v>
      </c>
      <c r="C820" t="s">
        <v>2438</v>
      </c>
      <c r="D820">
        <v>9.9450000000000003</v>
      </c>
      <c r="E820">
        <v>100.0141667</v>
      </c>
      <c r="F820" t="s">
        <v>2516</v>
      </c>
      <c r="G820" t="s">
        <v>2450</v>
      </c>
      <c r="H820" t="s">
        <v>189</v>
      </c>
      <c r="I820" t="s">
        <v>2245</v>
      </c>
      <c r="J820" t="s">
        <v>202</v>
      </c>
      <c r="K820" t="s">
        <v>1044</v>
      </c>
      <c r="L820" t="s">
        <v>121</v>
      </c>
      <c r="M820" t="s">
        <v>252</v>
      </c>
      <c r="N820" s="6" t="s">
        <v>2441</v>
      </c>
      <c r="O820" t="s">
        <v>2517</v>
      </c>
      <c r="P820" t="s">
        <v>2443</v>
      </c>
      <c r="Q820" t="s">
        <v>255</v>
      </c>
      <c r="R820" t="s">
        <v>2444</v>
      </c>
      <c r="S820">
        <v>2013</v>
      </c>
      <c r="T820" t="s">
        <v>2257</v>
      </c>
      <c r="U820" t="s">
        <v>2445</v>
      </c>
      <c r="V820"/>
      <c r="AF820">
        <v>200</v>
      </c>
      <c r="AH820" t="s">
        <v>2446</v>
      </c>
      <c r="AI820" t="s">
        <v>2447</v>
      </c>
      <c r="AM820" t="s">
        <v>2448</v>
      </c>
      <c r="AN820" t="s">
        <v>132</v>
      </c>
      <c r="BN820">
        <v>10</v>
      </c>
      <c r="CE82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20"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8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20" t="s">
        <v>189</v>
      </c>
      <c r="CJ820" t="s">
        <v>158</v>
      </c>
      <c r="CL820" s="19">
        <f>IF(Table1[[#This Row],[Type]]="Petroleum",1,IF(ISERROR(Table1[[#This Row],[Well Density]]*Table1[[#This Row],[Single Well Discovery Area]]),"",IF(Table1[[#This Row],[Well Density]]*Table1[[#This Row],[Single Well Discovery Area]]&gt;1,1,Table1[[#This Row],[Well Density]]*Table1[[#This Row],[Single Well Discovery Area]])))</f>
        <v>1</v>
      </c>
      <c r="CM820" t="s">
        <v>2453</v>
      </c>
      <c r="CN820" s="19">
        <f>Table1[[#This Row],[Mid]]</f>
        <v>0</v>
      </c>
      <c r="CO820" s="19">
        <f>Table1[[#This Row],[Mid3]]+Table1[[#This Row],[Mid6]]+Table1[[#This Row],[Mid9]]</f>
        <v>0</v>
      </c>
      <c r="CP820" s="19">
        <f>Table1[[#This Row],[Mid12]]+Table1[[#This Row],[Mid15]]+Table1[[#This Row],[Mid18]]+Table1[[#This Row],[Mid21]]+Table1[[#This Row],[Mid24]]</f>
        <v>10</v>
      </c>
      <c r="CQ820" s="19">
        <f>Table1[[#This Row],[Mid27]]+Table1[[#This Row],[Mid30]]+Table1[[#This Row],[Mid33]]+Table1[[#This Row],[Mid36]]+Table1[[#This Row],[Mid39]]</f>
        <v>0</v>
      </c>
      <c r="CR820" t="s">
        <v>439</v>
      </c>
      <c r="CS820" s="19" t="str">
        <f>IF(AND(Table1[[#This Row],[Low41]]=0, Table1[[#This Row],[High43]]=0),"N","Y")</f>
        <v>N</v>
      </c>
    </row>
    <row r="821" spans="1:97" ht="19.5" customHeight="1" x14ac:dyDescent="0.25">
      <c r="A821">
        <v>10819</v>
      </c>
      <c r="B821" t="s">
        <v>2437</v>
      </c>
      <c r="C821" t="s">
        <v>2438</v>
      </c>
      <c r="D821">
        <v>9.3980555559999992</v>
      </c>
      <c r="E821">
        <v>100.0141667</v>
      </c>
      <c r="F821" t="s">
        <v>2518</v>
      </c>
      <c r="G821" t="s">
        <v>2450</v>
      </c>
      <c r="H821" t="s">
        <v>189</v>
      </c>
      <c r="I821" t="s">
        <v>2245</v>
      </c>
      <c r="J821" t="s">
        <v>202</v>
      </c>
      <c r="K821" t="s">
        <v>1044</v>
      </c>
      <c r="L821" t="s">
        <v>121</v>
      </c>
      <c r="M821" t="s">
        <v>252</v>
      </c>
      <c r="N821" s="6" t="s">
        <v>2441</v>
      </c>
      <c r="O821" t="s">
        <v>2442</v>
      </c>
      <c r="P821" t="s">
        <v>2443</v>
      </c>
      <c r="Q821" t="s">
        <v>255</v>
      </c>
      <c r="R821" t="s">
        <v>2444</v>
      </c>
      <c r="S821">
        <v>2013</v>
      </c>
      <c r="T821" t="s">
        <v>2257</v>
      </c>
      <c r="U821" t="s">
        <v>2445</v>
      </c>
      <c r="V821"/>
      <c r="AF821">
        <v>200</v>
      </c>
      <c r="AH821" t="s">
        <v>2446</v>
      </c>
      <c r="AI821" t="s">
        <v>2447</v>
      </c>
      <c r="AM821" t="s">
        <v>2448</v>
      </c>
      <c r="AN821" t="s">
        <v>132</v>
      </c>
      <c r="BN821">
        <v>10</v>
      </c>
      <c r="CE82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21"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8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21" t="s">
        <v>189</v>
      </c>
      <c r="CJ821" t="s">
        <v>158</v>
      </c>
      <c r="CL821" s="19">
        <f>IF(Table1[[#This Row],[Type]]="Petroleum",1,IF(ISERROR(Table1[[#This Row],[Well Density]]*Table1[[#This Row],[Single Well Discovery Area]]),"",IF(Table1[[#This Row],[Well Density]]*Table1[[#This Row],[Single Well Discovery Area]]&gt;1,1,Table1[[#This Row],[Well Density]]*Table1[[#This Row],[Single Well Discovery Area]])))</f>
        <v>1</v>
      </c>
      <c r="CM821" t="s">
        <v>135</v>
      </c>
      <c r="CN821" s="19">
        <f>Table1[[#This Row],[Mid]]</f>
        <v>0</v>
      </c>
      <c r="CO821" s="19">
        <f>Table1[[#This Row],[Mid3]]+Table1[[#This Row],[Mid6]]+Table1[[#This Row],[Mid9]]</f>
        <v>0</v>
      </c>
      <c r="CP821" s="19">
        <f>Table1[[#This Row],[Mid12]]+Table1[[#This Row],[Mid15]]+Table1[[#This Row],[Mid18]]+Table1[[#This Row],[Mid21]]+Table1[[#This Row],[Mid24]]</f>
        <v>10</v>
      </c>
      <c r="CQ821" s="19">
        <f>Table1[[#This Row],[Mid27]]+Table1[[#This Row],[Mid30]]+Table1[[#This Row],[Mid33]]+Table1[[#This Row],[Mid36]]+Table1[[#This Row],[Mid39]]</f>
        <v>0</v>
      </c>
      <c r="CR821" t="s">
        <v>439</v>
      </c>
      <c r="CS821" s="19" t="str">
        <f>IF(AND(Table1[[#This Row],[Low41]]=0, Table1[[#This Row],[High43]]=0),"N","Y")</f>
        <v>N</v>
      </c>
    </row>
    <row r="822" spans="1:97" ht="19.5" customHeight="1" x14ac:dyDescent="0.25">
      <c r="A822">
        <v>10820</v>
      </c>
      <c r="B822" t="s">
        <v>2437</v>
      </c>
      <c r="C822" t="s">
        <v>2438</v>
      </c>
      <c r="D822">
        <v>8.6791666670000005</v>
      </c>
      <c r="E822">
        <v>100.0141667</v>
      </c>
      <c r="F822" t="s">
        <v>2519</v>
      </c>
      <c r="G822" t="s">
        <v>2450</v>
      </c>
      <c r="H822" t="s">
        <v>189</v>
      </c>
      <c r="I822" t="s">
        <v>2245</v>
      </c>
      <c r="J822" t="s">
        <v>202</v>
      </c>
      <c r="K822" t="s">
        <v>1044</v>
      </c>
      <c r="L822" t="s">
        <v>121</v>
      </c>
      <c r="M822" t="s">
        <v>252</v>
      </c>
      <c r="N822" s="6" t="s">
        <v>2441</v>
      </c>
      <c r="O822" t="s">
        <v>2442</v>
      </c>
      <c r="P822" t="s">
        <v>2443</v>
      </c>
      <c r="Q822" t="s">
        <v>255</v>
      </c>
      <c r="R822" t="s">
        <v>2444</v>
      </c>
      <c r="S822">
        <v>2013</v>
      </c>
      <c r="T822" t="s">
        <v>2257</v>
      </c>
      <c r="U822" t="s">
        <v>2445</v>
      </c>
      <c r="V822"/>
      <c r="AF822">
        <v>200</v>
      </c>
      <c r="AH822" t="s">
        <v>2446</v>
      </c>
      <c r="AI822" t="s">
        <v>2447</v>
      </c>
      <c r="AM822" t="s">
        <v>2448</v>
      </c>
      <c r="AN822" t="s">
        <v>132</v>
      </c>
      <c r="BN822">
        <v>10</v>
      </c>
      <c r="CE82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22"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8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22" t="s">
        <v>189</v>
      </c>
      <c r="CJ822" t="s">
        <v>158</v>
      </c>
      <c r="CL822" s="19">
        <f>IF(Table1[[#This Row],[Type]]="Petroleum",1,IF(ISERROR(Table1[[#This Row],[Well Density]]*Table1[[#This Row],[Single Well Discovery Area]]),"",IF(Table1[[#This Row],[Well Density]]*Table1[[#This Row],[Single Well Discovery Area]]&gt;1,1,Table1[[#This Row],[Well Density]]*Table1[[#This Row],[Single Well Discovery Area]])))</f>
        <v>1</v>
      </c>
      <c r="CM822" t="s">
        <v>2453</v>
      </c>
      <c r="CN822" s="19">
        <f>Table1[[#This Row],[Mid]]</f>
        <v>0</v>
      </c>
      <c r="CO822" s="19">
        <f>Table1[[#This Row],[Mid3]]+Table1[[#This Row],[Mid6]]+Table1[[#This Row],[Mid9]]</f>
        <v>0</v>
      </c>
      <c r="CP822" s="19">
        <f>Table1[[#This Row],[Mid12]]+Table1[[#This Row],[Mid15]]+Table1[[#This Row],[Mid18]]+Table1[[#This Row],[Mid21]]+Table1[[#This Row],[Mid24]]</f>
        <v>10</v>
      </c>
      <c r="CQ822" s="19">
        <f>Table1[[#This Row],[Mid27]]+Table1[[#This Row],[Mid30]]+Table1[[#This Row],[Mid33]]+Table1[[#This Row],[Mid36]]+Table1[[#This Row],[Mid39]]</f>
        <v>0</v>
      </c>
      <c r="CR822" t="s">
        <v>439</v>
      </c>
      <c r="CS822" s="19" t="str">
        <f>IF(AND(Table1[[#This Row],[Low41]]=0, Table1[[#This Row],[High43]]=0),"N","Y")</f>
        <v>N</v>
      </c>
    </row>
    <row r="823" spans="1:97" ht="19.5" customHeight="1" x14ac:dyDescent="0.25">
      <c r="A823">
        <v>10821</v>
      </c>
      <c r="B823" t="s">
        <v>2437</v>
      </c>
      <c r="C823" t="s">
        <v>2438</v>
      </c>
      <c r="D823">
        <v>9.3149999999999995</v>
      </c>
      <c r="E823">
        <v>100.0141667</v>
      </c>
      <c r="F823" t="s">
        <v>2520</v>
      </c>
      <c r="G823" t="s">
        <v>2450</v>
      </c>
      <c r="H823" t="s">
        <v>189</v>
      </c>
      <c r="I823" t="s">
        <v>2245</v>
      </c>
      <c r="J823" t="s">
        <v>202</v>
      </c>
      <c r="K823" t="s">
        <v>1044</v>
      </c>
      <c r="L823" t="s">
        <v>121</v>
      </c>
      <c r="M823" t="s">
        <v>252</v>
      </c>
      <c r="N823" s="6" t="s">
        <v>2441</v>
      </c>
      <c r="O823" t="s">
        <v>2442</v>
      </c>
      <c r="P823" t="s">
        <v>2443</v>
      </c>
      <c r="Q823" t="s">
        <v>255</v>
      </c>
      <c r="R823" t="s">
        <v>2444</v>
      </c>
      <c r="S823">
        <v>2013</v>
      </c>
      <c r="T823" t="s">
        <v>2257</v>
      </c>
      <c r="U823" t="s">
        <v>2445</v>
      </c>
      <c r="V823"/>
      <c r="AF823">
        <v>200</v>
      </c>
      <c r="AH823" t="s">
        <v>2446</v>
      </c>
      <c r="AI823" t="s">
        <v>2447</v>
      </c>
      <c r="AM823" t="s">
        <v>2448</v>
      </c>
      <c r="AN823" t="s">
        <v>132</v>
      </c>
      <c r="BN823">
        <v>10</v>
      </c>
      <c r="CE82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23"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8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823" t="s">
        <v>189</v>
      </c>
      <c r="CJ823" t="s">
        <v>158</v>
      </c>
      <c r="CL823" s="19">
        <f>IF(Table1[[#This Row],[Type]]="Petroleum",1,IF(ISERROR(Table1[[#This Row],[Well Density]]*Table1[[#This Row],[Single Well Discovery Area]]),"",IF(Table1[[#This Row],[Well Density]]*Table1[[#This Row],[Single Well Discovery Area]]&gt;1,1,Table1[[#This Row],[Well Density]]*Table1[[#This Row],[Single Well Discovery Area]])))</f>
        <v>1</v>
      </c>
      <c r="CM823" t="s">
        <v>2453</v>
      </c>
      <c r="CN823" s="19">
        <f>Table1[[#This Row],[Mid]]</f>
        <v>0</v>
      </c>
      <c r="CO823" s="19">
        <f>Table1[[#This Row],[Mid3]]+Table1[[#This Row],[Mid6]]+Table1[[#This Row],[Mid9]]</f>
        <v>0</v>
      </c>
      <c r="CP823" s="19">
        <f>Table1[[#This Row],[Mid12]]+Table1[[#This Row],[Mid15]]+Table1[[#This Row],[Mid18]]+Table1[[#This Row],[Mid21]]+Table1[[#This Row],[Mid24]]</f>
        <v>10</v>
      </c>
      <c r="CQ823" s="19">
        <f>Table1[[#This Row],[Mid27]]+Table1[[#This Row],[Mid30]]+Table1[[#This Row],[Mid33]]+Table1[[#This Row],[Mid36]]+Table1[[#This Row],[Mid39]]</f>
        <v>0</v>
      </c>
      <c r="CR823" t="s">
        <v>439</v>
      </c>
      <c r="CS823" s="19" t="str">
        <f>IF(AND(Table1[[#This Row],[Low41]]=0, Table1[[#This Row],[High43]]=0),"N","Y")</f>
        <v>N</v>
      </c>
    </row>
    <row r="824" spans="1:97" ht="19.5" customHeight="1" x14ac:dyDescent="0.25">
      <c r="A824">
        <v>10822</v>
      </c>
      <c r="B824" t="s">
        <v>2521</v>
      </c>
      <c r="C824" t="s">
        <v>2522</v>
      </c>
      <c r="D824">
        <v>23.421944440000001</v>
      </c>
      <c r="E824">
        <v>53.914999999999999</v>
      </c>
      <c r="F824" t="s">
        <v>2523</v>
      </c>
      <c r="G824" t="s">
        <v>2524</v>
      </c>
      <c r="H824" t="s">
        <v>2525</v>
      </c>
      <c r="I824" t="s">
        <v>118</v>
      </c>
      <c r="J824" t="s">
        <v>119</v>
      </c>
      <c r="K824" t="s">
        <v>190</v>
      </c>
      <c r="L824" t="s">
        <v>18</v>
      </c>
      <c r="M824" t="s">
        <v>148</v>
      </c>
      <c r="N824" s="6" t="s">
        <v>2526</v>
      </c>
      <c r="O824" t="s">
        <v>2527</v>
      </c>
      <c r="P824" t="s">
        <v>2528</v>
      </c>
      <c r="Q824" t="s">
        <v>2529</v>
      </c>
      <c r="S824">
        <v>2019</v>
      </c>
      <c r="T824" t="s">
        <v>2257</v>
      </c>
      <c r="U824" t="s">
        <v>2445</v>
      </c>
      <c r="V824">
        <v>11250</v>
      </c>
      <c r="Z824">
        <v>11</v>
      </c>
      <c r="AA824">
        <v>4</v>
      </c>
      <c r="AB824">
        <v>100000</v>
      </c>
      <c r="AC824">
        <v>787</v>
      </c>
      <c r="AD824">
        <v>3</v>
      </c>
      <c r="AE824">
        <v>2.66667E-4</v>
      </c>
      <c r="AF824">
        <v>20</v>
      </c>
      <c r="AH824" t="s">
        <v>2530</v>
      </c>
      <c r="AI824">
        <v>0.02</v>
      </c>
      <c r="AJ824">
        <v>2</v>
      </c>
      <c r="AM824" t="s">
        <v>1612</v>
      </c>
      <c r="AN824" t="s">
        <v>132</v>
      </c>
      <c r="CC824">
        <v>909</v>
      </c>
      <c r="CE82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24" s="19">
        <f>SUM(Table1[[#This Row],[Mid39]],Table1[[#This Row],[Mid36]],Table1[[#This Row],[Mid33]],Table1[[#This Row],[Mid30]],Table1[[#This Row],[Mid27]],Table1[[#This Row],[Mid24]],Table1[[#This Row],[Mid21]],Table1[[#This Row],[Mid18]],Table1[[#This Row],[Mid15]],Table1[[#This Row],[Mid12]],Table1[[#This Row],[Mid9]],Table1[[#This Row],[Mid6]],Table1[[#This Row],[Mid3]],Table1[[#This Row],[Mid]])</f>
        <v>909</v>
      </c>
      <c r="CG8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24" t="s">
        <v>133</v>
      </c>
      <c r="CI824" t="s">
        <v>176</v>
      </c>
      <c r="CJ824" t="s">
        <v>135</v>
      </c>
      <c r="CL824" s="19">
        <f>IF(Table1[[#This Row],[Type]]="Petroleum",1,IF(ISERROR(Table1[[#This Row],[Well Density]]*Table1[[#This Row],[Single Well Discovery Area]]),"",IF(Table1[[#This Row],[Well Density]]*Table1[[#This Row],[Single Well Discovery Area]]&gt;1,1,Table1[[#This Row],[Well Density]]*Table1[[#This Row],[Single Well Discovery Area]])))</f>
        <v>5.3333399999999998E-3</v>
      </c>
      <c r="CM824" t="s">
        <v>2453</v>
      </c>
      <c r="CN824" s="19">
        <f>Table1[[#This Row],[Mid]]</f>
        <v>0</v>
      </c>
      <c r="CO824" s="19">
        <f>Table1[[#This Row],[Mid3]]+Table1[[#This Row],[Mid6]]+Table1[[#This Row],[Mid9]]</f>
        <v>0</v>
      </c>
      <c r="CP824" s="19">
        <f>Table1[[#This Row],[Mid12]]+Table1[[#This Row],[Mid15]]+Table1[[#This Row],[Mid18]]+Table1[[#This Row],[Mid21]]+Table1[[#This Row],[Mid24]]</f>
        <v>0</v>
      </c>
      <c r="CQ824" s="19">
        <f>Table1[[#This Row],[Mid27]]+Table1[[#This Row],[Mid30]]+Table1[[#This Row],[Mid33]]+Table1[[#This Row],[Mid36]]+Table1[[#This Row],[Mid39]]</f>
        <v>909</v>
      </c>
      <c r="CR824" t="s">
        <v>2308</v>
      </c>
      <c r="CS824" s="19" t="str">
        <f>IF(AND(Table1[[#This Row],[Low41]]=0, Table1[[#This Row],[High43]]=0),"N","Y")</f>
        <v>N</v>
      </c>
    </row>
    <row r="825" spans="1:97" ht="19.5" customHeight="1" x14ac:dyDescent="0.25">
      <c r="A825">
        <v>10823</v>
      </c>
      <c r="B825" t="s">
        <v>2521</v>
      </c>
      <c r="C825" t="s">
        <v>2522</v>
      </c>
      <c r="D825">
        <v>23.421944440000001</v>
      </c>
      <c r="E825">
        <v>53.914999999999999</v>
      </c>
      <c r="F825" t="s">
        <v>2531</v>
      </c>
      <c r="G825" t="s">
        <v>2524</v>
      </c>
      <c r="H825" t="s">
        <v>2532</v>
      </c>
      <c r="I825" t="s">
        <v>118</v>
      </c>
      <c r="J825" t="s">
        <v>119</v>
      </c>
      <c r="K825" t="s">
        <v>190</v>
      </c>
      <c r="L825" t="s">
        <v>18</v>
      </c>
      <c r="M825" t="s">
        <v>191</v>
      </c>
      <c r="N825" s="6" t="s">
        <v>2526</v>
      </c>
      <c r="O825" t="s">
        <v>2527</v>
      </c>
      <c r="P825" t="s">
        <v>2528</v>
      </c>
      <c r="Q825" t="s">
        <v>2533</v>
      </c>
      <c r="R825" t="s">
        <v>2534</v>
      </c>
      <c r="S825">
        <v>2019</v>
      </c>
      <c r="T825" t="s">
        <v>2257</v>
      </c>
      <c r="U825" t="s">
        <v>2445</v>
      </c>
      <c r="V825"/>
      <c r="Z825">
        <v>21.67</v>
      </c>
      <c r="AA825">
        <v>66</v>
      </c>
      <c r="AB825">
        <v>100000</v>
      </c>
      <c r="AC825">
        <v>387</v>
      </c>
      <c r="AD825">
        <v>3</v>
      </c>
      <c r="AF825">
        <v>20</v>
      </c>
      <c r="AH825" t="s">
        <v>2530</v>
      </c>
      <c r="AI825">
        <v>0.02</v>
      </c>
      <c r="AJ825">
        <v>2</v>
      </c>
      <c r="AM825" t="s">
        <v>1612</v>
      </c>
      <c r="AN825" t="s">
        <v>132</v>
      </c>
      <c r="CC825">
        <v>5000</v>
      </c>
      <c r="CE82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25" s="19">
        <f>SUM(Table1[[#This Row],[Mid39]],Table1[[#This Row],[Mid36]],Table1[[#This Row],[Mid33]],Table1[[#This Row],[Mid30]],Table1[[#This Row],[Mid27]],Table1[[#This Row],[Mid24]],Table1[[#This Row],[Mid21]],Table1[[#This Row],[Mid18]],Table1[[#This Row],[Mid15]],Table1[[#This Row],[Mid12]],Table1[[#This Row],[Mid9]],Table1[[#This Row],[Mid6]],Table1[[#This Row],[Mid3]],Table1[[#This Row],[Mid]])</f>
        <v>5000</v>
      </c>
      <c r="CG8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25" t="s">
        <v>157</v>
      </c>
      <c r="CI825" t="s">
        <v>176</v>
      </c>
      <c r="CJ825" t="s">
        <v>135</v>
      </c>
      <c r="CL825" s="19">
        <f>IF(Table1[[#This Row],[Type]]="Petroleum",1,IF(ISERROR(Table1[[#This Row],[Well Density]]*Table1[[#This Row],[Single Well Discovery Area]]),"",IF(Table1[[#This Row],[Well Density]]*Table1[[#This Row],[Single Well Discovery Area]]&gt;1,1,Table1[[#This Row],[Well Density]]*Table1[[#This Row],[Single Well Discovery Area]])))</f>
        <v>0</v>
      </c>
      <c r="CM825" t="s">
        <v>2453</v>
      </c>
      <c r="CN825" s="19">
        <f>Table1[[#This Row],[Mid]]</f>
        <v>0</v>
      </c>
      <c r="CO825" s="19">
        <f>Table1[[#This Row],[Mid3]]+Table1[[#This Row],[Mid6]]+Table1[[#This Row],[Mid9]]</f>
        <v>0</v>
      </c>
      <c r="CP825" s="19">
        <f>Table1[[#This Row],[Mid12]]+Table1[[#This Row],[Mid15]]+Table1[[#This Row],[Mid18]]+Table1[[#This Row],[Mid21]]+Table1[[#This Row],[Mid24]]</f>
        <v>0</v>
      </c>
      <c r="CQ825" s="19">
        <f>Table1[[#This Row],[Mid27]]+Table1[[#This Row],[Mid30]]+Table1[[#This Row],[Mid33]]+Table1[[#This Row],[Mid36]]+Table1[[#This Row],[Mid39]]</f>
        <v>5000</v>
      </c>
      <c r="CR825" t="s">
        <v>2308</v>
      </c>
      <c r="CS825" s="19" t="str">
        <f>IF(AND(Table1[[#This Row],[Low41]]=0, Table1[[#This Row],[High43]]=0),"N","Y")</f>
        <v>N</v>
      </c>
    </row>
    <row r="826" spans="1:97" ht="19.5" customHeight="1" x14ac:dyDescent="0.25">
      <c r="A826">
        <v>10824</v>
      </c>
      <c r="B826" t="s">
        <v>2521</v>
      </c>
      <c r="C826" t="s">
        <v>2522</v>
      </c>
      <c r="D826">
        <v>23.421944440000001</v>
      </c>
      <c r="E826">
        <v>53.914999999999999</v>
      </c>
      <c r="F826" t="s">
        <v>2535</v>
      </c>
      <c r="G826" t="s">
        <v>2524</v>
      </c>
      <c r="H826" t="s">
        <v>2536</v>
      </c>
      <c r="I826" t="s">
        <v>118</v>
      </c>
      <c r="J826" t="s">
        <v>119</v>
      </c>
      <c r="K826" t="s">
        <v>190</v>
      </c>
      <c r="L826" t="s">
        <v>18</v>
      </c>
      <c r="M826" t="s">
        <v>1465</v>
      </c>
      <c r="N826" s="6" t="s">
        <v>2526</v>
      </c>
      <c r="O826" t="s">
        <v>2527</v>
      </c>
      <c r="P826" t="s">
        <v>170</v>
      </c>
      <c r="Q826" t="s">
        <v>195</v>
      </c>
      <c r="R826" t="s">
        <v>2537</v>
      </c>
      <c r="S826">
        <v>2019</v>
      </c>
      <c r="T826" t="s">
        <v>2257</v>
      </c>
      <c r="U826" t="s">
        <v>2445</v>
      </c>
      <c r="V826"/>
      <c r="Z826">
        <v>28</v>
      </c>
      <c r="AA826">
        <v>161</v>
      </c>
      <c r="AB826">
        <v>100000</v>
      </c>
      <c r="AC826">
        <v>278</v>
      </c>
      <c r="AD826">
        <v>3</v>
      </c>
      <c r="AF826">
        <v>20</v>
      </c>
      <c r="AH826" t="s">
        <v>2530</v>
      </c>
      <c r="AI826">
        <v>0.02</v>
      </c>
      <c r="AJ826">
        <v>2</v>
      </c>
      <c r="AM826" t="s">
        <v>2538</v>
      </c>
      <c r="AN826" t="s">
        <v>132</v>
      </c>
      <c r="CC826">
        <v>8898.2800000000007</v>
      </c>
      <c r="CE82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26" s="19">
        <f>SUM(Table1[[#This Row],[Mid39]],Table1[[#This Row],[Mid36]],Table1[[#This Row],[Mid33]],Table1[[#This Row],[Mid30]],Table1[[#This Row],[Mid27]],Table1[[#This Row],[Mid24]],Table1[[#This Row],[Mid21]],Table1[[#This Row],[Mid18]],Table1[[#This Row],[Mid15]],Table1[[#This Row],[Mid12]],Table1[[#This Row],[Mid9]],Table1[[#This Row],[Mid6]],Table1[[#This Row],[Mid3]],Table1[[#This Row],[Mid]])</f>
        <v>8898.2800000000007</v>
      </c>
      <c r="CG8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26" t="s">
        <v>157</v>
      </c>
      <c r="CI826" t="s">
        <v>176</v>
      </c>
      <c r="CJ826" t="s">
        <v>158</v>
      </c>
      <c r="CL826" s="19">
        <f>IF(Table1[[#This Row],[Type]]="Petroleum",1,IF(ISERROR(Table1[[#This Row],[Well Density]]*Table1[[#This Row],[Single Well Discovery Area]]),"",IF(Table1[[#This Row],[Well Density]]*Table1[[#This Row],[Single Well Discovery Area]]&gt;1,1,Table1[[#This Row],[Well Density]]*Table1[[#This Row],[Single Well Discovery Area]])))</f>
        <v>0</v>
      </c>
      <c r="CM826" t="s">
        <v>2453</v>
      </c>
      <c r="CN826" s="19">
        <f>Table1[[#This Row],[Mid]]</f>
        <v>0</v>
      </c>
      <c r="CO826" s="19">
        <f>Table1[[#This Row],[Mid3]]+Table1[[#This Row],[Mid6]]+Table1[[#This Row],[Mid9]]</f>
        <v>0</v>
      </c>
      <c r="CP826" s="19">
        <f>Table1[[#This Row],[Mid12]]+Table1[[#This Row],[Mid15]]+Table1[[#This Row],[Mid18]]+Table1[[#This Row],[Mid21]]+Table1[[#This Row],[Mid24]]</f>
        <v>0</v>
      </c>
      <c r="CQ826" s="19">
        <f>Table1[[#This Row],[Mid27]]+Table1[[#This Row],[Mid30]]+Table1[[#This Row],[Mid33]]+Table1[[#This Row],[Mid36]]+Table1[[#This Row],[Mid39]]</f>
        <v>8898.2800000000007</v>
      </c>
      <c r="CR826" t="s">
        <v>2308</v>
      </c>
      <c r="CS826" s="19" t="str">
        <f>IF(AND(Table1[[#This Row],[Low41]]=0, Table1[[#This Row],[High43]]=0),"N","Y")</f>
        <v>N</v>
      </c>
    </row>
    <row r="827" spans="1:97" ht="19.5" customHeight="1" x14ac:dyDescent="0.25">
      <c r="A827">
        <v>10825</v>
      </c>
      <c r="B827" t="s">
        <v>2521</v>
      </c>
      <c r="C827" t="s">
        <v>2522</v>
      </c>
      <c r="D827">
        <v>23.421944440000001</v>
      </c>
      <c r="E827">
        <v>53.914999999999999</v>
      </c>
      <c r="F827" t="s">
        <v>2539</v>
      </c>
      <c r="G827" t="s">
        <v>2524</v>
      </c>
      <c r="H827" t="s">
        <v>2540</v>
      </c>
      <c r="I827" t="s">
        <v>118</v>
      </c>
      <c r="J827" t="s">
        <v>119</v>
      </c>
      <c r="K827" t="s">
        <v>190</v>
      </c>
      <c r="L827" t="s">
        <v>18</v>
      </c>
      <c r="M827" t="s">
        <v>487</v>
      </c>
      <c r="N827" s="6" t="s">
        <v>2526</v>
      </c>
      <c r="O827" t="s">
        <v>2527</v>
      </c>
      <c r="P827" t="s">
        <v>170</v>
      </c>
      <c r="Q827" t="s">
        <v>195</v>
      </c>
      <c r="R827" t="s">
        <v>2541</v>
      </c>
      <c r="S827">
        <v>2019</v>
      </c>
      <c r="T827" t="s">
        <v>2257</v>
      </c>
      <c r="U827" t="s">
        <v>2445</v>
      </c>
      <c r="V827"/>
      <c r="Z827">
        <v>25</v>
      </c>
      <c r="AA827">
        <v>87</v>
      </c>
      <c r="AB827">
        <v>100000</v>
      </c>
      <c r="AC827">
        <v>121</v>
      </c>
      <c r="AD827">
        <v>3</v>
      </c>
      <c r="AF827">
        <v>20</v>
      </c>
      <c r="AH827" t="s">
        <v>2530</v>
      </c>
      <c r="AI827">
        <v>0.02</v>
      </c>
      <c r="AJ827">
        <v>2</v>
      </c>
      <c r="AM827" t="s">
        <v>2538</v>
      </c>
      <c r="AN827" t="s">
        <v>132</v>
      </c>
      <c r="CC827">
        <v>1895.55</v>
      </c>
      <c r="CE82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27" s="19">
        <f>SUM(Table1[[#This Row],[Mid39]],Table1[[#This Row],[Mid36]],Table1[[#This Row],[Mid33]],Table1[[#This Row],[Mid30]],Table1[[#This Row],[Mid27]],Table1[[#This Row],[Mid24]],Table1[[#This Row],[Mid21]],Table1[[#This Row],[Mid18]],Table1[[#This Row],[Mid15]],Table1[[#This Row],[Mid12]],Table1[[#This Row],[Mid9]],Table1[[#This Row],[Mid6]],Table1[[#This Row],[Mid3]],Table1[[#This Row],[Mid]])</f>
        <v>1895.55</v>
      </c>
      <c r="CG8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27" t="s">
        <v>157</v>
      </c>
      <c r="CI827" t="s">
        <v>176</v>
      </c>
      <c r="CJ827" t="s">
        <v>158</v>
      </c>
      <c r="CL827" s="19">
        <f>IF(Table1[[#This Row],[Type]]="Petroleum",1,IF(ISERROR(Table1[[#This Row],[Well Density]]*Table1[[#This Row],[Single Well Discovery Area]]),"",IF(Table1[[#This Row],[Well Density]]*Table1[[#This Row],[Single Well Discovery Area]]&gt;1,1,Table1[[#This Row],[Well Density]]*Table1[[#This Row],[Single Well Discovery Area]])))</f>
        <v>0</v>
      </c>
      <c r="CM827" t="s">
        <v>135</v>
      </c>
      <c r="CN827" s="19">
        <f>Table1[[#This Row],[Mid]]</f>
        <v>0</v>
      </c>
      <c r="CO827" s="19">
        <f>Table1[[#This Row],[Mid3]]+Table1[[#This Row],[Mid6]]+Table1[[#This Row],[Mid9]]</f>
        <v>0</v>
      </c>
      <c r="CP827" s="19">
        <f>Table1[[#This Row],[Mid12]]+Table1[[#This Row],[Mid15]]+Table1[[#This Row],[Mid18]]+Table1[[#This Row],[Mid21]]+Table1[[#This Row],[Mid24]]</f>
        <v>0</v>
      </c>
      <c r="CQ827" s="19">
        <f>Table1[[#This Row],[Mid27]]+Table1[[#This Row],[Mid30]]+Table1[[#This Row],[Mid33]]+Table1[[#This Row],[Mid36]]+Table1[[#This Row],[Mid39]]</f>
        <v>1895.55</v>
      </c>
      <c r="CR827" t="s">
        <v>2308</v>
      </c>
      <c r="CS827" s="19" t="str">
        <f>IF(AND(Table1[[#This Row],[Low41]]=0, Table1[[#This Row],[High43]]=0),"N","Y")</f>
        <v>N</v>
      </c>
    </row>
    <row r="828" spans="1:97" ht="19.5" customHeight="1" x14ac:dyDescent="0.25">
      <c r="A828">
        <v>10826</v>
      </c>
      <c r="B828" t="s">
        <v>2542</v>
      </c>
      <c r="C828" t="s">
        <v>2543</v>
      </c>
      <c r="D828">
        <v>10.215277779999999</v>
      </c>
      <c r="E828">
        <v>108.1919444</v>
      </c>
      <c r="F828" t="s">
        <v>2544</v>
      </c>
      <c r="G828" t="s">
        <v>2544</v>
      </c>
      <c r="H828" t="s">
        <v>252</v>
      </c>
      <c r="I828" t="s">
        <v>118</v>
      </c>
      <c r="J828" t="s">
        <v>119</v>
      </c>
      <c r="K828" t="s">
        <v>1044</v>
      </c>
      <c r="L828" t="s">
        <v>18</v>
      </c>
      <c r="M828" t="s">
        <v>2545</v>
      </c>
      <c r="N828" s="6" t="s">
        <v>2242</v>
      </c>
      <c r="O828" t="s">
        <v>2546</v>
      </c>
      <c r="P828" t="s">
        <v>1150</v>
      </c>
      <c r="Q828" t="s">
        <v>2547</v>
      </c>
      <c r="R828" t="s">
        <v>2548</v>
      </c>
      <c r="S828">
        <v>2013</v>
      </c>
      <c r="T828" t="s">
        <v>2257</v>
      </c>
      <c r="U828" t="s">
        <v>2445</v>
      </c>
      <c r="V828">
        <v>25000</v>
      </c>
      <c r="AE828">
        <v>0</v>
      </c>
      <c r="AF828">
        <v>200</v>
      </c>
      <c r="AH828" t="s">
        <v>1121</v>
      </c>
      <c r="AM828" t="s">
        <v>2549</v>
      </c>
      <c r="AN828" t="s">
        <v>132</v>
      </c>
      <c r="CC828">
        <v>1757</v>
      </c>
      <c r="CE82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28" s="19">
        <f>SUM(Table1[[#This Row],[Mid39]],Table1[[#This Row],[Mid36]],Table1[[#This Row],[Mid33]],Table1[[#This Row],[Mid30]],Table1[[#This Row],[Mid27]],Table1[[#This Row],[Mid24]],Table1[[#This Row],[Mid21]],Table1[[#This Row],[Mid18]],Table1[[#This Row],[Mid15]],Table1[[#This Row],[Mid12]],Table1[[#This Row],[Mid9]],Table1[[#This Row],[Mid6]],Table1[[#This Row],[Mid3]],Table1[[#This Row],[Mid]])</f>
        <v>1757</v>
      </c>
      <c r="CG8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28" t="s">
        <v>157</v>
      </c>
      <c r="CI828" t="s">
        <v>2471</v>
      </c>
      <c r="CJ828" t="s">
        <v>158</v>
      </c>
      <c r="CL828" s="19">
        <f>IF(Table1[[#This Row],[Type]]="Petroleum",1,IF(ISERROR(Table1[[#This Row],[Well Density]]*Table1[[#This Row],[Single Well Discovery Area]]),"",IF(Table1[[#This Row],[Well Density]]*Table1[[#This Row],[Single Well Discovery Area]]&gt;1,1,Table1[[#This Row],[Well Density]]*Table1[[#This Row],[Single Well Discovery Area]])))</f>
        <v>0</v>
      </c>
      <c r="CM828" t="s">
        <v>135</v>
      </c>
      <c r="CN828" s="19">
        <f>Table1[[#This Row],[Mid]]</f>
        <v>0</v>
      </c>
      <c r="CO828" s="19">
        <f>Table1[[#This Row],[Mid3]]+Table1[[#This Row],[Mid6]]+Table1[[#This Row],[Mid9]]</f>
        <v>0</v>
      </c>
      <c r="CP828" s="19">
        <f>Table1[[#This Row],[Mid12]]+Table1[[#This Row],[Mid15]]+Table1[[#This Row],[Mid18]]+Table1[[#This Row],[Mid21]]+Table1[[#This Row],[Mid24]]</f>
        <v>0</v>
      </c>
      <c r="CQ828" s="19">
        <f>Table1[[#This Row],[Mid27]]+Table1[[#This Row],[Mid30]]+Table1[[#This Row],[Mid33]]+Table1[[#This Row],[Mid36]]+Table1[[#This Row],[Mid39]]</f>
        <v>1757</v>
      </c>
      <c r="CR828" t="s">
        <v>439</v>
      </c>
      <c r="CS828" s="19" t="str">
        <f>IF(AND(Table1[[#This Row],[Low41]]=0, Table1[[#This Row],[High43]]=0),"N","Y")</f>
        <v>N</v>
      </c>
    </row>
    <row r="829" spans="1:97" ht="19.5" customHeight="1" x14ac:dyDescent="0.25">
      <c r="A829">
        <v>10827</v>
      </c>
      <c r="B829" t="s">
        <v>2542</v>
      </c>
      <c r="C829" t="s">
        <v>2543</v>
      </c>
      <c r="D829">
        <v>10.662000000000001</v>
      </c>
      <c r="E829">
        <v>103.51111109999999</v>
      </c>
      <c r="F829" t="s">
        <v>2550</v>
      </c>
      <c r="G829" t="s">
        <v>2551</v>
      </c>
      <c r="H829" t="s">
        <v>252</v>
      </c>
      <c r="I829" t="s">
        <v>118</v>
      </c>
      <c r="J829" t="s">
        <v>119</v>
      </c>
      <c r="K829" t="s">
        <v>1044</v>
      </c>
      <c r="L829" t="s">
        <v>18</v>
      </c>
      <c r="M829" t="s">
        <v>252</v>
      </c>
      <c r="N829" s="6" t="s">
        <v>2242</v>
      </c>
      <c r="O829" t="s">
        <v>2546</v>
      </c>
      <c r="P829" t="s">
        <v>1150</v>
      </c>
      <c r="Q829" t="s">
        <v>2547</v>
      </c>
      <c r="R829" t="s">
        <v>2552</v>
      </c>
      <c r="S829">
        <v>2013</v>
      </c>
      <c r="T829" t="s">
        <v>2257</v>
      </c>
      <c r="U829" t="s">
        <v>2445</v>
      </c>
      <c r="V829">
        <v>34000</v>
      </c>
      <c r="AE829">
        <v>0</v>
      </c>
      <c r="AF829">
        <v>200</v>
      </c>
      <c r="AH829" t="s">
        <v>1121</v>
      </c>
      <c r="AM829" t="s">
        <v>2553</v>
      </c>
      <c r="AN829" t="s">
        <v>132</v>
      </c>
      <c r="CC829">
        <v>327</v>
      </c>
      <c r="CE82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29" s="19">
        <f>SUM(Table1[[#This Row],[Mid39]],Table1[[#This Row],[Mid36]],Table1[[#This Row],[Mid33]],Table1[[#This Row],[Mid30]],Table1[[#This Row],[Mid27]],Table1[[#This Row],[Mid24]],Table1[[#This Row],[Mid21]],Table1[[#This Row],[Mid18]],Table1[[#This Row],[Mid15]],Table1[[#This Row],[Mid12]],Table1[[#This Row],[Mid9]],Table1[[#This Row],[Mid6]],Table1[[#This Row],[Mid3]],Table1[[#This Row],[Mid]])</f>
        <v>327</v>
      </c>
      <c r="CG8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29" t="s">
        <v>157</v>
      </c>
      <c r="CI829" t="s">
        <v>2471</v>
      </c>
      <c r="CJ829" t="s">
        <v>158</v>
      </c>
      <c r="CL829" s="19">
        <f>IF(Table1[[#This Row],[Type]]="Petroleum",1,IF(ISERROR(Table1[[#This Row],[Well Density]]*Table1[[#This Row],[Single Well Discovery Area]]),"",IF(Table1[[#This Row],[Well Density]]*Table1[[#This Row],[Single Well Discovery Area]]&gt;1,1,Table1[[#This Row],[Well Density]]*Table1[[#This Row],[Single Well Discovery Area]])))</f>
        <v>0</v>
      </c>
      <c r="CM829" t="s">
        <v>158</v>
      </c>
      <c r="CN829" s="19">
        <f>Table1[[#This Row],[Mid]]</f>
        <v>0</v>
      </c>
      <c r="CO829" s="19">
        <f>Table1[[#This Row],[Mid3]]+Table1[[#This Row],[Mid6]]+Table1[[#This Row],[Mid9]]</f>
        <v>0</v>
      </c>
      <c r="CP829" s="19">
        <f>Table1[[#This Row],[Mid12]]+Table1[[#This Row],[Mid15]]+Table1[[#This Row],[Mid18]]+Table1[[#This Row],[Mid21]]+Table1[[#This Row],[Mid24]]</f>
        <v>0</v>
      </c>
      <c r="CQ829" s="19">
        <f>Table1[[#This Row],[Mid27]]+Table1[[#This Row],[Mid30]]+Table1[[#This Row],[Mid33]]+Table1[[#This Row],[Mid36]]+Table1[[#This Row],[Mid39]]</f>
        <v>327</v>
      </c>
      <c r="CR829" t="s">
        <v>439</v>
      </c>
      <c r="CS829" s="19" t="str">
        <f>IF(AND(Table1[[#This Row],[Low41]]=0, Table1[[#This Row],[High43]]=0),"N","Y")</f>
        <v>N</v>
      </c>
    </row>
    <row r="830" spans="1:97" ht="19.5" customHeight="1" x14ac:dyDescent="0.25">
      <c r="A830">
        <v>10828</v>
      </c>
      <c r="B830" t="s">
        <v>2542</v>
      </c>
      <c r="C830" t="s">
        <v>2543</v>
      </c>
      <c r="D830">
        <v>0.142666667</v>
      </c>
      <c r="E830">
        <v>107.5166667</v>
      </c>
      <c r="F830" t="s">
        <v>2554</v>
      </c>
      <c r="G830" t="s">
        <v>2555</v>
      </c>
      <c r="H830" t="s">
        <v>252</v>
      </c>
      <c r="I830" t="s">
        <v>118</v>
      </c>
      <c r="J830" t="s">
        <v>119</v>
      </c>
      <c r="K830" t="s">
        <v>1044</v>
      </c>
      <c r="L830" t="s">
        <v>18</v>
      </c>
      <c r="M830" t="s">
        <v>252</v>
      </c>
      <c r="N830" s="6" t="s">
        <v>2242</v>
      </c>
      <c r="O830" t="s">
        <v>2546</v>
      </c>
      <c r="P830" t="s">
        <v>1150</v>
      </c>
      <c r="Q830" t="s">
        <v>2547</v>
      </c>
      <c r="R830" t="s">
        <v>2548</v>
      </c>
      <c r="S830">
        <v>2013</v>
      </c>
      <c r="T830" t="s">
        <v>2257</v>
      </c>
      <c r="U830" t="s">
        <v>2445</v>
      </c>
      <c r="V830">
        <v>75000</v>
      </c>
      <c r="AE830">
        <v>0</v>
      </c>
      <c r="AF830">
        <v>200</v>
      </c>
      <c r="AH830" t="s">
        <v>1121</v>
      </c>
      <c r="AM830" t="s">
        <v>2553</v>
      </c>
      <c r="AN830" t="s">
        <v>132</v>
      </c>
      <c r="CC830">
        <v>1544</v>
      </c>
      <c r="CE83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30" s="19">
        <f>SUM(Table1[[#This Row],[Mid39]],Table1[[#This Row],[Mid36]],Table1[[#This Row],[Mid33]],Table1[[#This Row],[Mid30]],Table1[[#This Row],[Mid27]],Table1[[#This Row],[Mid24]],Table1[[#This Row],[Mid21]],Table1[[#This Row],[Mid18]],Table1[[#This Row],[Mid15]],Table1[[#This Row],[Mid12]],Table1[[#This Row],[Mid9]],Table1[[#This Row],[Mid6]],Table1[[#This Row],[Mid3]],Table1[[#This Row],[Mid]])</f>
        <v>1544</v>
      </c>
      <c r="CG8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30" t="s">
        <v>157</v>
      </c>
      <c r="CI830" t="s">
        <v>2471</v>
      </c>
      <c r="CJ830" t="s">
        <v>158</v>
      </c>
      <c r="CL830" s="19">
        <f>IF(Table1[[#This Row],[Type]]="Petroleum",1,IF(ISERROR(Table1[[#This Row],[Well Density]]*Table1[[#This Row],[Single Well Discovery Area]]),"",IF(Table1[[#This Row],[Well Density]]*Table1[[#This Row],[Single Well Discovery Area]]&gt;1,1,Table1[[#This Row],[Well Density]]*Table1[[#This Row],[Single Well Discovery Area]])))</f>
        <v>0</v>
      </c>
      <c r="CM830" t="s">
        <v>158</v>
      </c>
      <c r="CN830" s="19">
        <f>Table1[[#This Row],[Mid]]</f>
        <v>0</v>
      </c>
      <c r="CO830" s="19">
        <f>Table1[[#This Row],[Mid3]]+Table1[[#This Row],[Mid6]]+Table1[[#This Row],[Mid9]]</f>
        <v>0</v>
      </c>
      <c r="CP830" s="19">
        <f>Table1[[#This Row],[Mid12]]+Table1[[#This Row],[Mid15]]+Table1[[#This Row],[Mid18]]+Table1[[#This Row],[Mid21]]+Table1[[#This Row],[Mid24]]</f>
        <v>0</v>
      </c>
      <c r="CQ830" s="19">
        <f>Table1[[#This Row],[Mid27]]+Table1[[#This Row],[Mid30]]+Table1[[#This Row],[Mid33]]+Table1[[#This Row],[Mid36]]+Table1[[#This Row],[Mid39]]</f>
        <v>1544</v>
      </c>
      <c r="CR830" t="s">
        <v>439</v>
      </c>
      <c r="CS830" s="19" t="str">
        <f>IF(AND(Table1[[#This Row],[Low41]]=0, Table1[[#This Row],[High43]]=0),"N","Y")</f>
        <v>N</v>
      </c>
    </row>
    <row r="831" spans="1:97" ht="19.5" customHeight="1" x14ac:dyDescent="0.25">
      <c r="A831">
        <v>10829</v>
      </c>
      <c r="B831" t="s">
        <v>2542</v>
      </c>
      <c r="C831" t="s">
        <v>2543</v>
      </c>
      <c r="D831">
        <v>0.14299999999999999</v>
      </c>
      <c r="E831">
        <v>110.46166669999999</v>
      </c>
      <c r="F831" t="s">
        <v>2556</v>
      </c>
      <c r="G831" t="s">
        <v>2557</v>
      </c>
      <c r="H831" t="s">
        <v>252</v>
      </c>
      <c r="I831" t="s">
        <v>118</v>
      </c>
      <c r="J831" t="s">
        <v>119</v>
      </c>
      <c r="K831" t="s">
        <v>1044</v>
      </c>
      <c r="L831" t="s">
        <v>18</v>
      </c>
      <c r="M831" t="s">
        <v>252</v>
      </c>
      <c r="N831" s="6" t="s">
        <v>2242</v>
      </c>
      <c r="O831" t="s">
        <v>2546</v>
      </c>
      <c r="P831" t="s">
        <v>1150</v>
      </c>
      <c r="Q831" t="s">
        <v>2547</v>
      </c>
      <c r="R831" t="s">
        <v>2548</v>
      </c>
      <c r="S831">
        <v>2013</v>
      </c>
      <c r="T831" t="s">
        <v>2257</v>
      </c>
      <c r="U831" t="s">
        <v>2445</v>
      </c>
      <c r="V831">
        <v>80000</v>
      </c>
      <c r="AE831">
        <v>0</v>
      </c>
      <c r="AF831">
        <v>200</v>
      </c>
      <c r="AH831" t="s">
        <v>1121</v>
      </c>
      <c r="AM831" t="s">
        <v>2553</v>
      </c>
      <c r="AN831" t="s">
        <v>132</v>
      </c>
      <c r="CC831">
        <v>1822</v>
      </c>
      <c r="CE8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31" s="19">
        <f>SUM(Table1[[#This Row],[Mid39]],Table1[[#This Row],[Mid36]],Table1[[#This Row],[Mid33]],Table1[[#This Row],[Mid30]],Table1[[#This Row],[Mid27]],Table1[[#This Row],[Mid24]],Table1[[#This Row],[Mid21]],Table1[[#This Row],[Mid18]],Table1[[#This Row],[Mid15]],Table1[[#This Row],[Mid12]],Table1[[#This Row],[Mid9]],Table1[[#This Row],[Mid6]],Table1[[#This Row],[Mid3]],Table1[[#This Row],[Mid]])</f>
        <v>1822</v>
      </c>
      <c r="CG8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31" t="s">
        <v>157</v>
      </c>
      <c r="CI831" t="s">
        <v>2471</v>
      </c>
      <c r="CJ831" t="s">
        <v>158</v>
      </c>
      <c r="CL831" s="19">
        <f>IF(Table1[[#This Row],[Type]]="Petroleum",1,IF(ISERROR(Table1[[#This Row],[Well Density]]*Table1[[#This Row],[Single Well Discovery Area]]),"",IF(Table1[[#This Row],[Well Density]]*Table1[[#This Row],[Single Well Discovery Area]]&gt;1,1,Table1[[#This Row],[Well Density]]*Table1[[#This Row],[Single Well Discovery Area]])))</f>
        <v>0</v>
      </c>
      <c r="CM831" t="s">
        <v>158</v>
      </c>
      <c r="CN831" s="19">
        <f>Table1[[#This Row],[Mid]]</f>
        <v>0</v>
      </c>
      <c r="CO831" s="19">
        <f>Table1[[#This Row],[Mid3]]+Table1[[#This Row],[Mid6]]+Table1[[#This Row],[Mid9]]</f>
        <v>0</v>
      </c>
      <c r="CP831" s="19">
        <f>Table1[[#This Row],[Mid12]]+Table1[[#This Row],[Mid15]]+Table1[[#This Row],[Mid18]]+Table1[[#This Row],[Mid21]]+Table1[[#This Row],[Mid24]]</f>
        <v>0</v>
      </c>
      <c r="CQ831" s="19">
        <f>Table1[[#This Row],[Mid27]]+Table1[[#This Row],[Mid30]]+Table1[[#This Row],[Mid33]]+Table1[[#This Row],[Mid36]]+Table1[[#This Row],[Mid39]]</f>
        <v>1822</v>
      </c>
      <c r="CR831" t="s">
        <v>439</v>
      </c>
      <c r="CS831" s="19" t="str">
        <f>IF(AND(Table1[[#This Row],[Low41]]=0, Table1[[#This Row],[High43]]=0),"N","Y")</f>
        <v>N</v>
      </c>
    </row>
    <row r="832" spans="1:97" ht="19.5" customHeight="1" x14ac:dyDescent="0.25">
      <c r="A832">
        <v>10830</v>
      </c>
      <c r="B832" t="s">
        <v>2542</v>
      </c>
      <c r="C832" t="s">
        <v>2558</v>
      </c>
      <c r="D832">
        <v>1.1036972220000001</v>
      </c>
      <c r="E832">
        <v>110.5277778</v>
      </c>
      <c r="F832" t="s">
        <v>2559</v>
      </c>
      <c r="G832" t="s">
        <v>2559</v>
      </c>
      <c r="H832" t="s">
        <v>252</v>
      </c>
      <c r="I832" t="s">
        <v>118</v>
      </c>
      <c r="J832" t="s">
        <v>119</v>
      </c>
      <c r="K832" t="s">
        <v>1044</v>
      </c>
      <c r="L832" t="s">
        <v>18</v>
      </c>
      <c r="M832" t="s">
        <v>252</v>
      </c>
      <c r="N832" s="6" t="s">
        <v>2242</v>
      </c>
      <c r="O832" t="s">
        <v>2546</v>
      </c>
      <c r="P832" t="s">
        <v>1150</v>
      </c>
      <c r="Q832" t="s">
        <v>2547</v>
      </c>
      <c r="R832" t="s">
        <v>2548</v>
      </c>
      <c r="S832">
        <v>2013</v>
      </c>
      <c r="T832" t="s">
        <v>2257</v>
      </c>
      <c r="U832" t="s">
        <v>2445</v>
      </c>
      <c r="V832">
        <v>80000</v>
      </c>
      <c r="AE832">
        <v>0</v>
      </c>
      <c r="AF832">
        <v>200</v>
      </c>
      <c r="AH832" t="s">
        <v>1121</v>
      </c>
      <c r="AM832" t="s">
        <v>2553</v>
      </c>
      <c r="AN832" t="s">
        <v>132</v>
      </c>
      <c r="CC832">
        <v>2496</v>
      </c>
      <c r="CE83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32" s="19">
        <f>SUM(Table1[[#This Row],[Mid39]],Table1[[#This Row],[Mid36]],Table1[[#This Row],[Mid33]],Table1[[#This Row],[Mid30]],Table1[[#This Row],[Mid27]],Table1[[#This Row],[Mid24]],Table1[[#This Row],[Mid21]],Table1[[#This Row],[Mid18]],Table1[[#This Row],[Mid15]],Table1[[#This Row],[Mid12]],Table1[[#This Row],[Mid9]],Table1[[#This Row],[Mid6]],Table1[[#This Row],[Mid3]],Table1[[#This Row],[Mid]])</f>
        <v>2496</v>
      </c>
      <c r="CG8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32" t="s">
        <v>157</v>
      </c>
      <c r="CI832" t="s">
        <v>2471</v>
      </c>
      <c r="CJ832" t="s">
        <v>158</v>
      </c>
      <c r="CL832" s="19">
        <f>IF(Table1[[#This Row],[Type]]="Petroleum",1,IF(ISERROR(Table1[[#This Row],[Well Density]]*Table1[[#This Row],[Single Well Discovery Area]]),"",IF(Table1[[#This Row],[Well Density]]*Table1[[#This Row],[Single Well Discovery Area]]&gt;1,1,Table1[[#This Row],[Well Density]]*Table1[[#This Row],[Single Well Discovery Area]])))</f>
        <v>0</v>
      </c>
      <c r="CM832" t="s">
        <v>158</v>
      </c>
      <c r="CN832" s="19">
        <f>Table1[[#This Row],[Mid]]</f>
        <v>0</v>
      </c>
      <c r="CO832" s="19">
        <f>Table1[[#This Row],[Mid3]]+Table1[[#This Row],[Mid6]]+Table1[[#This Row],[Mid9]]</f>
        <v>0</v>
      </c>
      <c r="CP832" s="19">
        <f>Table1[[#This Row],[Mid12]]+Table1[[#This Row],[Mid15]]+Table1[[#This Row],[Mid18]]+Table1[[#This Row],[Mid21]]+Table1[[#This Row],[Mid24]]</f>
        <v>0</v>
      </c>
      <c r="CQ832" s="19">
        <f>Table1[[#This Row],[Mid27]]+Table1[[#This Row],[Mid30]]+Table1[[#This Row],[Mid33]]+Table1[[#This Row],[Mid36]]+Table1[[#This Row],[Mid39]]</f>
        <v>2496</v>
      </c>
      <c r="CR832" t="s">
        <v>439</v>
      </c>
      <c r="CS832" s="19" t="str">
        <f>IF(AND(Table1[[#This Row],[Low41]]=0, Table1[[#This Row],[High43]]=0),"N","Y")</f>
        <v>N</v>
      </c>
    </row>
    <row r="833" spans="1:97" ht="19.5" customHeight="1" x14ac:dyDescent="0.25">
      <c r="A833">
        <v>10831</v>
      </c>
      <c r="B833" t="s">
        <v>2542</v>
      </c>
      <c r="C833" t="s">
        <v>2560</v>
      </c>
      <c r="D833">
        <v>18.505555560000001</v>
      </c>
      <c r="E833">
        <v>108.34888890000001</v>
      </c>
      <c r="F833" t="s">
        <v>2561</v>
      </c>
      <c r="G833" t="s">
        <v>2562</v>
      </c>
      <c r="H833" t="s">
        <v>252</v>
      </c>
      <c r="I833" t="s">
        <v>118</v>
      </c>
      <c r="J833" t="s">
        <v>119</v>
      </c>
      <c r="K833" t="s">
        <v>1044</v>
      </c>
      <c r="L833" t="s">
        <v>18</v>
      </c>
      <c r="M833" t="s">
        <v>252</v>
      </c>
      <c r="N833" s="6" t="s">
        <v>2242</v>
      </c>
      <c r="O833" t="s">
        <v>2546</v>
      </c>
      <c r="P833" t="s">
        <v>1150</v>
      </c>
      <c r="Q833" t="s">
        <v>2547</v>
      </c>
      <c r="R833" t="s">
        <v>2548</v>
      </c>
      <c r="S833">
        <v>2013</v>
      </c>
      <c r="T833" t="s">
        <v>2257</v>
      </c>
      <c r="U833" t="s">
        <v>2445</v>
      </c>
      <c r="V833">
        <v>65000</v>
      </c>
      <c r="AE833">
        <v>0</v>
      </c>
      <c r="AF833">
        <v>200</v>
      </c>
      <c r="AH833" t="s">
        <v>1121</v>
      </c>
      <c r="AM833" t="s">
        <v>2553</v>
      </c>
      <c r="AN833" t="s">
        <v>132</v>
      </c>
      <c r="CC833">
        <v>2429</v>
      </c>
      <c r="CE83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33" s="19">
        <f>SUM(Table1[[#This Row],[Mid39]],Table1[[#This Row],[Mid36]],Table1[[#This Row],[Mid33]],Table1[[#This Row],[Mid30]],Table1[[#This Row],[Mid27]],Table1[[#This Row],[Mid24]],Table1[[#This Row],[Mid21]],Table1[[#This Row],[Mid18]],Table1[[#This Row],[Mid15]],Table1[[#This Row],[Mid12]],Table1[[#This Row],[Mid9]],Table1[[#This Row],[Mid6]],Table1[[#This Row],[Mid3]],Table1[[#This Row],[Mid]])</f>
        <v>2429</v>
      </c>
      <c r="CG8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33" t="s">
        <v>157</v>
      </c>
      <c r="CI833" t="s">
        <v>2471</v>
      </c>
      <c r="CJ833" t="s">
        <v>158</v>
      </c>
      <c r="CL833" s="19">
        <f>IF(Table1[[#This Row],[Type]]="Petroleum",1,IF(ISERROR(Table1[[#This Row],[Well Density]]*Table1[[#This Row],[Single Well Discovery Area]]),"",IF(Table1[[#This Row],[Well Density]]*Table1[[#This Row],[Single Well Discovery Area]]&gt;1,1,Table1[[#This Row],[Well Density]]*Table1[[#This Row],[Single Well Discovery Area]])))</f>
        <v>0</v>
      </c>
      <c r="CM833" t="s">
        <v>158</v>
      </c>
      <c r="CN833" s="19">
        <f>Table1[[#This Row],[Mid]]</f>
        <v>0</v>
      </c>
      <c r="CO833" s="19">
        <f>Table1[[#This Row],[Mid3]]+Table1[[#This Row],[Mid6]]+Table1[[#This Row],[Mid9]]</f>
        <v>0</v>
      </c>
      <c r="CP833" s="19">
        <f>Table1[[#This Row],[Mid12]]+Table1[[#This Row],[Mid15]]+Table1[[#This Row],[Mid18]]+Table1[[#This Row],[Mid21]]+Table1[[#This Row],[Mid24]]</f>
        <v>0</v>
      </c>
      <c r="CQ833" s="19">
        <f>Table1[[#This Row],[Mid27]]+Table1[[#This Row],[Mid30]]+Table1[[#This Row],[Mid33]]+Table1[[#This Row],[Mid36]]+Table1[[#This Row],[Mid39]]</f>
        <v>2429</v>
      </c>
      <c r="CR833" t="s">
        <v>439</v>
      </c>
      <c r="CS833" s="19" t="str">
        <f>IF(AND(Table1[[#This Row],[Low41]]=0, Table1[[#This Row],[High43]]=0),"N","Y")</f>
        <v>N</v>
      </c>
    </row>
    <row r="834" spans="1:97" ht="19.5" customHeight="1" x14ac:dyDescent="0.25">
      <c r="A834">
        <v>10832</v>
      </c>
      <c r="B834" t="s">
        <v>2542</v>
      </c>
      <c r="C834" t="s">
        <v>2543</v>
      </c>
      <c r="D834">
        <v>10.34111111</v>
      </c>
      <c r="E834">
        <v>108.4152778</v>
      </c>
      <c r="F834" t="s">
        <v>2563</v>
      </c>
      <c r="G834" t="s">
        <v>2544</v>
      </c>
      <c r="H834" t="s">
        <v>2564</v>
      </c>
      <c r="I834" t="s">
        <v>433</v>
      </c>
      <c r="J834" t="s">
        <v>202</v>
      </c>
      <c r="K834" t="s">
        <v>190</v>
      </c>
      <c r="L834" t="s">
        <v>121</v>
      </c>
      <c r="M834" t="s">
        <v>2565</v>
      </c>
      <c r="N834" s="27" t="s">
        <v>2566</v>
      </c>
      <c r="O834" t="s">
        <v>2567</v>
      </c>
      <c r="P834" t="s">
        <v>2568</v>
      </c>
      <c r="Q834" t="s">
        <v>2569</v>
      </c>
      <c r="R834" t="s">
        <v>2570</v>
      </c>
      <c r="S834">
        <v>2019</v>
      </c>
      <c r="T834" t="s">
        <v>2571</v>
      </c>
      <c r="U834" t="s">
        <v>2445</v>
      </c>
      <c r="V834">
        <v>108</v>
      </c>
      <c r="W834">
        <v>2156.5</v>
      </c>
      <c r="X834">
        <v>334</v>
      </c>
      <c r="AC834">
        <v>768.9</v>
      </c>
      <c r="AD834">
        <v>3</v>
      </c>
      <c r="AE834">
        <v>2.7777777999999999E-2</v>
      </c>
      <c r="AF834">
        <v>200</v>
      </c>
      <c r="AH834" t="s">
        <v>2572</v>
      </c>
      <c r="AI834">
        <v>0.5</v>
      </c>
      <c r="AM834" t="s">
        <v>2538</v>
      </c>
      <c r="AN834" t="s">
        <v>132</v>
      </c>
      <c r="BM834">
        <v>7.02</v>
      </c>
      <c r="BN834">
        <v>43.23</v>
      </c>
      <c r="BO834">
        <v>99.52</v>
      </c>
      <c r="CC834">
        <v>10375</v>
      </c>
      <c r="CE834" s="19">
        <f>SUM(Table1[[#This Row],[Low38]],Table1[[#This Row],[Low35]],Table1[[#This Row],[Low32]],Table1[[#This Row],[Low29]],Table1[[#This Row],[Low26]],Table1[[#This Row],[Low23]],Table1[[#This Row],[Low20]],Table1[[#This Row],[Low17]],Table1[[#This Row],[Low14]],Table1[[#This Row],[Low11]],Table1[[#This Row],[Low8]],Table1[[#This Row],[Low5]],Table1[[#This Row],[Low2]],Table1[[#This Row],[Low]])</f>
        <v>7.02</v>
      </c>
      <c r="CF834" s="19">
        <f>SUM(Table1[[#This Row],[Mid39]],Table1[[#This Row],[Mid36]],Table1[[#This Row],[Mid33]],Table1[[#This Row],[Mid30]],Table1[[#This Row],[Mid27]],Table1[[#This Row],[Mid24]],Table1[[#This Row],[Mid21]],Table1[[#This Row],[Mid18]],Table1[[#This Row],[Mid15]],Table1[[#This Row],[Mid12]],Table1[[#This Row],[Mid9]],Table1[[#This Row],[Mid6]],Table1[[#This Row],[Mid3]],Table1[[#This Row],[Mid]])</f>
        <v>10418.23</v>
      </c>
      <c r="CG8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99.52</v>
      </c>
      <c r="CH834" t="s">
        <v>133</v>
      </c>
      <c r="CI834" t="s">
        <v>2573</v>
      </c>
      <c r="CJ834" t="s">
        <v>158</v>
      </c>
      <c r="CL834" s="19">
        <f>IF(Table1[[#This Row],[Type]]="Petroleum",1,IF(ISERROR(Table1[[#This Row],[Well Density]]*Table1[[#This Row],[Single Well Discovery Area]]),"",IF(Table1[[#This Row],[Well Density]]*Table1[[#This Row],[Single Well Discovery Area]]&gt;1,1,Table1[[#This Row],[Well Density]]*Table1[[#This Row],[Single Well Discovery Area]])))</f>
        <v>1</v>
      </c>
      <c r="CM834" t="s">
        <v>158</v>
      </c>
      <c r="CN834" s="19">
        <f>Table1[[#This Row],[Mid]]</f>
        <v>0</v>
      </c>
      <c r="CO834" s="19">
        <f>Table1[[#This Row],[Mid3]]+Table1[[#This Row],[Mid6]]+Table1[[#This Row],[Mid9]]</f>
        <v>0</v>
      </c>
      <c r="CP834" s="19">
        <f>Table1[[#This Row],[Mid12]]+Table1[[#This Row],[Mid15]]+Table1[[#This Row],[Mid18]]+Table1[[#This Row],[Mid21]]+Table1[[#This Row],[Mid24]]</f>
        <v>43.23</v>
      </c>
      <c r="CQ834" s="19">
        <f>Table1[[#This Row],[Mid27]]+Table1[[#This Row],[Mid30]]+Table1[[#This Row],[Mid33]]+Table1[[#This Row],[Mid36]]+Table1[[#This Row],[Mid39]]</f>
        <v>10375</v>
      </c>
      <c r="CR834" t="s">
        <v>439</v>
      </c>
      <c r="CS834" s="19" t="str">
        <f>IF(AND(Table1[[#This Row],[Low41]]=0, Table1[[#This Row],[High43]]=0),"N","Y")</f>
        <v>Y</v>
      </c>
    </row>
    <row r="835" spans="1:97" ht="19.5" customHeight="1" x14ac:dyDescent="0.25">
      <c r="A835">
        <v>10833</v>
      </c>
      <c r="B835" t="s">
        <v>2542</v>
      </c>
      <c r="C835" t="s">
        <v>2543</v>
      </c>
      <c r="D835">
        <v>7.136111111</v>
      </c>
      <c r="E835">
        <v>104.3919444</v>
      </c>
      <c r="F835" t="s">
        <v>2574</v>
      </c>
      <c r="G835" t="s">
        <v>1270</v>
      </c>
      <c r="H835" t="s">
        <v>2575</v>
      </c>
      <c r="I835" t="s">
        <v>118</v>
      </c>
      <c r="J835" t="s">
        <v>119</v>
      </c>
      <c r="K835" t="s">
        <v>190</v>
      </c>
      <c r="L835" t="s">
        <v>18</v>
      </c>
      <c r="M835" t="s">
        <v>252</v>
      </c>
      <c r="N835" s="6" t="s">
        <v>1037</v>
      </c>
      <c r="O835" t="s">
        <v>1272</v>
      </c>
      <c r="P835" t="s">
        <v>2576</v>
      </c>
      <c r="Q835" t="s">
        <v>2577</v>
      </c>
      <c r="R835" t="s">
        <v>2578</v>
      </c>
      <c r="S835">
        <v>2010</v>
      </c>
      <c r="T835" t="s">
        <v>2571</v>
      </c>
      <c r="U835" t="s">
        <v>2445</v>
      </c>
      <c r="V835"/>
      <c r="W835">
        <v>2400</v>
      </c>
      <c r="X835">
        <v>300</v>
      </c>
      <c r="Z835">
        <v>28</v>
      </c>
      <c r="AA835">
        <v>100</v>
      </c>
      <c r="AD835">
        <v>4</v>
      </c>
      <c r="AF835">
        <v>200</v>
      </c>
      <c r="AH835" t="s">
        <v>2579</v>
      </c>
      <c r="AK835">
        <v>43</v>
      </c>
      <c r="AN835" t="s">
        <v>132</v>
      </c>
      <c r="CC835">
        <v>26.3</v>
      </c>
      <c r="CE83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35" s="19">
        <f>SUM(Table1[[#This Row],[Mid39]],Table1[[#This Row],[Mid36]],Table1[[#This Row],[Mid33]],Table1[[#This Row],[Mid30]],Table1[[#This Row],[Mid27]],Table1[[#This Row],[Mid24]],Table1[[#This Row],[Mid21]],Table1[[#This Row],[Mid18]],Table1[[#This Row],[Mid15]],Table1[[#This Row],[Mid12]],Table1[[#This Row],[Mid9]],Table1[[#This Row],[Mid6]],Table1[[#This Row],[Mid3]],Table1[[#This Row],[Mid]])</f>
        <v>26.3</v>
      </c>
      <c r="CG8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35" t="s">
        <v>157</v>
      </c>
      <c r="CI835" t="s">
        <v>2471</v>
      </c>
      <c r="CJ835" t="s">
        <v>135</v>
      </c>
      <c r="CL835" s="19">
        <f>IF(Table1[[#This Row],[Type]]="Petroleum",1,IF(ISERROR(Table1[[#This Row],[Well Density]]*Table1[[#This Row],[Single Well Discovery Area]]),"",IF(Table1[[#This Row],[Well Density]]*Table1[[#This Row],[Single Well Discovery Area]]&gt;1,1,Table1[[#This Row],[Well Density]]*Table1[[#This Row],[Single Well Discovery Area]])))</f>
        <v>0</v>
      </c>
      <c r="CM835" t="s">
        <v>158</v>
      </c>
      <c r="CN835" s="19">
        <f>Table1[[#This Row],[Mid]]</f>
        <v>0</v>
      </c>
      <c r="CO835" s="19">
        <f>Table1[[#This Row],[Mid3]]+Table1[[#This Row],[Mid6]]+Table1[[#This Row],[Mid9]]</f>
        <v>0</v>
      </c>
      <c r="CP835" s="19">
        <f>Table1[[#This Row],[Mid12]]+Table1[[#This Row],[Mid15]]+Table1[[#This Row],[Mid18]]+Table1[[#This Row],[Mid21]]+Table1[[#This Row],[Mid24]]</f>
        <v>0</v>
      </c>
      <c r="CQ835" s="19">
        <f>Table1[[#This Row],[Mid27]]+Table1[[#This Row],[Mid30]]+Table1[[#This Row],[Mid33]]+Table1[[#This Row],[Mid36]]+Table1[[#This Row],[Mid39]]</f>
        <v>26.3</v>
      </c>
      <c r="CR835" t="s">
        <v>439</v>
      </c>
      <c r="CS835" s="19" t="str">
        <f>IF(AND(Table1[[#This Row],[Low41]]=0, Table1[[#This Row],[High43]]=0),"N","Y")</f>
        <v>N</v>
      </c>
    </row>
    <row r="836" spans="1:97" ht="19.5" customHeight="1" x14ac:dyDescent="0.25">
      <c r="A836">
        <v>10834</v>
      </c>
      <c r="B836" t="s">
        <v>2542</v>
      </c>
      <c r="C836" t="s">
        <v>2543</v>
      </c>
      <c r="D836">
        <v>7.136111111</v>
      </c>
      <c r="E836">
        <v>104.3919444</v>
      </c>
      <c r="F836" t="s">
        <v>2580</v>
      </c>
      <c r="G836" t="s">
        <v>1270</v>
      </c>
      <c r="H836" t="s">
        <v>2581</v>
      </c>
      <c r="I836" t="s">
        <v>118</v>
      </c>
      <c r="J836" t="s">
        <v>119</v>
      </c>
      <c r="K836" t="s">
        <v>190</v>
      </c>
      <c r="L836" t="s">
        <v>18</v>
      </c>
      <c r="M836" t="s">
        <v>252</v>
      </c>
      <c r="N836" s="6" t="s">
        <v>1037</v>
      </c>
      <c r="O836" t="s">
        <v>1272</v>
      </c>
      <c r="P836" t="s">
        <v>2576</v>
      </c>
      <c r="Q836" t="s">
        <v>2582</v>
      </c>
      <c r="R836" t="s">
        <v>2578</v>
      </c>
      <c r="S836">
        <v>2010</v>
      </c>
      <c r="T836" t="s">
        <v>2571</v>
      </c>
      <c r="U836" t="s">
        <v>2445</v>
      </c>
      <c r="V836"/>
      <c r="W836">
        <v>2150</v>
      </c>
      <c r="X836">
        <v>300</v>
      </c>
      <c r="Z836">
        <v>20</v>
      </c>
      <c r="AA836">
        <v>100</v>
      </c>
      <c r="AD836">
        <v>4</v>
      </c>
      <c r="AF836">
        <v>200</v>
      </c>
      <c r="AH836" t="s">
        <v>2579</v>
      </c>
      <c r="AK836">
        <v>39</v>
      </c>
      <c r="AN836" t="s">
        <v>132</v>
      </c>
      <c r="CC836">
        <v>26.3</v>
      </c>
      <c r="CE8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36" s="19">
        <f>SUM(Table1[[#This Row],[Mid39]],Table1[[#This Row],[Mid36]],Table1[[#This Row],[Mid33]],Table1[[#This Row],[Mid30]],Table1[[#This Row],[Mid27]],Table1[[#This Row],[Mid24]],Table1[[#This Row],[Mid21]],Table1[[#This Row],[Mid18]],Table1[[#This Row],[Mid15]],Table1[[#This Row],[Mid12]],Table1[[#This Row],[Mid9]],Table1[[#This Row],[Mid6]],Table1[[#This Row],[Mid3]],Table1[[#This Row],[Mid]])</f>
        <v>26.3</v>
      </c>
      <c r="CG8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36" t="s">
        <v>157</v>
      </c>
      <c r="CI836" t="s">
        <v>2471</v>
      </c>
      <c r="CJ836" t="s">
        <v>135</v>
      </c>
      <c r="CL836" s="19">
        <f>IF(Table1[[#This Row],[Type]]="Petroleum",1,IF(ISERROR(Table1[[#This Row],[Well Density]]*Table1[[#This Row],[Single Well Discovery Area]]),"",IF(Table1[[#This Row],[Well Density]]*Table1[[#This Row],[Single Well Discovery Area]]&gt;1,1,Table1[[#This Row],[Well Density]]*Table1[[#This Row],[Single Well Discovery Area]])))</f>
        <v>0</v>
      </c>
      <c r="CM836" t="s">
        <v>158</v>
      </c>
      <c r="CN836" s="19">
        <f>Table1[[#This Row],[Mid]]</f>
        <v>0</v>
      </c>
      <c r="CO836" s="19">
        <f>Table1[[#This Row],[Mid3]]+Table1[[#This Row],[Mid6]]+Table1[[#This Row],[Mid9]]</f>
        <v>0</v>
      </c>
      <c r="CP836" s="19">
        <f>Table1[[#This Row],[Mid12]]+Table1[[#This Row],[Mid15]]+Table1[[#This Row],[Mid18]]+Table1[[#This Row],[Mid21]]+Table1[[#This Row],[Mid24]]</f>
        <v>0</v>
      </c>
      <c r="CQ836" s="19">
        <f>Table1[[#This Row],[Mid27]]+Table1[[#This Row],[Mid30]]+Table1[[#This Row],[Mid33]]+Table1[[#This Row],[Mid36]]+Table1[[#This Row],[Mid39]]</f>
        <v>26.3</v>
      </c>
      <c r="CR836" t="s">
        <v>439</v>
      </c>
      <c r="CS836" s="19" t="str">
        <f>IF(AND(Table1[[#This Row],[Low41]]=0, Table1[[#This Row],[High43]]=0),"N","Y")</f>
        <v>N</v>
      </c>
    </row>
    <row r="837" spans="1:97" ht="19.5" customHeight="1" x14ac:dyDescent="0.25">
      <c r="A837">
        <v>10835</v>
      </c>
      <c r="B837" t="s">
        <v>2542</v>
      </c>
      <c r="C837" t="s">
        <v>2543</v>
      </c>
      <c r="D837">
        <v>7.136111111</v>
      </c>
      <c r="E837">
        <v>104.3919444</v>
      </c>
      <c r="F837" t="s">
        <v>2583</v>
      </c>
      <c r="G837" t="s">
        <v>1270</v>
      </c>
      <c r="H837" t="s">
        <v>2584</v>
      </c>
      <c r="I837" t="s">
        <v>118</v>
      </c>
      <c r="J837" t="s">
        <v>119</v>
      </c>
      <c r="K837" t="s">
        <v>190</v>
      </c>
      <c r="L837" t="s">
        <v>18</v>
      </c>
      <c r="M837" t="s">
        <v>252</v>
      </c>
      <c r="N837" s="6" t="s">
        <v>1037</v>
      </c>
      <c r="O837" t="s">
        <v>1272</v>
      </c>
      <c r="P837" t="s">
        <v>2585</v>
      </c>
      <c r="Q837" t="s">
        <v>2586</v>
      </c>
      <c r="R837" t="s">
        <v>2578</v>
      </c>
      <c r="S837">
        <v>2010</v>
      </c>
      <c r="T837" t="s">
        <v>2571</v>
      </c>
      <c r="U837" t="s">
        <v>2445</v>
      </c>
      <c r="V837">
        <v>0</v>
      </c>
      <c r="W837">
        <v>3300</v>
      </c>
      <c r="X837">
        <v>50</v>
      </c>
      <c r="Y837">
        <v>0</v>
      </c>
      <c r="Z837">
        <v>20</v>
      </c>
      <c r="AA837">
        <v>400</v>
      </c>
      <c r="AB837">
        <v>0</v>
      </c>
      <c r="AC837">
        <v>0</v>
      </c>
      <c r="AD837">
        <v>4</v>
      </c>
      <c r="AF837">
        <v>200</v>
      </c>
      <c r="AG837">
        <v>0</v>
      </c>
      <c r="AH837" t="s">
        <v>2579</v>
      </c>
      <c r="AI837">
        <v>0</v>
      </c>
      <c r="AJ837">
        <v>0</v>
      </c>
      <c r="AK837">
        <v>54</v>
      </c>
      <c r="AL837">
        <v>0</v>
      </c>
      <c r="AN837" t="s">
        <v>132</v>
      </c>
      <c r="AO837">
        <v>0</v>
      </c>
      <c r="AP837">
        <v>0</v>
      </c>
      <c r="AQ837">
        <v>0</v>
      </c>
      <c r="AR837">
        <v>0</v>
      </c>
      <c r="AS837">
        <v>0</v>
      </c>
      <c r="AT837">
        <v>0</v>
      </c>
      <c r="AU837">
        <v>0</v>
      </c>
      <c r="AV837">
        <v>0</v>
      </c>
      <c r="AW837">
        <v>0</v>
      </c>
      <c r="AX837">
        <v>0</v>
      </c>
      <c r="AY837">
        <v>0</v>
      </c>
      <c r="AZ837">
        <v>0</v>
      </c>
      <c r="BA837">
        <v>0</v>
      </c>
      <c r="BB837">
        <v>0</v>
      </c>
      <c r="BC837">
        <v>0</v>
      </c>
      <c r="BD837">
        <v>0</v>
      </c>
      <c r="BE837">
        <v>0</v>
      </c>
      <c r="BF837">
        <v>0</v>
      </c>
      <c r="BG837">
        <v>0</v>
      </c>
      <c r="BH837">
        <v>0</v>
      </c>
      <c r="BI837">
        <v>0</v>
      </c>
      <c r="BJ837">
        <v>0</v>
      </c>
      <c r="BK837">
        <v>0</v>
      </c>
      <c r="BL837">
        <v>0</v>
      </c>
      <c r="BM837">
        <v>0</v>
      </c>
      <c r="BN837">
        <v>0</v>
      </c>
      <c r="BO837">
        <v>0</v>
      </c>
      <c r="BP837">
        <v>0</v>
      </c>
      <c r="BQ837">
        <v>0</v>
      </c>
      <c r="BR837">
        <v>0</v>
      </c>
      <c r="BS837">
        <v>0</v>
      </c>
      <c r="BT837">
        <v>0</v>
      </c>
      <c r="BU837">
        <v>0</v>
      </c>
      <c r="BV837">
        <v>0</v>
      </c>
      <c r="BW837">
        <v>0</v>
      </c>
      <c r="BX837">
        <v>0</v>
      </c>
      <c r="BY837">
        <v>0</v>
      </c>
      <c r="BZ837">
        <v>0</v>
      </c>
      <c r="CA837">
        <v>0</v>
      </c>
      <c r="CB837">
        <v>0</v>
      </c>
      <c r="CC837">
        <v>23.4</v>
      </c>
      <c r="CD837">
        <v>0</v>
      </c>
      <c r="CE83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37" s="19">
        <f>SUM(Table1[[#This Row],[Mid39]],Table1[[#This Row],[Mid36]],Table1[[#This Row],[Mid33]],Table1[[#This Row],[Mid30]],Table1[[#This Row],[Mid27]],Table1[[#This Row],[Mid24]],Table1[[#This Row],[Mid21]],Table1[[#This Row],[Mid18]],Table1[[#This Row],[Mid15]],Table1[[#This Row],[Mid12]],Table1[[#This Row],[Mid9]],Table1[[#This Row],[Mid6]],Table1[[#This Row],[Mid3]],Table1[[#This Row],[Mid]])</f>
        <v>23.4</v>
      </c>
      <c r="CG8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37" t="s">
        <v>157</v>
      </c>
      <c r="CI837" t="s">
        <v>176</v>
      </c>
      <c r="CJ837" t="s">
        <v>135</v>
      </c>
      <c r="CL837" s="19">
        <f>IF(Table1[[#This Row],[Type]]="Petroleum",1,IF(ISERROR(Table1[[#This Row],[Well Density]]*Table1[[#This Row],[Single Well Discovery Area]]),"",IF(Table1[[#This Row],[Well Density]]*Table1[[#This Row],[Single Well Discovery Area]]&gt;1,1,Table1[[#This Row],[Well Density]]*Table1[[#This Row],[Single Well Discovery Area]])))</f>
        <v>0</v>
      </c>
      <c r="CM837" t="s">
        <v>135</v>
      </c>
      <c r="CN837" s="19">
        <f>Table1[[#This Row],[Mid]]</f>
        <v>0</v>
      </c>
      <c r="CO837" s="19">
        <f>Table1[[#This Row],[Mid3]]+Table1[[#This Row],[Mid6]]+Table1[[#This Row],[Mid9]]</f>
        <v>0</v>
      </c>
      <c r="CP837" s="19">
        <f>Table1[[#This Row],[Mid12]]+Table1[[#This Row],[Mid15]]+Table1[[#This Row],[Mid18]]+Table1[[#This Row],[Mid21]]+Table1[[#This Row],[Mid24]]</f>
        <v>0</v>
      </c>
      <c r="CQ837" s="19">
        <f>Table1[[#This Row],[Mid27]]+Table1[[#This Row],[Mid30]]+Table1[[#This Row],[Mid33]]+Table1[[#This Row],[Mid36]]+Table1[[#This Row],[Mid39]]</f>
        <v>23.4</v>
      </c>
      <c r="CR837" t="s">
        <v>439</v>
      </c>
      <c r="CS837" s="19" t="str">
        <f>IF(AND(Table1[[#This Row],[Low41]]=0, Table1[[#This Row],[High43]]=0),"N","Y")</f>
        <v>N</v>
      </c>
    </row>
    <row r="838" spans="1:97" ht="19.5" customHeight="1" x14ac:dyDescent="0.25">
      <c r="A838">
        <v>10836</v>
      </c>
      <c r="B838" t="s">
        <v>2542</v>
      </c>
      <c r="C838" t="s">
        <v>2543</v>
      </c>
      <c r="D838">
        <v>9.8086111109999994</v>
      </c>
      <c r="E838">
        <v>107.3352778</v>
      </c>
      <c r="F838" t="s">
        <v>2587</v>
      </c>
      <c r="G838" t="s">
        <v>2544</v>
      </c>
      <c r="H838" t="s">
        <v>189</v>
      </c>
      <c r="I838" t="s">
        <v>520</v>
      </c>
      <c r="J838" t="s">
        <v>202</v>
      </c>
      <c r="K838" t="s">
        <v>1044</v>
      </c>
      <c r="L838" t="s">
        <v>121</v>
      </c>
      <c r="M838" t="s">
        <v>252</v>
      </c>
      <c r="N838" s="6" t="s">
        <v>2441</v>
      </c>
      <c r="O838" t="s">
        <v>2588</v>
      </c>
      <c r="P838" t="s">
        <v>2443</v>
      </c>
      <c r="Q838" t="s">
        <v>255</v>
      </c>
      <c r="R838" t="s">
        <v>2589</v>
      </c>
      <c r="S838">
        <v>2013</v>
      </c>
      <c r="T838" t="s">
        <v>2257</v>
      </c>
      <c r="U838" t="s">
        <v>2445</v>
      </c>
      <c r="V838"/>
      <c r="AF838">
        <v>200</v>
      </c>
      <c r="AH838" t="s">
        <v>2446</v>
      </c>
      <c r="AI838" t="s">
        <v>2447</v>
      </c>
      <c r="AM838" t="s">
        <v>2448</v>
      </c>
      <c r="AN838" t="s">
        <v>132</v>
      </c>
      <c r="BN838">
        <v>70</v>
      </c>
      <c r="CE83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38" s="19">
        <f>SUM(Table1[[#This Row],[Mid39]],Table1[[#This Row],[Mid36]],Table1[[#This Row],[Mid33]],Table1[[#This Row],[Mid30]],Table1[[#This Row],[Mid27]],Table1[[#This Row],[Mid24]],Table1[[#This Row],[Mid21]],Table1[[#This Row],[Mid18]],Table1[[#This Row],[Mid15]],Table1[[#This Row],[Mid12]],Table1[[#This Row],[Mid9]],Table1[[#This Row],[Mid6]],Table1[[#This Row],[Mid3]],Table1[[#This Row],[Mid]])</f>
        <v>70</v>
      </c>
      <c r="CG8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38" t="s">
        <v>133</v>
      </c>
      <c r="CI838" t="s">
        <v>189</v>
      </c>
      <c r="CJ838" t="s">
        <v>158</v>
      </c>
      <c r="CL838" s="19">
        <f>IF(Table1[[#This Row],[Type]]="Petroleum",1,IF(ISERROR(Table1[[#This Row],[Well Density]]*Table1[[#This Row],[Single Well Discovery Area]]),"",IF(Table1[[#This Row],[Well Density]]*Table1[[#This Row],[Single Well Discovery Area]]&gt;1,1,Table1[[#This Row],[Well Density]]*Table1[[#This Row],[Single Well Discovery Area]])))</f>
        <v>1</v>
      </c>
      <c r="CM838" t="s">
        <v>2453</v>
      </c>
      <c r="CN838" s="19">
        <f>Table1[[#This Row],[Mid]]</f>
        <v>0</v>
      </c>
      <c r="CO838" s="19">
        <f>Table1[[#This Row],[Mid3]]+Table1[[#This Row],[Mid6]]+Table1[[#This Row],[Mid9]]</f>
        <v>0</v>
      </c>
      <c r="CP838" s="19">
        <f>Table1[[#This Row],[Mid12]]+Table1[[#This Row],[Mid15]]+Table1[[#This Row],[Mid18]]+Table1[[#This Row],[Mid21]]+Table1[[#This Row],[Mid24]]</f>
        <v>70</v>
      </c>
      <c r="CQ838" s="19">
        <f>Table1[[#This Row],[Mid27]]+Table1[[#This Row],[Mid30]]+Table1[[#This Row],[Mid33]]+Table1[[#This Row],[Mid36]]+Table1[[#This Row],[Mid39]]</f>
        <v>0</v>
      </c>
      <c r="CR838" t="s">
        <v>439</v>
      </c>
      <c r="CS838" s="19" t="str">
        <f>IF(AND(Table1[[#This Row],[Low41]]=0, Table1[[#This Row],[High43]]=0),"N","Y")</f>
        <v>N</v>
      </c>
    </row>
    <row r="839" spans="1:97" ht="19.5" customHeight="1" x14ac:dyDescent="0.25">
      <c r="A839">
        <v>10837</v>
      </c>
      <c r="B839" t="s">
        <v>2542</v>
      </c>
      <c r="C839" t="s">
        <v>2543</v>
      </c>
      <c r="D839">
        <v>9.9333333330000002</v>
      </c>
      <c r="E839">
        <v>107.485</v>
      </c>
      <c r="F839" t="s">
        <v>2590</v>
      </c>
      <c r="G839" t="s">
        <v>2544</v>
      </c>
      <c r="H839" t="s">
        <v>189</v>
      </c>
      <c r="I839" t="s">
        <v>520</v>
      </c>
      <c r="J839" t="s">
        <v>202</v>
      </c>
      <c r="K839" t="s">
        <v>1044</v>
      </c>
      <c r="L839" t="s">
        <v>121</v>
      </c>
      <c r="M839" t="s">
        <v>252</v>
      </c>
      <c r="N839" s="6" t="s">
        <v>2441</v>
      </c>
      <c r="O839" t="s">
        <v>2588</v>
      </c>
      <c r="P839" t="s">
        <v>2443</v>
      </c>
      <c r="Q839" t="s">
        <v>255</v>
      </c>
      <c r="R839" t="s">
        <v>2589</v>
      </c>
      <c r="S839">
        <v>2013</v>
      </c>
      <c r="T839" t="s">
        <v>2257</v>
      </c>
      <c r="U839" t="s">
        <v>2445</v>
      </c>
      <c r="V839"/>
      <c r="AF839">
        <v>200</v>
      </c>
      <c r="AH839" t="s">
        <v>2446</v>
      </c>
      <c r="AI839" t="s">
        <v>2447</v>
      </c>
      <c r="AM839" t="s">
        <v>2448</v>
      </c>
      <c r="AN839" t="s">
        <v>132</v>
      </c>
      <c r="BN839">
        <v>355</v>
      </c>
      <c r="CE83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39" s="19">
        <f>SUM(Table1[[#This Row],[Mid39]],Table1[[#This Row],[Mid36]],Table1[[#This Row],[Mid33]],Table1[[#This Row],[Mid30]],Table1[[#This Row],[Mid27]],Table1[[#This Row],[Mid24]],Table1[[#This Row],[Mid21]],Table1[[#This Row],[Mid18]],Table1[[#This Row],[Mid15]],Table1[[#This Row],[Mid12]],Table1[[#This Row],[Mid9]],Table1[[#This Row],[Mid6]],Table1[[#This Row],[Mid3]],Table1[[#This Row],[Mid]])</f>
        <v>355</v>
      </c>
      <c r="CG8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39" t="s">
        <v>133</v>
      </c>
      <c r="CI839" t="s">
        <v>189</v>
      </c>
      <c r="CJ839" t="s">
        <v>158</v>
      </c>
      <c r="CL839" s="19">
        <f>IF(Table1[[#This Row],[Type]]="Petroleum",1,IF(ISERROR(Table1[[#This Row],[Well Density]]*Table1[[#This Row],[Single Well Discovery Area]]),"",IF(Table1[[#This Row],[Well Density]]*Table1[[#This Row],[Single Well Discovery Area]]&gt;1,1,Table1[[#This Row],[Well Density]]*Table1[[#This Row],[Single Well Discovery Area]])))</f>
        <v>1</v>
      </c>
      <c r="CM839" t="s">
        <v>2453</v>
      </c>
      <c r="CN839" s="19">
        <f>Table1[[#This Row],[Mid]]</f>
        <v>0</v>
      </c>
      <c r="CO839" s="19">
        <f>Table1[[#This Row],[Mid3]]+Table1[[#This Row],[Mid6]]+Table1[[#This Row],[Mid9]]</f>
        <v>0</v>
      </c>
      <c r="CP839" s="19">
        <f>Table1[[#This Row],[Mid12]]+Table1[[#This Row],[Mid15]]+Table1[[#This Row],[Mid18]]+Table1[[#This Row],[Mid21]]+Table1[[#This Row],[Mid24]]</f>
        <v>355</v>
      </c>
      <c r="CQ839" s="19">
        <f>Table1[[#This Row],[Mid27]]+Table1[[#This Row],[Mid30]]+Table1[[#This Row],[Mid33]]+Table1[[#This Row],[Mid36]]+Table1[[#This Row],[Mid39]]</f>
        <v>0</v>
      </c>
      <c r="CR839" t="s">
        <v>439</v>
      </c>
      <c r="CS839" s="19" t="str">
        <f>IF(AND(Table1[[#This Row],[Low41]]=0, Table1[[#This Row],[High43]]=0),"N","Y")</f>
        <v>N</v>
      </c>
    </row>
    <row r="840" spans="1:97" ht="19.5" customHeight="1" x14ac:dyDescent="0.25">
      <c r="A840">
        <v>10838</v>
      </c>
      <c r="B840" t="s">
        <v>2542</v>
      </c>
      <c r="C840" t="s">
        <v>2543</v>
      </c>
      <c r="D840">
        <v>10.15777778</v>
      </c>
      <c r="E840">
        <v>107.5275</v>
      </c>
      <c r="F840" t="s">
        <v>2591</v>
      </c>
      <c r="G840" t="s">
        <v>2544</v>
      </c>
      <c r="H840" t="s">
        <v>189</v>
      </c>
      <c r="I840" t="s">
        <v>520</v>
      </c>
      <c r="J840" t="s">
        <v>202</v>
      </c>
      <c r="K840" t="s">
        <v>1044</v>
      </c>
      <c r="L840" t="s">
        <v>121</v>
      </c>
      <c r="M840" t="s">
        <v>252</v>
      </c>
      <c r="N840" s="6" t="s">
        <v>2441</v>
      </c>
      <c r="O840" t="s">
        <v>2588</v>
      </c>
      <c r="P840" t="s">
        <v>2443</v>
      </c>
      <c r="Q840" t="s">
        <v>255</v>
      </c>
      <c r="R840" t="s">
        <v>2589</v>
      </c>
      <c r="S840">
        <v>2013</v>
      </c>
      <c r="T840" t="s">
        <v>2257</v>
      </c>
      <c r="U840" t="s">
        <v>2445</v>
      </c>
      <c r="V840"/>
      <c r="AF840">
        <v>200</v>
      </c>
      <c r="AH840" t="s">
        <v>2446</v>
      </c>
      <c r="AI840" t="s">
        <v>2447</v>
      </c>
      <c r="AM840" t="s">
        <v>2448</v>
      </c>
      <c r="AN840" t="s">
        <v>132</v>
      </c>
      <c r="BN840">
        <v>50</v>
      </c>
      <c r="CE84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40" s="19">
        <f>SUM(Table1[[#This Row],[Mid39]],Table1[[#This Row],[Mid36]],Table1[[#This Row],[Mid33]],Table1[[#This Row],[Mid30]],Table1[[#This Row],[Mid27]],Table1[[#This Row],[Mid24]],Table1[[#This Row],[Mid21]],Table1[[#This Row],[Mid18]],Table1[[#This Row],[Mid15]],Table1[[#This Row],[Mid12]],Table1[[#This Row],[Mid9]],Table1[[#This Row],[Mid6]],Table1[[#This Row],[Mid3]],Table1[[#This Row],[Mid]])</f>
        <v>50</v>
      </c>
      <c r="CG8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40" t="s">
        <v>133</v>
      </c>
      <c r="CI840" t="s">
        <v>189</v>
      </c>
      <c r="CJ840" t="s">
        <v>158</v>
      </c>
      <c r="CL840" s="19">
        <f>IF(Table1[[#This Row],[Type]]="Petroleum",1,IF(ISERROR(Table1[[#This Row],[Well Density]]*Table1[[#This Row],[Single Well Discovery Area]]),"",IF(Table1[[#This Row],[Well Density]]*Table1[[#This Row],[Single Well Discovery Area]]&gt;1,1,Table1[[#This Row],[Well Density]]*Table1[[#This Row],[Single Well Discovery Area]])))</f>
        <v>1</v>
      </c>
      <c r="CM840" t="s">
        <v>158</v>
      </c>
      <c r="CN840" s="19">
        <f>Table1[[#This Row],[Mid]]</f>
        <v>0</v>
      </c>
      <c r="CO840" s="19">
        <f>Table1[[#This Row],[Mid3]]+Table1[[#This Row],[Mid6]]+Table1[[#This Row],[Mid9]]</f>
        <v>0</v>
      </c>
      <c r="CP840" s="19">
        <f>Table1[[#This Row],[Mid12]]+Table1[[#This Row],[Mid15]]+Table1[[#This Row],[Mid18]]+Table1[[#This Row],[Mid21]]+Table1[[#This Row],[Mid24]]</f>
        <v>50</v>
      </c>
      <c r="CQ840" s="19">
        <f>Table1[[#This Row],[Mid27]]+Table1[[#This Row],[Mid30]]+Table1[[#This Row],[Mid33]]+Table1[[#This Row],[Mid36]]+Table1[[#This Row],[Mid39]]</f>
        <v>0</v>
      </c>
      <c r="CR840" t="s">
        <v>439</v>
      </c>
      <c r="CS840" s="19" t="str">
        <f>IF(AND(Table1[[#This Row],[Low41]]=0, Table1[[#This Row],[High43]]=0),"N","Y")</f>
        <v>N</v>
      </c>
    </row>
    <row r="841" spans="1:97" ht="19.5" customHeight="1" x14ac:dyDescent="0.25">
      <c r="A841">
        <v>10839</v>
      </c>
      <c r="B841" t="s">
        <v>2542</v>
      </c>
      <c r="C841" t="s">
        <v>2543</v>
      </c>
      <c r="D841">
        <v>10.231111110000001</v>
      </c>
      <c r="E841">
        <v>107.67638890000001</v>
      </c>
      <c r="F841" t="s">
        <v>2592</v>
      </c>
      <c r="G841" t="s">
        <v>2544</v>
      </c>
      <c r="H841" t="s">
        <v>189</v>
      </c>
      <c r="I841" t="s">
        <v>520</v>
      </c>
      <c r="J841" t="s">
        <v>202</v>
      </c>
      <c r="K841" t="s">
        <v>1044</v>
      </c>
      <c r="L841" t="s">
        <v>121</v>
      </c>
      <c r="M841" t="s">
        <v>252</v>
      </c>
      <c r="N841" s="6" t="s">
        <v>2441</v>
      </c>
      <c r="O841" t="s">
        <v>2588</v>
      </c>
      <c r="P841" t="s">
        <v>2443</v>
      </c>
      <c r="Q841" t="s">
        <v>255</v>
      </c>
      <c r="R841" t="s">
        <v>2589</v>
      </c>
      <c r="S841">
        <v>2013</v>
      </c>
      <c r="T841" t="s">
        <v>2257</v>
      </c>
      <c r="U841" t="s">
        <v>2445</v>
      </c>
      <c r="V841"/>
      <c r="AF841">
        <v>200</v>
      </c>
      <c r="AH841" t="s">
        <v>2446</v>
      </c>
      <c r="AI841" t="s">
        <v>2447</v>
      </c>
      <c r="AM841" t="s">
        <v>2448</v>
      </c>
      <c r="AN841" t="s">
        <v>132</v>
      </c>
      <c r="BN841">
        <v>75</v>
      </c>
      <c r="CE84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41" s="19">
        <f>SUM(Table1[[#This Row],[Mid39]],Table1[[#This Row],[Mid36]],Table1[[#This Row],[Mid33]],Table1[[#This Row],[Mid30]],Table1[[#This Row],[Mid27]],Table1[[#This Row],[Mid24]],Table1[[#This Row],[Mid21]],Table1[[#This Row],[Mid18]],Table1[[#This Row],[Mid15]],Table1[[#This Row],[Mid12]],Table1[[#This Row],[Mid9]],Table1[[#This Row],[Mid6]],Table1[[#This Row],[Mid3]],Table1[[#This Row],[Mid]])</f>
        <v>75</v>
      </c>
      <c r="CG8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41" t="s">
        <v>133</v>
      </c>
      <c r="CI841" t="s">
        <v>189</v>
      </c>
      <c r="CJ841" t="s">
        <v>158</v>
      </c>
      <c r="CL841" s="19">
        <f>IF(Table1[[#This Row],[Type]]="Petroleum",1,IF(ISERROR(Table1[[#This Row],[Well Density]]*Table1[[#This Row],[Single Well Discovery Area]]),"",IF(Table1[[#This Row],[Well Density]]*Table1[[#This Row],[Single Well Discovery Area]]&gt;1,1,Table1[[#This Row],[Well Density]]*Table1[[#This Row],[Single Well Discovery Area]])))</f>
        <v>1</v>
      </c>
      <c r="CM841" t="s">
        <v>2453</v>
      </c>
      <c r="CN841" s="19">
        <f>Table1[[#This Row],[Mid]]</f>
        <v>0</v>
      </c>
      <c r="CO841" s="19">
        <f>Table1[[#This Row],[Mid3]]+Table1[[#This Row],[Mid6]]+Table1[[#This Row],[Mid9]]</f>
        <v>0</v>
      </c>
      <c r="CP841" s="19">
        <f>Table1[[#This Row],[Mid12]]+Table1[[#This Row],[Mid15]]+Table1[[#This Row],[Mid18]]+Table1[[#This Row],[Mid21]]+Table1[[#This Row],[Mid24]]</f>
        <v>75</v>
      </c>
      <c r="CQ841" s="19">
        <f>Table1[[#This Row],[Mid27]]+Table1[[#This Row],[Mid30]]+Table1[[#This Row],[Mid33]]+Table1[[#This Row],[Mid36]]+Table1[[#This Row],[Mid39]]</f>
        <v>0</v>
      </c>
      <c r="CR841" t="s">
        <v>439</v>
      </c>
      <c r="CS841" s="19" t="str">
        <f>IF(AND(Table1[[#This Row],[Low41]]=0, Table1[[#This Row],[High43]]=0),"N","Y")</f>
        <v>N</v>
      </c>
    </row>
    <row r="842" spans="1:97" ht="19.5" customHeight="1" x14ac:dyDescent="0.25">
      <c r="A842">
        <v>10840</v>
      </c>
      <c r="B842" t="s">
        <v>2542</v>
      </c>
      <c r="C842" t="s">
        <v>2543</v>
      </c>
      <c r="D842">
        <v>8.7330555560000001</v>
      </c>
      <c r="E842">
        <v>108.4866667</v>
      </c>
      <c r="F842" t="s">
        <v>2593</v>
      </c>
      <c r="G842" t="s">
        <v>2555</v>
      </c>
      <c r="H842" t="s">
        <v>189</v>
      </c>
      <c r="I842" t="s">
        <v>520</v>
      </c>
      <c r="J842" t="s">
        <v>202</v>
      </c>
      <c r="K842" t="s">
        <v>1044</v>
      </c>
      <c r="L842" t="s">
        <v>121</v>
      </c>
      <c r="M842" t="s">
        <v>252</v>
      </c>
      <c r="N842" s="6" t="s">
        <v>2441</v>
      </c>
      <c r="O842" t="s">
        <v>2588</v>
      </c>
      <c r="P842" t="s">
        <v>2443</v>
      </c>
      <c r="Q842" t="s">
        <v>255</v>
      </c>
      <c r="R842" t="s">
        <v>2589</v>
      </c>
      <c r="S842">
        <v>2013</v>
      </c>
      <c r="T842" t="s">
        <v>2257</v>
      </c>
      <c r="U842" t="s">
        <v>2445</v>
      </c>
      <c r="V842"/>
      <c r="AF842">
        <v>200</v>
      </c>
      <c r="AH842" t="s">
        <v>2446</v>
      </c>
      <c r="AI842" t="s">
        <v>2447</v>
      </c>
      <c r="AM842" t="s">
        <v>2448</v>
      </c>
      <c r="AN842" t="s">
        <v>132</v>
      </c>
      <c r="BN842">
        <v>100</v>
      </c>
      <c r="CE8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42"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8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42" t="s">
        <v>133</v>
      </c>
      <c r="CI842" t="s">
        <v>189</v>
      </c>
      <c r="CJ842" t="s">
        <v>158</v>
      </c>
      <c r="CL842" s="19">
        <f>IF(Table1[[#This Row],[Type]]="Petroleum",1,IF(ISERROR(Table1[[#This Row],[Well Density]]*Table1[[#This Row],[Single Well Discovery Area]]),"",IF(Table1[[#This Row],[Well Density]]*Table1[[#This Row],[Single Well Discovery Area]]&gt;1,1,Table1[[#This Row],[Well Density]]*Table1[[#This Row],[Single Well Discovery Area]])))</f>
        <v>1</v>
      </c>
      <c r="CM842" t="s">
        <v>2453</v>
      </c>
      <c r="CN842" s="19">
        <f>Table1[[#This Row],[Mid]]</f>
        <v>0</v>
      </c>
      <c r="CO842" s="19">
        <f>Table1[[#This Row],[Mid3]]+Table1[[#This Row],[Mid6]]+Table1[[#This Row],[Mid9]]</f>
        <v>0</v>
      </c>
      <c r="CP842" s="19">
        <f>Table1[[#This Row],[Mid12]]+Table1[[#This Row],[Mid15]]+Table1[[#This Row],[Mid18]]+Table1[[#This Row],[Mid21]]+Table1[[#This Row],[Mid24]]</f>
        <v>100</v>
      </c>
      <c r="CQ842" s="19">
        <f>Table1[[#This Row],[Mid27]]+Table1[[#This Row],[Mid30]]+Table1[[#This Row],[Mid33]]+Table1[[#This Row],[Mid36]]+Table1[[#This Row],[Mid39]]</f>
        <v>0</v>
      </c>
      <c r="CR842" t="s">
        <v>439</v>
      </c>
      <c r="CS842" s="19" t="str">
        <f>IF(AND(Table1[[#This Row],[Low41]]=0, Table1[[#This Row],[High43]]=0),"N","Y")</f>
        <v>N</v>
      </c>
    </row>
    <row r="843" spans="1:97" ht="19.5" customHeight="1" x14ac:dyDescent="0.25">
      <c r="A843">
        <v>10841</v>
      </c>
      <c r="B843" t="s">
        <v>2542</v>
      </c>
      <c r="C843" t="s">
        <v>2543</v>
      </c>
      <c r="D843">
        <v>10.26583333</v>
      </c>
      <c r="E843">
        <v>107.7563889</v>
      </c>
      <c r="F843" t="s">
        <v>2594</v>
      </c>
      <c r="G843" t="s">
        <v>2544</v>
      </c>
      <c r="H843" t="s">
        <v>189</v>
      </c>
      <c r="I843" t="s">
        <v>520</v>
      </c>
      <c r="J843" t="s">
        <v>202</v>
      </c>
      <c r="K843" t="s">
        <v>1044</v>
      </c>
      <c r="L843" t="s">
        <v>121</v>
      </c>
      <c r="M843" t="s">
        <v>252</v>
      </c>
      <c r="N843" s="6" t="s">
        <v>2441</v>
      </c>
      <c r="O843" t="s">
        <v>2588</v>
      </c>
      <c r="P843" t="s">
        <v>2443</v>
      </c>
      <c r="Q843" t="s">
        <v>255</v>
      </c>
      <c r="R843" t="s">
        <v>2589</v>
      </c>
      <c r="S843">
        <v>2013</v>
      </c>
      <c r="T843" t="s">
        <v>2257</v>
      </c>
      <c r="U843" t="s">
        <v>2445</v>
      </c>
      <c r="V843"/>
      <c r="AF843">
        <v>200</v>
      </c>
      <c r="AH843" t="s">
        <v>2446</v>
      </c>
      <c r="AI843" t="s">
        <v>2447</v>
      </c>
      <c r="AM843" t="s">
        <v>2448</v>
      </c>
      <c r="AN843" t="s">
        <v>132</v>
      </c>
      <c r="BN843">
        <v>40</v>
      </c>
      <c r="CE84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43" s="19">
        <f>SUM(Table1[[#This Row],[Mid39]],Table1[[#This Row],[Mid36]],Table1[[#This Row],[Mid33]],Table1[[#This Row],[Mid30]],Table1[[#This Row],[Mid27]],Table1[[#This Row],[Mid24]],Table1[[#This Row],[Mid21]],Table1[[#This Row],[Mid18]],Table1[[#This Row],[Mid15]],Table1[[#This Row],[Mid12]],Table1[[#This Row],[Mid9]],Table1[[#This Row],[Mid6]],Table1[[#This Row],[Mid3]],Table1[[#This Row],[Mid]])</f>
        <v>40</v>
      </c>
      <c r="CG8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43" t="s">
        <v>133</v>
      </c>
      <c r="CI843" t="s">
        <v>189</v>
      </c>
      <c r="CJ843" t="s">
        <v>158</v>
      </c>
      <c r="CL843" s="19">
        <f>IF(Table1[[#This Row],[Type]]="Petroleum",1,IF(ISERROR(Table1[[#This Row],[Well Density]]*Table1[[#This Row],[Single Well Discovery Area]]),"",IF(Table1[[#This Row],[Well Density]]*Table1[[#This Row],[Single Well Discovery Area]]&gt;1,1,Table1[[#This Row],[Well Density]]*Table1[[#This Row],[Single Well Discovery Area]])))</f>
        <v>1</v>
      </c>
      <c r="CM843" t="s">
        <v>2453</v>
      </c>
      <c r="CN843" s="19">
        <f>Table1[[#This Row],[Mid]]</f>
        <v>0</v>
      </c>
      <c r="CO843" s="19">
        <f>Table1[[#This Row],[Mid3]]+Table1[[#This Row],[Mid6]]+Table1[[#This Row],[Mid9]]</f>
        <v>0</v>
      </c>
      <c r="CP843" s="19">
        <f>Table1[[#This Row],[Mid12]]+Table1[[#This Row],[Mid15]]+Table1[[#This Row],[Mid18]]+Table1[[#This Row],[Mid21]]+Table1[[#This Row],[Mid24]]</f>
        <v>40</v>
      </c>
      <c r="CQ843" s="19">
        <f>Table1[[#This Row],[Mid27]]+Table1[[#This Row],[Mid30]]+Table1[[#This Row],[Mid33]]+Table1[[#This Row],[Mid36]]+Table1[[#This Row],[Mid39]]</f>
        <v>0</v>
      </c>
      <c r="CR843" t="s">
        <v>439</v>
      </c>
      <c r="CS843" s="19" t="str">
        <f>IF(AND(Table1[[#This Row],[Low41]]=0, Table1[[#This Row],[High43]]=0),"N","Y")</f>
        <v>N</v>
      </c>
    </row>
    <row r="844" spans="1:97" ht="19.5" customHeight="1" x14ac:dyDescent="0.25">
      <c r="A844">
        <v>10842</v>
      </c>
      <c r="B844" t="s">
        <v>2542</v>
      </c>
      <c r="C844" t="s">
        <v>2543</v>
      </c>
      <c r="D844">
        <v>10.29388889</v>
      </c>
      <c r="E844">
        <v>107.8608333</v>
      </c>
      <c r="F844" t="s">
        <v>2595</v>
      </c>
      <c r="G844" t="s">
        <v>2544</v>
      </c>
      <c r="H844" t="s">
        <v>189</v>
      </c>
      <c r="I844" t="s">
        <v>520</v>
      </c>
      <c r="J844" t="s">
        <v>202</v>
      </c>
      <c r="K844" t="s">
        <v>1044</v>
      </c>
      <c r="L844" t="s">
        <v>121</v>
      </c>
      <c r="M844" t="s">
        <v>252</v>
      </c>
      <c r="N844" s="6" t="s">
        <v>2441</v>
      </c>
      <c r="O844" t="s">
        <v>2588</v>
      </c>
      <c r="P844" t="s">
        <v>2443</v>
      </c>
      <c r="Q844" t="s">
        <v>255</v>
      </c>
      <c r="R844" t="s">
        <v>2589</v>
      </c>
      <c r="S844">
        <v>2013</v>
      </c>
      <c r="T844" t="s">
        <v>2257</v>
      </c>
      <c r="U844" t="s">
        <v>2445</v>
      </c>
      <c r="V844"/>
      <c r="AF844">
        <v>200</v>
      </c>
      <c r="AH844" t="s">
        <v>2446</v>
      </c>
      <c r="AI844" t="s">
        <v>2447</v>
      </c>
      <c r="AM844" t="s">
        <v>2448</v>
      </c>
      <c r="AN844" t="s">
        <v>132</v>
      </c>
      <c r="BN844">
        <v>20</v>
      </c>
      <c r="CE84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44" s="19">
        <f>SUM(Table1[[#This Row],[Mid39]],Table1[[#This Row],[Mid36]],Table1[[#This Row],[Mid33]],Table1[[#This Row],[Mid30]],Table1[[#This Row],[Mid27]],Table1[[#This Row],[Mid24]],Table1[[#This Row],[Mid21]],Table1[[#This Row],[Mid18]],Table1[[#This Row],[Mid15]],Table1[[#This Row],[Mid12]],Table1[[#This Row],[Mid9]],Table1[[#This Row],[Mid6]],Table1[[#This Row],[Mid3]],Table1[[#This Row],[Mid]])</f>
        <v>20</v>
      </c>
      <c r="CG8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44" t="s">
        <v>133</v>
      </c>
      <c r="CI844" t="s">
        <v>189</v>
      </c>
      <c r="CJ844" t="s">
        <v>158</v>
      </c>
      <c r="CL844" s="19">
        <f>IF(Table1[[#This Row],[Type]]="Petroleum",1,IF(ISERROR(Table1[[#This Row],[Well Density]]*Table1[[#This Row],[Single Well Discovery Area]]),"",IF(Table1[[#This Row],[Well Density]]*Table1[[#This Row],[Single Well Discovery Area]]&gt;1,1,Table1[[#This Row],[Well Density]]*Table1[[#This Row],[Single Well Discovery Area]])))</f>
        <v>1</v>
      </c>
      <c r="CM844" t="s">
        <v>2453</v>
      </c>
      <c r="CN844" s="19">
        <f>Table1[[#This Row],[Mid]]</f>
        <v>0</v>
      </c>
      <c r="CO844" s="19">
        <f>Table1[[#This Row],[Mid3]]+Table1[[#This Row],[Mid6]]+Table1[[#This Row],[Mid9]]</f>
        <v>0</v>
      </c>
      <c r="CP844" s="19">
        <f>Table1[[#This Row],[Mid12]]+Table1[[#This Row],[Mid15]]+Table1[[#This Row],[Mid18]]+Table1[[#This Row],[Mid21]]+Table1[[#This Row],[Mid24]]</f>
        <v>20</v>
      </c>
      <c r="CQ844" s="19">
        <f>Table1[[#This Row],[Mid27]]+Table1[[#This Row],[Mid30]]+Table1[[#This Row],[Mid33]]+Table1[[#This Row],[Mid36]]+Table1[[#This Row],[Mid39]]</f>
        <v>0</v>
      </c>
      <c r="CR844" t="s">
        <v>439</v>
      </c>
      <c r="CS844" s="19" t="str">
        <f>IF(AND(Table1[[#This Row],[Low41]]=0, Table1[[#This Row],[High43]]=0),"N","Y")</f>
        <v>N</v>
      </c>
    </row>
    <row r="845" spans="1:97" ht="19.5" customHeight="1" x14ac:dyDescent="0.25">
      <c r="A845">
        <v>10843</v>
      </c>
      <c r="B845" t="s">
        <v>2542</v>
      </c>
      <c r="C845" t="s">
        <v>2543</v>
      </c>
      <c r="D845">
        <v>10.06666667</v>
      </c>
      <c r="E845">
        <v>108.0108333</v>
      </c>
      <c r="F845" t="s">
        <v>2596</v>
      </c>
      <c r="G845" t="s">
        <v>2544</v>
      </c>
      <c r="H845" t="s">
        <v>189</v>
      </c>
      <c r="I845" t="s">
        <v>520</v>
      </c>
      <c r="J845" t="s">
        <v>202</v>
      </c>
      <c r="K845" t="s">
        <v>1044</v>
      </c>
      <c r="L845" t="s">
        <v>121</v>
      </c>
      <c r="M845" t="s">
        <v>252</v>
      </c>
      <c r="N845" s="6" t="s">
        <v>2441</v>
      </c>
      <c r="O845" t="s">
        <v>2588</v>
      </c>
      <c r="P845" t="s">
        <v>2443</v>
      </c>
      <c r="Q845" t="s">
        <v>255</v>
      </c>
      <c r="R845" t="s">
        <v>2589</v>
      </c>
      <c r="S845">
        <v>2013</v>
      </c>
      <c r="T845" t="s">
        <v>2257</v>
      </c>
      <c r="U845" t="s">
        <v>2445</v>
      </c>
      <c r="V845"/>
      <c r="AF845">
        <v>200</v>
      </c>
      <c r="AH845" t="s">
        <v>2446</v>
      </c>
      <c r="AI845" t="s">
        <v>2447</v>
      </c>
      <c r="AM845" t="s">
        <v>2448</v>
      </c>
      <c r="AN845" t="s">
        <v>132</v>
      </c>
      <c r="BN845">
        <v>70</v>
      </c>
      <c r="CE84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45" s="19">
        <f>SUM(Table1[[#This Row],[Mid39]],Table1[[#This Row],[Mid36]],Table1[[#This Row],[Mid33]],Table1[[#This Row],[Mid30]],Table1[[#This Row],[Mid27]],Table1[[#This Row],[Mid24]],Table1[[#This Row],[Mid21]],Table1[[#This Row],[Mid18]],Table1[[#This Row],[Mid15]],Table1[[#This Row],[Mid12]],Table1[[#This Row],[Mid9]],Table1[[#This Row],[Mid6]],Table1[[#This Row],[Mid3]],Table1[[#This Row],[Mid]])</f>
        <v>70</v>
      </c>
      <c r="CG8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45" t="s">
        <v>133</v>
      </c>
      <c r="CI845" t="s">
        <v>189</v>
      </c>
      <c r="CJ845" t="s">
        <v>158</v>
      </c>
      <c r="CL845" s="19">
        <f>IF(Table1[[#This Row],[Type]]="Petroleum",1,IF(ISERROR(Table1[[#This Row],[Well Density]]*Table1[[#This Row],[Single Well Discovery Area]]),"",IF(Table1[[#This Row],[Well Density]]*Table1[[#This Row],[Single Well Discovery Area]]&gt;1,1,Table1[[#This Row],[Well Density]]*Table1[[#This Row],[Single Well Discovery Area]])))</f>
        <v>1</v>
      </c>
      <c r="CM845" t="s">
        <v>2453</v>
      </c>
      <c r="CN845" s="19">
        <f>Table1[[#This Row],[Mid]]</f>
        <v>0</v>
      </c>
      <c r="CO845" s="19">
        <f>Table1[[#This Row],[Mid3]]+Table1[[#This Row],[Mid6]]+Table1[[#This Row],[Mid9]]</f>
        <v>0</v>
      </c>
      <c r="CP845" s="19">
        <f>Table1[[#This Row],[Mid12]]+Table1[[#This Row],[Mid15]]+Table1[[#This Row],[Mid18]]+Table1[[#This Row],[Mid21]]+Table1[[#This Row],[Mid24]]</f>
        <v>70</v>
      </c>
      <c r="CQ845" s="19">
        <f>Table1[[#This Row],[Mid27]]+Table1[[#This Row],[Mid30]]+Table1[[#This Row],[Mid33]]+Table1[[#This Row],[Mid36]]+Table1[[#This Row],[Mid39]]</f>
        <v>0</v>
      </c>
      <c r="CR845" t="s">
        <v>439</v>
      </c>
      <c r="CS845" s="19" t="str">
        <f>IF(AND(Table1[[#This Row],[Low41]]=0, Table1[[#This Row],[High43]]=0),"N","Y")</f>
        <v>N</v>
      </c>
    </row>
    <row r="846" spans="1:97" ht="19.5" customHeight="1" x14ac:dyDescent="0.25">
      <c r="A846">
        <v>10844</v>
      </c>
      <c r="B846" t="s">
        <v>2542</v>
      </c>
      <c r="C846" t="s">
        <v>2543</v>
      </c>
      <c r="D846">
        <v>10.03027778</v>
      </c>
      <c r="E846">
        <v>107.9813889</v>
      </c>
      <c r="F846" t="s">
        <v>2597</v>
      </c>
      <c r="G846" t="s">
        <v>2544</v>
      </c>
      <c r="H846" t="s">
        <v>189</v>
      </c>
      <c r="I846" t="s">
        <v>520</v>
      </c>
      <c r="J846" t="s">
        <v>202</v>
      </c>
      <c r="K846" t="s">
        <v>1044</v>
      </c>
      <c r="L846" t="s">
        <v>121</v>
      </c>
      <c r="M846" t="s">
        <v>252</v>
      </c>
      <c r="N846" s="6" t="s">
        <v>2441</v>
      </c>
      <c r="O846" t="s">
        <v>2588</v>
      </c>
      <c r="P846" t="s">
        <v>2443</v>
      </c>
      <c r="Q846" t="s">
        <v>255</v>
      </c>
      <c r="R846" t="s">
        <v>2589</v>
      </c>
      <c r="S846">
        <v>2013</v>
      </c>
      <c r="T846" t="s">
        <v>2257</v>
      </c>
      <c r="U846" t="s">
        <v>2445</v>
      </c>
      <c r="V846"/>
      <c r="AF846">
        <v>200</v>
      </c>
      <c r="AH846" t="s">
        <v>2446</v>
      </c>
      <c r="AI846" t="s">
        <v>2447</v>
      </c>
      <c r="AM846" t="s">
        <v>2448</v>
      </c>
      <c r="AN846" t="s">
        <v>132</v>
      </c>
      <c r="BN846">
        <v>30</v>
      </c>
      <c r="CE84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46" s="19">
        <f>SUM(Table1[[#This Row],[Mid39]],Table1[[#This Row],[Mid36]],Table1[[#This Row],[Mid33]],Table1[[#This Row],[Mid30]],Table1[[#This Row],[Mid27]],Table1[[#This Row],[Mid24]],Table1[[#This Row],[Mid21]],Table1[[#This Row],[Mid18]],Table1[[#This Row],[Mid15]],Table1[[#This Row],[Mid12]],Table1[[#This Row],[Mid9]],Table1[[#This Row],[Mid6]],Table1[[#This Row],[Mid3]],Table1[[#This Row],[Mid]])</f>
        <v>30</v>
      </c>
      <c r="CG8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46" t="s">
        <v>133</v>
      </c>
      <c r="CI846" t="s">
        <v>189</v>
      </c>
      <c r="CJ846" t="s">
        <v>158</v>
      </c>
      <c r="CL846" s="19">
        <f>IF(Table1[[#This Row],[Type]]="Petroleum",1,IF(ISERROR(Table1[[#This Row],[Well Density]]*Table1[[#This Row],[Single Well Discovery Area]]),"",IF(Table1[[#This Row],[Well Density]]*Table1[[#This Row],[Single Well Discovery Area]]&gt;1,1,Table1[[#This Row],[Well Density]]*Table1[[#This Row],[Single Well Discovery Area]])))</f>
        <v>1</v>
      </c>
      <c r="CM846" t="s">
        <v>2453</v>
      </c>
      <c r="CN846" s="19">
        <f>Table1[[#This Row],[Mid]]</f>
        <v>0</v>
      </c>
      <c r="CO846" s="19">
        <f>Table1[[#This Row],[Mid3]]+Table1[[#This Row],[Mid6]]+Table1[[#This Row],[Mid9]]</f>
        <v>0</v>
      </c>
      <c r="CP846" s="19">
        <f>Table1[[#This Row],[Mid12]]+Table1[[#This Row],[Mid15]]+Table1[[#This Row],[Mid18]]+Table1[[#This Row],[Mid21]]+Table1[[#This Row],[Mid24]]</f>
        <v>30</v>
      </c>
      <c r="CQ846" s="19">
        <f>Table1[[#This Row],[Mid27]]+Table1[[#This Row],[Mid30]]+Table1[[#This Row],[Mid33]]+Table1[[#This Row],[Mid36]]+Table1[[#This Row],[Mid39]]</f>
        <v>0</v>
      </c>
      <c r="CR846" t="s">
        <v>439</v>
      </c>
      <c r="CS846" s="19" t="str">
        <f>IF(AND(Table1[[#This Row],[Low41]]=0, Table1[[#This Row],[High43]]=0),"N","Y")</f>
        <v>N</v>
      </c>
    </row>
    <row r="847" spans="1:97" ht="19.5" customHeight="1" x14ac:dyDescent="0.25">
      <c r="A847">
        <v>10845</v>
      </c>
      <c r="B847" t="s">
        <v>2542</v>
      </c>
      <c r="C847" t="s">
        <v>2543</v>
      </c>
      <c r="D847">
        <v>10.10305556</v>
      </c>
      <c r="E847">
        <v>107.85972219999999</v>
      </c>
      <c r="F847" t="s">
        <v>2598</v>
      </c>
      <c r="G847" t="s">
        <v>2544</v>
      </c>
      <c r="H847" t="s">
        <v>189</v>
      </c>
      <c r="I847" t="s">
        <v>520</v>
      </c>
      <c r="J847" t="s">
        <v>202</v>
      </c>
      <c r="K847" t="s">
        <v>1044</v>
      </c>
      <c r="L847" t="s">
        <v>121</v>
      </c>
      <c r="M847" t="s">
        <v>252</v>
      </c>
      <c r="N847" s="6" t="s">
        <v>2441</v>
      </c>
      <c r="O847" t="s">
        <v>2588</v>
      </c>
      <c r="P847" t="s">
        <v>2443</v>
      </c>
      <c r="Q847" t="s">
        <v>255</v>
      </c>
      <c r="R847" t="s">
        <v>2589</v>
      </c>
      <c r="S847">
        <v>2013</v>
      </c>
      <c r="T847" t="s">
        <v>2257</v>
      </c>
      <c r="U847" t="s">
        <v>2445</v>
      </c>
      <c r="V847"/>
      <c r="AF847">
        <v>200</v>
      </c>
      <c r="AH847" t="s">
        <v>2446</v>
      </c>
      <c r="AI847" t="s">
        <v>2447</v>
      </c>
      <c r="AM847" t="s">
        <v>2448</v>
      </c>
      <c r="AN847" t="s">
        <v>132</v>
      </c>
      <c r="BN847">
        <v>25</v>
      </c>
      <c r="CE84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47" s="19">
        <f>SUM(Table1[[#This Row],[Mid39]],Table1[[#This Row],[Mid36]],Table1[[#This Row],[Mid33]],Table1[[#This Row],[Mid30]],Table1[[#This Row],[Mid27]],Table1[[#This Row],[Mid24]],Table1[[#This Row],[Mid21]],Table1[[#This Row],[Mid18]],Table1[[#This Row],[Mid15]],Table1[[#This Row],[Mid12]],Table1[[#This Row],[Mid9]],Table1[[#This Row],[Mid6]],Table1[[#This Row],[Mid3]],Table1[[#This Row],[Mid]])</f>
        <v>25</v>
      </c>
      <c r="CG8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47" t="s">
        <v>133</v>
      </c>
      <c r="CI847" t="s">
        <v>189</v>
      </c>
      <c r="CJ847" t="s">
        <v>158</v>
      </c>
      <c r="CL847" s="19">
        <f>IF(Table1[[#This Row],[Type]]="Petroleum",1,IF(ISERROR(Table1[[#This Row],[Well Density]]*Table1[[#This Row],[Single Well Discovery Area]]),"",IF(Table1[[#This Row],[Well Density]]*Table1[[#This Row],[Single Well Discovery Area]]&gt;1,1,Table1[[#This Row],[Well Density]]*Table1[[#This Row],[Single Well Discovery Area]])))</f>
        <v>1</v>
      </c>
      <c r="CM847" t="s">
        <v>2453</v>
      </c>
      <c r="CN847" s="19">
        <f>Table1[[#This Row],[Mid]]</f>
        <v>0</v>
      </c>
      <c r="CO847" s="19">
        <f>Table1[[#This Row],[Mid3]]+Table1[[#This Row],[Mid6]]+Table1[[#This Row],[Mid9]]</f>
        <v>0</v>
      </c>
      <c r="CP847" s="19">
        <f>Table1[[#This Row],[Mid12]]+Table1[[#This Row],[Mid15]]+Table1[[#This Row],[Mid18]]+Table1[[#This Row],[Mid21]]+Table1[[#This Row],[Mid24]]</f>
        <v>25</v>
      </c>
      <c r="CQ847" s="19">
        <f>Table1[[#This Row],[Mid27]]+Table1[[#This Row],[Mid30]]+Table1[[#This Row],[Mid33]]+Table1[[#This Row],[Mid36]]+Table1[[#This Row],[Mid39]]</f>
        <v>0</v>
      </c>
      <c r="CR847" t="s">
        <v>439</v>
      </c>
      <c r="CS847" s="19" t="str">
        <f>IF(AND(Table1[[#This Row],[Low41]]=0, Table1[[#This Row],[High43]]=0),"N","Y")</f>
        <v>N</v>
      </c>
    </row>
    <row r="848" spans="1:97" ht="19.5" customHeight="1" x14ac:dyDescent="0.25">
      <c r="A848">
        <v>10846</v>
      </c>
      <c r="B848" t="s">
        <v>2542</v>
      </c>
      <c r="C848" t="s">
        <v>2543</v>
      </c>
      <c r="D848">
        <v>9.18</v>
      </c>
      <c r="E848">
        <v>109.1655556</v>
      </c>
      <c r="F848" t="s">
        <v>2599</v>
      </c>
      <c r="G848" t="s">
        <v>2555</v>
      </c>
      <c r="H848" t="s">
        <v>189</v>
      </c>
      <c r="I848" t="s">
        <v>520</v>
      </c>
      <c r="J848" t="s">
        <v>202</v>
      </c>
      <c r="K848" t="s">
        <v>1044</v>
      </c>
      <c r="L848" t="s">
        <v>121</v>
      </c>
      <c r="M848" t="s">
        <v>252</v>
      </c>
      <c r="N848" s="6" t="s">
        <v>2441</v>
      </c>
      <c r="O848" t="s">
        <v>2588</v>
      </c>
      <c r="P848" t="s">
        <v>2443</v>
      </c>
      <c r="Q848" t="s">
        <v>255</v>
      </c>
      <c r="R848" t="s">
        <v>2589</v>
      </c>
      <c r="S848">
        <v>2013</v>
      </c>
      <c r="T848" t="s">
        <v>2257</v>
      </c>
      <c r="U848" t="s">
        <v>2445</v>
      </c>
      <c r="V848"/>
      <c r="AF848">
        <v>200</v>
      </c>
      <c r="AH848" t="s">
        <v>2446</v>
      </c>
      <c r="AI848" t="s">
        <v>2447</v>
      </c>
      <c r="AM848" t="s">
        <v>2448</v>
      </c>
      <c r="AN848" t="s">
        <v>132</v>
      </c>
      <c r="BN848">
        <v>10</v>
      </c>
      <c r="CE84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48"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84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48" t="s">
        <v>133</v>
      </c>
      <c r="CI848" t="s">
        <v>189</v>
      </c>
      <c r="CJ848" t="s">
        <v>158</v>
      </c>
      <c r="CL848" s="19">
        <f>IF(Table1[[#This Row],[Type]]="Petroleum",1,IF(ISERROR(Table1[[#This Row],[Well Density]]*Table1[[#This Row],[Single Well Discovery Area]]),"",IF(Table1[[#This Row],[Well Density]]*Table1[[#This Row],[Single Well Discovery Area]]&gt;1,1,Table1[[#This Row],[Well Density]]*Table1[[#This Row],[Single Well Discovery Area]])))</f>
        <v>1</v>
      </c>
      <c r="CM848" t="s">
        <v>2453</v>
      </c>
      <c r="CN848" s="19">
        <f>Table1[[#This Row],[Mid]]</f>
        <v>0</v>
      </c>
      <c r="CO848" s="19">
        <f>Table1[[#This Row],[Mid3]]+Table1[[#This Row],[Mid6]]+Table1[[#This Row],[Mid9]]</f>
        <v>0</v>
      </c>
      <c r="CP848" s="19">
        <f>Table1[[#This Row],[Mid12]]+Table1[[#This Row],[Mid15]]+Table1[[#This Row],[Mid18]]+Table1[[#This Row],[Mid21]]+Table1[[#This Row],[Mid24]]</f>
        <v>10</v>
      </c>
      <c r="CQ848" s="19">
        <f>Table1[[#This Row],[Mid27]]+Table1[[#This Row],[Mid30]]+Table1[[#This Row],[Mid33]]+Table1[[#This Row],[Mid36]]+Table1[[#This Row],[Mid39]]</f>
        <v>0</v>
      </c>
      <c r="CR848" t="s">
        <v>439</v>
      </c>
      <c r="CS848" s="19" t="str">
        <f>IF(AND(Table1[[#This Row],[Low41]]=0, Table1[[#This Row],[High43]]=0),"N","Y")</f>
        <v>N</v>
      </c>
    </row>
    <row r="849" spans="1:97" ht="19.5" customHeight="1" x14ac:dyDescent="0.25">
      <c r="A849">
        <v>10847</v>
      </c>
      <c r="B849" t="s">
        <v>2542</v>
      </c>
      <c r="C849" t="s">
        <v>2543</v>
      </c>
      <c r="D849">
        <v>9.9791666669999994</v>
      </c>
      <c r="E849">
        <v>107.7097222</v>
      </c>
      <c r="F849" t="s">
        <v>2600</v>
      </c>
      <c r="G849" t="s">
        <v>2544</v>
      </c>
      <c r="H849" t="s">
        <v>189</v>
      </c>
      <c r="I849" t="s">
        <v>520</v>
      </c>
      <c r="J849" t="s">
        <v>202</v>
      </c>
      <c r="K849" t="s">
        <v>1044</v>
      </c>
      <c r="L849" t="s">
        <v>121</v>
      </c>
      <c r="M849" t="s">
        <v>252</v>
      </c>
      <c r="N849" s="6" t="s">
        <v>2441</v>
      </c>
      <c r="O849" t="s">
        <v>2588</v>
      </c>
      <c r="P849" t="s">
        <v>2443</v>
      </c>
      <c r="Q849" t="s">
        <v>255</v>
      </c>
      <c r="R849" t="s">
        <v>2589</v>
      </c>
      <c r="S849">
        <v>2013</v>
      </c>
      <c r="T849" t="s">
        <v>2257</v>
      </c>
      <c r="U849" t="s">
        <v>2445</v>
      </c>
      <c r="V849"/>
      <c r="AF849">
        <v>200</v>
      </c>
      <c r="AH849" t="s">
        <v>2446</v>
      </c>
      <c r="AI849" t="s">
        <v>2447</v>
      </c>
      <c r="AM849" t="s">
        <v>2448</v>
      </c>
      <c r="AN849" t="s">
        <v>132</v>
      </c>
      <c r="BN849">
        <v>12</v>
      </c>
      <c r="CE84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49" s="19">
        <f>SUM(Table1[[#This Row],[Mid39]],Table1[[#This Row],[Mid36]],Table1[[#This Row],[Mid33]],Table1[[#This Row],[Mid30]],Table1[[#This Row],[Mid27]],Table1[[#This Row],[Mid24]],Table1[[#This Row],[Mid21]],Table1[[#This Row],[Mid18]],Table1[[#This Row],[Mid15]],Table1[[#This Row],[Mid12]],Table1[[#This Row],[Mid9]],Table1[[#This Row],[Mid6]],Table1[[#This Row],[Mid3]],Table1[[#This Row],[Mid]])</f>
        <v>12</v>
      </c>
      <c r="CG8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49" t="s">
        <v>133</v>
      </c>
      <c r="CI849" t="s">
        <v>189</v>
      </c>
      <c r="CJ849" t="s">
        <v>158</v>
      </c>
      <c r="CL849" s="19">
        <f>IF(Table1[[#This Row],[Type]]="Petroleum",1,IF(ISERROR(Table1[[#This Row],[Well Density]]*Table1[[#This Row],[Single Well Discovery Area]]),"",IF(Table1[[#This Row],[Well Density]]*Table1[[#This Row],[Single Well Discovery Area]]&gt;1,1,Table1[[#This Row],[Well Density]]*Table1[[#This Row],[Single Well Discovery Area]])))</f>
        <v>1</v>
      </c>
      <c r="CM849" t="s">
        <v>2453</v>
      </c>
      <c r="CN849" s="19">
        <f>Table1[[#This Row],[Mid]]</f>
        <v>0</v>
      </c>
      <c r="CO849" s="19">
        <f>Table1[[#This Row],[Mid3]]+Table1[[#This Row],[Mid6]]+Table1[[#This Row],[Mid9]]</f>
        <v>0</v>
      </c>
      <c r="CP849" s="19">
        <f>Table1[[#This Row],[Mid12]]+Table1[[#This Row],[Mid15]]+Table1[[#This Row],[Mid18]]+Table1[[#This Row],[Mid21]]+Table1[[#This Row],[Mid24]]</f>
        <v>12</v>
      </c>
      <c r="CQ849" s="19">
        <f>Table1[[#This Row],[Mid27]]+Table1[[#This Row],[Mid30]]+Table1[[#This Row],[Mid33]]+Table1[[#This Row],[Mid36]]+Table1[[#This Row],[Mid39]]</f>
        <v>0</v>
      </c>
      <c r="CR849" t="s">
        <v>439</v>
      </c>
      <c r="CS849" s="19" t="str">
        <f>IF(AND(Table1[[#This Row],[Low41]]=0, Table1[[#This Row],[High43]]=0),"N","Y")</f>
        <v>N</v>
      </c>
    </row>
    <row r="850" spans="1:97" ht="19.5" customHeight="1" x14ac:dyDescent="0.25">
      <c r="A850">
        <v>10848</v>
      </c>
      <c r="B850" t="s">
        <v>2542</v>
      </c>
      <c r="C850" t="s">
        <v>2543</v>
      </c>
      <c r="D850">
        <v>9.9525000000000006</v>
      </c>
      <c r="E850">
        <v>107.6444444</v>
      </c>
      <c r="F850" t="s">
        <v>2601</v>
      </c>
      <c r="G850" t="s">
        <v>2544</v>
      </c>
      <c r="H850" t="s">
        <v>189</v>
      </c>
      <c r="I850" t="s">
        <v>520</v>
      </c>
      <c r="J850" t="s">
        <v>202</v>
      </c>
      <c r="K850" t="s">
        <v>1044</v>
      </c>
      <c r="L850" t="s">
        <v>121</v>
      </c>
      <c r="M850" t="s">
        <v>252</v>
      </c>
      <c r="N850" s="6" t="s">
        <v>2441</v>
      </c>
      <c r="O850" t="s">
        <v>2588</v>
      </c>
      <c r="P850" t="s">
        <v>2443</v>
      </c>
      <c r="Q850" t="s">
        <v>255</v>
      </c>
      <c r="R850" t="s">
        <v>2589</v>
      </c>
      <c r="S850">
        <v>2013</v>
      </c>
      <c r="T850" t="s">
        <v>2257</v>
      </c>
      <c r="U850" t="s">
        <v>2445</v>
      </c>
      <c r="V850"/>
      <c r="AF850">
        <v>200</v>
      </c>
      <c r="AH850" t="s">
        <v>2446</v>
      </c>
      <c r="AI850" t="s">
        <v>2447</v>
      </c>
      <c r="AM850" t="s">
        <v>2448</v>
      </c>
      <c r="AN850" t="s">
        <v>132</v>
      </c>
      <c r="BN850">
        <v>12</v>
      </c>
      <c r="CE85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50" s="19">
        <f>SUM(Table1[[#This Row],[Mid39]],Table1[[#This Row],[Mid36]],Table1[[#This Row],[Mid33]],Table1[[#This Row],[Mid30]],Table1[[#This Row],[Mid27]],Table1[[#This Row],[Mid24]],Table1[[#This Row],[Mid21]],Table1[[#This Row],[Mid18]],Table1[[#This Row],[Mid15]],Table1[[#This Row],[Mid12]],Table1[[#This Row],[Mid9]],Table1[[#This Row],[Mid6]],Table1[[#This Row],[Mid3]],Table1[[#This Row],[Mid]])</f>
        <v>12</v>
      </c>
      <c r="CG8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50" t="s">
        <v>133</v>
      </c>
      <c r="CI850" t="s">
        <v>189</v>
      </c>
      <c r="CJ850" t="s">
        <v>158</v>
      </c>
      <c r="CL850" s="19">
        <f>IF(Table1[[#This Row],[Type]]="Petroleum",1,IF(ISERROR(Table1[[#This Row],[Well Density]]*Table1[[#This Row],[Single Well Discovery Area]]),"",IF(Table1[[#This Row],[Well Density]]*Table1[[#This Row],[Single Well Discovery Area]]&gt;1,1,Table1[[#This Row],[Well Density]]*Table1[[#This Row],[Single Well Discovery Area]])))</f>
        <v>1</v>
      </c>
      <c r="CM850" t="s">
        <v>2453</v>
      </c>
      <c r="CN850" s="19">
        <f>Table1[[#This Row],[Mid]]</f>
        <v>0</v>
      </c>
      <c r="CO850" s="19">
        <f>Table1[[#This Row],[Mid3]]+Table1[[#This Row],[Mid6]]+Table1[[#This Row],[Mid9]]</f>
        <v>0</v>
      </c>
      <c r="CP850" s="19">
        <f>Table1[[#This Row],[Mid12]]+Table1[[#This Row],[Mid15]]+Table1[[#This Row],[Mid18]]+Table1[[#This Row],[Mid21]]+Table1[[#This Row],[Mid24]]</f>
        <v>12</v>
      </c>
      <c r="CQ850" s="19">
        <f>Table1[[#This Row],[Mid27]]+Table1[[#This Row],[Mid30]]+Table1[[#This Row],[Mid33]]+Table1[[#This Row],[Mid36]]+Table1[[#This Row],[Mid39]]</f>
        <v>0</v>
      </c>
      <c r="CR850" t="s">
        <v>439</v>
      </c>
      <c r="CS850" s="19" t="str">
        <f>IF(AND(Table1[[#This Row],[Low41]]=0, Table1[[#This Row],[High43]]=0),"N","Y")</f>
        <v>N</v>
      </c>
    </row>
    <row r="851" spans="1:97" ht="19.5" customHeight="1" x14ac:dyDescent="0.25">
      <c r="A851">
        <v>10849</v>
      </c>
      <c r="B851" t="s">
        <v>1635</v>
      </c>
      <c r="C851" t="s">
        <v>1449</v>
      </c>
      <c r="D851">
        <v>58.456388889999999</v>
      </c>
      <c r="E851">
        <v>-0.248611111</v>
      </c>
      <c r="F851" t="s">
        <v>2602</v>
      </c>
      <c r="G851" t="s">
        <v>2603</v>
      </c>
      <c r="H851" t="s">
        <v>2604</v>
      </c>
      <c r="I851" t="s">
        <v>118</v>
      </c>
      <c r="J851" t="s">
        <v>119</v>
      </c>
      <c r="K851" t="s">
        <v>203</v>
      </c>
      <c r="L851" t="s">
        <v>121</v>
      </c>
      <c r="M851" t="s">
        <v>2605</v>
      </c>
      <c r="N851" s="6" t="s">
        <v>1639</v>
      </c>
      <c r="O851" t="s">
        <v>1644</v>
      </c>
      <c r="P851" t="s">
        <v>1150</v>
      </c>
      <c r="Q851" t="s">
        <v>1641</v>
      </c>
      <c r="R851" t="s">
        <v>1642</v>
      </c>
      <c r="S851">
        <v>2015</v>
      </c>
      <c r="T851" t="s">
        <v>771</v>
      </c>
      <c r="U851" t="s">
        <v>1479</v>
      </c>
      <c r="V851">
        <v>0</v>
      </c>
      <c r="W851">
        <v>0</v>
      </c>
      <c r="X851">
        <v>0</v>
      </c>
      <c r="Y851">
        <v>0</v>
      </c>
      <c r="Z851">
        <v>0</v>
      </c>
      <c r="AA851">
        <v>0</v>
      </c>
      <c r="AB851">
        <v>0</v>
      </c>
      <c r="AC851">
        <v>0</v>
      </c>
      <c r="AD851">
        <v>0</v>
      </c>
      <c r="AF851">
        <v>200</v>
      </c>
      <c r="AG851">
        <v>0</v>
      </c>
      <c r="AH851" t="s">
        <v>2259</v>
      </c>
      <c r="AI851" t="s">
        <v>2447</v>
      </c>
      <c r="AJ851">
        <v>0</v>
      </c>
      <c r="AK851">
        <v>0</v>
      </c>
      <c r="AL851">
        <v>0</v>
      </c>
      <c r="AM851" t="s">
        <v>1821</v>
      </c>
      <c r="AN851" t="s">
        <v>132</v>
      </c>
      <c r="AO851">
        <v>0</v>
      </c>
      <c r="AP851">
        <v>0</v>
      </c>
      <c r="AQ851">
        <v>0</v>
      </c>
      <c r="AR851">
        <v>0</v>
      </c>
      <c r="AS851">
        <v>0</v>
      </c>
      <c r="AT851">
        <v>0</v>
      </c>
      <c r="AU851">
        <v>0</v>
      </c>
      <c r="AV851">
        <v>0</v>
      </c>
      <c r="AW851">
        <v>0</v>
      </c>
      <c r="AX851">
        <v>0</v>
      </c>
      <c r="AY851">
        <v>0</v>
      </c>
      <c r="AZ851">
        <v>0</v>
      </c>
      <c r="BA851">
        <v>0</v>
      </c>
      <c r="BB851">
        <v>0</v>
      </c>
      <c r="BC851">
        <v>0</v>
      </c>
      <c r="BD851">
        <v>0</v>
      </c>
      <c r="BE851">
        <v>0</v>
      </c>
      <c r="BF851">
        <v>0</v>
      </c>
      <c r="BG851">
        <v>0</v>
      </c>
      <c r="BH851">
        <v>255</v>
      </c>
      <c r="BI851">
        <v>0</v>
      </c>
      <c r="BJ851">
        <v>0</v>
      </c>
      <c r="BK851">
        <v>0</v>
      </c>
      <c r="BL851">
        <v>0</v>
      </c>
      <c r="BM851">
        <v>0</v>
      </c>
      <c r="BN851">
        <v>0</v>
      </c>
      <c r="BO851">
        <v>0</v>
      </c>
      <c r="BP851">
        <v>0</v>
      </c>
      <c r="BQ851">
        <v>0</v>
      </c>
      <c r="BR851">
        <v>0</v>
      </c>
      <c r="BS851">
        <v>0</v>
      </c>
      <c r="BT851">
        <v>0</v>
      </c>
      <c r="BU851">
        <v>0</v>
      </c>
      <c r="BV851">
        <v>0</v>
      </c>
      <c r="BW851">
        <v>0</v>
      </c>
      <c r="BX851">
        <v>0</v>
      </c>
      <c r="BY851">
        <v>0</v>
      </c>
      <c r="BZ851">
        <v>0</v>
      </c>
      <c r="CA851">
        <v>0</v>
      </c>
      <c r="CB851">
        <v>0</v>
      </c>
      <c r="CC851">
        <v>0</v>
      </c>
      <c r="CD851">
        <v>0</v>
      </c>
      <c r="CE8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51" s="19">
        <f>SUM(Table1[[#This Row],[Mid39]],Table1[[#This Row],[Mid36]],Table1[[#This Row],[Mid33]],Table1[[#This Row],[Mid30]],Table1[[#This Row],[Mid27]],Table1[[#This Row],[Mid24]],Table1[[#This Row],[Mid21]],Table1[[#This Row],[Mid18]],Table1[[#This Row],[Mid15]],Table1[[#This Row],[Mid12]],Table1[[#This Row],[Mid9]],Table1[[#This Row],[Mid6]],Table1[[#This Row],[Mid3]],Table1[[#This Row],[Mid]])</f>
        <v>255</v>
      </c>
      <c r="CG8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51" t="s">
        <v>157</v>
      </c>
      <c r="CI851" t="s">
        <v>134</v>
      </c>
      <c r="CJ851" t="s">
        <v>158</v>
      </c>
      <c r="CL851" s="19">
        <f>IF(Table1[[#This Row],[Type]]="Petroleum",1,IF(ISERROR(Table1[[#This Row],[Well Density]]*Table1[[#This Row],[Single Well Discovery Area]]),"",IF(Table1[[#This Row],[Well Density]]*Table1[[#This Row],[Single Well Discovery Area]]&gt;1,1,Table1[[#This Row],[Well Density]]*Table1[[#This Row],[Single Well Discovery Area]])))</f>
        <v>0</v>
      </c>
      <c r="CM851" t="s">
        <v>2453</v>
      </c>
      <c r="CN851" s="19">
        <f>Table1[[#This Row],[Mid]]</f>
        <v>0</v>
      </c>
      <c r="CO851" s="19">
        <f>Table1[[#This Row],[Mid3]]+Table1[[#This Row],[Mid6]]+Table1[[#This Row],[Mid9]]</f>
        <v>0</v>
      </c>
      <c r="CP851" s="19">
        <f>Table1[[#This Row],[Mid12]]+Table1[[#This Row],[Mid15]]+Table1[[#This Row],[Mid18]]+Table1[[#This Row],[Mid21]]+Table1[[#This Row],[Mid24]]</f>
        <v>255</v>
      </c>
      <c r="CQ851" s="19">
        <f>Table1[[#This Row],[Mid27]]+Table1[[#This Row],[Mid30]]+Table1[[#This Row],[Mid33]]+Table1[[#This Row],[Mid36]]+Table1[[#This Row],[Mid39]]</f>
        <v>0</v>
      </c>
      <c r="CR851" t="s">
        <v>415</v>
      </c>
      <c r="CS851" s="19" t="str">
        <f>IF(AND(Table1[[#This Row],[Low41]]=0, Table1[[#This Row],[High43]]=0),"N","Y")</f>
        <v>N</v>
      </c>
    </row>
    <row r="852" spans="1:97" ht="19.5" customHeight="1" x14ac:dyDescent="0.25">
      <c r="A852">
        <v>10850</v>
      </c>
      <c r="B852" t="s">
        <v>1635</v>
      </c>
      <c r="C852" t="s">
        <v>1449</v>
      </c>
      <c r="D852">
        <v>53.885556000000001</v>
      </c>
      <c r="E852">
        <v>1.99</v>
      </c>
      <c r="F852" t="s">
        <v>2606</v>
      </c>
      <c r="G852" t="s">
        <v>1687</v>
      </c>
      <c r="H852" t="s">
        <v>1711</v>
      </c>
      <c r="I852" t="s">
        <v>118</v>
      </c>
      <c r="J852" t="s">
        <v>119</v>
      </c>
      <c r="K852" t="s">
        <v>120</v>
      </c>
      <c r="L852" t="s">
        <v>121</v>
      </c>
      <c r="M852" t="s">
        <v>745</v>
      </c>
      <c r="N852" s="6" t="s">
        <v>1639</v>
      </c>
      <c r="O852" t="s">
        <v>2607</v>
      </c>
      <c r="P852" t="s">
        <v>1150</v>
      </c>
      <c r="Q852" t="s">
        <v>1641</v>
      </c>
      <c r="R852" t="s">
        <v>1642</v>
      </c>
      <c r="S852">
        <v>2015</v>
      </c>
      <c r="T852" t="s">
        <v>771</v>
      </c>
      <c r="U852" t="s">
        <v>1479</v>
      </c>
      <c r="V852">
        <v>0</v>
      </c>
      <c r="W852">
        <v>0</v>
      </c>
      <c r="X852">
        <v>0</v>
      </c>
      <c r="Y852">
        <v>0</v>
      </c>
      <c r="Z852">
        <v>0</v>
      </c>
      <c r="AA852">
        <v>0</v>
      </c>
      <c r="AB852">
        <v>0</v>
      </c>
      <c r="AC852">
        <v>0</v>
      </c>
      <c r="AD852">
        <v>0</v>
      </c>
      <c r="AF852">
        <v>200</v>
      </c>
      <c r="AG852">
        <v>0</v>
      </c>
      <c r="AH852" t="s">
        <v>2259</v>
      </c>
      <c r="AI852" t="s">
        <v>2447</v>
      </c>
      <c r="AJ852">
        <v>0</v>
      </c>
      <c r="AK852">
        <v>0</v>
      </c>
      <c r="AL852">
        <v>0</v>
      </c>
      <c r="AM852" t="s">
        <v>1821</v>
      </c>
      <c r="AN852" t="s">
        <v>132</v>
      </c>
      <c r="AO852">
        <v>0</v>
      </c>
      <c r="AP852">
        <v>0</v>
      </c>
      <c r="AQ852">
        <v>0</v>
      </c>
      <c r="AR852">
        <v>0</v>
      </c>
      <c r="AS852">
        <v>0</v>
      </c>
      <c r="AT852">
        <v>0</v>
      </c>
      <c r="AU852">
        <v>0</v>
      </c>
      <c r="AV852">
        <v>0</v>
      </c>
      <c r="AW852">
        <v>0</v>
      </c>
      <c r="AX852">
        <v>0</v>
      </c>
      <c r="AY852">
        <v>0</v>
      </c>
      <c r="AZ852">
        <v>0</v>
      </c>
      <c r="BA852">
        <v>0</v>
      </c>
      <c r="BB852">
        <v>0</v>
      </c>
      <c r="BC852">
        <v>0</v>
      </c>
      <c r="BD852">
        <v>0</v>
      </c>
      <c r="BE852">
        <v>0</v>
      </c>
      <c r="BF852">
        <v>0</v>
      </c>
      <c r="BG852">
        <v>0</v>
      </c>
      <c r="BH852">
        <v>347</v>
      </c>
      <c r="BI852">
        <v>0</v>
      </c>
      <c r="BJ852">
        <v>0</v>
      </c>
      <c r="BK852">
        <v>0</v>
      </c>
      <c r="BL852">
        <v>0</v>
      </c>
      <c r="BM852">
        <v>0</v>
      </c>
      <c r="BN852">
        <v>0</v>
      </c>
      <c r="BO852">
        <v>0</v>
      </c>
      <c r="BP852">
        <v>0</v>
      </c>
      <c r="BQ852">
        <v>0</v>
      </c>
      <c r="BR852">
        <v>0</v>
      </c>
      <c r="BS852">
        <v>0</v>
      </c>
      <c r="BT852">
        <v>0</v>
      </c>
      <c r="BU852">
        <v>0</v>
      </c>
      <c r="BV852">
        <v>0</v>
      </c>
      <c r="BW852">
        <v>0</v>
      </c>
      <c r="BX852">
        <v>0</v>
      </c>
      <c r="BY852">
        <v>0</v>
      </c>
      <c r="BZ852">
        <v>0</v>
      </c>
      <c r="CA852">
        <v>0</v>
      </c>
      <c r="CB852">
        <v>0</v>
      </c>
      <c r="CC852">
        <v>0</v>
      </c>
      <c r="CD852">
        <v>0</v>
      </c>
      <c r="CE8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52" s="19">
        <f>SUM(Table1[[#This Row],[Mid39]],Table1[[#This Row],[Mid36]],Table1[[#This Row],[Mid33]],Table1[[#This Row],[Mid30]],Table1[[#This Row],[Mid27]],Table1[[#This Row],[Mid24]],Table1[[#This Row],[Mid21]],Table1[[#This Row],[Mid18]],Table1[[#This Row],[Mid15]],Table1[[#This Row],[Mid12]],Table1[[#This Row],[Mid9]],Table1[[#This Row],[Mid6]],Table1[[#This Row],[Mid3]],Table1[[#This Row],[Mid]])</f>
        <v>347</v>
      </c>
      <c r="CG8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52" t="s">
        <v>157</v>
      </c>
      <c r="CI852" t="s">
        <v>134</v>
      </c>
      <c r="CJ852" t="s">
        <v>158</v>
      </c>
      <c r="CL852" s="19">
        <f>IF(Table1[[#This Row],[Type]]="Petroleum",1,IF(ISERROR(Table1[[#This Row],[Well Density]]*Table1[[#This Row],[Single Well Discovery Area]]),"",IF(Table1[[#This Row],[Well Density]]*Table1[[#This Row],[Single Well Discovery Area]]&gt;1,1,Table1[[#This Row],[Well Density]]*Table1[[#This Row],[Single Well Discovery Area]])))</f>
        <v>0</v>
      </c>
      <c r="CM852" t="s">
        <v>2453</v>
      </c>
      <c r="CN852" s="19">
        <f>Table1[[#This Row],[Mid]]</f>
        <v>0</v>
      </c>
      <c r="CO852" s="19">
        <f>Table1[[#This Row],[Mid3]]+Table1[[#This Row],[Mid6]]+Table1[[#This Row],[Mid9]]</f>
        <v>0</v>
      </c>
      <c r="CP852" s="19">
        <f>Table1[[#This Row],[Mid12]]+Table1[[#This Row],[Mid15]]+Table1[[#This Row],[Mid18]]+Table1[[#This Row],[Mid21]]+Table1[[#This Row],[Mid24]]</f>
        <v>347</v>
      </c>
      <c r="CQ852" s="19">
        <f>Table1[[#This Row],[Mid27]]+Table1[[#This Row],[Mid30]]+Table1[[#This Row],[Mid33]]+Table1[[#This Row],[Mid36]]+Table1[[#This Row],[Mid39]]</f>
        <v>0</v>
      </c>
      <c r="CR852" t="s">
        <v>415</v>
      </c>
      <c r="CS852" s="19" t="str">
        <f>IF(AND(Table1[[#This Row],[Low41]]=0, Table1[[#This Row],[High43]]=0),"N","Y")</f>
        <v>N</v>
      </c>
    </row>
    <row r="853" spans="1:97" ht="19.5" customHeight="1" x14ac:dyDescent="0.25">
      <c r="A853">
        <v>10851</v>
      </c>
      <c r="B853" t="s">
        <v>1635</v>
      </c>
      <c r="C853" t="s">
        <v>1449</v>
      </c>
      <c r="D853">
        <v>54.029166670000002</v>
      </c>
      <c r="E853">
        <v>1.751388889</v>
      </c>
      <c r="F853" t="s">
        <v>2608</v>
      </c>
      <c r="G853" t="s">
        <v>1687</v>
      </c>
      <c r="H853" t="s">
        <v>1711</v>
      </c>
      <c r="I853" t="s">
        <v>118</v>
      </c>
      <c r="J853" t="s">
        <v>119</v>
      </c>
      <c r="K853" t="s">
        <v>120</v>
      </c>
      <c r="L853" t="s">
        <v>121</v>
      </c>
      <c r="M853" t="s">
        <v>745</v>
      </c>
      <c r="N853" s="6" t="s">
        <v>1639</v>
      </c>
      <c r="O853" t="s">
        <v>2609</v>
      </c>
      <c r="P853" t="s">
        <v>1150</v>
      </c>
      <c r="Q853" t="s">
        <v>2610</v>
      </c>
      <c r="R853" t="s">
        <v>1642</v>
      </c>
      <c r="S853">
        <v>2016</v>
      </c>
      <c r="T853" t="s">
        <v>771</v>
      </c>
      <c r="U853" t="s">
        <v>1479</v>
      </c>
      <c r="V853">
        <v>0</v>
      </c>
      <c r="W853">
        <v>0</v>
      </c>
      <c r="X853">
        <v>0</v>
      </c>
      <c r="Y853">
        <v>0</v>
      </c>
      <c r="Z853">
        <v>0</v>
      </c>
      <c r="AA853">
        <v>0</v>
      </c>
      <c r="AB853">
        <v>0</v>
      </c>
      <c r="AC853">
        <v>0</v>
      </c>
      <c r="AD853">
        <v>0</v>
      </c>
      <c r="AF853">
        <v>200</v>
      </c>
      <c r="AG853">
        <v>0</v>
      </c>
      <c r="AH853" t="s">
        <v>2259</v>
      </c>
      <c r="AI853" t="s">
        <v>2447</v>
      </c>
      <c r="AJ853">
        <v>0</v>
      </c>
      <c r="AK853">
        <v>0</v>
      </c>
      <c r="AL853">
        <v>0</v>
      </c>
      <c r="AM853" t="s">
        <v>1821</v>
      </c>
      <c r="AN853" t="s">
        <v>132</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347</v>
      </c>
      <c r="BI853">
        <v>0</v>
      </c>
      <c r="BJ853">
        <v>0</v>
      </c>
      <c r="BK853">
        <v>0</v>
      </c>
      <c r="BL853">
        <v>0</v>
      </c>
      <c r="BM853">
        <v>0</v>
      </c>
      <c r="BN853">
        <v>0</v>
      </c>
      <c r="BO853">
        <v>0</v>
      </c>
      <c r="BP853">
        <v>0</v>
      </c>
      <c r="BQ853">
        <v>0</v>
      </c>
      <c r="BR853">
        <v>0</v>
      </c>
      <c r="BS853">
        <v>0</v>
      </c>
      <c r="BT853">
        <v>0</v>
      </c>
      <c r="BU853">
        <v>0</v>
      </c>
      <c r="BV853">
        <v>0</v>
      </c>
      <c r="BW853">
        <v>0</v>
      </c>
      <c r="BX853">
        <v>0</v>
      </c>
      <c r="BY853">
        <v>0</v>
      </c>
      <c r="BZ853">
        <v>0</v>
      </c>
      <c r="CA853">
        <v>0</v>
      </c>
      <c r="CB853">
        <v>0</v>
      </c>
      <c r="CC853">
        <v>0</v>
      </c>
      <c r="CD853">
        <v>0</v>
      </c>
      <c r="CE8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53" s="19">
        <f>SUM(Table1[[#This Row],[Mid39]],Table1[[#This Row],[Mid36]],Table1[[#This Row],[Mid33]],Table1[[#This Row],[Mid30]],Table1[[#This Row],[Mid27]],Table1[[#This Row],[Mid24]],Table1[[#This Row],[Mid21]],Table1[[#This Row],[Mid18]],Table1[[#This Row],[Mid15]],Table1[[#This Row],[Mid12]],Table1[[#This Row],[Mid9]],Table1[[#This Row],[Mid6]],Table1[[#This Row],[Mid3]],Table1[[#This Row],[Mid]])</f>
        <v>347</v>
      </c>
      <c r="CG8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53" t="s">
        <v>157</v>
      </c>
      <c r="CI853" t="s">
        <v>134</v>
      </c>
      <c r="CJ853" t="s">
        <v>158</v>
      </c>
      <c r="CL853" s="19">
        <f>IF(Table1[[#This Row],[Type]]="Petroleum",1,IF(ISERROR(Table1[[#This Row],[Well Density]]*Table1[[#This Row],[Single Well Discovery Area]]),"",IF(Table1[[#This Row],[Well Density]]*Table1[[#This Row],[Single Well Discovery Area]]&gt;1,1,Table1[[#This Row],[Well Density]]*Table1[[#This Row],[Single Well Discovery Area]])))</f>
        <v>0</v>
      </c>
      <c r="CM853" t="s">
        <v>2453</v>
      </c>
      <c r="CN853" s="19">
        <f>Table1[[#This Row],[Mid]]</f>
        <v>0</v>
      </c>
      <c r="CO853" s="19">
        <f>Table1[[#This Row],[Mid3]]+Table1[[#This Row],[Mid6]]+Table1[[#This Row],[Mid9]]</f>
        <v>0</v>
      </c>
      <c r="CP853" s="19">
        <f>Table1[[#This Row],[Mid12]]+Table1[[#This Row],[Mid15]]+Table1[[#This Row],[Mid18]]+Table1[[#This Row],[Mid21]]+Table1[[#This Row],[Mid24]]</f>
        <v>347</v>
      </c>
      <c r="CQ853" s="19">
        <f>Table1[[#This Row],[Mid27]]+Table1[[#This Row],[Mid30]]+Table1[[#This Row],[Mid33]]+Table1[[#This Row],[Mid36]]+Table1[[#This Row],[Mid39]]</f>
        <v>0</v>
      </c>
      <c r="CR853" t="s">
        <v>415</v>
      </c>
      <c r="CS853" s="19" t="str">
        <f>IF(AND(Table1[[#This Row],[Low41]]=0, Table1[[#This Row],[High43]]=0),"N","Y")</f>
        <v>N</v>
      </c>
    </row>
    <row r="854" spans="1:97" ht="19.5" customHeight="1" x14ac:dyDescent="0.25">
      <c r="A854">
        <v>10852</v>
      </c>
      <c r="B854" t="s">
        <v>1635</v>
      </c>
      <c r="C854" t="s">
        <v>1449</v>
      </c>
      <c r="D854">
        <v>58.467222219999996</v>
      </c>
      <c r="E854">
        <v>0.46</v>
      </c>
      <c r="F854" t="s">
        <v>2611</v>
      </c>
      <c r="G854" t="s">
        <v>1679</v>
      </c>
      <c r="H854" t="s">
        <v>2611</v>
      </c>
      <c r="I854" t="s">
        <v>118</v>
      </c>
      <c r="J854" t="s">
        <v>119</v>
      </c>
      <c r="K854" t="s">
        <v>167</v>
      </c>
      <c r="L854" t="s">
        <v>121</v>
      </c>
      <c r="M854" t="s">
        <v>2612</v>
      </c>
      <c r="N854" s="6" t="s">
        <v>1639</v>
      </c>
      <c r="O854" t="s">
        <v>2609</v>
      </c>
      <c r="P854" t="s">
        <v>1150</v>
      </c>
      <c r="Q854" t="s">
        <v>2613</v>
      </c>
      <c r="R854" t="s">
        <v>1642</v>
      </c>
      <c r="S854">
        <v>2015</v>
      </c>
      <c r="T854" t="s">
        <v>771</v>
      </c>
      <c r="U854" t="s">
        <v>1479</v>
      </c>
      <c r="V854">
        <v>0</v>
      </c>
      <c r="W854">
        <v>0</v>
      </c>
      <c r="X854">
        <v>0</v>
      </c>
      <c r="Y854">
        <v>0</v>
      </c>
      <c r="Z854">
        <v>0</v>
      </c>
      <c r="AA854">
        <v>0</v>
      </c>
      <c r="AB854">
        <v>0</v>
      </c>
      <c r="AC854">
        <v>0</v>
      </c>
      <c r="AD854">
        <v>0</v>
      </c>
      <c r="AF854">
        <v>200</v>
      </c>
      <c r="AH854" t="s">
        <v>2259</v>
      </c>
      <c r="AI854" t="s">
        <v>2447</v>
      </c>
      <c r="AM854" t="s">
        <v>1821</v>
      </c>
      <c r="AN854" t="s">
        <v>132</v>
      </c>
      <c r="AO854">
        <v>0</v>
      </c>
      <c r="AP854">
        <v>0</v>
      </c>
      <c r="AQ854">
        <v>0</v>
      </c>
      <c r="AR854">
        <v>0</v>
      </c>
      <c r="AS854">
        <v>0</v>
      </c>
      <c r="AT854">
        <v>0</v>
      </c>
      <c r="AU854">
        <v>0</v>
      </c>
      <c r="AV854">
        <v>0</v>
      </c>
      <c r="AW854">
        <v>0</v>
      </c>
      <c r="AX854">
        <v>0</v>
      </c>
      <c r="AY854">
        <v>0</v>
      </c>
      <c r="AZ854">
        <v>0</v>
      </c>
      <c r="BA854">
        <v>0</v>
      </c>
      <c r="BH854">
        <v>506</v>
      </c>
      <c r="CE85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54" s="19">
        <f>SUM(Table1[[#This Row],[Mid39]],Table1[[#This Row],[Mid36]],Table1[[#This Row],[Mid33]],Table1[[#This Row],[Mid30]],Table1[[#This Row],[Mid27]],Table1[[#This Row],[Mid24]],Table1[[#This Row],[Mid21]],Table1[[#This Row],[Mid18]],Table1[[#This Row],[Mid15]],Table1[[#This Row],[Mid12]],Table1[[#This Row],[Mid9]],Table1[[#This Row],[Mid6]],Table1[[#This Row],[Mid3]],Table1[[#This Row],[Mid]])</f>
        <v>506</v>
      </c>
      <c r="CG85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54" t="s">
        <v>157</v>
      </c>
      <c r="CI854" t="s">
        <v>134</v>
      </c>
      <c r="CJ854" t="s">
        <v>158</v>
      </c>
      <c r="CL854" s="19">
        <f>IF(Table1[[#This Row],[Type]]="Petroleum",1,IF(ISERROR(Table1[[#This Row],[Well Density]]*Table1[[#This Row],[Single Well Discovery Area]]),"",IF(Table1[[#This Row],[Well Density]]*Table1[[#This Row],[Single Well Discovery Area]]&gt;1,1,Table1[[#This Row],[Well Density]]*Table1[[#This Row],[Single Well Discovery Area]])))</f>
        <v>0</v>
      </c>
      <c r="CM854" t="s">
        <v>2453</v>
      </c>
      <c r="CN854" s="19">
        <f>Table1[[#This Row],[Mid]]</f>
        <v>0</v>
      </c>
      <c r="CO854" s="19">
        <f>Table1[[#This Row],[Mid3]]+Table1[[#This Row],[Mid6]]+Table1[[#This Row],[Mid9]]</f>
        <v>0</v>
      </c>
      <c r="CP854" s="19">
        <f>Table1[[#This Row],[Mid12]]+Table1[[#This Row],[Mid15]]+Table1[[#This Row],[Mid18]]+Table1[[#This Row],[Mid21]]+Table1[[#This Row],[Mid24]]</f>
        <v>506</v>
      </c>
      <c r="CQ854" s="19">
        <f>Table1[[#This Row],[Mid27]]+Table1[[#This Row],[Mid30]]+Table1[[#This Row],[Mid33]]+Table1[[#This Row],[Mid36]]+Table1[[#This Row],[Mid39]]</f>
        <v>0</v>
      </c>
      <c r="CR854" t="s">
        <v>415</v>
      </c>
      <c r="CS854" s="19" t="str">
        <f>IF(AND(Table1[[#This Row],[Low41]]=0, Table1[[#This Row],[High43]]=0),"N","Y")</f>
        <v>N</v>
      </c>
    </row>
    <row r="855" spans="1:97" ht="19.5" customHeight="1" x14ac:dyDescent="0.25">
      <c r="A855">
        <v>10853</v>
      </c>
      <c r="B855" t="s">
        <v>1635</v>
      </c>
      <c r="C855" t="s">
        <v>1449</v>
      </c>
      <c r="D855">
        <v>58.319722220000003</v>
      </c>
      <c r="E855">
        <v>0.47222222200000002</v>
      </c>
      <c r="F855" t="s">
        <v>2614</v>
      </c>
      <c r="G855" t="s">
        <v>1679</v>
      </c>
      <c r="H855" t="s">
        <v>1848</v>
      </c>
      <c r="I855" t="s">
        <v>118</v>
      </c>
      <c r="J855" t="s">
        <v>119</v>
      </c>
      <c r="K855" t="s">
        <v>167</v>
      </c>
      <c r="L855" t="s">
        <v>121</v>
      </c>
      <c r="M855" t="s">
        <v>2612</v>
      </c>
      <c r="N855" s="6" t="s">
        <v>1639</v>
      </c>
      <c r="O855" t="s">
        <v>2609</v>
      </c>
      <c r="P855" t="s">
        <v>1150</v>
      </c>
      <c r="Q855" t="s">
        <v>2615</v>
      </c>
      <c r="R855" t="s">
        <v>2616</v>
      </c>
      <c r="S855">
        <v>2015</v>
      </c>
      <c r="T855" t="s">
        <v>771</v>
      </c>
      <c r="U855" t="s">
        <v>1479</v>
      </c>
      <c r="V855">
        <v>0</v>
      </c>
      <c r="W855">
        <v>0</v>
      </c>
      <c r="X855">
        <v>0</v>
      </c>
      <c r="Y855">
        <v>0</v>
      </c>
      <c r="Z855">
        <v>0</v>
      </c>
      <c r="AA855">
        <v>0</v>
      </c>
      <c r="AB855">
        <v>0</v>
      </c>
      <c r="AC855">
        <v>0</v>
      </c>
      <c r="AD855">
        <v>0</v>
      </c>
      <c r="AF855">
        <v>200</v>
      </c>
      <c r="AH855" t="s">
        <v>2259</v>
      </c>
      <c r="AI855" t="s">
        <v>2447</v>
      </c>
      <c r="AM855" t="s">
        <v>1821</v>
      </c>
      <c r="AN855" t="s">
        <v>132</v>
      </c>
      <c r="AO855">
        <v>0</v>
      </c>
      <c r="AP855">
        <v>0</v>
      </c>
      <c r="AQ855">
        <v>0</v>
      </c>
      <c r="AR855">
        <v>0</v>
      </c>
      <c r="AS855">
        <v>0</v>
      </c>
      <c r="AT855">
        <v>0</v>
      </c>
      <c r="AU855">
        <v>0</v>
      </c>
      <c r="AV855">
        <v>0</v>
      </c>
      <c r="AW855">
        <v>0</v>
      </c>
      <c r="AX855">
        <v>0</v>
      </c>
      <c r="AY855">
        <v>0</v>
      </c>
      <c r="AZ855">
        <v>0</v>
      </c>
      <c r="BA855">
        <v>0</v>
      </c>
      <c r="BH855">
        <v>1777</v>
      </c>
      <c r="CE85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55" s="19">
        <f>SUM(Table1[[#This Row],[Mid39]],Table1[[#This Row],[Mid36]],Table1[[#This Row],[Mid33]],Table1[[#This Row],[Mid30]],Table1[[#This Row],[Mid27]],Table1[[#This Row],[Mid24]],Table1[[#This Row],[Mid21]],Table1[[#This Row],[Mid18]],Table1[[#This Row],[Mid15]],Table1[[#This Row],[Mid12]],Table1[[#This Row],[Mid9]],Table1[[#This Row],[Mid6]],Table1[[#This Row],[Mid3]],Table1[[#This Row],[Mid]])</f>
        <v>1777</v>
      </c>
      <c r="CG85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55" t="s">
        <v>157</v>
      </c>
      <c r="CI855" t="s">
        <v>134</v>
      </c>
      <c r="CJ855" t="s">
        <v>158</v>
      </c>
      <c r="CL855" s="19">
        <f>IF(Table1[[#This Row],[Type]]="Petroleum",1,IF(ISERROR(Table1[[#This Row],[Well Density]]*Table1[[#This Row],[Single Well Discovery Area]]),"",IF(Table1[[#This Row],[Well Density]]*Table1[[#This Row],[Single Well Discovery Area]]&gt;1,1,Table1[[#This Row],[Well Density]]*Table1[[#This Row],[Single Well Discovery Area]])))</f>
        <v>0</v>
      </c>
      <c r="CM855" t="s">
        <v>135</v>
      </c>
      <c r="CN855" s="19">
        <f>Table1[[#This Row],[Mid]]</f>
        <v>0</v>
      </c>
      <c r="CO855" s="19">
        <f>Table1[[#This Row],[Mid3]]+Table1[[#This Row],[Mid6]]+Table1[[#This Row],[Mid9]]</f>
        <v>0</v>
      </c>
      <c r="CP855" s="19">
        <f>Table1[[#This Row],[Mid12]]+Table1[[#This Row],[Mid15]]+Table1[[#This Row],[Mid18]]+Table1[[#This Row],[Mid21]]+Table1[[#This Row],[Mid24]]</f>
        <v>1777</v>
      </c>
      <c r="CQ855" s="19">
        <f>Table1[[#This Row],[Mid27]]+Table1[[#This Row],[Mid30]]+Table1[[#This Row],[Mid33]]+Table1[[#This Row],[Mid36]]+Table1[[#This Row],[Mid39]]</f>
        <v>0</v>
      </c>
      <c r="CR855" t="s">
        <v>415</v>
      </c>
      <c r="CS855" s="19" t="str">
        <f>IF(AND(Table1[[#This Row],[Low41]]=0, Table1[[#This Row],[High43]]=0),"N","Y")</f>
        <v>N</v>
      </c>
    </row>
    <row r="856" spans="1:97" ht="19.5" customHeight="1" x14ac:dyDescent="0.25">
      <c r="A856">
        <v>10854</v>
      </c>
      <c r="B856" t="s">
        <v>1635</v>
      </c>
      <c r="C856" t="s">
        <v>1449</v>
      </c>
      <c r="D856">
        <v>63.134805559999997</v>
      </c>
      <c r="E856">
        <v>1.213055556</v>
      </c>
      <c r="F856" t="s">
        <v>2617</v>
      </c>
      <c r="G856" t="s">
        <v>1779</v>
      </c>
      <c r="H856" t="s">
        <v>2617</v>
      </c>
      <c r="I856" t="s">
        <v>118</v>
      </c>
      <c r="J856" t="s">
        <v>119</v>
      </c>
      <c r="K856" t="s">
        <v>203</v>
      </c>
      <c r="L856" t="s">
        <v>121</v>
      </c>
      <c r="M856" t="s">
        <v>2618</v>
      </c>
      <c r="N856" s="6" t="s">
        <v>1639</v>
      </c>
      <c r="O856" t="s">
        <v>2609</v>
      </c>
      <c r="P856" t="s">
        <v>1150</v>
      </c>
      <c r="Q856" t="s">
        <v>2619</v>
      </c>
      <c r="R856" t="s">
        <v>1642</v>
      </c>
      <c r="S856">
        <v>2016</v>
      </c>
      <c r="T856" t="s">
        <v>771</v>
      </c>
      <c r="U856" t="s">
        <v>1479</v>
      </c>
      <c r="V856">
        <v>0</v>
      </c>
      <c r="W856">
        <v>0</v>
      </c>
      <c r="X856">
        <v>0</v>
      </c>
      <c r="Y856">
        <v>0</v>
      </c>
      <c r="Z856">
        <v>0</v>
      </c>
      <c r="AA856">
        <v>0</v>
      </c>
      <c r="AB856">
        <v>0</v>
      </c>
      <c r="AC856">
        <v>0</v>
      </c>
      <c r="AD856">
        <v>0</v>
      </c>
      <c r="AF856">
        <v>200</v>
      </c>
      <c r="AH856" t="s">
        <v>2259</v>
      </c>
      <c r="AI856" t="s">
        <v>2447</v>
      </c>
      <c r="AM856" t="s">
        <v>1821</v>
      </c>
      <c r="AN856" t="s">
        <v>132</v>
      </c>
      <c r="AO856">
        <v>0</v>
      </c>
      <c r="AP856">
        <v>0</v>
      </c>
      <c r="AQ856">
        <v>0</v>
      </c>
      <c r="AR856">
        <v>0</v>
      </c>
      <c r="AS856">
        <v>0</v>
      </c>
      <c r="AT856">
        <v>0</v>
      </c>
      <c r="AU856">
        <v>0</v>
      </c>
      <c r="AV856">
        <v>0</v>
      </c>
      <c r="AW856">
        <v>0</v>
      </c>
      <c r="AX856">
        <v>0</v>
      </c>
      <c r="AY856">
        <v>0</v>
      </c>
      <c r="AZ856">
        <v>0</v>
      </c>
      <c r="BA856">
        <v>0</v>
      </c>
      <c r="BH856">
        <v>26</v>
      </c>
      <c r="CE85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56" s="19">
        <f>SUM(Table1[[#This Row],[Mid39]],Table1[[#This Row],[Mid36]],Table1[[#This Row],[Mid33]],Table1[[#This Row],[Mid30]],Table1[[#This Row],[Mid27]],Table1[[#This Row],[Mid24]],Table1[[#This Row],[Mid21]],Table1[[#This Row],[Mid18]],Table1[[#This Row],[Mid15]],Table1[[#This Row],[Mid12]],Table1[[#This Row],[Mid9]],Table1[[#This Row],[Mid6]],Table1[[#This Row],[Mid3]],Table1[[#This Row],[Mid]])</f>
        <v>26</v>
      </c>
      <c r="CG85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56" t="s">
        <v>157</v>
      </c>
      <c r="CI856" t="s">
        <v>134</v>
      </c>
      <c r="CJ856" t="s">
        <v>158</v>
      </c>
      <c r="CL856" s="19">
        <f>IF(Table1[[#This Row],[Type]]="Petroleum",1,IF(ISERROR(Table1[[#This Row],[Well Density]]*Table1[[#This Row],[Single Well Discovery Area]]),"",IF(Table1[[#This Row],[Well Density]]*Table1[[#This Row],[Single Well Discovery Area]]&gt;1,1,Table1[[#This Row],[Well Density]]*Table1[[#This Row],[Single Well Discovery Area]])))</f>
        <v>0</v>
      </c>
      <c r="CN856" s="19">
        <f>Table1[[#This Row],[Mid]]</f>
        <v>0</v>
      </c>
      <c r="CO856" s="19">
        <f>Table1[[#This Row],[Mid3]]+Table1[[#This Row],[Mid6]]+Table1[[#This Row],[Mid9]]</f>
        <v>0</v>
      </c>
      <c r="CP856" s="19">
        <f>Table1[[#This Row],[Mid12]]+Table1[[#This Row],[Mid15]]+Table1[[#This Row],[Mid18]]+Table1[[#This Row],[Mid21]]+Table1[[#This Row],[Mid24]]</f>
        <v>26</v>
      </c>
      <c r="CQ856" s="19">
        <f>Table1[[#This Row],[Mid27]]+Table1[[#This Row],[Mid30]]+Table1[[#This Row],[Mid33]]+Table1[[#This Row],[Mid36]]+Table1[[#This Row],[Mid39]]</f>
        <v>0</v>
      </c>
      <c r="CR856" t="s">
        <v>415</v>
      </c>
      <c r="CS856" s="19" t="str">
        <f>IF(AND(Table1[[#This Row],[Low41]]=0, Table1[[#This Row],[High43]]=0),"N","Y")</f>
        <v>N</v>
      </c>
    </row>
    <row r="857" spans="1:97" ht="19.5" customHeight="1" x14ac:dyDescent="0.25">
      <c r="A857">
        <v>10855</v>
      </c>
      <c r="B857" t="s">
        <v>1635</v>
      </c>
      <c r="C857" t="s">
        <v>1449</v>
      </c>
      <c r="D857">
        <v>56.398888890000002</v>
      </c>
      <c r="E857">
        <v>1.0874999999999999</v>
      </c>
      <c r="F857" t="s">
        <v>2620</v>
      </c>
      <c r="G857" t="s">
        <v>1779</v>
      </c>
      <c r="H857" t="s">
        <v>167</v>
      </c>
      <c r="I857" t="s">
        <v>118</v>
      </c>
      <c r="J857" t="s">
        <v>119</v>
      </c>
      <c r="K857" t="s">
        <v>1435</v>
      </c>
      <c r="L857" t="s">
        <v>121</v>
      </c>
      <c r="M857" t="s">
        <v>2621</v>
      </c>
      <c r="N857" s="6" t="s">
        <v>1639</v>
      </c>
      <c r="O857" t="s">
        <v>2609</v>
      </c>
      <c r="P857" t="s">
        <v>1150</v>
      </c>
      <c r="Q857" t="s">
        <v>2622</v>
      </c>
      <c r="R857" t="s">
        <v>1642</v>
      </c>
      <c r="S857">
        <v>2016</v>
      </c>
      <c r="T857" t="s">
        <v>771</v>
      </c>
      <c r="U857" t="s">
        <v>1479</v>
      </c>
      <c r="V857">
        <v>0</v>
      </c>
      <c r="W857">
        <v>0</v>
      </c>
      <c r="X857">
        <v>0</v>
      </c>
      <c r="Y857">
        <v>0</v>
      </c>
      <c r="Z857">
        <v>0</v>
      </c>
      <c r="AA857">
        <v>0</v>
      </c>
      <c r="AB857">
        <v>0</v>
      </c>
      <c r="AC857">
        <v>0</v>
      </c>
      <c r="AD857">
        <v>0</v>
      </c>
      <c r="AF857">
        <v>200</v>
      </c>
      <c r="AH857" t="s">
        <v>2259</v>
      </c>
      <c r="AI857" t="s">
        <v>2447</v>
      </c>
      <c r="AM857" t="s">
        <v>1821</v>
      </c>
      <c r="AN857" t="s">
        <v>132</v>
      </c>
      <c r="AO857">
        <v>0</v>
      </c>
      <c r="AP857">
        <v>0</v>
      </c>
      <c r="AQ857">
        <v>0</v>
      </c>
      <c r="AR857">
        <v>0</v>
      </c>
      <c r="AS857">
        <v>0</v>
      </c>
      <c r="AT857">
        <v>0</v>
      </c>
      <c r="AU857">
        <v>0</v>
      </c>
      <c r="AV857">
        <v>0</v>
      </c>
      <c r="AW857">
        <v>0</v>
      </c>
      <c r="AX857">
        <v>0</v>
      </c>
      <c r="AY857">
        <v>0</v>
      </c>
      <c r="AZ857">
        <v>0</v>
      </c>
      <c r="BA857">
        <v>0</v>
      </c>
      <c r="BH857">
        <v>601</v>
      </c>
      <c r="CE85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57" s="19">
        <f>SUM(Table1[[#This Row],[Mid39]],Table1[[#This Row],[Mid36]],Table1[[#This Row],[Mid33]],Table1[[#This Row],[Mid30]],Table1[[#This Row],[Mid27]],Table1[[#This Row],[Mid24]],Table1[[#This Row],[Mid21]],Table1[[#This Row],[Mid18]],Table1[[#This Row],[Mid15]],Table1[[#This Row],[Mid12]],Table1[[#This Row],[Mid9]],Table1[[#This Row],[Mid6]],Table1[[#This Row],[Mid3]],Table1[[#This Row],[Mid]])</f>
        <v>601</v>
      </c>
      <c r="CG85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57" t="s">
        <v>157</v>
      </c>
      <c r="CI857" t="s">
        <v>176</v>
      </c>
      <c r="CJ857" t="s">
        <v>158</v>
      </c>
      <c r="CL857" s="19">
        <f>IF(Table1[[#This Row],[Type]]="Petroleum",1,IF(ISERROR(Table1[[#This Row],[Well Density]]*Table1[[#This Row],[Single Well Discovery Area]]),"",IF(Table1[[#This Row],[Well Density]]*Table1[[#This Row],[Single Well Discovery Area]]&gt;1,1,Table1[[#This Row],[Well Density]]*Table1[[#This Row],[Single Well Discovery Area]])))</f>
        <v>0</v>
      </c>
      <c r="CN857" s="19">
        <f>Table1[[#This Row],[Mid]]</f>
        <v>0</v>
      </c>
      <c r="CO857" s="19">
        <f>Table1[[#This Row],[Mid3]]+Table1[[#This Row],[Mid6]]+Table1[[#This Row],[Mid9]]</f>
        <v>0</v>
      </c>
      <c r="CP857" s="19">
        <f>Table1[[#This Row],[Mid12]]+Table1[[#This Row],[Mid15]]+Table1[[#This Row],[Mid18]]+Table1[[#This Row],[Mid21]]+Table1[[#This Row],[Mid24]]</f>
        <v>601</v>
      </c>
      <c r="CQ857" s="19">
        <f>Table1[[#This Row],[Mid27]]+Table1[[#This Row],[Mid30]]+Table1[[#This Row],[Mid33]]+Table1[[#This Row],[Mid36]]+Table1[[#This Row],[Mid39]]</f>
        <v>0</v>
      </c>
      <c r="CR857" t="s">
        <v>415</v>
      </c>
      <c r="CS857" s="19" t="str">
        <f>IF(AND(Table1[[#This Row],[Low41]]=0, Table1[[#This Row],[High43]]=0),"N","Y")</f>
        <v>N</v>
      </c>
    </row>
    <row r="858" spans="1:97" ht="19.5" customHeight="1" x14ac:dyDescent="0.25">
      <c r="A858">
        <v>10856</v>
      </c>
      <c r="B858" t="s">
        <v>1635</v>
      </c>
      <c r="C858" t="s">
        <v>1449</v>
      </c>
      <c r="D858">
        <v>54.178055559999997</v>
      </c>
      <c r="E858">
        <v>1.8219444440000001</v>
      </c>
      <c r="F858" t="s">
        <v>2623</v>
      </c>
      <c r="G858" t="s">
        <v>1687</v>
      </c>
      <c r="H858" t="s">
        <v>1711</v>
      </c>
      <c r="I858" t="s">
        <v>118</v>
      </c>
      <c r="J858" t="s">
        <v>119</v>
      </c>
      <c r="K858" t="s">
        <v>203</v>
      </c>
      <c r="L858" t="s">
        <v>121</v>
      </c>
      <c r="M858" t="s">
        <v>745</v>
      </c>
      <c r="N858" s="6" t="s">
        <v>1720</v>
      </c>
      <c r="O858" t="s">
        <v>2624</v>
      </c>
      <c r="P858" t="s">
        <v>1722</v>
      </c>
      <c r="Q858" t="s">
        <v>1733</v>
      </c>
      <c r="R858" t="s">
        <v>2625</v>
      </c>
      <c r="S858">
        <v>2022</v>
      </c>
      <c r="T858" t="s">
        <v>771</v>
      </c>
      <c r="U858" t="s">
        <v>1479</v>
      </c>
      <c r="V858">
        <v>0</v>
      </c>
      <c r="W858">
        <v>0</v>
      </c>
      <c r="X858">
        <v>0</v>
      </c>
      <c r="Y858">
        <v>0</v>
      </c>
      <c r="Z858">
        <v>0</v>
      </c>
      <c r="AA858">
        <v>0</v>
      </c>
      <c r="AB858">
        <v>0</v>
      </c>
      <c r="AC858">
        <v>0</v>
      </c>
      <c r="AD858">
        <v>0</v>
      </c>
      <c r="AF858">
        <v>200</v>
      </c>
      <c r="AG858">
        <v>0</v>
      </c>
      <c r="AH858" t="s">
        <v>2259</v>
      </c>
      <c r="AI858" t="s">
        <v>2447</v>
      </c>
      <c r="AJ858">
        <v>0</v>
      </c>
      <c r="AK858">
        <v>0</v>
      </c>
      <c r="AL858">
        <v>0</v>
      </c>
      <c r="AM858" t="s">
        <v>2626</v>
      </c>
      <c r="AN858" t="s">
        <v>132</v>
      </c>
      <c r="AO858">
        <v>0</v>
      </c>
      <c r="AP858">
        <v>0</v>
      </c>
      <c r="AQ858">
        <v>0</v>
      </c>
      <c r="AR858">
        <v>0</v>
      </c>
      <c r="AS858">
        <v>0</v>
      </c>
      <c r="AT858">
        <v>0</v>
      </c>
      <c r="AU858">
        <v>0</v>
      </c>
      <c r="AV858">
        <v>0</v>
      </c>
      <c r="AW858">
        <v>0</v>
      </c>
      <c r="AX858">
        <v>0</v>
      </c>
      <c r="AY858">
        <v>0</v>
      </c>
      <c r="AZ858">
        <v>0</v>
      </c>
      <c r="BA858">
        <v>0</v>
      </c>
      <c r="BB858">
        <v>0</v>
      </c>
      <c r="BC858">
        <v>0</v>
      </c>
      <c r="BD858">
        <v>0</v>
      </c>
      <c r="BE858">
        <v>83</v>
      </c>
      <c r="BF858">
        <v>0</v>
      </c>
      <c r="BG858">
        <v>0</v>
      </c>
      <c r="BH858">
        <v>0</v>
      </c>
      <c r="BI858">
        <v>0</v>
      </c>
      <c r="BJ858">
        <v>0</v>
      </c>
      <c r="BK858">
        <v>0</v>
      </c>
      <c r="BL858">
        <v>0</v>
      </c>
      <c r="BM858">
        <v>0</v>
      </c>
      <c r="BN858">
        <v>0</v>
      </c>
      <c r="BO858">
        <v>0</v>
      </c>
      <c r="BP858">
        <v>0</v>
      </c>
      <c r="BQ858">
        <v>0</v>
      </c>
      <c r="BR858">
        <v>0</v>
      </c>
      <c r="BS858">
        <v>0</v>
      </c>
      <c r="BT858">
        <v>0</v>
      </c>
      <c r="BU858">
        <v>0</v>
      </c>
      <c r="BV858">
        <v>0</v>
      </c>
      <c r="BW858">
        <v>0</v>
      </c>
      <c r="BX858">
        <v>0</v>
      </c>
      <c r="BY858">
        <v>0</v>
      </c>
      <c r="BZ858">
        <v>0</v>
      </c>
      <c r="CA858">
        <v>0</v>
      </c>
      <c r="CB858">
        <v>0</v>
      </c>
      <c r="CC858">
        <v>0</v>
      </c>
      <c r="CD858">
        <v>0</v>
      </c>
      <c r="CE85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58" s="19">
        <f>SUM(Table1[[#This Row],[Mid39]],Table1[[#This Row],[Mid36]],Table1[[#This Row],[Mid33]],Table1[[#This Row],[Mid30]],Table1[[#This Row],[Mid27]],Table1[[#This Row],[Mid24]],Table1[[#This Row],[Mid21]],Table1[[#This Row],[Mid18]],Table1[[#This Row],[Mid15]],Table1[[#This Row],[Mid12]],Table1[[#This Row],[Mid9]],Table1[[#This Row],[Mid6]],Table1[[#This Row],[Mid3]],Table1[[#This Row],[Mid]])</f>
        <v>83</v>
      </c>
      <c r="CG85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58" t="s">
        <v>157</v>
      </c>
      <c r="CI858" t="s">
        <v>134</v>
      </c>
      <c r="CJ858" t="s">
        <v>133</v>
      </c>
      <c r="CL858" s="19">
        <f>IF(Table1[[#This Row],[Type]]="Petroleum",1,IF(ISERROR(Table1[[#This Row],[Well Density]]*Table1[[#This Row],[Single Well Discovery Area]]),"",IF(Table1[[#This Row],[Well Density]]*Table1[[#This Row],[Single Well Discovery Area]]&gt;1,1,Table1[[#This Row],[Well Density]]*Table1[[#This Row],[Single Well Discovery Area]])))</f>
        <v>0</v>
      </c>
      <c r="CN858" s="19">
        <f>Table1[[#This Row],[Mid]]</f>
        <v>0</v>
      </c>
      <c r="CO858" s="19">
        <f>Table1[[#This Row],[Mid3]]+Table1[[#This Row],[Mid6]]+Table1[[#This Row],[Mid9]]</f>
        <v>0</v>
      </c>
      <c r="CP858" s="19">
        <f>Table1[[#This Row],[Mid12]]+Table1[[#This Row],[Mid15]]+Table1[[#This Row],[Mid18]]+Table1[[#This Row],[Mid21]]+Table1[[#This Row],[Mid24]]</f>
        <v>83</v>
      </c>
      <c r="CQ858" s="19">
        <f>Table1[[#This Row],[Mid27]]+Table1[[#This Row],[Mid30]]+Table1[[#This Row],[Mid33]]+Table1[[#This Row],[Mid36]]+Table1[[#This Row],[Mid39]]</f>
        <v>0</v>
      </c>
      <c r="CR858" t="s">
        <v>415</v>
      </c>
      <c r="CS858" s="19" t="str">
        <f>IF(AND(Table1[[#This Row],[Low41]]=0, Table1[[#This Row],[High43]]=0),"N","Y")</f>
        <v>N</v>
      </c>
    </row>
    <row r="859" spans="1:97" ht="19.5" customHeight="1" x14ac:dyDescent="0.25">
      <c r="A859">
        <v>10857</v>
      </c>
      <c r="B859" t="s">
        <v>1635</v>
      </c>
      <c r="C859" t="s">
        <v>1449</v>
      </c>
      <c r="D859">
        <v>53.333888889999997</v>
      </c>
      <c r="E859">
        <v>2.5811111109999998</v>
      </c>
      <c r="F859" t="s">
        <v>2627</v>
      </c>
      <c r="G859" t="s">
        <v>1687</v>
      </c>
      <c r="H859" t="s">
        <v>2628</v>
      </c>
      <c r="I859" t="s">
        <v>1753</v>
      </c>
      <c r="J859" t="s">
        <v>202</v>
      </c>
      <c r="K859" t="s">
        <v>203</v>
      </c>
      <c r="L859" t="s">
        <v>121</v>
      </c>
      <c r="M859" t="s">
        <v>2629</v>
      </c>
      <c r="N859" s="6" t="s">
        <v>2630</v>
      </c>
      <c r="O859" t="s">
        <v>2631</v>
      </c>
      <c r="P859" t="s">
        <v>2632</v>
      </c>
      <c r="Q859" t="s">
        <v>1150</v>
      </c>
      <c r="R859" t="s">
        <v>2633</v>
      </c>
      <c r="S859">
        <v>2014</v>
      </c>
      <c r="T859" t="s">
        <v>771</v>
      </c>
      <c r="U859" t="s">
        <v>1479</v>
      </c>
      <c r="V859">
        <v>0</v>
      </c>
      <c r="W859">
        <v>0</v>
      </c>
      <c r="X859">
        <v>0</v>
      </c>
      <c r="Y859">
        <v>0</v>
      </c>
      <c r="Z859">
        <v>0</v>
      </c>
      <c r="AA859">
        <v>0</v>
      </c>
      <c r="AB859">
        <v>0</v>
      </c>
      <c r="AC859">
        <v>0</v>
      </c>
      <c r="AD859">
        <v>0</v>
      </c>
      <c r="AF859">
        <v>200</v>
      </c>
      <c r="AG859">
        <v>0</v>
      </c>
      <c r="AH859" t="s">
        <v>2259</v>
      </c>
      <c r="AI859" t="s">
        <v>2447</v>
      </c>
      <c r="AJ859">
        <v>0</v>
      </c>
      <c r="AK859">
        <v>0</v>
      </c>
      <c r="AL859">
        <v>0</v>
      </c>
      <c r="AM859" t="s">
        <v>2634</v>
      </c>
      <c r="AN859" t="s">
        <v>132</v>
      </c>
      <c r="AO859">
        <v>0</v>
      </c>
      <c r="AP859">
        <v>0</v>
      </c>
      <c r="AQ859">
        <v>0</v>
      </c>
      <c r="AR859">
        <v>0</v>
      </c>
      <c r="AS859">
        <v>0</v>
      </c>
      <c r="AT859">
        <v>0</v>
      </c>
      <c r="AU859">
        <v>0</v>
      </c>
      <c r="AV859">
        <v>0</v>
      </c>
      <c r="AW859">
        <v>0</v>
      </c>
      <c r="AX859">
        <v>0</v>
      </c>
      <c r="AY859">
        <v>0</v>
      </c>
      <c r="AZ859">
        <v>0</v>
      </c>
      <c r="BA859">
        <v>0</v>
      </c>
      <c r="BB859">
        <v>0</v>
      </c>
      <c r="BC859">
        <v>0</v>
      </c>
      <c r="BD859">
        <v>0</v>
      </c>
      <c r="BE859">
        <v>0</v>
      </c>
      <c r="BF859">
        <v>0</v>
      </c>
      <c r="BG859">
        <v>0</v>
      </c>
      <c r="BH859">
        <v>0</v>
      </c>
      <c r="BI859">
        <v>0</v>
      </c>
      <c r="BJ859">
        <v>0</v>
      </c>
      <c r="BK859">
        <v>0</v>
      </c>
      <c r="BL859">
        <v>357</v>
      </c>
      <c r="BM859">
        <v>0</v>
      </c>
      <c r="BN859">
        <v>0</v>
      </c>
      <c r="BO859">
        <v>0</v>
      </c>
      <c r="BP859">
        <v>0</v>
      </c>
      <c r="BQ859">
        <v>0</v>
      </c>
      <c r="BR859">
        <v>0</v>
      </c>
      <c r="BS859">
        <v>0</v>
      </c>
      <c r="BT859">
        <v>0</v>
      </c>
      <c r="BU859">
        <v>0</v>
      </c>
      <c r="BV859">
        <v>0</v>
      </c>
      <c r="BW859">
        <v>0</v>
      </c>
      <c r="BX859">
        <v>0</v>
      </c>
      <c r="BY859">
        <v>0</v>
      </c>
      <c r="BZ859">
        <v>0</v>
      </c>
      <c r="CA859">
        <v>0</v>
      </c>
      <c r="CB859">
        <v>0</v>
      </c>
      <c r="CC859">
        <v>0</v>
      </c>
      <c r="CD859">
        <v>0</v>
      </c>
      <c r="CE85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5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85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357</v>
      </c>
      <c r="CH859" t="s">
        <v>157</v>
      </c>
      <c r="CI859" t="s">
        <v>134</v>
      </c>
      <c r="CJ859" t="s">
        <v>158</v>
      </c>
      <c r="CL859" s="19">
        <f>IF(Table1[[#This Row],[Type]]="Petroleum",1,IF(ISERROR(Table1[[#This Row],[Well Density]]*Table1[[#This Row],[Single Well Discovery Area]]),"",IF(Table1[[#This Row],[Well Density]]*Table1[[#This Row],[Single Well Discovery Area]]&gt;1,1,Table1[[#This Row],[Well Density]]*Table1[[#This Row],[Single Well Discovery Area]])))</f>
        <v>1</v>
      </c>
      <c r="CN859" s="19">
        <f>Table1[[#This Row],[Mid]]</f>
        <v>0</v>
      </c>
      <c r="CO859" s="19">
        <f>Table1[[#This Row],[Mid3]]+Table1[[#This Row],[Mid6]]+Table1[[#This Row],[Mid9]]</f>
        <v>0</v>
      </c>
      <c r="CP859" s="19">
        <f>Table1[[#This Row],[Mid12]]+Table1[[#This Row],[Mid15]]+Table1[[#This Row],[Mid18]]+Table1[[#This Row],[Mid21]]+Table1[[#This Row],[Mid24]]</f>
        <v>0</v>
      </c>
      <c r="CQ859" s="19">
        <f>Table1[[#This Row],[Mid27]]+Table1[[#This Row],[Mid30]]+Table1[[#This Row],[Mid33]]+Table1[[#This Row],[Mid36]]+Table1[[#This Row],[Mid39]]</f>
        <v>0</v>
      </c>
      <c r="CR859" t="s">
        <v>415</v>
      </c>
      <c r="CS859" s="19" t="str">
        <f>IF(AND(Table1[[#This Row],[Low41]]=0, Table1[[#This Row],[High43]]=0),"N","Y")</f>
        <v>Y</v>
      </c>
    </row>
    <row r="860" spans="1:97" ht="19.5" customHeight="1" x14ac:dyDescent="0.25">
      <c r="A860">
        <v>10858</v>
      </c>
      <c r="B860" t="s">
        <v>1635</v>
      </c>
      <c r="C860" t="s">
        <v>1449</v>
      </c>
      <c r="D860">
        <v>53.538888890000003</v>
      </c>
      <c r="E860">
        <v>1.1047222219999999</v>
      </c>
      <c r="F860" t="s">
        <v>2635</v>
      </c>
      <c r="G860" t="s">
        <v>1687</v>
      </c>
      <c r="H860" t="s">
        <v>1688</v>
      </c>
      <c r="I860" t="s">
        <v>1648</v>
      </c>
      <c r="J860" t="s">
        <v>202</v>
      </c>
      <c r="K860" t="s">
        <v>203</v>
      </c>
      <c r="L860" t="s">
        <v>121</v>
      </c>
      <c r="M860" t="s">
        <v>2636</v>
      </c>
      <c r="N860" s="6" t="s">
        <v>2637</v>
      </c>
      <c r="O860" t="s">
        <v>2638</v>
      </c>
      <c r="P860" t="s">
        <v>2639</v>
      </c>
      <c r="Q860" t="s">
        <v>2640</v>
      </c>
      <c r="R860" t="s">
        <v>2641</v>
      </c>
      <c r="S860">
        <v>2022</v>
      </c>
      <c r="T860" t="s">
        <v>771</v>
      </c>
      <c r="U860" t="s">
        <v>1479</v>
      </c>
      <c r="V860">
        <v>0</v>
      </c>
      <c r="W860">
        <v>2600</v>
      </c>
      <c r="X860">
        <v>0</v>
      </c>
      <c r="Y860">
        <v>0.95</v>
      </c>
      <c r="Z860">
        <v>13</v>
      </c>
      <c r="AA860">
        <v>1</v>
      </c>
      <c r="AB860">
        <v>0</v>
      </c>
      <c r="AC860">
        <v>0</v>
      </c>
      <c r="AD860">
        <v>0</v>
      </c>
      <c r="AF860">
        <v>200</v>
      </c>
      <c r="AG860">
        <v>0</v>
      </c>
      <c r="AH860" t="s">
        <v>2259</v>
      </c>
      <c r="AI860" t="s">
        <v>2447</v>
      </c>
      <c r="AJ860">
        <v>0</v>
      </c>
      <c r="AK860">
        <v>0</v>
      </c>
      <c r="AL860">
        <v>0</v>
      </c>
      <c r="AM860" t="s">
        <v>2634</v>
      </c>
      <c r="AN860" t="s">
        <v>132</v>
      </c>
      <c r="AO860">
        <v>0</v>
      </c>
      <c r="AP860">
        <v>0</v>
      </c>
      <c r="AQ860">
        <v>0</v>
      </c>
      <c r="AR860">
        <v>0</v>
      </c>
      <c r="AS860">
        <v>0</v>
      </c>
      <c r="AT860">
        <v>0</v>
      </c>
      <c r="AU860">
        <v>0</v>
      </c>
      <c r="AV860">
        <v>0</v>
      </c>
      <c r="AW860">
        <v>0</v>
      </c>
      <c r="AX860">
        <v>0</v>
      </c>
      <c r="AY860">
        <v>0</v>
      </c>
      <c r="AZ860">
        <v>0</v>
      </c>
      <c r="BA860">
        <v>0</v>
      </c>
      <c r="BB860">
        <v>0</v>
      </c>
      <c r="BC860">
        <v>0</v>
      </c>
      <c r="BD860">
        <v>0</v>
      </c>
      <c r="BE860">
        <v>0</v>
      </c>
      <c r="BF860">
        <v>0</v>
      </c>
      <c r="BG860">
        <v>0</v>
      </c>
      <c r="BH860">
        <v>32</v>
      </c>
      <c r="BI860">
        <v>0</v>
      </c>
      <c r="BJ860">
        <v>0</v>
      </c>
      <c r="BK860">
        <v>0</v>
      </c>
      <c r="BL860">
        <v>0</v>
      </c>
      <c r="BM860">
        <v>0</v>
      </c>
      <c r="BN860">
        <v>0</v>
      </c>
      <c r="BO860">
        <v>0</v>
      </c>
      <c r="BP860">
        <v>0</v>
      </c>
      <c r="BQ860">
        <v>0</v>
      </c>
      <c r="BR860">
        <v>0</v>
      </c>
      <c r="BS860">
        <v>0</v>
      </c>
      <c r="BT860">
        <v>0</v>
      </c>
      <c r="BU860">
        <v>0</v>
      </c>
      <c r="BV860">
        <v>0</v>
      </c>
      <c r="BW860">
        <v>0</v>
      </c>
      <c r="BX860">
        <v>0</v>
      </c>
      <c r="BY860">
        <v>0</v>
      </c>
      <c r="BZ860">
        <v>0</v>
      </c>
      <c r="CA860">
        <v>0</v>
      </c>
      <c r="CB860">
        <v>0</v>
      </c>
      <c r="CC860">
        <v>0</v>
      </c>
      <c r="CD860">
        <v>0</v>
      </c>
      <c r="CE86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60" s="19">
        <f>SUM(Table1[[#This Row],[Mid39]],Table1[[#This Row],[Mid36]],Table1[[#This Row],[Mid33]],Table1[[#This Row],[Mid30]],Table1[[#This Row],[Mid27]],Table1[[#This Row],[Mid24]],Table1[[#This Row],[Mid21]],Table1[[#This Row],[Mid18]],Table1[[#This Row],[Mid15]],Table1[[#This Row],[Mid12]],Table1[[#This Row],[Mid9]],Table1[[#This Row],[Mid6]],Table1[[#This Row],[Mid3]],Table1[[#This Row],[Mid]])</f>
        <v>32</v>
      </c>
      <c r="CG86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60" t="s">
        <v>157</v>
      </c>
      <c r="CI860" t="s">
        <v>134</v>
      </c>
      <c r="CJ860" t="s">
        <v>158</v>
      </c>
      <c r="CL860" s="19">
        <f>IF(Table1[[#This Row],[Type]]="Petroleum",1,IF(ISERROR(Table1[[#This Row],[Well Density]]*Table1[[#This Row],[Single Well Discovery Area]]),"",IF(Table1[[#This Row],[Well Density]]*Table1[[#This Row],[Single Well Discovery Area]]&gt;1,1,Table1[[#This Row],[Well Density]]*Table1[[#This Row],[Single Well Discovery Area]])))</f>
        <v>1</v>
      </c>
      <c r="CN860" s="19">
        <f>Table1[[#This Row],[Mid]]</f>
        <v>0</v>
      </c>
      <c r="CO860" s="19">
        <f>Table1[[#This Row],[Mid3]]+Table1[[#This Row],[Mid6]]+Table1[[#This Row],[Mid9]]</f>
        <v>0</v>
      </c>
      <c r="CP860" s="19">
        <f>Table1[[#This Row],[Mid12]]+Table1[[#This Row],[Mid15]]+Table1[[#This Row],[Mid18]]+Table1[[#This Row],[Mid21]]+Table1[[#This Row],[Mid24]]</f>
        <v>32</v>
      </c>
      <c r="CQ860" s="19">
        <f>Table1[[#This Row],[Mid27]]+Table1[[#This Row],[Mid30]]+Table1[[#This Row],[Mid33]]+Table1[[#This Row],[Mid36]]+Table1[[#This Row],[Mid39]]</f>
        <v>0</v>
      </c>
      <c r="CR860" t="s">
        <v>415</v>
      </c>
      <c r="CS860" s="19" t="str">
        <f>IF(AND(Table1[[#This Row],[Low41]]=0, Table1[[#This Row],[High43]]=0),"N","Y")</f>
        <v>N</v>
      </c>
    </row>
    <row r="861" spans="1:97" ht="19.5" customHeight="1" x14ac:dyDescent="0.25">
      <c r="A861">
        <v>10859</v>
      </c>
      <c r="B861" t="s">
        <v>1635</v>
      </c>
      <c r="C861" t="s">
        <v>1449</v>
      </c>
      <c r="D861">
        <v>53.599444439999999</v>
      </c>
      <c r="E861">
        <v>0.79444444400000003</v>
      </c>
      <c r="F861" t="s">
        <v>2642</v>
      </c>
      <c r="G861" t="s">
        <v>1687</v>
      </c>
      <c r="H861" t="s">
        <v>1688</v>
      </c>
      <c r="I861" t="s">
        <v>1753</v>
      </c>
      <c r="J861" t="s">
        <v>202</v>
      </c>
      <c r="K861" t="s">
        <v>203</v>
      </c>
      <c r="L861" t="s">
        <v>121</v>
      </c>
      <c r="M861" t="s">
        <v>2636</v>
      </c>
      <c r="N861" s="6" t="s">
        <v>2643</v>
      </c>
      <c r="O861" t="s">
        <v>2644</v>
      </c>
      <c r="P861" t="s">
        <v>2645</v>
      </c>
      <c r="Q861" t="s">
        <v>1150</v>
      </c>
      <c r="R861" t="s">
        <v>2646</v>
      </c>
      <c r="S861">
        <v>2016</v>
      </c>
      <c r="T861" t="s">
        <v>771</v>
      </c>
      <c r="U861" t="s">
        <v>1479</v>
      </c>
      <c r="V861">
        <v>0</v>
      </c>
      <c r="W861">
        <v>0</v>
      </c>
      <c r="X861">
        <v>0</v>
      </c>
      <c r="Y861">
        <v>0</v>
      </c>
      <c r="Z861">
        <v>0</v>
      </c>
      <c r="AA861">
        <v>0</v>
      </c>
      <c r="AB861">
        <v>0</v>
      </c>
      <c r="AC861">
        <v>0</v>
      </c>
      <c r="AD861">
        <v>0</v>
      </c>
      <c r="AF861">
        <v>200</v>
      </c>
      <c r="AG861">
        <v>0</v>
      </c>
      <c r="AH861" t="s">
        <v>2259</v>
      </c>
      <c r="AI861" t="s">
        <v>2447</v>
      </c>
      <c r="AJ861">
        <v>0</v>
      </c>
      <c r="AK861">
        <v>0</v>
      </c>
      <c r="AL861">
        <v>0</v>
      </c>
      <c r="AM861" t="s">
        <v>2634</v>
      </c>
      <c r="AN861" t="s">
        <v>132</v>
      </c>
      <c r="AO861">
        <v>0</v>
      </c>
      <c r="AP861">
        <v>0</v>
      </c>
      <c r="AQ861">
        <v>0</v>
      </c>
      <c r="AR861">
        <v>0</v>
      </c>
      <c r="AS861">
        <v>0</v>
      </c>
      <c r="AT861">
        <v>0</v>
      </c>
      <c r="AU861">
        <v>0</v>
      </c>
      <c r="AV861">
        <v>0</v>
      </c>
      <c r="AW861">
        <v>0</v>
      </c>
      <c r="AX861">
        <v>0</v>
      </c>
      <c r="AY861">
        <v>0</v>
      </c>
      <c r="AZ861">
        <v>0</v>
      </c>
      <c r="BA861">
        <v>0</v>
      </c>
      <c r="BB861">
        <v>30</v>
      </c>
      <c r="BC861">
        <v>0</v>
      </c>
      <c r="BD861">
        <v>0</v>
      </c>
      <c r="BF861">
        <v>0</v>
      </c>
      <c r="BG861">
        <v>0</v>
      </c>
      <c r="BI861">
        <v>0</v>
      </c>
      <c r="BJ861">
        <v>0</v>
      </c>
      <c r="BK861">
        <v>17</v>
      </c>
      <c r="BL861">
        <v>0</v>
      </c>
      <c r="BM861">
        <v>0</v>
      </c>
      <c r="BN861">
        <v>0</v>
      </c>
      <c r="BO861">
        <v>0</v>
      </c>
      <c r="BP861">
        <v>0</v>
      </c>
      <c r="BQ861">
        <v>0</v>
      </c>
      <c r="BR861">
        <v>0</v>
      </c>
      <c r="BS861">
        <v>0</v>
      </c>
      <c r="BT861">
        <v>0</v>
      </c>
      <c r="BU861">
        <v>0</v>
      </c>
      <c r="BV861">
        <v>0</v>
      </c>
      <c r="BW861">
        <v>0</v>
      </c>
      <c r="BX861">
        <v>0</v>
      </c>
      <c r="BY861">
        <v>0</v>
      </c>
      <c r="BZ861">
        <v>0</v>
      </c>
      <c r="CA861">
        <v>0</v>
      </c>
      <c r="CB861">
        <v>0</v>
      </c>
      <c r="CC861">
        <v>0</v>
      </c>
      <c r="CD861">
        <v>0</v>
      </c>
      <c r="CE86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61" s="19">
        <f>SUM(Table1[[#This Row],[Mid39]],Table1[[#This Row],[Mid36]],Table1[[#This Row],[Mid33]],Table1[[#This Row],[Mid30]],Table1[[#This Row],[Mid27]],Table1[[#This Row],[Mid24]],Table1[[#This Row],[Mid21]],Table1[[#This Row],[Mid18]],Table1[[#This Row],[Mid15]],Table1[[#This Row],[Mid12]],Table1[[#This Row],[Mid9]],Table1[[#This Row],[Mid6]],Table1[[#This Row],[Mid3]],Table1[[#This Row],[Mid]])</f>
        <v>47</v>
      </c>
      <c r="CG86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61" t="s">
        <v>157</v>
      </c>
      <c r="CI861" t="s">
        <v>134</v>
      </c>
      <c r="CJ861" t="s">
        <v>158</v>
      </c>
      <c r="CL861" s="19">
        <f>IF(Table1[[#This Row],[Type]]="Petroleum",1,IF(ISERROR(Table1[[#This Row],[Well Density]]*Table1[[#This Row],[Single Well Discovery Area]]),"",IF(Table1[[#This Row],[Well Density]]*Table1[[#This Row],[Single Well Discovery Area]]&gt;1,1,Table1[[#This Row],[Well Density]]*Table1[[#This Row],[Single Well Discovery Area]])))</f>
        <v>1</v>
      </c>
      <c r="CN861" s="19">
        <f>Table1[[#This Row],[Mid]]</f>
        <v>0</v>
      </c>
      <c r="CO861" s="19">
        <f>Table1[[#This Row],[Mid3]]+Table1[[#This Row],[Mid6]]+Table1[[#This Row],[Mid9]]</f>
        <v>0</v>
      </c>
      <c r="CP861" s="19">
        <f>Table1[[#This Row],[Mid12]]+Table1[[#This Row],[Mid15]]+Table1[[#This Row],[Mid18]]+Table1[[#This Row],[Mid21]]+Table1[[#This Row],[Mid24]]</f>
        <v>47</v>
      </c>
      <c r="CQ861" s="19">
        <f>Table1[[#This Row],[Mid27]]+Table1[[#This Row],[Mid30]]+Table1[[#This Row],[Mid33]]+Table1[[#This Row],[Mid36]]+Table1[[#This Row],[Mid39]]</f>
        <v>0</v>
      </c>
      <c r="CR861" t="s">
        <v>415</v>
      </c>
      <c r="CS861" s="19" t="str">
        <f>IF(AND(Table1[[#This Row],[Low41]]=0, Table1[[#This Row],[High43]]=0),"N","Y")</f>
        <v>N</v>
      </c>
    </row>
    <row r="862" spans="1:97" ht="19.5" customHeight="1" x14ac:dyDescent="0.25">
      <c r="A862">
        <v>10860</v>
      </c>
      <c r="B862" t="s">
        <v>1635</v>
      </c>
      <c r="C862" t="s">
        <v>1449</v>
      </c>
      <c r="D862">
        <v>61.631388889999997</v>
      </c>
      <c r="E862">
        <v>1.3119444440000001</v>
      </c>
      <c r="F862" t="s">
        <v>2647</v>
      </c>
      <c r="G862" t="s">
        <v>1451</v>
      </c>
      <c r="H862" t="s">
        <v>2648</v>
      </c>
      <c r="I862" t="s">
        <v>1648</v>
      </c>
      <c r="J862" t="s">
        <v>202</v>
      </c>
      <c r="K862" t="s">
        <v>203</v>
      </c>
      <c r="L862" t="s">
        <v>121</v>
      </c>
      <c r="M862" t="s">
        <v>2618</v>
      </c>
      <c r="N862" s="6" t="s">
        <v>2649</v>
      </c>
      <c r="O862" t="s">
        <v>2650</v>
      </c>
      <c r="P862" t="s">
        <v>2651</v>
      </c>
      <c r="Q862" t="s">
        <v>2652</v>
      </c>
      <c r="R862" t="s">
        <v>2653</v>
      </c>
      <c r="S862">
        <v>2023</v>
      </c>
      <c r="T862" t="s">
        <v>771</v>
      </c>
      <c r="U862" t="s">
        <v>1479</v>
      </c>
      <c r="V862">
        <v>0</v>
      </c>
      <c r="W862">
        <v>0</v>
      </c>
      <c r="X862">
        <v>0</v>
      </c>
      <c r="Y862">
        <v>0</v>
      </c>
      <c r="Z862">
        <v>0</v>
      </c>
      <c r="AA862">
        <v>0</v>
      </c>
      <c r="AB862">
        <v>0</v>
      </c>
      <c r="AC862">
        <v>0</v>
      </c>
      <c r="AD862">
        <v>0</v>
      </c>
      <c r="AF862">
        <v>200</v>
      </c>
      <c r="AG862">
        <v>0</v>
      </c>
      <c r="AH862" t="s">
        <v>2259</v>
      </c>
      <c r="AI862" t="s">
        <v>2447</v>
      </c>
      <c r="AJ862">
        <v>0</v>
      </c>
      <c r="AK862">
        <v>0</v>
      </c>
      <c r="AL862">
        <v>0</v>
      </c>
      <c r="AM862" t="s">
        <v>2634</v>
      </c>
      <c r="AN862" t="s">
        <v>132</v>
      </c>
      <c r="AO862">
        <v>0</v>
      </c>
      <c r="AP862">
        <v>0</v>
      </c>
      <c r="AQ862">
        <v>0</v>
      </c>
      <c r="AR862">
        <v>0</v>
      </c>
      <c r="AS862">
        <v>0</v>
      </c>
      <c r="AT862">
        <v>0</v>
      </c>
      <c r="AU862">
        <v>0</v>
      </c>
      <c r="AV862">
        <v>0</v>
      </c>
      <c r="AW862">
        <v>0</v>
      </c>
      <c r="AX862">
        <v>0</v>
      </c>
      <c r="AY862">
        <v>0</v>
      </c>
      <c r="AZ862">
        <v>0</v>
      </c>
      <c r="BA862">
        <v>0</v>
      </c>
      <c r="BB862">
        <v>0</v>
      </c>
      <c r="BC862">
        <v>0</v>
      </c>
      <c r="BD862">
        <v>0</v>
      </c>
      <c r="BE862">
        <v>125</v>
      </c>
      <c r="BF862">
        <v>0</v>
      </c>
      <c r="BG862">
        <v>0</v>
      </c>
      <c r="BH862">
        <v>0</v>
      </c>
      <c r="BI862">
        <v>0</v>
      </c>
      <c r="BJ862">
        <v>0</v>
      </c>
      <c r="BK862">
        <v>0</v>
      </c>
      <c r="BL862">
        <v>0</v>
      </c>
      <c r="BM862">
        <v>0</v>
      </c>
      <c r="BN862">
        <v>0</v>
      </c>
      <c r="BO862">
        <v>0</v>
      </c>
      <c r="BP862">
        <v>0</v>
      </c>
      <c r="BQ862">
        <v>0</v>
      </c>
      <c r="BR862">
        <v>0</v>
      </c>
      <c r="BS862">
        <v>0</v>
      </c>
      <c r="BT862">
        <v>0</v>
      </c>
      <c r="BU862">
        <v>0</v>
      </c>
      <c r="BV862">
        <v>0</v>
      </c>
      <c r="BW862">
        <v>0</v>
      </c>
      <c r="BX862">
        <v>0</v>
      </c>
      <c r="BY862">
        <v>0</v>
      </c>
      <c r="BZ862">
        <v>0</v>
      </c>
      <c r="CA862">
        <v>0</v>
      </c>
      <c r="CB862">
        <v>0</v>
      </c>
      <c r="CC862">
        <v>0</v>
      </c>
      <c r="CD862">
        <v>0</v>
      </c>
      <c r="CE86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62" s="19">
        <f>SUM(Table1[[#This Row],[Mid39]],Table1[[#This Row],[Mid36]],Table1[[#This Row],[Mid33]],Table1[[#This Row],[Mid30]],Table1[[#This Row],[Mid27]],Table1[[#This Row],[Mid24]],Table1[[#This Row],[Mid21]],Table1[[#This Row],[Mid18]],Table1[[#This Row],[Mid15]],Table1[[#This Row],[Mid12]],Table1[[#This Row],[Mid9]],Table1[[#This Row],[Mid6]],Table1[[#This Row],[Mid3]],Table1[[#This Row],[Mid]])</f>
        <v>125</v>
      </c>
      <c r="CG86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62" t="s">
        <v>157</v>
      </c>
      <c r="CI862" t="s">
        <v>134</v>
      </c>
      <c r="CJ862" t="s">
        <v>158</v>
      </c>
      <c r="CL862" s="19">
        <f>IF(Table1[[#This Row],[Type]]="Petroleum",1,IF(ISERROR(Table1[[#This Row],[Well Density]]*Table1[[#This Row],[Single Well Discovery Area]]),"",IF(Table1[[#This Row],[Well Density]]*Table1[[#This Row],[Single Well Discovery Area]]&gt;1,1,Table1[[#This Row],[Well Density]]*Table1[[#This Row],[Single Well Discovery Area]])))</f>
        <v>1</v>
      </c>
      <c r="CN862" s="19">
        <f>Table1[[#This Row],[Mid]]</f>
        <v>0</v>
      </c>
      <c r="CO862" s="19">
        <f>Table1[[#This Row],[Mid3]]+Table1[[#This Row],[Mid6]]+Table1[[#This Row],[Mid9]]</f>
        <v>0</v>
      </c>
      <c r="CP862" s="19">
        <f>Table1[[#This Row],[Mid12]]+Table1[[#This Row],[Mid15]]+Table1[[#This Row],[Mid18]]+Table1[[#This Row],[Mid21]]+Table1[[#This Row],[Mid24]]</f>
        <v>125</v>
      </c>
      <c r="CQ862" s="19">
        <f>Table1[[#This Row],[Mid27]]+Table1[[#This Row],[Mid30]]+Table1[[#This Row],[Mid33]]+Table1[[#This Row],[Mid36]]+Table1[[#This Row],[Mid39]]</f>
        <v>0</v>
      </c>
      <c r="CR862" t="s">
        <v>415</v>
      </c>
      <c r="CS862" s="19" t="str">
        <f>IF(AND(Table1[[#This Row],[Low41]]=0, Table1[[#This Row],[High43]]=0),"N","Y")</f>
        <v>N</v>
      </c>
    </row>
    <row r="863" spans="1:97" ht="19.5" customHeight="1" x14ac:dyDescent="0.25">
      <c r="A863">
        <v>10861</v>
      </c>
      <c r="B863" t="s">
        <v>1635</v>
      </c>
      <c r="C863" t="s">
        <v>1449</v>
      </c>
      <c r="D863">
        <v>61.360277779999997</v>
      </c>
      <c r="E863">
        <v>1.1566666670000001</v>
      </c>
      <c r="F863" t="s">
        <v>2654</v>
      </c>
      <c r="G863" t="s">
        <v>1451</v>
      </c>
      <c r="H863" t="s">
        <v>2655</v>
      </c>
      <c r="I863" t="s">
        <v>1753</v>
      </c>
      <c r="J863" t="s">
        <v>202</v>
      </c>
      <c r="K863" t="s">
        <v>203</v>
      </c>
      <c r="L863" t="s">
        <v>121</v>
      </c>
      <c r="M863" t="s">
        <v>2656</v>
      </c>
      <c r="N863" s="6" t="s">
        <v>2649</v>
      </c>
      <c r="O863" t="s">
        <v>2657</v>
      </c>
      <c r="P863" t="s">
        <v>2651</v>
      </c>
      <c r="Q863"/>
      <c r="R863" t="s">
        <v>2653</v>
      </c>
      <c r="S863">
        <v>2023</v>
      </c>
      <c r="T863" t="s">
        <v>771</v>
      </c>
      <c r="U863" t="s">
        <v>1479</v>
      </c>
      <c r="V863">
        <v>0</v>
      </c>
      <c r="W863">
        <v>0</v>
      </c>
      <c r="X863">
        <v>0</v>
      </c>
      <c r="Y863">
        <v>0</v>
      </c>
      <c r="Z863">
        <v>0</v>
      </c>
      <c r="AA863">
        <v>0</v>
      </c>
      <c r="AB863">
        <v>0</v>
      </c>
      <c r="AC863">
        <v>0</v>
      </c>
      <c r="AD863">
        <v>0</v>
      </c>
      <c r="AF863">
        <v>200</v>
      </c>
      <c r="AG863">
        <v>0</v>
      </c>
      <c r="AH863" t="s">
        <v>2259</v>
      </c>
      <c r="AI863" t="s">
        <v>2447</v>
      </c>
      <c r="AJ863">
        <v>0</v>
      </c>
      <c r="AK863">
        <v>0</v>
      </c>
      <c r="AL863">
        <v>0</v>
      </c>
      <c r="AM863" t="s">
        <v>2634</v>
      </c>
      <c r="AN863" t="s">
        <v>132</v>
      </c>
      <c r="AO863">
        <v>0</v>
      </c>
      <c r="AP863">
        <v>0</v>
      </c>
      <c r="AQ863">
        <v>0</v>
      </c>
      <c r="AR863">
        <v>0</v>
      </c>
      <c r="AS863">
        <v>0</v>
      </c>
      <c r="AT863">
        <v>0</v>
      </c>
      <c r="AU863">
        <v>0</v>
      </c>
      <c r="AV863">
        <v>0</v>
      </c>
      <c r="AW863">
        <v>0</v>
      </c>
      <c r="AX863">
        <v>0</v>
      </c>
      <c r="AY863">
        <v>0</v>
      </c>
      <c r="AZ863">
        <v>0</v>
      </c>
      <c r="BA863">
        <v>0</v>
      </c>
      <c r="BB863">
        <v>0</v>
      </c>
      <c r="BC863">
        <v>0</v>
      </c>
      <c r="BD863">
        <v>0</v>
      </c>
      <c r="BE863">
        <v>125</v>
      </c>
      <c r="BF863">
        <v>0</v>
      </c>
      <c r="BG863">
        <v>0</v>
      </c>
      <c r="BH863">
        <v>0</v>
      </c>
      <c r="BI863">
        <v>0</v>
      </c>
      <c r="BJ863">
        <v>0</v>
      </c>
      <c r="BK863">
        <v>0</v>
      </c>
      <c r="BL863">
        <v>0</v>
      </c>
      <c r="BM863">
        <v>0</v>
      </c>
      <c r="BN863">
        <v>0</v>
      </c>
      <c r="BO863">
        <v>0</v>
      </c>
      <c r="BP863">
        <v>0</v>
      </c>
      <c r="BQ863">
        <v>0</v>
      </c>
      <c r="BR863">
        <v>0</v>
      </c>
      <c r="BS863">
        <v>0</v>
      </c>
      <c r="BT863">
        <v>0</v>
      </c>
      <c r="BU863">
        <v>0</v>
      </c>
      <c r="BV863">
        <v>0</v>
      </c>
      <c r="BW863">
        <v>0</v>
      </c>
      <c r="BX863">
        <v>0</v>
      </c>
      <c r="BY863">
        <v>0</v>
      </c>
      <c r="BZ863">
        <v>0</v>
      </c>
      <c r="CA863">
        <v>0</v>
      </c>
      <c r="CB863">
        <v>0</v>
      </c>
      <c r="CC863">
        <v>0</v>
      </c>
      <c r="CD863">
        <v>0</v>
      </c>
      <c r="CE86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63" s="19">
        <f>SUM(Table1[[#This Row],[Mid39]],Table1[[#This Row],[Mid36]],Table1[[#This Row],[Mid33]],Table1[[#This Row],[Mid30]],Table1[[#This Row],[Mid27]],Table1[[#This Row],[Mid24]],Table1[[#This Row],[Mid21]],Table1[[#This Row],[Mid18]],Table1[[#This Row],[Mid15]],Table1[[#This Row],[Mid12]],Table1[[#This Row],[Mid9]],Table1[[#This Row],[Mid6]],Table1[[#This Row],[Mid3]],Table1[[#This Row],[Mid]])</f>
        <v>125</v>
      </c>
      <c r="CG86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63" t="s">
        <v>157</v>
      </c>
      <c r="CI863" t="s">
        <v>134</v>
      </c>
      <c r="CJ863" t="s">
        <v>158</v>
      </c>
      <c r="CL863" s="19">
        <f>IF(Table1[[#This Row],[Type]]="Petroleum",1,IF(ISERROR(Table1[[#This Row],[Well Density]]*Table1[[#This Row],[Single Well Discovery Area]]),"",IF(Table1[[#This Row],[Well Density]]*Table1[[#This Row],[Single Well Discovery Area]]&gt;1,1,Table1[[#This Row],[Well Density]]*Table1[[#This Row],[Single Well Discovery Area]])))</f>
        <v>1</v>
      </c>
      <c r="CN863" s="19">
        <f>Table1[[#This Row],[Mid]]</f>
        <v>0</v>
      </c>
      <c r="CO863" s="19">
        <f>Table1[[#This Row],[Mid3]]+Table1[[#This Row],[Mid6]]+Table1[[#This Row],[Mid9]]</f>
        <v>0</v>
      </c>
      <c r="CP863" s="19">
        <f>Table1[[#This Row],[Mid12]]+Table1[[#This Row],[Mid15]]+Table1[[#This Row],[Mid18]]+Table1[[#This Row],[Mid21]]+Table1[[#This Row],[Mid24]]</f>
        <v>125</v>
      </c>
      <c r="CQ863" s="19">
        <f>Table1[[#This Row],[Mid27]]+Table1[[#This Row],[Mid30]]+Table1[[#This Row],[Mid33]]+Table1[[#This Row],[Mid36]]+Table1[[#This Row],[Mid39]]</f>
        <v>0</v>
      </c>
      <c r="CR863" t="s">
        <v>415</v>
      </c>
      <c r="CS863" s="19" t="str">
        <f>IF(AND(Table1[[#This Row],[Low41]]=0, Table1[[#This Row],[High43]]=0),"N","Y")</f>
        <v>N</v>
      </c>
    </row>
    <row r="864" spans="1:97" ht="19.5" customHeight="1" x14ac:dyDescent="0.25">
      <c r="A864">
        <v>10862</v>
      </c>
      <c r="B864" t="s">
        <v>1635</v>
      </c>
      <c r="C864" t="s">
        <v>1449</v>
      </c>
      <c r="D864">
        <v>53.490555559999997</v>
      </c>
      <c r="E864">
        <v>1.3886111109999999</v>
      </c>
      <c r="F864" t="s">
        <v>2658</v>
      </c>
      <c r="G864" t="s">
        <v>1687</v>
      </c>
      <c r="H864" t="s">
        <v>167</v>
      </c>
      <c r="I864" t="s">
        <v>1753</v>
      </c>
      <c r="J864" t="s">
        <v>202</v>
      </c>
      <c r="K864" t="s">
        <v>167</v>
      </c>
      <c r="L864" t="s">
        <v>121</v>
      </c>
      <c r="M864" t="s">
        <v>252</v>
      </c>
      <c r="N864" s="6" t="s">
        <v>2630</v>
      </c>
      <c r="O864" t="s">
        <v>2659</v>
      </c>
      <c r="P864" t="s">
        <v>2660</v>
      </c>
      <c r="Q864" t="s">
        <v>1150</v>
      </c>
      <c r="R864" t="s">
        <v>2661</v>
      </c>
      <c r="S864">
        <v>2014</v>
      </c>
      <c r="T864" t="s">
        <v>771</v>
      </c>
      <c r="U864" t="s">
        <v>1479</v>
      </c>
      <c r="V864">
        <v>0</v>
      </c>
      <c r="W864">
        <v>0</v>
      </c>
      <c r="X864">
        <v>0</v>
      </c>
      <c r="Y864">
        <v>0</v>
      </c>
      <c r="Z864">
        <v>0</v>
      </c>
      <c r="AA864">
        <v>0</v>
      </c>
      <c r="AB864">
        <v>0</v>
      </c>
      <c r="AC864">
        <v>0</v>
      </c>
      <c r="AD864">
        <v>0</v>
      </c>
      <c r="AF864">
        <v>200</v>
      </c>
      <c r="AG864">
        <v>0</v>
      </c>
      <c r="AH864" t="s">
        <v>2259</v>
      </c>
      <c r="AI864" t="s">
        <v>2447</v>
      </c>
      <c r="AJ864">
        <v>0</v>
      </c>
      <c r="AK864">
        <v>0</v>
      </c>
      <c r="AL864">
        <v>0</v>
      </c>
      <c r="AM864" t="s">
        <v>2634</v>
      </c>
      <c r="AN864" t="s">
        <v>132</v>
      </c>
      <c r="AO864">
        <v>0</v>
      </c>
      <c r="AP864">
        <v>0</v>
      </c>
      <c r="AQ864">
        <v>0</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78</v>
      </c>
      <c r="BL864">
        <v>0</v>
      </c>
      <c r="BM864">
        <v>0</v>
      </c>
      <c r="BN864">
        <v>0</v>
      </c>
      <c r="BO864">
        <v>0</v>
      </c>
      <c r="BP864">
        <v>0</v>
      </c>
      <c r="BQ864">
        <v>0</v>
      </c>
      <c r="BR864">
        <v>0</v>
      </c>
      <c r="BS864">
        <v>0</v>
      </c>
      <c r="BT864">
        <v>0</v>
      </c>
      <c r="BU864">
        <v>0</v>
      </c>
      <c r="BV864">
        <v>0</v>
      </c>
      <c r="BW864">
        <v>0</v>
      </c>
      <c r="BX864">
        <v>0</v>
      </c>
      <c r="BY864">
        <v>0</v>
      </c>
      <c r="BZ864">
        <v>0</v>
      </c>
      <c r="CA864">
        <v>0</v>
      </c>
      <c r="CB864">
        <v>0</v>
      </c>
      <c r="CC864">
        <v>0</v>
      </c>
      <c r="CD864">
        <v>0</v>
      </c>
      <c r="CE86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64" s="19">
        <f>SUM(Table1[[#This Row],[Mid39]],Table1[[#This Row],[Mid36]],Table1[[#This Row],[Mid33]],Table1[[#This Row],[Mid30]],Table1[[#This Row],[Mid27]],Table1[[#This Row],[Mid24]],Table1[[#This Row],[Mid21]],Table1[[#This Row],[Mid18]],Table1[[#This Row],[Mid15]],Table1[[#This Row],[Mid12]],Table1[[#This Row],[Mid9]],Table1[[#This Row],[Mid6]],Table1[[#This Row],[Mid3]],Table1[[#This Row],[Mid]])</f>
        <v>78</v>
      </c>
      <c r="CG86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64" t="s">
        <v>157</v>
      </c>
      <c r="CI864" t="s">
        <v>134</v>
      </c>
      <c r="CJ864" t="s">
        <v>158</v>
      </c>
      <c r="CL864" s="19">
        <f>IF(Table1[[#This Row],[Type]]="Petroleum",1,IF(ISERROR(Table1[[#This Row],[Well Density]]*Table1[[#This Row],[Single Well Discovery Area]]),"",IF(Table1[[#This Row],[Well Density]]*Table1[[#This Row],[Single Well Discovery Area]]&gt;1,1,Table1[[#This Row],[Well Density]]*Table1[[#This Row],[Single Well Discovery Area]])))</f>
        <v>1</v>
      </c>
      <c r="CN864" s="19">
        <f>Table1[[#This Row],[Mid]]</f>
        <v>0</v>
      </c>
      <c r="CO864" s="19">
        <f>Table1[[#This Row],[Mid3]]+Table1[[#This Row],[Mid6]]+Table1[[#This Row],[Mid9]]</f>
        <v>0</v>
      </c>
      <c r="CP864" s="19">
        <f>Table1[[#This Row],[Mid12]]+Table1[[#This Row],[Mid15]]+Table1[[#This Row],[Mid18]]+Table1[[#This Row],[Mid21]]+Table1[[#This Row],[Mid24]]</f>
        <v>78</v>
      </c>
      <c r="CQ864" s="19">
        <f>Table1[[#This Row],[Mid27]]+Table1[[#This Row],[Mid30]]+Table1[[#This Row],[Mid33]]+Table1[[#This Row],[Mid36]]+Table1[[#This Row],[Mid39]]</f>
        <v>0</v>
      </c>
      <c r="CR864" t="s">
        <v>415</v>
      </c>
      <c r="CS864" s="19" t="str">
        <f>IF(AND(Table1[[#This Row],[Low41]]=0, Table1[[#This Row],[High43]]=0),"N","Y")</f>
        <v>N</v>
      </c>
    </row>
    <row r="865" spans="1:97" ht="19.5" customHeight="1" x14ac:dyDescent="0.25">
      <c r="A865">
        <v>10863</v>
      </c>
      <c r="B865" t="s">
        <v>1635</v>
      </c>
      <c r="C865" t="s">
        <v>1449</v>
      </c>
      <c r="D865">
        <v>61.276111110000002</v>
      </c>
      <c r="E865">
        <v>0.92694444399999998</v>
      </c>
      <c r="F865" t="s">
        <v>2662</v>
      </c>
      <c r="G865" t="s">
        <v>1451</v>
      </c>
      <c r="H865" t="s">
        <v>2655</v>
      </c>
      <c r="I865" t="s">
        <v>1753</v>
      </c>
      <c r="J865" t="s">
        <v>202</v>
      </c>
      <c r="K865" t="s">
        <v>203</v>
      </c>
      <c r="L865" t="s">
        <v>121</v>
      </c>
      <c r="M865" t="s">
        <v>2656</v>
      </c>
      <c r="N865" s="6" t="s">
        <v>2649</v>
      </c>
      <c r="O865" t="s">
        <v>2663</v>
      </c>
      <c r="P865" t="s">
        <v>2651</v>
      </c>
      <c r="Q865" t="s">
        <v>2664</v>
      </c>
      <c r="R865" t="s">
        <v>2653</v>
      </c>
      <c r="S865">
        <v>2023</v>
      </c>
      <c r="T865" t="s">
        <v>771</v>
      </c>
      <c r="U865" t="s">
        <v>1479</v>
      </c>
      <c r="V865">
        <v>0</v>
      </c>
      <c r="W865">
        <v>0</v>
      </c>
      <c r="X865">
        <v>0</v>
      </c>
      <c r="Y865">
        <v>0</v>
      </c>
      <c r="Z865">
        <v>0</v>
      </c>
      <c r="AA865">
        <v>0</v>
      </c>
      <c r="AB865">
        <v>0</v>
      </c>
      <c r="AC865">
        <v>0</v>
      </c>
      <c r="AD865">
        <v>0</v>
      </c>
      <c r="AF865">
        <v>200</v>
      </c>
      <c r="AG865">
        <v>0</v>
      </c>
      <c r="AH865" t="s">
        <v>2259</v>
      </c>
      <c r="AI865" t="s">
        <v>2447</v>
      </c>
      <c r="AJ865">
        <v>0</v>
      </c>
      <c r="AK865">
        <v>0</v>
      </c>
      <c r="AL865">
        <v>0</v>
      </c>
      <c r="AM865" t="s">
        <v>2634</v>
      </c>
      <c r="AN865" t="s">
        <v>132</v>
      </c>
      <c r="AO865">
        <v>0</v>
      </c>
      <c r="AP865">
        <v>0</v>
      </c>
      <c r="AQ865">
        <v>0</v>
      </c>
      <c r="AR865">
        <v>0</v>
      </c>
      <c r="AS865">
        <v>0</v>
      </c>
      <c r="AT865">
        <v>0</v>
      </c>
      <c r="AU865">
        <v>0</v>
      </c>
      <c r="AV865">
        <v>0</v>
      </c>
      <c r="AW865">
        <v>0</v>
      </c>
      <c r="AX865">
        <v>0</v>
      </c>
      <c r="AY865">
        <v>0</v>
      </c>
      <c r="AZ865">
        <v>0</v>
      </c>
      <c r="BA865">
        <v>0</v>
      </c>
      <c r="BB865">
        <v>0</v>
      </c>
      <c r="BC865">
        <v>0</v>
      </c>
      <c r="BD865">
        <v>0</v>
      </c>
      <c r="BE865">
        <v>125</v>
      </c>
      <c r="BF865">
        <v>0</v>
      </c>
      <c r="BG865">
        <v>0</v>
      </c>
      <c r="BH865">
        <v>0</v>
      </c>
      <c r="BI865">
        <v>0</v>
      </c>
      <c r="BJ865">
        <v>0</v>
      </c>
      <c r="BK865">
        <v>0</v>
      </c>
      <c r="BL865">
        <v>0</v>
      </c>
      <c r="BM865">
        <v>0</v>
      </c>
      <c r="BN865">
        <v>0</v>
      </c>
      <c r="BO865">
        <v>0</v>
      </c>
      <c r="BP865">
        <v>0</v>
      </c>
      <c r="BQ865">
        <v>0</v>
      </c>
      <c r="BR865">
        <v>0</v>
      </c>
      <c r="BS865">
        <v>0</v>
      </c>
      <c r="BT865">
        <v>0</v>
      </c>
      <c r="BU865">
        <v>0</v>
      </c>
      <c r="BV865">
        <v>0</v>
      </c>
      <c r="BW865">
        <v>0</v>
      </c>
      <c r="BX865">
        <v>0</v>
      </c>
      <c r="BY865">
        <v>0</v>
      </c>
      <c r="BZ865">
        <v>0</v>
      </c>
      <c r="CA865">
        <v>0</v>
      </c>
      <c r="CB865">
        <v>0</v>
      </c>
      <c r="CC865">
        <v>0</v>
      </c>
      <c r="CD865">
        <v>0</v>
      </c>
      <c r="CE86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65" s="19">
        <f>SUM(Table1[[#This Row],[Mid39]],Table1[[#This Row],[Mid36]],Table1[[#This Row],[Mid33]],Table1[[#This Row],[Mid30]],Table1[[#This Row],[Mid27]],Table1[[#This Row],[Mid24]],Table1[[#This Row],[Mid21]],Table1[[#This Row],[Mid18]],Table1[[#This Row],[Mid15]],Table1[[#This Row],[Mid12]],Table1[[#This Row],[Mid9]],Table1[[#This Row],[Mid6]],Table1[[#This Row],[Mid3]],Table1[[#This Row],[Mid]])</f>
        <v>125</v>
      </c>
      <c r="CG86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65" t="s">
        <v>157</v>
      </c>
      <c r="CI865" t="s">
        <v>134</v>
      </c>
      <c r="CJ865" t="s">
        <v>158</v>
      </c>
      <c r="CL865" s="19">
        <f>IF(Table1[[#This Row],[Type]]="Petroleum",1,IF(ISERROR(Table1[[#This Row],[Well Density]]*Table1[[#This Row],[Single Well Discovery Area]]),"",IF(Table1[[#This Row],[Well Density]]*Table1[[#This Row],[Single Well Discovery Area]]&gt;1,1,Table1[[#This Row],[Well Density]]*Table1[[#This Row],[Single Well Discovery Area]])))</f>
        <v>1</v>
      </c>
      <c r="CN865" s="19">
        <f>Table1[[#This Row],[Mid]]</f>
        <v>0</v>
      </c>
      <c r="CO865" s="19">
        <f>Table1[[#This Row],[Mid3]]+Table1[[#This Row],[Mid6]]+Table1[[#This Row],[Mid9]]</f>
        <v>0</v>
      </c>
      <c r="CP865" s="19">
        <f>Table1[[#This Row],[Mid12]]+Table1[[#This Row],[Mid15]]+Table1[[#This Row],[Mid18]]+Table1[[#This Row],[Mid21]]+Table1[[#This Row],[Mid24]]</f>
        <v>125</v>
      </c>
      <c r="CQ865" s="19">
        <f>Table1[[#This Row],[Mid27]]+Table1[[#This Row],[Mid30]]+Table1[[#This Row],[Mid33]]+Table1[[#This Row],[Mid36]]+Table1[[#This Row],[Mid39]]</f>
        <v>0</v>
      </c>
      <c r="CR865" t="s">
        <v>415</v>
      </c>
      <c r="CS865" s="19" t="str">
        <f>IF(AND(Table1[[#This Row],[Low41]]=0, Table1[[#This Row],[High43]]=0),"N","Y")</f>
        <v>N</v>
      </c>
    </row>
    <row r="866" spans="1:97" ht="19.5" customHeight="1" x14ac:dyDescent="0.25">
      <c r="A866">
        <v>10864</v>
      </c>
      <c r="B866" t="s">
        <v>1635</v>
      </c>
      <c r="C866" t="s">
        <v>1449</v>
      </c>
      <c r="D866">
        <v>61.370277780000002</v>
      </c>
      <c r="E866">
        <v>1.306944444</v>
      </c>
      <c r="F866" t="s">
        <v>2665</v>
      </c>
      <c r="G866" t="s">
        <v>1451</v>
      </c>
      <c r="H866" t="s">
        <v>2655</v>
      </c>
      <c r="I866" t="s">
        <v>1648</v>
      </c>
      <c r="J866" t="s">
        <v>202</v>
      </c>
      <c r="K866" t="s">
        <v>203</v>
      </c>
      <c r="L866" t="s">
        <v>121</v>
      </c>
      <c r="M866" t="s">
        <v>2656</v>
      </c>
      <c r="N866" s="6" t="s">
        <v>2649</v>
      </c>
      <c r="O866" t="s">
        <v>2666</v>
      </c>
      <c r="P866" t="s">
        <v>2651</v>
      </c>
      <c r="Q866" t="s">
        <v>1868</v>
      </c>
      <c r="R866" t="s">
        <v>2653</v>
      </c>
      <c r="S866">
        <v>2023</v>
      </c>
      <c r="T866" t="s">
        <v>771</v>
      </c>
      <c r="U866" t="s">
        <v>1479</v>
      </c>
      <c r="V866">
        <v>0</v>
      </c>
      <c r="W866">
        <v>0</v>
      </c>
      <c r="X866">
        <v>0</v>
      </c>
      <c r="Y866">
        <v>0</v>
      </c>
      <c r="Z866">
        <v>0</v>
      </c>
      <c r="AA866">
        <v>0</v>
      </c>
      <c r="AB866">
        <v>0</v>
      </c>
      <c r="AC866">
        <v>0</v>
      </c>
      <c r="AD866">
        <v>0</v>
      </c>
      <c r="AF866">
        <v>200</v>
      </c>
      <c r="AG866">
        <v>0</v>
      </c>
      <c r="AH866" t="s">
        <v>2259</v>
      </c>
      <c r="AI866" t="s">
        <v>2447</v>
      </c>
      <c r="AJ866">
        <v>0</v>
      </c>
      <c r="AK866">
        <v>0</v>
      </c>
      <c r="AL866">
        <v>0</v>
      </c>
      <c r="AM866" t="s">
        <v>2634</v>
      </c>
      <c r="AN866" t="s">
        <v>132</v>
      </c>
      <c r="AO866">
        <v>0</v>
      </c>
      <c r="AP866">
        <v>0</v>
      </c>
      <c r="AQ866">
        <v>0</v>
      </c>
      <c r="AR866">
        <v>0</v>
      </c>
      <c r="AS866">
        <v>0</v>
      </c>
      <c r="AT866">
        <v>0</v>
      </c>
      <c r="AU866">
        <v>0</v>
      </c>
      <c r="AV866">
        <v>0</v>
      </c>
      <c r="AW866">
        <v>0</v>
      </c>
      <c r="AX866">
        <v>0</v>
      </c>
      <c r="AY866">
        <v>0</v>
      </c>
      <c r="AZ866">
        <v>0</v>
      </c>
      <c r="BA866">
        <v>0</v>
      </c>
      <c r="BB866">
        <v>0</v>
      </c>
      <c r="BC866">
        <v>0</v>
      </c>
      <c r="BD866">
        <v>0</v>
      </c>
      <c r="BE866">
        <v>125</v>
      </c>
      <c r="BF866">
        <v>0</v>
      </c>
      <c r="BG866">
        <v>0</v>
      </c>
      <c r="BH866">
        <v>0</v>
      </c>
      <c r="BI866">
        <v>0</v>
      </c>
      <c r="BJ866">
        <v>0</v>
      </c>
      <c r="BK866">
        <v>0</v>
      </c>
      <c r="BL866">
        <v>0</v>
      </c>
      <c r="BM866">
        <v>0</v>
      </c>
      <c r="BN866">
        <v>0</v>
      </c>
      <c r="BO866">
        <v>0</v>
      </c>
      <c r="BP866">
        <v>0</v>
      </c>
      <c r="BQ866">
        <v>0</v>
      </c>
      <c r="BR866">
        <v>0</v>
      </c>
      <c r="BS866">
        <v>0</v>
      </c>
      <c r="BT866">
        <v>0</v>
      </c>
      <c r="BU866">
        <v>0</v>
      </c>
      <c r="BV866">
        <v>0</v>
      </c>
      <c r="BW866">
        <v>0</v>
      </c>
      <c r="BX866">
        <v>0</v>
      </c>
      <c r="BY866">
        <v>0</v>
      </c>
      <c r="BZ866">
        <v>0</v>
      </c>
      <c r="CA866">
        <v>0</v>
      </c>
      <c r="CB866">
        <v>0</v>
      </c>
      <c r="CC866">
        <v>0</v>
      </c>
      <c r="CD866">
        <v>0</v>
      </c>
      <c r="CE86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66" s="19">
        <f>SUM(Table1[[#This Row],[Mid39]],Table1[[#This Row],[Mid36]],Table1[[#This Row],[Mid33]],Table1[[#This Row],[Mid30]],Table1[[#This Row],[Mid27]],Table1[[#This Row],[Mid24]],Table1[[#This Row],[Mid21]],Table1[[#This Row],[Mid18]],Table1[[#This Row],[Mid15]],Table1[[#This Row],[Mid12]],Table1[[#This Row],[Mid9]],Table1[[#This Row],[Mid6]],Table1[[#This Row],[Mid3]],Table1[[#This Row],[Mid]])</f>
        <v>125</v>
      </c>
      <c r="CG86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66" t="s">
        <v>157</v>
      </c>
      <c r="CI866" t="s">
        <v>134</v>
      </c>
      <c r="CJ866" t="s">
        <v>158</v>
      </c>
      <c r="CL866" s="19">
        <f>IF(Table1[[#This Row],[Type]]="Petroleum",1,IF(ISERROR(Table1[[#This Row],[Well Density]]*Table1[[#This Row],[Single Well Discovery Area]]),"",IF(Table1[[#This Row],[Well Density]]*Table1[[#This Row],[Single Well Discovery Area]]&gt;1,1,Table1[[#This Row],[Well Density]]*Table1[[#This Row],[Single Well Discovery Area]])))</f>
        <v>1</v>
      </c>
      <c r="CN866" s="19">
        <f>Table1[[#This Row],[Mid]]</f>
        <v>0</v>
      </c>
      <c r="CO866" s="19">
        <f>Table1[[#This Row],[Mid3]]+Table1[[#This Row],[Mid6]]+Table1[[#This Row],[Mid9]]</f>
        <v>0</v>
      </c>
      <c r="CP866" s="19">
        <f>Table1[[#This Row],[Mid12]]+Table1[[#This Row],[Mid15]]+Table1[[#This Row],[Mid18]]+Table1[[#This Row],[Mid21]]+Table1[[#This Row],[Mid24]]</f>
        <v>125</v>
      </c>
      <c r="CQ866" s="19">
        <f>Table1[[#This Row],[Mid27]]+Table1[[#This Row],[Mid30]]+Table1[[#This Row],[Mid33]]+Table1[[#This Row],[Mid36]]+Table1[[#This Row],[Mid39]]</f>
        <v>0</v>
      </c>
      <c r="CR866" t="s">
        <v>415</v>
      </c>
      <c r="CS866" s="19" t="str">
        <f>IF(AND(Table1[[#This Row],[Low41]]=0, Table1[[#This Row],[High43]]=0),"N","Y")</f>
        <v>N</v>
      </c>
    </row>
    <row r="867" spans="1:97" ht="19.5" customHeight="1" x14ac:dyDescent="0.25">
      <c r="A867">
        <v>10865</v>
      </c>
      <c r="B867" t="s">
        <v>1635</v>
      </c>
      <c r="C867" t="s">
        <v>1449</v>
      </c>
      <c r="D867">
        <v>58.074722219999998</v>
      </c>
      <c r="E867">
        <v>0.99361111099999999</v>
      </c>
      <c r="F867" t="s">
        <v>2667</v>
      </c>
      <c r="G867" t="s">
        <v>1451</v>
      </c>
      <c r="H867" t="s">
        <v>2668</v>
      </c>
      <c r="I867" t="s">
        <v>2669</v>
      </c>
      <c r="J867" t="s">
        <v>202</v>
      </c>
      <c r="K867" t="s">
        <v>203</v>
      </c>
      <c r="L867" t="s">
        <v>121</v>
      </c>
      <c r="M867" t="s">
        <v>2670</v>
      </c>
      <c r="N867" s="6" t="s">
        <v>2643</v>
      </c>
      <c r="O867" t="s">
        <v>1150</v>
      </c>
      <c r="P867" t="s">
        <v>2652</v>
      </c>
      <c r="Q867" t="s">
        <v>2671</v>
      </c>
      <c r="R867" t="s">
        <v>2672</v>
      </c>
      <c r="S867">
        <v>2016</v>
      </c>
      <c r="T867" t="s">
        <v>771</v>
      </c>
      <c r="U867" t="s">
        <v>1479</v>
      </c>
      <c r="V867">
        <v>0</v>
      </c>
      <c r="W867">
        <v>480</v>
      </c>
      <c r="X867">
        <v>0</v>
      </c>
      <c r="Y867">
        <v>0</v>
      </c>
      <c r="Z867">
        <v>0</v>
      </c>
      <c r="AA867">
        <v>0</v>
      </c>
      <c r="AB867">
        <v>0</v>
      </c>
      <c r="AC867">
        <v>0</v>
      </c>
      <c r="AD867">
        <v>0</v>
      </c>
      <c r="AF867">
        <v>200</v>
      </c>
      <c r="AG867">
        <v>0</v>
      </c>
      <c r="AH867" t="s">
        <v>2259</v>
      </c>
      <c r="AI867" t="s">
        <v>2447</v>
      </c>
      <c r="AJ867">
        <v>0</v>
      </c>
      <c r="AK867">
        <v>0</v>
      </c>
      <c r="AL867">
        <v>0</v>
      </c>
      <c r="AM867" t="s">
        <v>2634</v>
      </c>
      <c r="AN867" t="s">
        <v>132</v>
      </c>
      <c r="AO867">
        <v>0</v>
      </c>
      <c r="AP867">
        <v>0</v>
      </c>
      <c r="AQ867">
        <v>0</v>
      </c>
      <c r="AR867">
        <v>0</v>
      </c>
      <c r="AS867">
        <v>0</v>
      </c>
      <c r="AT867">
        <v>0</v>
      </c>
      <c r="AU867">
        <v>0</v>
      </c>
      <c r="AV867">
        <v>0</v>
      </c>
      <c r="AW867">
        <v>0</v>
      </c>
      <c r="AX867">
        <v>0</v>
      </c>
      <c r="AY867">
        <v>0</v>
      </c>
      <c r="AZ867">
        <v>0</v>
      </c>
      <c r="BA867">
        <v>0</v>
      </c>
      <c r="BB867">
        <v>0</v>
      </c>
      <c r="BC867">
        <v>0</v>
      </c>
      <c r="BD867">
        <v>0</v>
      </c>
      <c r="BE867">
        <v>0</v>
      </c>
      <c r="BF867">
        <v>0</v>
      </c>
      <c r="BG867">
        <v>0</v>
      </c>
      <c r="BH867">
        <v>130</v>
      </c>
      <c r="BI867">
        <v>0</v>
      </c>
      <c r="BJ867">
        <v>0</v>
      </c>
      <c r="BK867">
        <v>0</v>
      </c>
      <c r="BL867">
        <v>0</v>
      </c>
      <c r="BM867">
        <v>0</v>
      </c>
      <c r="BN867">
        <v>0</v>
      </c>
      <c r="BO867">
        <v>0</v>
      </c>
      <c r="BP867">
        <v>0</v>
      </c>
      <c r="BQ867">
        <v>0</v>
      </c>
      <c r="BR867">
        <v>0</v>
      </c>
      <c r="BS867">
        <v>0</v>
      </c>
      <c r="BT867">
        <v>0</v>
      </c>
      <c r="BU867">
        <v>0</v>
      </c>
      <c r="BV867">
        <v>0</v>
      </c>
      <c r="BW867">
        <v>0</v>
      </c>
      <c r="BX867">
        <v>0</v>
      </c>
      <c r="BY867">
        <v>0</v>
      </c>
      <c r="BZ867">
        <v>0</v>
      </c>
      <c r="CA867">
        <v>0</v>
      </c>
      <c r="CB867">
        <v>0</v>
      </c>
      <c r="CC867">
        <v>0</v>
      </c>
      <c r="CD867">
        <v>0</v>
      </c>
      <c r="CE86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67" s="19">
        <f>SUM(Table1[[#This Row],[Mid39]],Table1[[#This Row],[Mid36]],Table1[[#This Row],[Mid33]],Table1[[#This Row],[Mid30]],Table1[[#This Row],[Mid27]],Table1[[#This Row],[Mid24]],Table1[[#This Row],[Mid21]],Table1[[#This Row],[Mid18]],Table1[[#This Row],[Mid15]],Table1[[#This Row],[Mid12]],Table1[[#This Row],[Mid9]],Table1[[#This Row],[Mid6]],Table1[[#This Row],[Mid3]],Table1[[#This Row],[Mid]])</f>
        <v>130</v>
      </c>
      <c r="CG86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67" t="s">
        <v>157</v>
      </c>
      <c r="CI867" t="s">
        <v>134</v>
      </c>
      <c r="CJ867" t="s">
        <v>158</v>
      </c>
      <c r="CL867" s="19">
        <f>IF(Table1[[#This Row],[Type]]="Petroleum",1,IF(ISERROR(Table1[[#This Row],[Well Density]]*Table1[[#This Row],[Single Well Discovery Area]]),"",IF(Table1[[#This Row],[Well Density]]*Table1[[#This Row],[Single Well Discovery Area]]&gt;1,1,Table1[[#This Row],[Well Density]]*Table1[[#This Row],[Single Well Discovery Area]])))</f>
        <v>1</v>
      </c>
      <c r="CN867" s="19">
        <f>Table1[[#This Row],[Mid]]</f>
        <v>0</v>
      </c>
      <c r="CO867" s="19">
        <f>Table1[[#This Row],[Mid3]]+Table1[[#This Row],[Mid6]]+Table1[[#This Row],[Mid9]]</f>
        <v>0</v>
      </c>
      <c r="CP867" s="19">
        <f>Table1[[#This Row],[Mid12]]+Table1[[#This Row],[Mid15]]+Table1[[#This Row],[Mid18]]+Table1[[#This Row],[Mid21]]+Table1[[#This Row],[Mid24]]</f>
        <v>130</v>
      </c>
      <c r="CQ867" s="19">
        <f>Table1[[#This Row],[Mid27]]+Table1[[#This Row],[Mid30]]+Table1[[#This Row],[Mid33]]+Table1[[#This Row],[Mid36]]+Table1[[#This Row],[Mid39]]</f>
        <v>0</v>
      </c>
      <c r="CR867" t="s">
        <v>415</v>
      </c>
      <c r="CS867" s="19" t="str">
        <f>IF(AND(Table1[[#This Row],[Low41]]=0, Table1[[#This Row],[High43]]=0),"N","Y")</f>
        <v>N</v>
      </c>
    </row>
    <row r="868" spans="1:97" ht="19.5" customHeight="1" x14ac:dyDescent="0.25">
      <c r="A868">
        <v>10866</v>
      </c>
      <c r="B868" t="s">
        <v>1635</v>
      </c>
      <c r="C868" t="s">
        <v>1449</v>
      </c>
      <c r="D868">
        <v>57.415555560000001</v>
      </c>
      <c r="E868">
        <v>1.2308333330000001</v>
      </c>
      <c r="F868" t="s">
        <v>2673</v>
      </c>
      <c r="G868" t="s">
        <v>1687</v>
      </c>
      <c r="H868" t="s">
        <v>1688</v>
      </c>
      <c r="I868" t="s">
        <v>2669</v>
      </c>
      <c r="J868" t="s">
        <v>202</v>
      </c>
      <c r="K868" t="s">
        <v>203</v>
      </c>
      <c r="L868" t="s">
        <v>121</v>
      </c>
      <c r="M868" t="s">
        <v>2636</v>
      </c>
      <c r="N868" s="6" t="s">
        <v>2637</v>
      </c>
      <c r="O868" t="s">
        <v>2674</v>
      </c>
      <c r="P868" t="s">
        <v>2652</v>
      </c>
      <c r="Q868" t="s">
        <v>1150</v>
      </c>
      <c r="R868" t="s">
        <v>2675</v>
      </c>
      <c r="S868">
        <v>2022</v>
      </c>
      <c r="T868" t="s">
        <v>771</v>
      </c>
      <c r="U868" t="s">
        <v>1479</v>
      </c>
      <c r="V868">
        <v>0</v>
      </c>
      <c r="W868">
        <v>0</v>
      </c>
      <c r="X868">
        <v>0</v>
      </c>
      <c r="Y868">
        <v>0</v>
      </c>
      <c r="Z868">
        <v>0</v>
      </c>
      <c r="AA868">
        <v>0</v>
      </c>
      <c r="AB868">
        <v>0</v>
      </c>
      <c r="AC868">
        <v>0</v>
      </c>
      <c r="AD868">
        <v>0</v>
      </c>
      <c r="AF868">
        <v>200</v>
      </c>
      <c r="AG868">
        <v>0</v>
      </c>
      <c r="AH868" t="s">
        <v>2259</v>
      </c>
      <c r="AI868" t="s">
        <v>2447</v>
      </c>
      <c r="AJ868">
        <v>0</v>
      </c>
      <c r="AK868">
        <v>0</v>
      </c>
      <c r="AL868">
        <v>0</v>
      </c>
      <c r="AM868" t="s">
        <v>2634</v>
      </c>
      <c r="AN868" t="s">
        <v>132</v>
      </c>
      <c r="AO868">
        <v>0</v>
      </c>
      <c r="AP868">
        <v>0</v>
      </c>
      <c r="AQ868">
        <v>0</v>
      </c>
      <c r="AR868">
        <v>0</v>
      </c>
      <c r="AS868">
        <v>0</v>
      </c>
      <c r="AT868">
        <v>0</v>
      </c>
      <c r="AU868">
        <v>0</v>
      </c>
      <c r="AV868">
        <v>0</v>
      </c>
      <c r="AW868">
        <v>0</v>
      </c>
      <c r="AX868">
        <v>0</v>
      </c>
      <c r="AY868">
        <v>0</v>
      </c>
      <c r="AZ868">
        <v>0</v>
      </c>
      <c r="BA868">
        <v>0</v>
      </c>
      <c r="BB868">
        <v>0</v>
      </c>
      <c r="BC868">
        <v>0</v>
      </c>
      <c r="BD868">
        <v>0</v>
      </c>
      <c r="BE868">
        <v>0</v>
      </c>
      <c r="BF868">
        <v>0</v>
      </c>
      <c r="BG868">
        <v>0</v>
      </c>
      <c r="BH868">
        <v>14</v>
      </c>
      <c r="BI868">
        <v>0</v>
      </c>
      <c r="BJ868">
        <v>0</v>
      </c>
      <c r="BK868">
        <v>0</v>
      </c>
      <c r="BL868">
        <v>0</v>
      </c>
      <c r="BM868">
        <v>0</v>
      </c>
      <c r="BN868">
        <v>0</v>
      </c>
      <c r="BO868">
        <v>0</v>
      </c>
      <c r="BP868">
        <v>0</v>
      </c>
      <c r="BQ868">
        <v>0</v>
      </c>
      <c r="BR868">
        <v>0</v>
      </c>
      <c r="BS868">
        <v>0</v>
      </c>
      <c r="BT868">
        <v>0</v>
      </c>
      <c r="BU868">
        <v>0</v>
      </c>
      <c r="BV868">
        <v>0</v>
      </c>
      <c r="BW868">
        <v>0</v>
      </c>
      <c r="BX868">
        <v>0</v>
      </c>
      <c r="BY868">
        <v>0</v>
      </c>
      <c r="BZ868">
        <v>0</v>
      </c>
      <c r="CA868">
        <v>0</v>
      </c>
      <c r="CB868">
        <v>0</v>
      </c>
      <c r="CC868">
        <v>0</v>
      </c>
      <c r="CD868">
        <v>0</v>
      </c>
      <c r="CE86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68" s="19">
        <f>SUM(Table1[[#This Row],[Mid39]],Table1[[#This Row],[Mid36]],Table1[[#This Row],[Mid33]],Table1[[#This Row],[Mid30]],Table1[[#This Row],[Mid27]],Table1[[#This Row],[Mid24]],Table1[[#This Row],[Mid21]],Table1[[#This Row],[Mid18]],Table1[[#This Row],[Mid15]],Table1[[#This Row],[Mid12]],Table1[[#This Row],[Mid9]],Table1[[#This Row],[Mid6]],Table1[[#This Row],[Mid3]],Table1[[#This Row],[Mid]])</f>
        <v>14</v>
      </c>
      <c r="CG86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68" t="s">
        <v>157</v>
      </c>
      <c r="CI868" t="s">
        <v>134</v>
      </c>
      <c r="CJ868" t="s">
        <v>158</v>
      </c>
      <c r="CL868" s="19">
        <f>IF(Table1[[#This Row],[Type]]="Petroleum",1,IF(ISERROR(Table1[[#This Row],[Well Density]]*Table1[[#This Row],[Single Well Discovery Area]]),"",IF(Table1[[#This Row],[Well Density]]*Table1[[#This Row],[Single Well Discovery Area]]&gt;1,1,Table1[[#This Row],[Well Density]]*Table1[[#This Row],[Single Well Discovery Area]])))</f>
        <v>1</v>
      </c>
      <c r="CN868" s="19">
        <f>Table1[[#This Row],[Mid]]</f>
        <v>0</v>
      </c>
      <c r="CO868" s="19">
        <f>Table1[[#This Row],[Mid3]]+Table1[[#This Row],[Mid6]]+Table1[[#This Row],[Mid9]]</f>
        <v>0</v>
      </c>
      <c r="CP868" s="19">
        <f>Table1[[#This Row],[Mid12]]+Table1[[#This Row],[Mid15]]+Table1[[#This Row],[Mid18]]+Table1[[#This Row],[Mid21]]+Table1[[#This Row],[Mid24]]</f>
        <v>14</v>
      </c>
      <c r="CQ868" s="19">
        <f>Table1[[#This Row],[Mid27]]+Table1[[#This Row],[Mid30]]+Table1[[#This Row],[Mid33]]+Table1[[#This Row],[Mid36]]+Table1[[#This Row],[Mid39]]</f>
        <v>0</v>
      </c>
      <c r="CR868" t="s">
        <v>415</v>
      </c>
      <c r="CS868" s="19" t="str">
        <f>IF(AND(Table1[[#This Row],[Low41]]=0, Table1[[#This Row],[High43]]=0),"N","Y")</f>
        <v>N</v>
      </c>
    </row>
    <row r="869" spans="1:97" ht="19.5" customHeight="1" x14ac:dyDescent="0.25">
      <c r="A869">
        <v>10867</v>
      </c>
      <c r="B869" t="s">
        <v>1635</v>
      </c>
      <c r="C869" t="s">
        <v>1449</v>
      </c>
      <c r="D869">
        <v>53.538611109999998</v>
      </c>
      <c r="E869">
        <v>1.3886111109999999</v>
      </c>
      <c r="F869" t="s">
        <v>2676</v>
      </c>
      <c r="G869" t="s">
        <v>1687</v>
      </c>
      <c r="H869" t="s">
        <v>167</v>
      </c>
      <c r="I869" t="s">
        <v>1753</v>
      </c>
      <c r="J869" t="s">
        <v>202</v>
      </c>
      <c r="K869" t="s">
        <v>203</v>
      </c>
      <c r="L869" t="s">
        <v>121</v>
      </c>
      <c r="M869" t="s">
        <v>252</v>
      </c>
      <c r="N869" s="6" t="s">
        <v>2677</v>
      </c>
      <c r="O869" t="s">
        <v>2678</v>
      </c>
      <c r="P869" t="s">
        <v>2652</v>
      </c>
      <c r="Q869" t="s">
        <v>1150</v>
      </c>
      <c r="R869" t="s">
        <v>2675</v>
      </c>
      <c r="S869">
        <v>2022</v>
      </c>
      <c r="T869" t="s">
        <v>771</v>
      </c>
      <c r="U869" t="s">
        <v>1479</v>
      </c>
      <c r="V869">
        <v>0</v>
      </c>
      <c r="W869">
        <v>0</v>
      </c>
      <c r="X869">
        <v>0</v>
      </c>
      <c r="Y869">
        <v>0</v>
      </c>
      <c r="Z869">
        <v>0</v>
      </c>
      <c r="AA869">
        <v>0</v>
      </c>
      <c r="AB869">
        <v>0</v>
      </c>
      <c r="AC869">
        <v>0</v>
      </c>
      <c r="AD869">
        <v>0</v>
      </c>
      <c r="AF869">
        <v>200</v>
      </c>
      <c r="AG869">
        <v>0</v>
      </c>
      <c r="AH869" t="s">
        <v>2259</v>
      </c>
      <c r="AI869" t="s">
        <v>2447</v>
      </c>
      <c r="AJ869">
        <v>0</v>
      </c>
      <c r="AK869">
        <v>0</v>
      </c>
      <c r="AL869">
        <v>0</v>
      </c>
      <c r="AM869" t="s">
        <v>2634</v>
      </c>
      <c r="AN869" t="s">
        <v>132</v>
      </c>
      <c r="BH869">
        <v>12.4</v>
      </c>
      <c r="CE86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69" s="19">
        <f>SUM(Table1[[#This Row],[Mid39]],Table1[[#This Row],[Mid36]],Table1[[#This Row],[Mid33]],Table1[[#This Row],[Mid30]],Table1[[#This Row],[Mid27]],Table1[[#This Row],[Mid24]],Table1[[#This Row],[Mid21]],Table1[[#This Row],[Mid18]],Table1[[#This Row],[Mid15]],Table1[[#This Row],[Mid12]],Table1[[#This Row],[Mid9]],Table1[[#This Row],[Mid6]],Table1[[#This Row],[Mid3]],Table1[[#This Row],[Mid]])</f>
        <v>12.4</v>
      </c>
      <c r="CG86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69" t="s">
        <v>157</v>
      </c>
      <c r="CI869" t="s">
        <v>134</v>
      </c>
      <c r="CJ869" t="s">
        <v>158</v>
      </c>
      <c r="CL869" s="19">
        <f>IF(Table1[[#This Row],[Type]]="Petroleum",1,IF(ISERROR(Table1[[#This Row],[Well Density]]*Table1[[#This Row],[Single Well Discovery Area]]),"",IF(Table1[[#This Row],[Well Density]]*Table1[[#This Row],[Single Well Discovery Area]]&gt;1,1,Table1[[#This Row],[Well Density]]*Table1[[#This Row],[Single Well Discovery Area]])))</f>
        <v>1</v>
      </c>
      <c r="CN869" s="19">
        <f>Table1[[#This Row],[Mid]]</f>
        <v>0</v>
      </c>
      <c r="CO869" s="19">
        <f>Table1[[#This Row],[Mid3]]+Table1[[#This Row],[Mid6]]+Table1[[#This Row],[Mid9]]</f>
        <v>0</v>
      </c>
      <c r="CP869" s="19">
        <f>Table1[[#This Row],[Mid12]]+Table1[[#This Row],[Mid15]]+Table1[[#This Row],[Mid18]]+Table1[[#This Row],[Mid21]]+Table1[[#This Row],[Mid24]]</f>
        <v>12.4</v>
      </c>
      <c r="CQ869" s="19">
        <f>Table1[[#This Row],[Mid27]]+Table1[[#This Row],[Mid30]]+Table1[[#This Row],[Mid33]]+Table1[[#This Row],[Mid36]]+Table1[[#This Row],[Mid39]]</f>
        <v>0</v>
      </c>
      <c r="CR869" t="s">
        <v>415</v>
      </c>
      <c r="CS869" s="19" t="str">
        <f>IF(AND(Table1[[#This Row],[Low41]]=0, Table1[[#This Row],[High43]]=0),"N","Y")</f>
        <v>N</v>
      </c>
    </row>
    <row r="870" spans="1:97" ht="19.5" customHeight="1" x14ac:dyDescent="0.25">
      <c r="A870">
        <v>10869</v>
      </c>
      <c r="B870" t="s">
        <v>2679</v>
      </c>
      <c r="C870" t="s">
        <v>2680</v>
      </c>
      <c r="D870">
        <v>56.072000000000003</v>
      </c>
      <c r="E870">
        <v>17.72</v>
      </c>
      <c r="F870" t="s">
        <v>2681</v>
      </c>
      <c r="G870" t="s">
        <v>2682</v>
      </c>
      <c r="H870" t="s">
        <v>2683</v>
      </c>
      <c r="I870" t="s">
        <v>118</v>
      </c>
      <c r="J870" t="s">
        <v>119</v>
      </c>
      <c r="K870" t="s">
        <v>120</v>
      </c>
      <c r="L870" t="s">
        <v>147</v>
      </c>
      <c r="M870" t="s">
        <v>2684</v>
      </c>
      <c r="N870" s="6" t="s">
        <v>2685</v>
      </c>
      <c r="O870" t="s">
        <v>2652</v>
      </c>
      <c r="P870" t="s">
        <v>2652</v>
      </c>
      <c r="Q870" t="s">
        <v>2686</v>
      </c>
      <c r="R870" t="s">
        <v>2687</v>
      </c>
      <c r="S870">
        <v>2015</v>
      </c>
      <c r="T870" t="s">
        <v>771</v>
      </c>
      <c r="U870" t="s">
        <v>1479</v>
      </c>
      <c r="V870">
        <v>15157</v>
      </c>
      <c r="W870">
        <v>865</v>
      </c>
      <c r="X870">
        <v>57</v>
      </c>
      <c r="Y870">
        <v>0.65</v>
      </c>
      <c r="Z870">
        <v>8</v>
      </c>
      <c r="AA870">
        <v>30</v>
      </c>
      <c r="AB870">
        <v>0</v>
      </c>
      <c r="AC870">
        <v>0</v>
      </c>
      <c r="AD870">
        <v>5</v>
      </c>
      <c r="AE870">
        <v>3.2988100000000002E-4</v>
      </c>
      <c r="AF870">
        <v>200</v>
      </c>
      <c r="AG870">
        <v>0</v>
      </c>
      <c r="AH870" t="s">
        <v>2259</v>
      </c>
      <c r="AI870">
        <v>2</v>
      </c>
      <c r="AJ870">
        <v>0</v>
      </c>
      <c r="AK870">
        <v>0</v>
      </c>
      <c r="AL870">
        <v>0</v>
      </c>
      <c r="AM870" t="s">
        <v>2688</v>
      </c>
      <c r="AN870" t="s">
        <v>132</v>
      </c>
      <c r="AO870">
        <v>0</v>
      </c>
      <c r="AP870">
        <v>0</v>
      </c>
      <c r="AQ870">
        <v>0</v>
      </c>
      <c r="AR870">
        <v>0</v>
      </c>
      <c r="AS870">
        <v>0</v>
      </c>
      <c r="AT870">
        <v>0</v>
      </c>
      <c r="AU870">
        <v>0</v>
      </c>
      <c r="AV870">
        <v>0</v>
      </c>
      <c r="AW870">
        <v>0</v>
      </c>
      <c r="AX870">
        <v>0</v>
      </c>
      <c r="AY870">
        <v>0</v>
      </c>
      <c r="AZ870">
        <v>0</v>
      </c>
      <c r="BA870">
        <v>0</v>
      </c>
      <c r="BB870">
        <v>0</v>
      </c>
      <c r="BC870">
        <v>0</v>
      </c>
      <c r="BD870">
        <v>0</v>
      </c>
      <c r="BE870">
        <v>0</v>
      </c>
      <c r="BF870">
        <v>0</v>
      </c>
      <c r="BG870">
        <v>0</v>
      </c>
      <c r="BH870">
        <v>36.479999999999997</v>
      </c>
      <c r="BI870">
        <v>0</v>
      </c>
      <c r="BJ870">
        <v>0</v>
      </c>
      <c r="BK870">
        <v>0</v>
      </c>
      <c r="BL870">
        <v>0</v>
      </c>
      <c r="BM870">
        <v>0</v>
      </c>
      <c r="BN870">
        <v>0</v>
      </c>
      <c r="BO870">
        <v>0</v>
      </c>
      <c r="BP870">
        <v>0</v>
      </c>
      <c r="BQ870">
        <v>0</v>
      </c>
      <c r="BR870">
        <v>0</v>
      </c>
      <c r="BS870">
        <v>0</v>
      </c>
      <c r="BT870">
        <v>0</v>
      </c>
      <c r="BU870">
        <v>0</v>
      </c>
      <c r="BV870">
        <v>0</v>
      </c>
      <c r="BW870">
        <v>516.52</v>
      </c>
      <c r="BX870">
        <v>0</v>
      </c>
      <c r="BY870">
        <v>0</v>
      </c>
      <c r="BZ870">
        <v>0</v>
      </c>
      <c r="CA870">
        <v>0</v>
      </c>
      <c r="CB870">
        <v>0</v>
      </c>
      <c r="CC870">
        <v>0</v>
      </c>
      <c r="CD870">
        <v>0</v>
      </c>
      <c r="CE87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70" s="19">
        <f>SUM(Table1[[#This Row],[Mid39]],Table1[[#This Row],[Mid36]],Table1[[#This Row],[Mid33]],Table1[[#This Row],[Mid30]],Table1[[#This Row],[Mid27]],Table1[[#This Row],[Mid24]],Table1[[#This Row],[Mid21]],Table1[[#This Row],[Mid18]],Table1[[#This Row],[Mid15]],Table1[[#This Row],[Mid12]],Table1[[#This Row],[Mid9]],Table1[[#This Row],[Mid6]],Table1[[#This Row],[Mid3]],Table1[[#This Row],[Mid]])</f>
        <v>553</v>
      </c>
      <c r="CG87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70" t="s">
        <v>133</v>
      </c>
      <c r="CI870" t="s">
        <v>134</v>
      </c>
      <c r="CJ870" t="s">
        <v>158</v>
      </c>
      <c r="CL870" s="19">
        <f>IF(Table1[[#This Row],[Type]]="Petroleum",1,IF(ISERROR(Table1[[#This Row],[Well Density]]*Table1[[#This Row],[Single Well Discovery Area]]),"",IF(Table1[[#This Row],[Well Density]]*Table1[[#This Row],[Single Well Discovery Area]]&gt;1,1,Table1[[#This Row],[Well Density]]*Table1[[#This Row],[Single Well Discovery Area]])))</f>
        <v>6.5976199999999999E-2</v>
      </c>
      <c r="CN870" s="19">
        <f>Table1[[#This Row],[Mid]]</f>
        <v>0</v>
      </c>
      <c r="CO870" s="19">
        <f>Table1[[#This Row],[Mid3]]+Table1[[#This Row],[Mid6]]+Table1[[#This Row],[Mid9]]</f>
        <v>0</v>
      </c>
      <c r="CP870" s="19">
        <f>Table1[[#This Row],[Mid12]]+Table1[[#This Row],[Mid15]]+Table1[[#This Row],[Mid18]]+Table1[[#This Row],[Mid21]]+Table1[[#This Row],[Mid24]]</f>
        <v>36.479999999999997</v>
      </c>
      <c r="CQ870" s="19">
        <f>Table1[[#This Row],[Mid27]]+Table1[[#This Row],[Mid30]]+Table1[[#This Row],[Mid33]]+Table1[[#This Row],[Mid36]]+Table1[[#This Row],[Mid39]]</f>
        <v>516.52</v>
      </c>
      <c r="CR870" t="s">
        <v>415</v>
      </c>
      <c r="CS870" s="19" t="str">
        <f>IF(AND(Table1[[#This Row],[Low41]]=0, Table1[[#This Row],[High43]]=0),"N","Y")</f>
        <v>N</v>
      </c>
    </row>
    <row r="871" spans="1:97" ht="19.5" customHeight="1" x14ac:dyDescent="0.25">
      <c r="A871">
        <v>10870</v>
      </c>
      <c r="B871" t="s">
        <v>2679</v>
      </c>
      <c r="C871" t="s">
        <v>2680</v>
      </c>
      <c r="D871">
        <v>56.073</v>
      </c>
      <c r="E871">
        <v>17.73</v>
      </c>
      <c r="F871" t="s">
        <v>2689</v>
      </c>
      <c r="G871" t="s">
        <v>2682</v>
      </c>
      <c r="H871" t="s">
        <v>2683</v>
      </c>
      <c r="I871" t="s">
        <v>118</v>
      </c>
      <c r="J871" t="s">
        <v>119</v>
      </c>
      <c r="K871" t="s">
        <v>120</v>
      </c>
      <c r="L871" t="s">
        <v>18</v>
      </c>
      <c r="M871" t="s">
        <v>2684</v>
      </c>
      <c r="N871" s="6" t="s">
        <v>2685</v>
      </c>
      <c r="O871" t="s">
        <v>2652</v>
      </c>
      <c r="P871" t="s">
        <v>2652</v>
      </c>
      <c r="Q871" t="s">
        <v>2690</v>
      </c>
      <c r="R871" t="s">
        <v>2687</v>
      </c>
      <c r="S871">
        <v>2015</v>
      </c>
      <c r="T871" t="s">
        <v>771</v>
      </c>
      <c r="U871" t="s">
        <v>1479</v>
      </c>
      <c r="V871">
        <v>15157</v>
      </c>
      <c r="W871">
        <v>817</v>
      </c>
      <c r="X871">
        <v>36</v>
      </c>
      <c r="Y871">
        <v>0.65</v>
      </c>
      <c r="Z871">
        <v>0.1</v>
      </c>
      <c r="AA871">
        <v>50</v>
      </c>
      <c r="AB871">
        <v>0</v>
      </c>
      <c r="AC871">
        <v>0</v>
      </c>
      <c r="AD871">
        <v>5</v>
      </c>
      <c r="AE871">
        <v>3.2988100000000002E-4</v>
      </c>
      <c r="AF871">
        <v>20</v>
      </c>
      <c r="AG871">
        <v>0</v>
      </c>
      <c r="AH871" t="s">
        <v>2259</v>
      </c>
      <c r="AI871">
        <v>2</v>
      </c>
      <c r="AJ871">
        <v>0</v>
      </c>
      <c r="AK871">
        <v>0</v>
      </c>
      <c r="AL871">
        <v>0</v>
      </c>
      <c r="AM871" t="s">
        <v>2688</v>
      </c>
      <c r="AN871" t="s">
        <v>132</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2.81</v>
      </c>
      <c r="BI871">
        <v>0</v>
      </c>
      <c r="BJ871">
        <v>0</v>
      </c>
      <c r="BK871">
        <v>0</v>
      </c>
      <c r="BL871">
        <v>0</v>
      </c>
      <c r="BM871">
        <v>0</v>
      </c>
      <c r="BN871">
        <v>0</v>
      </c>
      <c r="BO871">
        <v>0</v>
      </c>
      <c r="BP871">
        <v>0</v>
      </c>
      <c r="BQ871">
        <v>0</v>
      </c>
      <c r="BR871">
        <v>0</v>
      </c>
      <c r="BS871">
        <v>0</v>
      </c>
      <c r="BT871">
        <v>0</v>
      </c>
      <c r="BU871">
        <v>0</v>
      </c>
      <c r="BV871">
        <v>0</v>
      </c>
      <c r="BW871">
        <v>423.19</v>
      </c>
      <c r="BX871">
        <v>0</v>
      </c>
      <c r="BY871">
        <v>0</v>
      </c>
      <c r="BZ871">
        <v>0</v>
      </c>
      <c r="CA871">
        <v>0</v>
      </c>
      <c r="CB871">
        <v>0</v>
      </c>
      <c r="CC871">
        <v>0</v>
      </c>
      <c r="CD871">
        <v>0</v>
      </c>
      <c r="CE87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71" s="19">
        <f>SUM(Table1[[#This Row],[Mid39]],Table1[[#This Row],[Mid36]],Table1[[#This Row],[Mid33]],Table1[[#This Row],[Mid30]],Table1[[#This Row],[Mid27]],Table1[[#This Row],[Mid24]],Table1[[#This Row],[Mid21]],Table1[[#This Row],[Mid18]],Table1[[#This Row],[Mid15]],Table1[[#This Row],[Mid12]],Table1[[#This Row],[Mid9]],Table1[[#This Row],[Mid6]],Table1[[#This Row],[Mid3]],Table1[[#This Row],[Mid]])</f>
        <v>426</v>
      </c>
      <c r="CG87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71" t="s">
        <v>157</v>
      </c>
      <c r="CI871" t="s">
        <v>176</v>
      </c>
      <c r="CJ871" t="s">
        <v>158</v>
      </c>
      <c r="CL871" s="19">
        <f>IF(Table1[[#This Row],[Type]]="Petroleum",1,IF(ISERROR(Table1[[#This Row],[Well Density]]*Table1[[#This Row],[Single Well Discovery Area]]),"",IF(Table1[[#This Row],[Well Density]]*Table1[[#This Row],[Single Well Discovery Area]]&gt;1,1,Table1[[#This Row],[Well Density]]*Table1[[#This Row],[Single Well Discovery Area]])))</f>
        <v>6.5976200000000002E-3</v>
      </c>
      <c r="CN871" s="19">
        <f>Table1[[#This Row],[Mid]]</f>
        <v>0</v>
      </c>
      <c r="CO871" s="19">
        <f>Table1[[#This Row],[Mid3]]+Table1[[#This Row],[Mid6]]+Table1[[#This Row],[Mid9]]</f>
        <v>0</v>
      </c>
      <c r="CP871" s="19">
        <f>Table1[[#This Row],[Mid12]]+Table1[[#This Row],[Mid15]]+Table1[[#This Row],[Mid18]]+Table1[[#This Row],[Mid21]]+Table1[[#This Row],[Mid24]]</f>
        <v>2.81</v>
      </c>
      <c r="CQ871" s="19">
        <f>Table1[[#This Row],[Mid27]]+Table1[[#This Row],[Mid30]]+Table1[[#This Row],[Mid33]]+Table1[[#This Row],[Mid36]]+Table1[[#This Row],[Mid39]]</f>
        <v>423.19</v>
      </c>
      <c r="CR871" t="s">
        <v>415</v>
      </c>
      <c r="CS871" s="19" t="str">
        <f>IF(AND(Table1[[#This Row],[Low41]]=0, Table1[[#This Row],[High43]]=0),"N","Y")</f>
        <v>N</v>
      </c>
    </row>
    <row r="872" spans="1:97" ht="19.5" customHeight="1" x14ac:dyDescent="0.25">
      <c r="A872">
        <v>10871</v>
      </c>
      <c r="B872" t="s">
        <v>2679</v>
      </c>
      <c r="C872" t="s">
        <v>2680</v>
      </c>
      <c r="D872">
        <v>56.073999999999998</v>
      </c>
      <c r="E872">
        <v>17.739999999999998</v>
      </c>
      <c r="F872" t="s">
        <v>2691</v>
      </c>
      <c r="G872" t="s">
        <v>2682</v>
      </c>
      <c r="H872" t="s">
        <v>2692</v>
      </c>
      <c r="I872" t="s">
        <v>118</v>
      </c>
      <c r="J872" t="s">
        <v>119</v>
      </c>
      <c r="K872" t="s">
        <v>203</v>
      </c>
      <c r="L872" t="s">
        <v>261</v>
      </c>
      <c r="M872" t="s">
        <v>2693</v>
      </c>
      <c r="N872" s="6" t="s">
        <v>2694</v>
      </c>
      <c r="O872" t="s">
        <v>2652</v>
      </c>
      <c r="P872" t="s">
        <v>2695</v>
      </c>
      <c r="Q872" t="s">
        <v>2696</v>
      </c>
      <c r="R872" t="s">
        <v>2697</v>
      </c>
      <c r="S872">
        <v>2016</v>
      </c>
      <c r="T872" t="s">
        <v>771</v>
      </c>
      <c r="U872" t="s">
        <v>1479</v>
      </c>
      <c r="V872">
        <v>11000</v>
      </c>
      <c r="W872">
        <v>830</v>
      </c>
      <c r="X872">
        <v>45</v>
      </c>
      <c r="Y872">
        <v>0.9</v>
      </c>
      <c r="Z872">
        <v>14</v>
      </c>
      <c r="AA872">
        <v>147</v>
      </c>
      <c r="AB872">
        <v>0</v>
      </c>
      <c r="AC872">
        <v>0</v>
      </c>
      <c r="AD872">
        <v>2</v>
      </c>
      <c r="AE872">
        <v>1.8181800000000001E-4</v>
      </c>
      <c r="AF872">
        <v>200</v>
      </c>
      <c r="AG872">
        <v>0</v>
      </c>
      <c r="AH872" t="s">
        <v>1612</v>
      </c>
      <c r="AI872" t="s">
        <v>2447</v>
      </c>
      <c r="AJ872">
        <v>0</v>
      </c>
      <c r="AK872">
        <v>0</v>
      </c>
      <c r="AL872">
        <v>0</v>
      </c>
      <c r="AM872" t="s">
        <v>2698</v>
      </c>
      <c r="AN872" t="s">
        <v>132</v>
      </c>
      <c r="AO872">
        <v>0</v>
      </c>
      <c r="AP872">
        <v>0</v>
      </c>
      <c r="AQ872">
        <v>0</v>
      </c>
      <c r="AR872">
        <v>0</v>
      </c>
      <c r="AS872">
        <v>0</v>
      </c>
      <c r="AT872">
        <v>0</v>
      </c>
      <c r="AU872">
        <v>0</v>
      </c>
      <c r="AV872">
        <v>0</v>
      </c>
      <c r="AW872">
        <v>0</v>
      </c>
      <c r="AX872">
        <v>0</v>
      </c>
      <c r="AY872">
        <v>0</v>
      </c>
      <c r="AZ872">
        <v>0</v>
      </c>
      <c r="BA872">
        <v>0</v>
      </c>
      <c r="BB872">
        <v>0</v>
      </c>
      <c r="BC872">
        <v>0</v>
      </c>
      <c r="BD872">
        <v>0</v>
      </c>
      <c r="BE872">
        <v>0</v>
      </c>
      <c r="BF872">
        <v>0</v>
      </c>
      <c r="BG872">
        <v>0</v>
      </c>
      <c r="BH872">
        <v>0</v>
      </c>
      <c r="BI872">
        <v>0</v>
      </c>
      <c r="BJ872">
        <v>0</v>
      </c>
      <c r="BK872">
        <v>0</v>
      </c>
      <c r="BL872">
        <v>0</v>
      </c>
      <c r="BM872">
        <v>0</v>
      </c>
      <c r="BN872">
        <v>0</v>
      </c>
      <c r="BO872">
        <v>0</v>
      </c>
      <c r="BP872">
        <v>0</v>
      </c>
      <c r="BQ872">
        <v>500</v>
      </c>
      <c r="BR872">
        <v>0</v>
      </c>
      <c r="BS872">
        <v>0</v>
      </c>
      <c r="BT872">
        <v>0</v>
      </c>
      <c r="BU872">
        <v>0</v>
      </c>
      <c r="BV872">
        <v>0</v>
      </c>
      <c r="BW872">
        <v>0</v>
      </c>
      <c r="BX872">
        <v>0</v>
      </c>
      <c r="BY872">
        <v>0</v>
      </c>
      <c r="BZ872">
        <v>0</v>
      </c>
      <c r="CA872">
        <v>0</v>
      </c>
      <c r="CB872">
        <v>0</v>
      </c>
      <c r="CC872">
        <v>0</v>
      </c>
      <c r="CD872">
        <v>0</v>
      </c>
      <c r="CE87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72" s="19">
        <f>SUM(Table1[[#This Row],[Mid39]],Table1[[#This Row],[Mid36]],Table1[[#This Row],[Mid33]],Table1[[#This Row],[Mid30]],Table1[[#This Row],[Mid27]],Table1[[#This Row],[Mid24]],Table1[[#This Row],[Mid21]],Table1[[#This Row],[Mid18]],Table1[[#This Row],[Mid15]],Table1[[#This Row],[Mid12]],Table1[[#This Row],[Mid9]],Table1[[#This Row],[Mid6]],Table1[[#This Row],[Mid3]],Table1[[#This Row],[Mid]])</f>
        <v>500</v>
      </c>
      <c r="CG87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72" t="s">
        <v>133</v>
      </c>
      <c r="CI872" t="s">
        <v>134</v>
      </c>
      <c r="CJ872" t="s">
        <v>158</v>
      </c>
      <c r="CL872" s="19">
        <f>IF(Table1[[#This Row],[Type]]="Petroleum",1,IF(ISERROR(Table1[[#This Row],[Well Density]]*Table1[[#This Row],[Single Well Discovery Area]]),"",IF(Table1[[#This Row],[Well Density]]*Table1[[#This Row],[Single Well Discovery Area]]&gt;1,1,Table1[[#This Row],[Well Density]]*Table1[[#This Row],[Single Well Discovery Area]])))</f>
        <v>3.6363600000000003E-2</v>
      </c>
      <c r="CN872" s="19">
        <f>Table1[[#This Row],[Mid]]</f>
        <v>0</v>
      </c>
      <c r="CO872" s="19">
        <f>Table1[[#This Row],[Mid3]]+Table1[[#This Row],[Mid6]]+Table1[[#This Row],[Mid9]]</f>
        <v>0</v>
      </c>
      <c r="CP872" s="19">
        <f>Table1[[#This Row],[Mid12]]+Table1[[#This Row],[Mid15]]+Table1[[#This Row],[Mid18]]+Table1[[#This Row],[Mid21]]+Table1[[#This Row],[Mid24]]</f>
        <v>0</v>
      </c>
      <c r="CQ872" s="19">
        <f>Table1[[#This Row],[Mid27]]+Table1[[#This Row],[Mid30]]+Table1[[#This Row],[Mid33]]+Table1[[#This Row],[Mid36]]+Table1[[#This Row],[Mid39]]</f>
        <v>500</v>
      </c>
      <c r="CR872" t="s">
        <v>415</v>
      </c>
      <c r="CS872" s="19" t="str">
        <f>IF(AND(Table1[[#This Row],[Low41]]=0, Table1[[#This Row],[High43]]=0),"N","Y")</f>
        <v>N</v>
      </c>
    </row>
    <row r="873" spans="1:97" ht="19.5" customHeight="1" x14ac:dyDescent="0.25">
      <c r="A873">
        <v>10872</v>
      </c>
      <c r="B873" t="s">
        <v>2679</v>
      </c>
      <c r="C873" t="s">
        <v>2680</v>
      </c>
      <c r="D873">
        <v>56.071111109999997</v>
      </c>
      <c r="E873">
        <v>17.714444440000001</v>
      </c>
      <c r="F873" t="s">
        <v>2699</v>
      </c>
      <c r="G873" t="s">
        <v>2682</v>
      </c>
      <c r="H873" t="s">
        <v>2691</v>
      </c>
      <c r="I873" t="s">
        <v>118</v>
      </c>
      <c r="J873" t="s">
        <v>119</v>
      </c>
      <c r="K873" t="s">
        <v>1435</v>
      </c>
      <c r="L873" t="s">
        <v>18</v>
      </c>
      <c r="M873" t="s">
        <v>2693</v>
      </c>
      <c r="N873" s="6" t="s">
        <v>2700</v>
      </c>
      <c r="O873" t="s">
        <v>2652</v>
      </c>
      <c r="P873" t="s">
        <v>2652</v>
      </c>
      <c r="Q873" t="s">
        <v>2701</v>
      </c>
      <c r="R873" t="s">
        <v>2702</v>
      </c>
      <c r="S873">
        <v>2015</v>
      </c>
      <c r="T873" t="s">
        <v>771</v>
      </c>
      <c r="U873" t="s">
        <v>1479</v>
      </c>
      <c r="V873"/>
      <c r="Y873">
        <v>0.9</v>
      </c>
      <c r="Z873">
        <v>14</v>
      </c>
      <c r="AA873">
        <v>147</v>
      </c>
      <c r="AB873">
        <v>0</v>
      </c>
      <c r="AC873">
        <v>0</v>
      </c>
      <c r="AD873">
        <v>0</v>
      </c>
      <c r="AF873">
        <v>200</v>
      </c>
      <c r="AG873">
        <v>0</v>
      </c>
      <c r="AH873" t="s">
        <v>2259</v>
      </c>
      <c r="AI873" t="s">
        <v>2447</v>
      </c>
      <c r="AJ873">
        <v>0</v>
      </c>
      <c r="AK873">
        <v>0</v>
      </c>
      <c r="AL873">
        <v>0</v>
      </c>
      <c r="AM873" t="s">
        <v>2688</v>
      </c>
      <c r="AN873" t="s">
        <v>132</v>
      </c>
      <c r="BT873">
        <v>16</v>
      </c>
      <c r="CE87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73" s="19">
        <f>SUM(Table1[[#This Row],[Mid39]],Table1[[#This Row],[Mid36]],Table1[[#This Row],[Mid33]],Table1[[#This Row],[Mid30]],Table1[[#This Row],[Mid27]],Table1[[#This Row],[Mid24]],Table1[[#This Row],[Mid21]],Table1[[#This Row],[Mid18]],Table1[[#This Row],[Mid15]],Table1[[#This Row],[Mid12]],Table1[[#This Row],[Mid9]],Table1[[#This Row],[Mid6]],Table1[[#This Row],[Mid3]],Table1[[#This Row],[Mid]])</f>
        <v>16</v>
      </c>
      <c r="CG87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73" t="s">
        <v>157</v>
      </c>
      <c r="CI873" t="s">
        <v>134</v>
      </c>
      <c r="CJ873" t="s">
        <v>158</v>
      </c>
      <c r="CL873" s="19">
        <f>IF(Table1[[#This Row],[Type]]="Petroleum",1,IF(ISERROR(Table1[[#This Row],[Well Density]]*Table1[[#This Row],[Single Well Discovery Area]]),"",IF(Table1[[#This Row],[Well Density]]*Table1[[#This Row],[Single Well Discovery Area]]&gt;1,1,Table1[[#This Row],[Well Density]]*Table1[[#This Row],[Single Well Discovery Area]])))</f>
        <v>0</v>
      </c>
      <c r="CN873" s="19">
        <f>Table1[[#This Row],[Mid]]</f>
        <v>0</v>
      </c>
      <c r="CO873" s="19">
        <f>Table1[[#This Row],[Mid3]]+Table1[[#This Row],[Mid6]]+Table1[[#This Row],[Mid9]]</f>
        <v>0</v>
      </c>
      <c r="CP873" s="19">
        <f>Table1[[#This Row],[Mid12]]+Table1[[#This Row],[Mid15]]+Table1[[#This Row],[Mid18]]+Table1[[#This Row],[Mid21]]+Table1[[#This Row],[Mid24]]</f>
        <v>0</v>
      </c>
      <c r="CQ873" s="19">
        <f>Table1[[#This Row],[Mid27]]+Table1[[#This Row],[Mid30]]+Table1[[#This Row],[Mid33]]+Table1[[#This Row],[Mid36]]+Table1[[#This Row],[Mid39]]</f>
        <v>16</v>
      </c>
      <c r="CR873" t="s">
        <v>415</v>
      </c>
      <c r="CS873" s="19" t="str">
        <f>IF(AND(Table1[[#This Row],[Low41]]=0, Table1[[#This Row],[High43]]=0),"N","Y")</f>
        <v>N</v>
      </c>
    </row>
    <row r="874" spans="1:97" ht="19.5" customHeight="1" x14ac:dyDescent="0.25">
      <c r="A874">
        <v>10873</v>
      </c>
      <c r="B874" t="s">
        <v>2679</v>
      </c>
      <c r="C874" t="s">
        <v>2680</v>
      </c>
      <c r="D874">
        <v>56.071111109999997</v>
      </c>
      <c r="E874">
        <v>17.714444440000001</v>
      </c>
      <c r="F874" t="s">
        <v>2703</v>
      </c>
      <c r="G874" t="s">
        <v>2682</v>
      </c>
      <c r="H874" t="s">
        <v>2683</v>
      </c>
      <c r="I874" t="s">
        <v>118</v>
      </c>
      <c r="J874" t="s">
        <v>119</v>
      </c>
      <c r="K874" t="s">
        <v>1435</v>
      </c>
      <c r="L874" t="s">
        <v>18</v>
      </c>
      <c r="M874" t="s">
        <v>2684</v>
      </c>
      <c r="N874" s="6" t="s">
        <v>2700</v>
      </c>
      <c r="O874" t="s">
        <v>2652</v>
      </c>
      <c r="P874" t="s">
        <v>2652</v>
      </c>
      <c r="Q874" t="s">
        <v>2704</v>
      </c>
      <c r="R874" t="s">
        <v>2702</v>
      </c>
      <c r="S874">
        <v>2015</v>
      </c>
      <c r="T874" t="s">
        <v>771</v>
      </c>
      <c r="U874" t="s">
        <v>1479</v>
      </c>
      <c r="V874"/>
      <c r="Y874">
        <v>0.1</v>
      </c>
      <c r="Z874">
        <v>50</v>
      </c>
      <c r="AA874">
        <v>50</v>
      </c>
      <c r="AB874">
        <v>0</v>
      </c>
      <c r="AC874">
        <v>0</v>
      </c>
      <c r="AD874">
        <v>0</v>
      </c>
      <c r="AF874">
        <v>200</v>
      </c>
      <c r="AG874">
        <v>0</v>
      </c>
      <c r="AH874" t="s">
        <v>2259</v>
      </c>
      <c r="AI874" t="s">
        <v>2447</v>
      </c>
      <c r="AJ874">
        <v>0</v>
      </c>
      <c r="AK874">
        <v>0</v>
      </c>
      <c r="AL874">
        <v>0</v>
      </c>
      <c r="AM874" t="s">
        <v>2688</v>
      </c>
      <c r="AN874" t="s">
        <v>132</v>
      </c>
      <c r="BT874">
        <v>15</v>
      </c>
      <c r="CE87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74" s="19">
        <f>SUM(Table1[[#This Row],[Mid39]],Table1[[#This Row],[Mid36]],Table1[[#This Row],[Mid33]],Table1[[#This Row],[Mid30]],Table1[[#This Row],[Mid27]],Table1[[#This Row],[Mid24]],Table1[[#This Row],[Mid21]],Table1[[#This Row],[Mid18]],Table1[[#This Row],[Mid15]],Table1[[#This Row],[Mid12]],Table1[[#This Row],[Mid9]],Table1[[#This Row],[Mid6]],Table1[[#This Row],[Mid3]],Table1[[#This Row],[Mid]])</f>
        <v>15</v>
      </c>
      <c r="CG87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74" t="s">
        <v>157</v>
      </c>
      <c r="CI874" t="s">
        <v>134</v>
      </c>
      <c r="CJ874" t="s">
        <v>158</v>
      </c>
      <c r="CL874" s="19">
        <f>IF(Table1[[#This Row],[Type]]="Petroleum",1,IF(ISERROR(Table1[[#This Row],[Well Density]]*Table1[[#This Row],[Single Well Discovery Area]]),"",IF(Table1[[#This Row],[Well Density]]*Table1[[#This Row],[Single Well Discovery Area]]&gt;1,1,Table1[[#This Row],[Well Density]]*Table1[[#This Row],[Single Well Discovery Area]])))</f>
        <v>0</v>
      </c>
      <c r="CN874" s="19">
        <f>Table1[[#This Row],[Mid]]</f>
        <v>0</v>
      </c>
      <c r="CO874" s="19">
        <f>Table1[[#This Row],[Mid3]]+Table1[[#This Row],[Mid6]]+Table1[[#This Row],[Mid9]]</f>
        <v>0</v>
      </c>
      <c r="CP874" s="19">
        <f>Table1[[#This Row],[Mid12]]+Table1[[#This Row],[Mid15]]+Table1[[#This Row],[Mid18]]+Table1[[#This Row],[Mid21]]+Table1[[#This Row],[Mid24]]</f>
        <v>0</v>
      </c>
      <c r="CQ874" s="19">
        <f>Table1[[#This Row],[Mid27]]+Table1[[#This Row],[Mid30]]+Table1[[#This Row],[Mid33]]+Table1[[#This Row],[Mid36]]+Table1[[#This Row],[Mid39]]</f>
        <v>15</v>
      </c>
      <c r="CR874" t="s">
        <v>415</v>
      </c>
      <c r="CS874" s="19" t="str">
        <f>IF(AND(Table1[[#This Row],[Low41]]=0, Table1[[#This Row],[High43]]=0),"N","Y")</f>
        <v>N</v>
      </c>
    </row>
    <row r="875" spans="1:97" ht="19.5" customHeight="1" x14ac:dyDescent="0.25">
      <c r="A875">
        <v>10874</v>
      </c>
      <c r="B875" t="s">
        <v>2679</v>
      </c>
      <c r="C875" t="s">
        <v>2705</v>
      </c>
      <c r="D875">
        <v>55.45861111</v>
      </c>
      <c r="E875">
        <v>12.928333329999999</v>
      </c>
      <c r="F875" t="s">
        <v>2706</v>
      </c>
      <c r="G875" t="s">
        <v>1460</v>
      </c>
      <c r="H875" t="s">
        <v>2706</v>
      </c>
      <c r="I875" t="s">
        <v>118</v>
      </c>
      <c r="J875" t="s">
        <v>119</v>
      </c>
      <c r="K875" t="s">
        <v>203</v>
      </c>
      <c r="L875" t="s">
        <v>121</v>
      </c>
      <c r="M875" t="s">
        <v>329</v>
      </c>
      <c r="N875" s="6" t="s">
        <v>2685</v>
      </c>
      <c r="O875" t="s">
        <v>2652</v>
      </c>
      <c r="P875" t="s">
        <v>2652</v>
      </c>
      <c r="Q875" t="s">
        <v>2707</v>
      </c>
      <c r="R875" t="s">
        <v>2708</v>
      </c>
      <c r="S875">
        <v>2015</v>
      </c>
      <c r="T875" t="s">
        <v>771</v>
      </c>
      <c r="U875" t="s">
        <v>1479</v>
      </c>
      <c r="V875">
        <v>1144</v>
      </c>
      <c r="W875">
        <v>1509</v>
      </c>
      <c r="X875">
        <v>137</v>
      </c>
      <c r="Y875">
        <v>0.67</v>
      </c>
      <c r="Z875">
        <v>0.12</v>
      </c>
      <c r="AA875">
        <v>300</v>
      </c>
      <c r="AB875">
        <v>0.13</v>
      </c>
      <c r="AC875">
        <v>0</v>
      </c>
      <c r="AD875">
        <v>12</v>
      </c>
      <c r="AE875">
        <v>1.0489510000000001E-2</v>
      </c>
      <c r="AF875">
        <v>200</v>
      </c>
      <c r="AG875">
        <v>0</v>
      </c>
      <c r="AH875" t="s">
        <v>2259</v>
      </c>
      <c r="AI875">
        <v>2</v>
      </c>
      <c r="AJ875">
        <v>0</v>
      </c>
      <c r="AK875">
        <v>0</v>
      </c>
      <c r="AL875">
        <v>0</v>
      </c>
      <c r="AM875" t="s">
        <v>2688</v>
      </c>
      <c r="AN875" t="s">
        <v>132</v>
      </c>
      <c r="BH875">
        <v>165</v>
      </c>
      <c r="CE87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75" s="19">
        <f>SUM(Table1[[#This Row],[Mid39]],Table1[[#This Row],[Mid36]],Table1[[#This Row],[Mid33]],Table1[[#This Row],[Mid30]],Table1[[#This Row],[Mid27]],Table1[[#This Row],[Mid24]],Table1[[#This Row],[Mid21]],Table1[[#This Row],[Mid18]],Table1[[#This Row],[Mid15]],Table1[[#This Row],[Mid12]],Table1[[#This Row],[Mid9]],Table1[[#This Row],[Mid6]],Table1[[#This Row],[Mid3]],Table1[[#This Row],[Mid]])</f>
        <v>165</v>
      </c>
      <c r="CG87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75" t="s">
        <v>157</v>
      </c>
      <c r="CI875" t="s">
        <v>134</v>
      </c>
      <c r="CJ875" t="s">
        <v>158</v>
      </c>
      <c r="CL875" s="19">
        <f>IF(Table1[[#This Row],[Type]]="Petroleum",1,IF(ISERROR(Table1[[#This Row],[Well Density]]*Table1[[#This Row],[Single Well Discovery Area]]),"",IF(Table1[[#This Row],[Well Density]]*Table1[[#This Row],[Single Well Discovery Area]]&gt;1,1,Table1[[#This Row],[Well Density]]*Table1[[#This Row],[Single Well Discovery Area]])))</f>
        <v>1</v>
      </c>
      <c r="CN875" s="19">
        <f>Table1[[#This Row],[Mid]]</f>
        <v>0</v>
      </c>
      <c r="CO875" s="19">
        <f>Table1[[#This Row],[Mid3]]+Table1[[#This Row],[Mid6]]+Table1[[#This Row],[Mid9]]</f>
        <v>0</v>
      </c>
      <c r="CP875" s="19">
        <f>Table1[[#This Row],[Mid12]]+Table1[[#This Row],[Mid15]]+Table1[[#This Row],[Mid18]]+Table1[[#This Row],[Mid21]]+Table1[[#This Row],[Mid24]]</f>
        <v>165</v>
      </c>
      <c r="CQ875" s="19">
        <f>Table1[[#This Row],[Mid27]]+Table1[[#This Row],[Mid30]]+Table1[[#This Row],[Mid33]]+Table1[[#This Row],[Mid36]]+Table1[[#This Row],[Mid39]]</f>
        <v>0</v>
      </c>
      <c r="CR875" t="s">
        <v>415</v>
      </c>
      <c r="CS875" s="19" t="str">
        <f>IF(AND(Table1[[#This Row],[Low41]]=0, Table1[[#This Row],[High43]]=0),"N","Y")</f>
        <v>N</v>
      </c>
    </row>
    <row r="876" spans="1:97" ht="19.5" customHeight="1" x14ac:dyDescent="0.25">
      <c r="A876">
        <v>10875</v>
      </c>
      <c r="B876" t="s">
        <v>2679</v>
      </c>
      <c r="C876" t="s">
        <v>2705</v>
      </c>
      <c r="D876">
        <v>55.534999999999997</v>
      </c>
      <c r="E876">
        <v>12.928333329999999</v>
      </c>
      <c r="F876" t="s">
        <v>2709</v>
      </c>
      <c r="G876" t="s">
        <v>1460</v>
      </c>
      <c r="H876" t="s">
        <v>2709</v>
      </c>
      <c r="I876" t="s">
        <v>118</v>
      </c>
      <c r="J876" t="s">
        <v>119</v>
      </c>
      <c r="K876" t="s">
        <v>120</v>
      </c>
      <c r="L876" t="s">
        <v>121</v>
      </c>
      <c r="M876" t="s">
        <v>2710</v>
      </c>
      <c r="N876" s="6" t="s">
        <v>2685</v>
      </c>
      <c r="O876" t="s">
        <v>2652</v>
      </c>
      <c r="P876" t="s">
        <v>2652</v>
      </c>
      <c r="Q876" t="s">
        <v>2711</v>
      </c>
      <c r="R876" t="s">
        <v>2708</v>
      </c>
      <c r="S876">
        <v>2015</v>
      </c>
      <c r="T876" t="s">
        <v>771</v>
      </c>
      <c r="U876" t="s">
        <v>1479</v>
      </c>
      <c r="V876">
        <v>2100</v>
      </c>
      <c r="W876">
        <v>976</v>
      </c>
      <c r="X876">
        <v>180</v>
      </c>
      <c r="Y876">
        <v>0.51</v>
      </c>
      <c r="Z876">
        <v>0.23</v>
      </c>
      <c r="AA876">
        <v>200</v>
      </c>
      <c r="AB876">
        <v>0.153</v>
      </c>
      <c r="AC876">
        <v>0</v>
      </c>
      <c r="AD876">
        <v>13</v>
      </c>
      <c r="AE876">
        <v>6.1904760000000003E-3</v>
      </c>
      <c r="AF876">
        <v>200</v>
      </c>
      <c r="AG876">
        <v>0</v>
      </c>
      <c r="AH876" t="s">
        <v>2259</v>
      </c>
      <c r="AI876">
        <v>2</v>
      </c>
      <c r="AJ876">
        <v>0</v>
      </c>
      <c r="AK876">
        <v>0</v>
      </c>
      <c r="AL876">
        <v>0</v>
      </c>
      <c r="AM876" t="s">
        <v>2688</v>
      </c>
      <c r="AN876" t="s">
        <v>132</v>
      </c>
      <c r="BH876">
        <v>543</v>
      </c>
      <c r="CE87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76" s="19">
        <f>SUM(Table1[[#This Row],[Mid39]],Table1[[#This Row],[Mid36]],Table1[[#This Row],[Mid33]],Table1[[#This Row],[Mid30]],Table1[[#This Row],[Mid27]],Table1[[#This Row],[Mid24]],Table1[[#This Row],[Mid21]],Table1[[#This Row],[Mid18]],Table1[[#This Row],[Mid15]],Table1[[#This Row],[Mid12]],Table1[[#This Row],[Mid9]],Table1[[#This Row],[Mid6]],Table1[[#This Row],[Mid3]],Table1[[#This Row],[Mid]])</f>
        <v>543</v>
      </c>
      <c r="CG87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76" t="s">
        <v>157</v>
      </c>
      <c r="CI876" t="s">
        <v>134</v>
      </c>
      <c r="CJ876" t="s">
        <v>158</v>
      </c>
      <c r="CL876" s="19">
        <f>IF(Table1[[#This Row],[Type]]="Petroleum",1,IF(ISERROR(Table1[[#This Row],[Well Density]]*Table1[[#This Row],[Single Well Discovery Area]]),"",IF(Table1[[#This Row],[Well Density]]*Table1[[#This Row],[Single Well Discovery Area]]&gt;1,1,Table1[[#This Row],[Well Density]]*Table1[[#This Row],[Single Well Discovery Area]])))</f>
        <v>1</v>
      </c>
      <c r="CN876" s="19">
        <f>Table1[[#This Row],[Mid]]</f>
        <v>0</v>
      </c>
      <c r="CO876" s="19">
        <f>Table1[[#This Row],[Mid3]]+Table1[[#This Row],[Mid6]]+Table1[[#This Row],[Mid9]]</f>
        <v>0</v>
      </c>
      <c r="CP876" s="19">
        <f>Table1[[#This Row],[Mid12]]+Table1[[#This Row],[Mid15]]+Table1[[#This Row],[Mid18]]+Table1[[#This Row],[Mid21]]+Table1[[#This Row],[Mid24]]</f>
        <v>543</v>
      </c>
      <c r="CQ876" s="19">
        <f>Table1[[#This Row],[Mid27]]+Table1[[#This Row],[Mid30]]+Table1[[#This Row],[Mid33]]+Table1[[#This Row],[Mid36]]+Table1[[#This Row],[Mid39]]</f>
        <v>0</v>
      </c>
      <c r="CR876" t="s">
        <v>415</v>
      </c>
      <c r="CS876" s="19" t="str">
        <f>IF(AND(Table1[[#This Row],[Low41]]=0, Table1[[#This Row],[High43]]=0),"N","Y")</f>
        <v>N</v>
      </c>
    </row>
    <row r="877" spans="1:97" ht="19.5" customHeight="1" x14ac:dyDescent="0.25">
      <c r="A877">
        <v>10876</v>
      </c>
      <c r="B877" t="s">
        <v>2679</v>
      </c>
      <c r="C877" t="s">
        <v>2705</v>
      </c>
      <c r="D877">
        <v>55.534999999999997</v>
      </c>
      <c r="E877">
        <v>12.928333329999999</v>
      </c>
      <c r="F877" t="s">
        <v>2712</v>
      </c>
      <c r="G877" t="s">
        <v>1460</v>
      </c>
      <c r="H877" t="s">
        <v>2712</v>
      </c>
      <c r="I877" t="s">
        <v>118</v>
      </c>
      <c r="J877" t="s">
        <v>119</v>
      </c>
      <c r="K877" t="s">
        <v>120</v>
      </c>
      <c r="L877" t="s">
        <v>121</v>
      </c>
      <c r="M877" t="s">
        <v>2670</v>
      </c>
      <c r="N877" s="6" t="s">
        <v>2685</v>
      </c>
      <c r="O877" t="s">
        <v>2652</v>
      </c>
      <c r="P877" t="s">
        <v>2652</v>
      </c>
      <c r="Q877" t="s">
        <v>2713</v>
      </c>
      <c r="R877" t="s">
        <v>2708</v>
      </c>
      <c r="S877">
        <v>2015</v>
      </c>
      <c r="T877" t="s">
        <v>771</v>
      </c>
      <c r="U877" t="s">
        <v>1479</v>
      </c>
      <c r="V877">
        <v>5644</v>
      </c>
      <c r="W877">
        <v>965</v>
      </c>
      <c r="X877">
        <v>29</v>
      </c>
      <c r="Y877">
        <v>0.65</v>
      </c>
      <c r="Z877">
        <v>0.25</v>
      </c>
      <c r="AA877">
        <v>200</v>
      </c>
      <c r="AB877">
        <v>0.14899999999999999</v>
      </c>
      <c r="AC877">
        <v>0</v>
      </c>
      <c r="AD877">
        <v>22</v>
      </c>
      <c r="AE877">
        <v>3.8979449999999999E-3</v>
      </c>
      <c r="AF877">
        <v>200</v>
      </c>
      <c r="AG877">
        <v>0</v>
      </c>
      <c r="AH877" t="s">
        <v>2259</v>
      </c>
      <c r="AI877">
        <v>2</v>
      </c>
      <c r="AJ877">
        <v>0</v>
      </c>
      <c r="AK877">
        <v>0</v>
      </c>
      <c r="AL877">
        <v>0</v>
      </c>
      <c r="AM877" t="s">
        <v>2688</v>
      </c>
      <c r="AN877" t="s">
        <v>132</v>
      </c>
      <c r="BH877">
        <v>521</v>
      </c>
      <c r="CE87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77" s="19">
        <f>SUM(Table1[[#This Row],[Mid39]],Table1[[#This Row],[Mid36]],Table1[[#This Row],[Mid33]],Table1[[#This Row],[Mid30]],Table1[[#This Row],[Mid27]],Table1[[#This Row],[Mid24]],Table1[[#This Row],[Mid21]],Table1[[#This Row],[Mid18]],Table1[[#This Row],[Mid15]],Table1[[#This Row],[Mid12]],Table1[[#This Row],[Mid9]],Table1[[#This Row],[Mid6]],Table1[[#This Row],[Mid3]],Table1[[#This Row],[Mid]])</f>
        <v>521</v>
      </c>
      <c r="CG87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77" t="s">
        <v>157</v>
      </c>
      <c r="CI877" t="s">
        <v>134</v>
      </c>
      <c r="CJ877" t="s">
        <v>158</v>
      </c>
      <c r="CL877" s="19">
        <f>IF(Table1[[#This Row],[Type]]="Petroleum",1,IF(ISERROR(Table1[[#This Row],[Well Density]]*Table1[[#This Row],[Single Well Discovery Area]]),"",IF(Table1[[#This Row],[Well Density]]*Table1[[#This Row],[Single Well Discovery Area]]&gt;1,1,Table1[[#This Row],[Well Density]]*Table1[[#This Row],[Single Well Discovery Area]])))</f>
        <v>0.77958899999999998</v>
      </c>
      <c r="CN877" s="19">
        <f>Table1[[#This Row],[Mid]]</f>
        <v>0</v>
      </c>
      <c r="CO877" s="19">
        <f>Table1[[#This Row],[Mid3]]+Table1[[#This Row],[Mid6]]+Table1[[#This Row],[Mid9]]</f>
        <v>0</v>
      </c>
      <c r="CP877" s="19">
        <f>Table1[[#This Row],[Mid12]]+Table1[[#This Row],[Mid15]]+Table1[[#This Row],[Mid18]]+Table1[[#This Row],[Mid21]]+Table1[[#This Row],[Mid24]]</f>
        <v>521</v>
      </c>
      <c r="CQ877" s="19">
        <f>Table1[[#This Row],[Mid27]]+Table1[[#This Row],[Mid30]]+Table1[[#This Row],[Mid33]]+Table1[[#This Row],[Mid36]]+Table1[[#This Row],[Mid39]]</f>
        <v>0</v>
      </c>
      <c r="CR877" t="s">
        <v>415</v>
      </c>
      <c r="CS877" s="19" t="str">
        <f>IF(AND(Table1[[#This Row],[Low41]]=0, Table1[[#This Row],[High43]]=0),"N","Y")</f>
        <v>N</v>
      </c>
    </row>
    <row r="878" spans="1:97" ht="19.5" customHeight="1" x14ac:dyDescent="0.25">
      <c r="A878">
        <v>10877</v>
      </c>
      <c r="B878" t="s">
        <v>2679</v>
      </c>
      <c r="C878" t="s">
        <v>2705</v>
      </c>
      <c r="D878">
        <v>55.368611110000003</v>
      </c>
      <c r="E878">
        <v>14.03</v>
      </c>
      <c r="F878" t="s">
        <v>2714</v>
      </c>
      <c r="G878" t="s">
        <v>1460</v>
      </c>
      <c r="H878" t="s">
        <v>2714</v>
      </c>
      <c r="I878" t="s">
        <v>118</v>
      </c>
      <c r="J878" t="s">
        <v>119</v>
      </c>
      <c r="K878" t="s">
        <v>203</v>
      </c>
      <c r="L878" t="s">
        <v>121</v>
      </c>
      <c r="M878" t="s">
        <v>2670</v>
      </c>
      <c r="N878" s="6" t="s">
        <v>2685</v>
      </c>
      <c r="O878" t="s">
        <v>2652</v>
      </c>
      <c r="P878" t="s">
        <v>2652</v>
      </c>
      <c r="Q878" t="s">
        <v>2715</v>
      </c>
      <c r="R878" t="s">
        <v>2708</v>
      </c>
      <c r="S878">
        <v>2015</v>
      </c>
      <c r="T878" t="s">
        <v>771</v>
      </c>
      <c r="U878" t="s">
        <v>1479</v>
      </c>
      <c r="V878">
        <v>294</v>
      </c>
      <c r="W878">
        <v>776</v>
      </c>
      <c r="X878">
        <v>200</v>
      </c>
      <c r="Y878">
        <v>0.65</v>
      </c>
      <c r="Z878">
        <v>0.25</v>
      </c>
      <c r="AA878">
        <v>200</v>
      </c>
      <c r="AC878">
        <v>0</v>
      </c>
      <c r="AD878">
        <v>2</v>
      </c>
      <c r="AE878">
        <v>6.8027210000000003E-3</v>
      </c>
      <c r="AF878">
        <v>200</v>
      </c>
      <c r="AG878">
        <v>0</v>
      </c>
      <c r="AH878" t="s">
        <v>2259</v>
      </c>
      <c r="AI878">
        <v>2</v>
      </c>
      <c r="AJ878">
        <v>0</v>
      </c>
      <c r="AK878">
        <v>0</v>
      </c>
      <c r="AL878">
        <v>0</v>
      </c>
      <c r="AM878" t="s">
        <v>2688</v>
      </c>
      <c r="AN878" t="s">
        <v>132</v>
      </c>
      <c r="BH878">
        <v>115</v>
      </c>
      <c r="CE87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78" s="19">
        <f>SUM(Table1[[#This Row],[Mid39]],Table1[[#This Row],[Mid36]],Table1[[#This Row],[Mid33]],Table1[[#This Row],[Mid30]],Table1[[#This Row],[Mid27]],Table1[[#This Row],[Mid24]],Table1[[#This Row],[Mid21]],Table1[[#This Row],[Mid18]],Table1[[#This Row],[Mid15]],Table1[[#This Row],[Mid12]],Table1[[#This Row],[Mid9]],Table1[[#This Row],[Mid6]],Table1[[#This Row],[Mid3]],Table1[[#This Row],[Mid]])</f>
        <v>115</v>
      </c>
      <c r="CG87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78" t="s">
        <v>157</v>
      </c>
      <c r="CI878" t="s">
        <v>134</v>
      </c>
      <c r="CJ878" t="s">
        <v>158</v>
      </c>
      <c r="CL878" s="19">
        <f>IF(Table1[[#This Row],[Type]]="Petroleum",1,IF(ISERROR(Table1[[#This Row],[Well Density]]*Table1[[#This Row],[Single Well Discovery Area]]),"",IF(Table1[[#This Row],[Well Density]]*Table1[[#This Row],[Single Well Discovery Area]]&gt;1,1,Table1[[#This Row],[Well Density]]*Table1[[#This Row],[Single Well Discovery Area]])))</f>
        <v>1</v>
      </c>
      <c r="CN878" s="19">
        <f>Table1[[#This Row],[Mid]]</f>
        <v>0</v>
      </c>
      <c r="CO878" s="19">
        <f>Table1[[#This Row],[Mid3]]+Table1[[#This Row],[Mid6]]+Table1[[#This Row],[Mid9]]</f>
        <v>0</v>
      </c>
      <c r="CP878" s="19">
        <f>Table1[[#This Row],[Mid12]]+Table1[[#This Row],[Mid15]]+Table1[[#This Row],[Mid18]]+Table1[[#This Row],[Mid21]]+Table1[[#This Row],[Mid24]]</f>
        <v>115</v>
      </c>
      <c r="CQ878" s="19">
        <f>Table1[[#This Row],[Mid27]]+Table1[[#This Row],[Mid30]]+Table1[[#This Row],[Mid33]]+Table1[[#This Row],[Mid36]]+Table1[[#This Row],[Mid39]]</f>
        <v>0</v>
      </c>
      <c r="CR878" t="s">
        <v>415</v>
      </c>
      <c r="CS878" s="19" t="str">
        <f>IF(AND(Table1[[#This Row],[Low41]]=0, Table1[[#This Row],[High43]]=0),"N","Y")</f>
        <v>N</v>
      </c>
    </row>
    <row r="879" spans="1:97" ht="19.5" customHeight="1" x14ac:dyDescent="0.25">
      <c r="A879">
        <v>10878</v>
      </c>
      <c r="B879" t="s">
        <v>2679</v>
      </c>
      <c r="C879" t="s">
        <v>2705</v>
      </c>
      <c r="D879">
        <v>55.30944444</v>
      </c>
      <c r="E879">
        <v>13.349444439999999</v>
      </c>
      <c r="F879" t="s">
        <v>2716</v>
      </c>
      <c r="G879" t="s">
        <v>1460</v>
      </c>
      <c r="H879" t="s">
        <v>2716</v>
      </c>
      <c r="I879" t="s">
        <v>118</v>
      </c>
      <c r="J879" t="s">
        <v>119</v>
      </c>
      <c r="K879" t="s">
        <v>120</v>
      </c>
      <c r="L879" t="s">
        <v>261</v>
      </c>
      <c r="M879" t="s">
        <v>2717</v>
      </c>
      <c r="N879" s="6" t="s">
        <v>2694</v>
      </c>
      <c r="O879" t="s">
        <v>2652</v>
      </c>
      <c r="P879" t="s">
        <v>2718</v>
      </c>
      <c r="Q879" t="s">
        <v>2719</v>
      </c>
      <c r="R879" t="s">
        <v>2720</v>
      </c>
      <c r="S879">
        <v>2016</v>
      </c>
      <c r="T879" t="s">
        <v>771</v>
      </c>
      <c r="U879" t="s">
        <v>1479</v>
      </c>
      <c r="V879">
        <v>5200</v>
      </c>
      <c r="W879">
        <v>946</v>
      </c>
      <c r="X879">
        <v>39</v>
      </c>
      <c r="Y879">
        <v>0.8</v>
      </c>
      <c r="Z879">
        <v>0.26</v>
      </c>
      <c r="AA879">
        <v>400</v>
      </c>
      <c r="AB879">
        <v>0.126</v>
      </c>
      <c r="AC879">
        <v>0</v>
      </c>
      <c r="AD879">
        <v>24</v>
      </c>
      <c r="AE879">
        <v>4.6153849999999996E-3</v>
      </c>
      <c r="AF879">
        <v>200</v>
      </c>
      <c r="AG879">
        <v>0</v>
      </c>
      <c r="AH879" t="s">
        <v>1612</v>
      </c>
      <c r="AI879" t="s">
        <v>2447</v>
      </c>
      <c r="AJ879">
        <v>0</v>
      </c>
      <c r="AK879">
        <v>0</v>
      </c>
      <c r="AL879">
        <v>0</v>
      </c>
      <c r="AM879" t="s">
        <v>2698</v>
      </c>
      <c r="AN879" t="s">
        <v>132</v>
      </c>
      <c r="BH879">
        <v>200</v>
      </c>
      <c r="BK879">
        <v>0</v>
      </c>
      <c r="BN879">
        <v>0</v>
      </c>
      <c r="BQ879">
        <v>200</v>
      </c>
      <c r="CE87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79" s="19">
        <f>SUM(Table1[[#This Row],[Mid39]],Table1[[#This Row],[Mid36]],Table1[[#This Row],[Mid33]],Table1[[#This Row],[Mid30]],Table1[[#This Row],[Mid27]],Table1[[#This Row],[Mid24]],Table1[[#This Row],[Mid21]],Table1[[#This Row],[Mid18]],Table1[[#This Row],[Mid15]],Table1[[#This Row],[Mid12]],Table1[[#This Row],[Mid9]],Table1[[#This Row],[Mid6]],Table1[[#This Row],[Mid3]],Table1[[#This Row],[Mid]])</f>
        <v>400</v>
      </c>
      <c r="CG87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79" t="s">
        <v>157</v>
      </c>
      <c r="CI879" t="s">
        <v>134</v>
      </c>
      <c r="CJ879" t="s">
        <v>158</v>
      </c>
      <c r="CL879" s="19">
        <f>IF(Table1[[#This Row],[Type]]="Petroleum",1,IF(ISERROR(Table1[[#This Row],[Well Density]]*Table1[[#This Row],[Single Well Discovery Area]]),"",IF(Table1[[#This Row],[Well Density]]*Table1[[#This Row],[Single Well Discovery Area]]&gt;1,1,Table1[[#This Row],[Well Density]]*Table1[[#This Row],[Single Well Discovery Area]])))</f>
        <v>0.92307699999999993</v>
      </c>
      <c r="CN879" s="19">
        <f>Table1[[#This Row],[Mid]]</f>
        <v>0</v>
      </c>
      <c r="CO879" s="19">
        <f>Table1[[#This Row],[Mid3]]+Table1[[#This Row],[Mid6]]+Table1[[#This Row],[Mid9]]</f>
        <v>0</v>
      </c>
      <c r="CP879" s="19">
        <f>Table1[[#This Row],[Mid12]]+Table1[[#This Row],[Mid15]]+Table1[[#This Row],[Mid18]]+Table1[[#This Row],[Mid21]]+Table1[[#This Row],[Mid24]]</f>
        <v>200</v>
      </c>
      <c r="CQ879" s="19">
        <f>Table1[[#This Row],[Mid27]]+Table1[[#This Row],[Mid30]]+Table1[[#This Row],[Mid33]]+Table1[[#This Row],[Mid36]]+Table1[[#This Row],[Mid39]]</f>
        <v>200</v>
      </c>
      <c r="CR879" t="s">
        <v>415</v>
      </c>
      <c r="CS879" s="19" t="str">
        <f>IF(AND(Table1[[#This Row],[Low41]]=0, Table1[[#This Row],[High43]]=0),"N","Y")</f>
        <v>N</v>
      </c>
    </row>
    <row r="880" spans="1:97" ht="19.5" customHeight="1" x14ac:dyDescent="0.25">
      <c r="A880">
        <v>10879</v>
      </c>
      <c r="B880" t="s">
        <v>2679</v>
      </c>
      <c r="C880" t="s">
        <v>2721</v>
      </c>
      <c r="D880">
        <v>56.521944439999999</v>
      </c>
      <c r="E880">
        <v>12.613611110000001</v>
      </c>
      <c r="F880" t="s">
        <v>2722</v>
      </c>
      <c r="G880" t="s">
        <v>1460</v>
      </c>
      <c r="H880" t="s">
        <v>2722</v>
      </c>
      <c r="I880" t="s">
        <v>118</v>
      </c>
      <c r="J880" t="s">
        <v>119</v>
      </c>
      <c r="K880" t="s">
        <v>203</v>
      </c>
      <c r="L880" t="s">
        <v>18</v>
      </c>
      <c r="M880" t="s">
        <v>2710</v>
      </c>
      <c r="N880" s="6" t="s">
        <v>2723</v>
      </c>
      <c r="O880" t="s">
        <v>2652</v>
      </c>
      <c r="P880" t="s">
        <v>2652</v>
      </c>
      <c r="Q880" t="s">
        <v>2724</v>
      </c>
      <c r="R880" t="s">
        <v>2725</v>
      </c>
      <c r="S880">
        <v>2013</v>
      </c>
      <c r="T880" t="s">
        <v>771</v>
      </c>
      <c r="U880" t="s">
        <v>1479</v>
      </c>
      <c r="V880">
        <v>2550</v>
      </c>
      <c r="W880">
        <v>1500</v>
      </c>
      <c r="X880">
        <v>50</v>
      </c>
      <c r="Z880">
        <v>0.25</v>
      </c>
      <c r="AC880">
        <v>0</v>
      </c>
      <c r="AD880">
        <v>0</v>
      </c>
      <c r="AE880">
        <v>0</v>
      </c>
      <c r="AF880">
        <v>200</v>
      </c>
      <c r="AG880">
        <v>0</v>
      </c>
      <c r="AH880" t="s">
        <v>2259</v>
      </c>
      <c r="AI880" t="s">
        <v>2447</v>
      </c>
      <c r="AJ880">
        <v>0</v>
      </c>
      <c r="AK880">
        <v>0</v>
      </c>
      <c r="AL880">
        <v>0</v>
      </c>
      <c r="AM880" t="s">
        <v>2688</v>
      </c>
      <c r="AN880" t="s">
        <v>132</v>
      </c>
      <c r="BV880">
        <v>80</v>
      </c>
      <c r="BW880">
        <v>115</v>
      </c>
      <c r="BX880">
        <v>150</v>
      </c>
      <c r="CE880" s="19">
        <f>SUM(Table1[[#This Row],[Low38]],Table1[[#This Row],[Low35]],Table1[[#This Row],[Low32]],Table1[[#This Row],[Low29]],Table1[[#This Row],[Low26]],Table1[[#This Row],[Low23]],Table1[[#This Row],[Low20]],Table1[[#This Row],[Low17]],Table1[[#This Row],[Low14]],Table1[[#This Row],[Low11]],Table1[[#This Row],[Low8]],Table1[[#This Row],[Low5]],Table1[[#This Row],[Low2]],Table1[[#This Row],[Low]])</f>
        <v>80</v>
      </c>
      <c r="CF880" s="19">
        <f>SUM(Table1[[#This Row],[Mid39]],Table1[[#This Row],[Mid36]],Table1[[#This Row],[Mid33]],Table1[[#This Row],[Mid30]],Table1[[#This Row],[Mid27]],Table1[[#This Row],[Mid24]],Table1[[#This Row],[Mid21]],Table1[[#This Row],[Mid18]],Table1[[#This Row],[Mid15]],Table1[[#This Row],[Mid12]],Table1[[#This Row],[Mid9]],Table1[[#This Row],[Mid6]],Table1[[#This Row],[Mid3]],Table1[[#This Row],[Mid]])</f>
        <v>115</v>
      </c>
      <c r="CG88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150</v>
      </c>
      <c r="CH880" t="s">
        <v>157</v>
      </c>
      <c r="CI880" t="s">
        <v>134</v>
      </c>
      <c r="CJ880" t="s">
        <v>158</v>
      </c>
      <c r="CL880" s="19">
        <f>IF(Table1[[#This Row],[Type]]="Petroleum",1,IF(ISERROR(Table1[[#This Row],[Well Density]]*Table1[[#This Row],[Single Well Discovery Area]]),"",IF(Table1[[#This Row],[Well Density]]*Table1[[#This Row],[Single Well Discovery Area]]&gt;1,1,Table1[[#This Row],[Well Density]]*Table1[[#This Row],[Single Well Discovery Area]])))</f>
        <v>0</v>
      </c>
      <c r="CN880" s="19">
        <f>Table1[[#This Row],[Mid]]</f>
        <v>0</v>
      </c>
      <c r="CO880" s="19">
        <f>Table1[[#This Row],[Mid3]]+Table1[[#This Row],[Mid6]]+Table1[[#This Row],[Mid9]]</f>
        <v>0</v>
      </c>
      <c r="CP880" s="19">
        <f>Table1[[#This Row],[Mid12]]+Table1[[#This Row],[Mid15]]+Table1[[#This Row],[Mid18]]+Table1[[#This Row],[Mid21]]+Table1[[#This Row],[Mid24]]</f>
        <v>0</v>
      </c>
      <c r="CQ880" s="19">
        <f>Table1[[#This Row],[Mid27]]+Table1[[#This Row],[Mid30]]+Table1[[#This Row],[Mid33]]+Table1[[#This Row],[Mid36]]+Table1[[#This Row],[Mid39]]</f>
        <v>115</v>
      </c>
      <c r="CR880" t="s">
        <v>415</v>
      </c>
      <c r="CS880" s="19" t="str">
        <f>IF(AND(Table1[[#This Row],[Low41]]=0, Table1[[#This Row],[High43]]=0),"N","Y")</f>
        <v>Y</v>
      </c>
    </row>
    <row r="881" spans="1:97" ht="19.5" customHeight="1" x14ac:dyDescent="0.25">
      <c r="A881">
        <v>10880</v>
      </c>
      <c r="B881" t="s">
        <v>2726</v>
      </c>
      <c r="C881" t="s">
        <v>2727</v>
      </c>
      <c r="D881">
        <v>40.797499999999999</v>
      </c>
      <c r="E881">
        <v>24.43527778</v>
      </c>
      <c r="F881" t="s">
        <v>2728</v>
      </c>
      <c r="G881" t="s">
        <v>2729</v>
      </c>
      <c r="H881" t="s">
        <v>2730</v>
      </c>
      <c r="I881" t="s">
        <v>1648</v>
      </c>
      <c r="J881" t="s">
        <v>202</v>
      </c>
      <c r="K881" t="s">
        <v>203</v>
      </c>
      <c r="L881" t="s">
        <v>121</v>
      </c>
      <c r="M881" t="s">
        <v>2731</v>
      </c>
      <c r="N881" s="6" t="s">
        <v>2732</v>
      </c>
      <c r="O881" t="s">
        <v>2733</v>
      </c>
      <c r="P881" t="s">
        <v>2734</v>
      </c>
      <c r="Q881" t="s">
        <v>2735</v>
      </c>
      <c r="R881" t="s">
        <v>2736</v>
      </c>
      <c r="S881">
        <v>2023</v>
      </c>
      <c r="T881" t="s">
        <v>771</v>
      </c>
      <c r="U881" t="s">
        <v>1479</v>
      </c>
      <c r="V881"/>
      <c r="W881">
        <v>2250</v>
      </c>
      <c r="X881">
        <v>260</v>
      </c>
      <c r="Z881">
        <v>17</v>
      </c>
      <c r="AA881">
        <v>50</v>
      </c>
      <c r="AD881">
        <v>20</v>
      </c>
      <c r="AF881">
        <v>200</v>
      </c>
      <c r="AH881" t="s">
        <v>1612</v>
      </c>
      <c r="AI881" t="s">
        <v>2447</v>
      </c>
      <c r="AN881" t="s">
        <v>132</v>
      </c>
      <c r="BE881">
        <v>0</v>
      </c>
      <c r="BK881">
        <v>75</v>
      </c>
      <c r="CE88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81" s="19">
        <f>SUM(Table1[[#This Row],[Mid39]],Table1[[#This Row],[Mid36]],Table1[[#This Row],[Mid33]],Table1[[#This Row],[Mid30]],Table1[[#This Row],[Mid27]],Table1[[#This Row],[Mid24]],Table1[[#This Row],[Mid21]],Table1[[#This Row],[Mid18]],Table1[[#This Row],[Mid15]],Table1[[#This Row],[Mid12]],Table1[[#This Row],[Mid9]],Table1[[#This Row],[Mid6]],Table1[[#This Row],[Mid3]],Table1[[#This Row],[Mid]])</f>
        <v>75</v>
      </c>
      <c r="CG88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81" t="s">
        <v>157</v>
      </c>
      <c r="CI881" t="s">
        <v>134</v>
      </c>
      <c r="CJ881" t="s">
        <v>135</v>
      </c>
      <c r="CL881" s="19">
        <f>IF(Table1[[#This Row],[Type]]="Petroleum",1,IF(ISERROR(Table1[[#This Row],[Well Density]]*Table1[[#This Row],[Single Well Discovery Area]]),"",IF(Table1[[#This Row],[Well Density]]*Table1[[#This Row],[Single Well Discovery Area]]&gt;1,1,Table1[[#This Row],[Well Density]]*Table1[[#This Row],[Single Well Discovery Area]])))</f>
        <v>1</v>
      </c>
      <c r="CN881" s="19">
        <f>Table1[[#This Row],[Mid]]</f>
        <v>0</v>
      </c>
      <c r="CO881" s="19">
        <f>Table1[[#This Row],[Mid3]]+Table1[[#This Row],[Mid6]]+Table1[[#This Row],[Mid9]]</f>
        <v>0</v>
      </c>
      <c r="CP881" s="19">
        <f>Table1[[#This Row],[Mid12]]+Table1[[#This Row],[Mid15]]+Table1[[#This Row],[Mid18]]+Table1[[#This Row],[Mid21]]+Table1[[#This Row],[Mid24]]</f>
        <v>75</v>
      </c>
      <c r="CQ881" s="19">
        <f>Table1[[#This Row],[Mid27]]+Table1[[#This Row],[Mid30]]+Table1[[#This Row],[Mid33]]+Table1[[#This Row],[Mid36]]+Table1[[#This Row],[Mid39]]</f>
        <v>0</v>
      </c>
      <c r="CR881" t="s">
        <v>415</v>
      </c>
      <c r="CS881" s="19" t="str">
        <f>IF(AND(Table1[[#This Row],[Low41]]=0, Table1[[#This Row],[High43]]=0),"N","Y")</f>
        <v>N</v>
      </c>
    </row>
    <row r="882" spans="1:97" ht="19.5" customHeight="1" x14ac:dyDescent="0.25">
      <c r="A882">
        <v>10881</v>
      </c>
      <c r="B882" t="s">
        <v>2726</v>
      </c>
      <c r="C882" t="s">
        <v>2737</v>
      </c>
      <c r="D882">
        <v>40.115833330000001</v>
      </c>
      <c r="E882">
        <v>21.170277779999999</v>
      </c>
      <c r="F882" t="s">
        <v>2738</v>
      </c>
      <c r="G882" t="s">
        <v>2739</v>
      </c>
      <c r="H882" t="s">
        <v>2740</v>
      </c>
      <c r="I882" t="s">
        <v>118</v>
      </c>
      <c r="J882" t="s">
        <v>119</v>
      </c>
      <c r="K882" t="s">
        <v>203</v>
      </c>
      <c r="L882" t="s">
        <v>18</v>
      </c>
      <c r="M882" t="s">
        <v>2741</v>
      </c>
      <c r="N882" s="6" t="s">
        <v>2742</v>
      </c>
      <c r="O882" t="s">
        <v>2652</v>
      </c>
      <c r="P882" t="s">
        <v>2652</v>
      </c>
      <c r="Q882" t="s">
        <v>2743</v>
      </c>
      <c r="R882" t="s">
        <v>2744</v>
      </c>
      <c r="S882">
        <v>2021</v>
      </c>
      <c r="T882" t="s">
        <v>771</v>
      </c>
      <c r="U882" t="s">
        <v>1479</v>
      </c>
      <c r="V882">
        <v>400</v>
      </c>
      <c r="W882">
        <v>1500</v>
      </c>
      <c r="X882">
        <v>1100</v>
      </c>
      <c r="Y882">
        <v>0.4</v>
      </c>
      <c r="Z882">
        <v>12</v>
      </c>
      <c r="AA882">
        <v>0</v>
      </c>
      <c r="AB882">
        <v>0</v>
      </c>
      <c r="AC882">
        <v>603</v>
      </c>
      <c r="AD882">
        <v>0</v>
      </c>
      <c r="AE882">
        <v>0</v>
      </c>
      <c r="AF882">
        <v>200</v>
      </c>
      <c r="AG882">
        <v>0</v>
      </c>
      <c r="AH882" t="s">
        <v>2259</v>
      </c>
      <c r="AI882">
        <v>1.5</v>
      </c>
      <c r="AJ882">
        <v>0</v>
      </c>
      <c r="AK882">
        <v>0</v>
      </c>
      <c r="AL882">
        <v>0</v>
      </c>
      <c r="AM882" t="s">
        <v>2745</v>
      </c>
      <c r="AN882" t="s">
        <v>132</v>
      </c>
      <c r="AO882">
        <v>0</v>
      </c>
      <c r="AP882">
        <v>0</v>
      </c>
      <c r="AQ882">
        <v>0</v>
      </c>
      <c r="AR882">
        <v>0</v>
      </c>
      <c r="AS882">
        <v>0</v>
      </c>
      <c r="AT882">
        <v>0</v>
      </c>
      <c r="AU882">
        <v>0</v>
      </c>
      <c r="AV882">
        <v>0</v>
      </c>
      <c r="AW882">
        <v>0</v>
      </c>
      <c r="AX882">
        <v>0</v>
      </c>
      <c r="AY882">
        <v>0</v>
      </c>
      <c r="AZ882">
        <v>0</v>
      </c>
      <c r="BA882">
        <v>0</v>
      </c>
      <c r="BB882">
        <v>0</v>
      </c>
      <c r="BC882">
        <v>0</v>
      </c>
      <c r="BD882">
        <v>0</v>
      </c>
      <c r="BE882">
        <v>0</v>
      </c>
      <c r="BF882">
        <v>0</v>
      </c>
      <c r="BG882">
        <v>0</v>
      </c>
      <c r="BH882">
        <v>32</v>
      </c>
      <c r="BI882">
        <v>0</v>
      </c>
      <c r="BJ882">
        <v>0</v>
      </c>
      <c r="BK882">
        <v>0</v>
      </c>
      <c r="BL882">
        <v>0</v>
      </c>
      <c r="BM882">
        <v>0</v>
      </c>
      <c r="BN882">
        <v>0</v>
      </c>
      <c r="BO882">
        <v>0</v>
      </c>
      <c r="BP882">
        <v>0</v>
      </c>
      <c r="BQ882">
        <v>0</v>
      </c>
      <c r="BR882">
        <v>0</v>
      </c>
      <c r="BS882">
        <v>0</v>
      </c>
      <c r="BT882">
        <v>0</v>
      </c>
      <c r="BU882">
        <v>0</v>
      </c>
      <c r="BV882">
        <v>125</v>
      </c>
      <c r="BW882">
        <v>215</v>
      </c>
      <c r="BX882">
        <v>394</v>
      </c>
      <c r="BY882">
        <v>0</v>
      </c>
      <c r="BZ882">
        <v>0</v>
      </c>
      <c r="CA882">
        <v>0</v>
      </c>
      <c r="CB882">
        <v>0</v>
      </c>
      <c r="CC882">
        <v>0</v>
      </c>
      <c r="CD882">
        <v>0</v>
      </c>
      <c r="CE882" s="19">
        <f>SUM(Table1[[#This Row],[Low38]],Table1[[#This Row],[Low35]],Table1[[#This Row],[Low32]],Table1[[#This Row],[Low29]],Table1[[#This Row],[Low26]],Table1[[#This Row],[Low23]],Table1[[#This Row],[Low20]],Table1[[#This Row],[Low17]],Table1[[#This Row],[Low14]],Table1[[#This Row],[Low11]],Table1[[#This Row],[Low8]],Table1[[#This Row],[Low5]],Table1[[#This Row],[Low2]],Table1[[#This Row],[Low]])</f>
        <v>125</v>
      </c>
      <c r="CF882" s="19">
        <f>SUM(Table1[[#This Row],[Mid39]],Table1[[#This Row],[Mid36]],Table1[[#This Row],[Mid33]],Table1[[#This Row],[Mid30]],Table1[[#This Row],[Mid27]],Table1[[#This Row],[Mid24]],Table1[[#This Row],[Mid21]],Table1[[#This Row],[Mid18]],Table1[[#This Row],[Mid15]],Table1[[#This Row],[Mid12]],Table1[[#This Row],[Mid9]],Table1[[#This Row],[Mid6]],Table1[[#This Row],[Mid3]],Table1[[#This Row],[Mid]])</f>
        <v>247</v>
      </c>
      <c r="CG88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394</v>
      </c>
      <c r="CH882" t="s">
        <v>157</v>
      </c>
      <c r="CI882" t="s">
        <v>134</v>
      </c>
      <c r="CJ882" t="s">
        <v>158</v>
      </c>
      <c r="CL882" s="19">
        <f>IF(Table1[[#This Row],[Type]]="Petroleum",1,IF(ISERROR(Table1[[#This Row],[Well Density]]*Table1[[#This Row],[Single Well Discovery Area]]),"",IF(Table1[[#This Row],[Well Density]]*Table1[[#This Row],[Single Well Discovery Area]]&gt;1,1,Table1[[#This Row],[Well Density]]*Table1[[#This Row],[Single Well Discovery Area]])))</f>
        <v>0</v>
      </c>
      <c r="CN882" s="19">
        <f>Table1[[#This Row],[Mid]]</f>
        <v>0</v>
      </c>
      <c r="CO882" s="19">
        <f>Table1[[#This Row],[Mid3]]+Table1[[#This Row],[Mid6]]+Table1[[#This Row],[Mid9]]</f>
        <v>0</v>
      </c>
      <c r="CP882" s="19">
        <f>Table1[[#This Row],[Mid12]]+Table1[[#This Row],[Mid15]]+Table1[[#This Row],[Mid18]]+Table1[[#This Row],[Mid21]]+Table1[[#This Row],[Mid24]]</f>
        <v>32</v>
      </c>
      <c r="CQ882" s="19">
        <f>Table1[[#This Row],[Mid27]]+Table1[[#This Row],[Mid30]]+Table1[[#This Row],[Mid33]]+Table1[[#This Row],[Mid36]]+Table1[[#This Row],[Mid39]]</f>
        <v>215</v>
      </c>
      <c r="CR882" t="s">
        <v>415</v>
      </c>
      <c r="CS882" s="19" t="str">
        <f>IF(AND(Table1[[#This Row],[Low41]]=0, Table1[[#This Row],[High43]]=0),"N","Y")</f>
        <v>Y</v>
      </c>
    </row>
    <row r="883" spans="1:97" ht="19.5" customHeight="1" x14ac:dyDescent="0.25">
      <c r="A883">
        <v>10882</v>
      </c>
      <c r="B883" t="s">
        <v>2726</v>
      </c>
      <c r="C883" t="s">
        <v>2737</v>
      </c>
      <c r="D883">
        <v>40.115833330000001</v>
      </c>
      <c r="E883">
        <v>21.170277779999999</v>
      </c>
      <c r="F883" t="s">
        <v>2746</v>
      </c>
      <c r="G883" t="s">
        <v>2739</v>
      </c>
      <c r="H883" t="s">
        <v>2747</v>
      </c>
      <c r="I883" t="s">
        <v>118</v>
      </c>
      <c r="J883" t="s">
        <v>119</v>
      </c>
      <c r="K883" t="s">
        <v>203</v>
      </c>
      <c r="L883" t="s">
        <v>18</v>
      </c>
      <c r="M883" t="s">
        <v>2731</v>
      </c>
      <c r="N883" s="6" t="s">
        <v>2742</v>
      </c>
      <c r="O883" t="s">
        <v>2652</v>
      </c>
      <c r="P883" t="s">
        <v>2652</v>
      </c>
      <c r="Q883" t="s">
        <v>2743</v>
      </c>
      <c r="R883" t="s">
        <v>2744</v>
      </c>
      <c r="S883">
        <v>2021</v>
      </c>
      <c r="T883" t="s">
        <v>771</v>
      </c>
      <c r="U883" t="s">
        <v>1479</v>
      </c>
      <c r="V883">
        <v>1147</v>
      </c>
      <c r="W883">
        <v>1500</v>
      </c>
      <c r="X883">
        <v>2500</v>
      </c>
      <c r="Y883">
        <v>0.4</v>
      </c>
      <c r="Z883">
        <v>16</v>
      </c>
      <c r="AA883">
        <v>0</v>
      </c>
      <c r="AB883">
        <v>0</v>
      </c>
      <c r="AC883">
        <v>594</v>
      </c>
      <c r="AD883">
        <v>0</v>
      </c>
      <c r="AE883">
        <v>0</v>
      </c>
      <c r="AF883">
        <v>200</v>
      </c>
      <c r="AG883">
        <v>0</v>
      </c>
      <c r="AH883" t="s">
        <v>2259</v>
      </c>
      <c r="AI883">
        <v>1.5</v>
      </c>
      <c r="AJ883">
        <v>0</v>
      </c>
      <c r="AK883">
        <v>0</v>
      </c>
      <c r="AL883">
        <v>0</v>
      </c>
      <c r="AM883" t="s">
        <v>2745</v>
      </c>
      <c r="AN883" t="s">
        <v>132</v>
      </c>
      <c r="AO883">
        <v>0</v>
      </c>
      <c r="AP883">
        <v>0</v>
      </c>
      <c r="AQ883">
        <v>0</v>
      </c>
      <c r="AR883">
        <v>0</v>
      </c>
      <c r="AS883">
        <v>0</v>
      </c>
      <c r="AT883">
        <v>0</v>
      </c>
      <c r="AU883">
        <v>0</v>
      </c>
      <c r="AV883">
        <v>0</v>
      </c>
      <c r="AW883">
        <v>0</v>
      </c>
      <c r="AX883">
        <v>0</v>
      </c>
      <c r="AY883">
        <v>0</v>
      </c>
      <c r="AZ883">
        <v>0</v>
      </c>
      <c r="BA883">
        <v>0</v>
      </c>
      <c r="BB883">
        <v>0</v>
      </c>
      <c r="BC883">
        <v>0</v>
      </c>
      <c r="BD883">
        <v>0</v>
      </c>
      <c r="BE883">
        <v>0</v>
      </c>
      <c r="BF883">
        <v>0</v>
      </c>
      <c r="BG883">
        <v>0</v>
      </c>
      <c r="BH883">
        <v>0</v>
      </c>
      <c r="BI883">
        <v>0</v>
      </c>
      <c r="BJ883">
        <v>0</v>
      </c>
      <c r="BK883">
        <v>0</v>
      </c>
      <c r="BL883">
        <v>0</v>
      </c>
      <c r="BM883">
        <v>0</v>
      </c>
      <c r="BN883">
        <v>0</v>
      </c>
      <c r="BO883">
        <v>0</v>
      </c>
      <c r="BP883">
        <v>0</v>
      </c>
      <c r="BQ883">
        <v>0</v>
      </c>
      <c r="BR883">
        <v>0</v>
      </c>
      <c r="BS883">
        <v>0</v>
      </c>
      <c r="BT883">
        <v>0</v>
      </c>
      <c r="BU883">
        <v>0</v>
      </c>
      <c r="BV883">
        <v>854</v>
      </c>
      <c r="BW883">
        <v>1680</v>
      </c>
      <c r="BX883">
        <v>3051</v>
      </c>
      <c r="BY883">
        <v>0</v>
      </c>
      <c r="BZ883">
        <v>0</v>
      </c>
      <c r="CA883">
        <v>0</v>
      </c>
      <c r="CB883">
        <v>0</v>
      </c>
      <c r="CC883">
        <v>0</v>
      </c>
      <c r="CD883">
        <v>0</v>
      </c>
      <c r="CE883" s="19">
        <f>SUM(Table1[[#This Row],[Low38]],Table1[[#This Row],[Low35]],Table1[[#This Row],[Low32]],Table1[[#This Row],[Low29]],Table1[[#This Row],[Low26]],Table1[[#This Row],[Low23]],Table1[[#This Row],[Low20]],Table1[[#This Row],[Low17]],Table1[[#This Row],[Low14]],Table1[[#This Row],[Low11]],Table1[[#This Row],[Low8]],Table1[[#This Row],[Low5]],Table1[[#This Row],[Low2]],Table1[[#This Row],[Low]])</f>
        <v>854</v>
      </c>
      <c r="CF883" s="19">
        <f>SUM(Table1[[#This Row],[Mid39]],Table1[[#This Row],[Mid36]],Table1[[#This Row],[Mid33]],Table1[[#This Row],[Mid30]],Table1[[#This Row],[Mid27]],Table1[[#This Row],[Mid24]],Table1[[#This Row],[Mid21]],Table1[[#This Row],[Mid18]],Table1[[#This Row],[Mid15]],Table1[[#This Row],[Mid12]],Table1[[#This Row],[Mid9]],Table1[[#This Row],[Mid6]],Table1[[#This Row],[Mid3]],Table1[[#This Row],[Mid]])</f>
        <v>1680</v>
      </c>
      <c r="CG88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3051</v>
      </c>
      <c r="CH883" t="s">
        <v>157</v>
      </c>
      <c r="CI883" t="s">
        <v>134</v>
      </c>
      <c r="CJ883" t="s">
        <v>158</v>
      </c>
      <c r="CL883" s="19">
        <f>IF(Table1[[#This Row],[Type]]="Petroleum",1,IF(ISERROR(Table1[[#This Row],[Well Density]]*Table1[[#This Row],[Single Well Discovery Area]]),"",IF(Table1[[#This Row],[Well Density]]*Table1[[#This Row],[Single Well Discovery Area]]&gt;1,1,Table1[[#This Row],[Well Density]]*Table1[[#This Row],[Single Well Discovery Area]])))</f>
        <v>0</v>
      </c>
      <c r="CN883" s="19">
        <f>Table1[[#This Row],[Mid]]</f>
        <v>0</v>
      </c>
      <c r="CO883" s="19">
        <f>Table1[[#This Row],[Mid3]]+Table1[[#This Row],[Mid6]]+Table1[[#This Row],[Mid9]]</f>
        <v>0</v>
      </c>
      <c r="CP883" s="19">
        <f>Table1[[#This Row],[Mid12]]+Table1[[#This Row],[Mid15]]+Table1[[#This Row],[Mid18]]+Table1[[#This Row],[Mid21]]+Table1[[#This Row],[Mid24]]</f>
        <v>0</v>
      </c>
      <c r="CQ883" s="19">
        <f>Table1[[#This Row],[Mid27]]+Table1[[#This Row],[Mid30]]+Table1[[#This Row],[Mid33]]+Table1[[#This Row],[Mid36]]+Table1[[#This Row],[Mid39]]</f>
        <v>1680</v>
      </c>
      <c r="CR883" t="s">
        <v>415</v>
      </c>
      <c r="CS883" s="19" t="str">
        <f>IF(AND(Table1[[#This Row],[Low41]]=0, Table1[[#This Row],[High43]]=0),"N","Y")</f>
        <v>Y</v>
      </c>
    </row>
    <row r="884" spans="1:97" ht="19.5" customHeight="1" x14ac:dyDescent="0.25">
      <c r="A884">
        <v>10883</v>
      </c>
      <c r="B884" t="s">
        <v>2726</v>
      </c>
      <c r="C884" t="s">
        <v>2748</v>
      </c>
      <c r="D884">
        <v>40.814444440000003</v>
      </c>
      <c r="E884">
        <v>22.527222219999999</v>
      </c>
      <c r="F884" t="s">
        <v>2749</v>
      </c>
      <c r="G884" t="s">
        <v>2729</v>
      </c>
      <c r="H884" t="s">
        <v>167</v>
      </c>
      <c r="I884" t="s">
        <v>118</v>
      </c>
      <c r="J884" t="s">
        <v>119</v>
      </c>
      <c r="K884" t="s">
        <v>203</v>
      </c>
      <c r="L884" t="s">
        <v>18</v>
      </c>
      <c r="M884" t="s">
        <v>2750</v>
      </c>
      <c r="N884" s="6" t="s">
        <v>2751</v>
      </c>
      <c r="O884" t="s">
        <v>2652</v>
      </c>
      <c r="P884" t="s">
        <v>2652</v>
      </c>
      <c r="Q884" t="s">
        <v>2752</v>
      </c>
      <c r="R884" t="s">
        <v>2753</v>
      </c>
      <c r="S884">
        <v>2010</v>
      </c>
      <c r="T884" t="s">
        <v>771</v>
      </c>
      <c r="U884" t="s">
        <v>1479</v>
      </c>
      <c r="V884">
        <v>4200</v>
      </c>
      <c r="W884">
        <v>2400</v>
      </c>
      <c r="X884">
        <v>145</v>
      </c>
      <c r="Y884">
        <v>0</v>
      </c>
      <c r="Z884">
        <v>10</v>
      </c>
      <c r="AA884">
        <v>60</v>
      </c>
      <c r="AB884">
        <v>0</v>
      </c>
      <c r="AC884">
        <v>0</v>
      </c>
      <c r="AD884">
        <v>0</v>
      </c>
      <c r="AE884">
        <v>0</v>
      </c>
      <c r="AF884">
        <v>200</v>
      </c>
      <c r="AG884">
        <v>0</v>
      </c>
      <c r="AH884" t="s">
        <v>2259</v>
      </c>
      <c r="AI884">
        <v>0</v>
      </c>
      <c r="AJ884">
        <v>0</v>
      </c>
      <c r="AK884">
        <v>0</v>
      </c>
      <c r="AL884">
        <v>0</v>
      </c>
      <c r="AM884" t="s">
        <v>2754</v>
      </c>
      <c r="AN884" t="s">
        <v>132</v>
      </c>
      <c r="AO884">
        <v>0</v>
      </c>
      <c r="AP884">
        <v>0</v>
      </c>
      <c r="AQ884">
        <v>0</v>
      </c>
      <c r="AR884">
        <v>0</v>
      </c>
      <c r="AS884">
        <v>0</v>
      </c>
      <c r="AT884">
        <v>0</v>
      </c>
      <c r="AU884">
        <v>0</v>
      </c>
      <c r="AV884">
        <v>0</v>
      </c>
      <c r="AW884">
        <v>0</v>
      </c>
      <c r="AX884">
        <v>0</v>
      </c>
      <c r="AY884">
        <v>0</v>
      </c>
      <c r="AZ884">
        <v>0</v>
      </c>
      <c r="BA884">
        <v>0</v>
      </c>
      <c r="BB884">
        <v>0</v>
      </c>
      <c r="BC884">
        <v>0</v>
      </c>
      <c r="BD884">
        <v>0</v>
      </c>
      <c r="BE884">
        <v>0</v>
      </c>
      <c r="BF884">
        <v>0</v>
      </c>
      <c r="BG884">
        <v>0</v>
      </c>
      <c r="BH884">
        <v>0</v>
      </c>
      <c r="BI884">
        <v>0</v>
      </c>
      <c r="BJ884">
        <v>0</v>
      </c>
      <c r="BK884">
        <v>0</v>
      </c>
      <c r="BL884">
        <v>0</v>
      </c>
      <c r="BM884">
        <v>0</v>
      </c>
      <c r="BN884">
        <v>0</v>
      </c>
      <c r="BO884">
        <v>0</v>
      </c>
      <c r="BP884">
        <v>0</v>
      </c>
      <c r="BQ884">
        <v>0</v>
      </c>
      <c r="BR884">
        <v>0</v>
      </c>
      <c r="BS884">
        <v>0</v>
      </c>
      <c r="BT884">
        <v>0</v>
      </c>
      <c r="BU884">
        <v>0</v>
      </c>
      <c r="BV884">
        <v>0</v>
      </c>
      <c r="BW884">
        <v>145</v>
      </c>
      <c r="BX884">
        <v>0</v>
      </c>
      <c r="BY884">
        <v>0</v>
      </c>
      <c r="BZ884">
        <v>0</v>
      </c>
      <c r="CA884">
        <v>0</v>
      </c>
      <c r="CB884">
        <v>0</v>
      </c>
      <c r="CC884">
        <v>0</v>
      </c>
      <c r="CD884">
        <v>0</v>
      </c>
      <c r="CE88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84" s="19">
        <f>SUM(Table1[[#This Row],[Mid39]],Table1[[#This Row],[Mid36]],Table1[[#This Row],[Mid33]],Table1[[#This Row],[Mid30]],Table1[[#This Row],[Mid27]],Table1[[#This Row],[Mid24]],Table1[[#This Row],[Mid21]],Table1[[#This Row],[Mid18]],Table1[[#This Row],[Mid15]],Table1[[#This Row],[Mid12]],Table1[[#This Row],[Mid9]],Table1[[#This Row],[Mid6]],Table1[[#This Row],[Mid3]],Table1[[#This Row],[Mid]])</f>
        <v>145</v>
      </c>
      <c r="CG88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84" t="s">
        <v>157</v>
      </c>
      <c r="CI884" t="s">
        <v>134</v>
      </c>
      <c r="CJ884" t="s">
        <v>158</v>
      </c>
      <c r="CL884" s="19">
        <f>IF(Table1[[#This Row],[Type]]="Petroleum",1,IF(ISERROR(Table1[[#This Row],[Well Density]]*Table1[[#This Row],[Single Well Discovery Area]]),"",IF(Table1[[#This Row],[Well Density]]*Table1[[#This Row],[Single Well Discovery Area]]&gt;1,1,Table1[[#This Row],[Well Density]]*Table1[[#This Row],[Single Well Discovery Area]])))</f>
        <v>0</v>
      </c>
      <c r="CN884" s="19">
        <f>Table1[[#This Row],[Mid]]</f>
        <v>0</v>
      </c>
      <c r="CO884" s="19">
        <f>Table1[[#This Row],[Mid3]]+Table1[[#This Row],[Mid6]]+Table1[[#This Row],[Mid9]]</f>
        <v>0</v>
      </c>
      <c r="CP884" s="19">
        <f>Table1[[#This Row],[Mid12]]+Table1[[#This Row],[Mid15]]+Table1[[#This Row],[Mid18]]+Table1[[#This Row],[Mid21]]+Table1[[#This Row],[Mid24]]</f>
        <v>0</v>
      </c>
      <c r="CQ884" s="19">
        <f>Table1[[#This Row],[Mid27]]+Table1[[#This Row],[Mid30]]+Table1[[#This Row],[Mid33]]+Table1[[#This Row],[Mid36]]+Table1[[#This Row],[Mid39]]</f>
        <v>145</v>
      </c>
      <c r="CR884" t="s">
        <v>415</v>
      </c>
      <c r="CS884" s="19" t="str">
        <f>IF(AND(Table1[[#This Row],[Low41]]=0, Table1[[#This Row],[High43]]=0),"N","Y")</f>
        <v>N</v>
      </c>
    </row>
    <row r="885" spans="1:97" ht="19.5" customHeight="1" x14ac:dyDescent="0.25">
      <c r="A885">
        <v>10884</v>
      </c>
      <c r="B885" t="s">
        <v>2726</v>
      </c>
      <c r="C885" t="s">
        <v>2748</v>
      </c>
      <c r="D885">
        <v>40.812777779999998</v>
      </c>
      <c r="E885">
        <v>22.839722219999999</v>
      </c>
      <c r="F885" t="s">
        <v>2755</v>
      </c>
      <c r="G885" t="s">
        <v>2729</v>
      </c>
      <c r="H885" t="s">
        <v>167</v>
      </c>
      <c r="I885" t="s">
        <v>118</v>
      </c>
      <c r="J885" t="s">
        <v>119</v>
      </c>
      <c r="K885" t="s">
        <v>203</v>
      </c>
      <c r="L885" t="s">
        <v>18</v>
      </c>
      <c r="M885" t="s">
        <v>2750</v>
      </c>
      <c r="N885" s="6" t="s">
        <v>2751</v>
      </c>
      <c r="O885" t="s">
        <v>2652</v>
      </c>
      <c r="P885" t="s">
        <v>2652</v>
      </c>
      <c r="Q885" t="s">
        <v>2752</v>
      </c>
      <c r="R885" t="s">
        <v>2753</v>
      </c>
      <c r="S885">
        <v>2010</v>
      </c>
      <c r="T885" t="s">
        <v>771</v>
      </c>
      <c r="U885" t="s">
        <v>1479</v>
      </c>
      <c r="V885">
        <v>4200</v>
      </c>
      <c r="W885">
        <v>1800</v>
      </c>
      <c r="X885">
        <v>100</v>
      </c>
      <c r="Y885">
        <v>0</v>
      </c>
      <c r="Z885">
        <v>10</v>
      </c>
      <c r="AA885">
        <v>0</v>
      </c>
      <c r="AB885">
        <v>0</v>
      </c>
      <c r="AC885">
        <v>0</v>
      </c>
      <c r="AD885">
        <v>0</v>
      </c>
      <c r="AE885">
        <v>0</v>
      </c>
      <c r="AF885">
        <v>200</v>
      </c>
      <c r="AG885">
        <v>0</v>
      </c>
      <c r="AH885" t="s">
        <v>2259</v>
      </c>
      <c r="AI885">
        <v>0</v>
      </c>
      <c r="AJ885">
        <v>0</v>
      </c>
      <c r="AK885">
        <v>0</v>
      </c>
      <c r="AL885">
        <v>0</v>
      </c>
      <c r="AM885" t="s">
        <v>2754</v>
      </c>
      <c r="AN885" t="s">
        <v>132</v>
      </c>
      <c r="AO885">
        <v>0</v>
      </c>
      <c r="AP885">
        <v>0</v>
      </c>
      <c r="AQ885">
        <v>0</v>
      </c>
      <c r="AR885">
        <v>0</v>
      </c>
      <c r="AS885">
        <v>0</v>
      </c>
      <c r="AT885">
        <v>0</v>
      </c>
      <c r="AU885">
        <v>0</v>
      </c>
      <c r="AV885">
        <v>0</v>
      </c>
      <c r="AW885">
        <v>0</v>
      </c>
      <c r="AX885">
        <v>0</v>
      </c>
      <c r="AY885">
        <v>0</v>
      </c>
      <c r="AZ885">
        <v>0</v>
      </c>
      <c r="BA885">
        <v>0</v>
      </c>
      <c r="BB885">
        <v>0</v>
      </c>
      <c r="BC885">
        <v>0</v>
      </c>
      <c r="BD885">
        <v>0</v>
      </c>
      <c r="BE885">
        <v>0</v>
      </c>
      <c r="BF885">
        <v>0</v>
      </c>
      <c r="BG885">
        <v>0</v>
      </c>
      <c r="BH885">
        <v>0</v>
      </c>
      <c r="BI885">
        <v>0</v>
      </c>
      <c r="BJ885">
        <v>0</v>
      </c>
      <c r="BK885">
        <v>0</v>
      </c>
      <c r="BL885">
        <v>0</v>
      </c>
      <c r="BM885">
        <v>0</v>
      </c>
      <c r="BN885">
        <v>0</v>
      </c>
      <c r="BO885">
        <v>0</v>
      </c>
      <c r="BP885">
        <v>0</v>
      </c>
      <c r="BQ885">
        <v>0</v>
      </c>
      <c r="BR885">
        <v>0</v>
      </c>
      <c r="BS885">
        <v>0</v>
      </c>
      <c r="BT885">
        <v>0</v>
      </c>
      <c r="BU885">
        <v>0</v>
      </c>
      <c r="BV885">
        <v>0</v>
      </c>
      <c r="BW885">
        <v>0</v>
      </c>
      <c r="BX885">
        <v>0</v>
      </c>
      <c r="BY885">
        <v>0</v>
      </c>
      <c r="BZ885">
        <v>460</v>
      </c>
      <c r="CA885">
        <v>0</v>
      </c>
      <c r="CB885">
        <v>0</v>
      </c>
      <c r="CC885">
        <v>0</v>
      </c>
      <c r="CD885">
        <v>0</v>
      </c>
      <c r="CE88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85" s="19">
        <f>SUM(Table1[[#This Row],[Mid39]],Table1[[#This Row],[Mid36]],Table1[[#This Row],[Mid33]],Table1[[#This Row],[Mid30]],Table1[[#This Row],[Mid27]],Table1[[#This Row],[Mid24]],Table1[[#This Row],[Mid21]],Table1[[#This Row],[Mid18]],Table1[[#This Row],[Mid15]],Table1[[#This Row],[Mid12]],Table1[[#This Row],[Mid9]],Table1[[#This Row],[Mid6]],Table1[[#This Row],[Mid3]],Table1[[#This Row],[Mid]])</f>
        <v>460</v>
      </c>
      <c r="CG88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85" t="s">
        <v>157</v>
      </c>
      <c r="CI885" t="s">
        <v>134</v>
      </c>
      <c r="CJ885" t="s">
        <v>158</v>
      </c>
      <c r="CL885" s="19">
        <f>IF(Table1[[#This Row],[Type]]="Petroleum",1,IF(ISERROR(Table1[[#This Row],[Well Density]]*Table1[[#This Row],[Single Well Discovery Area]]),"",IF(Table1[[#This Row],[Well Density]]*Table1[[#This Row],[Single Well Discovery Area]]&gt;1,1,Table1[[#This Row],[Well Density]]*Table1[[#This Row],[Single Well Discovery Area]])))</f>
        <v>0</v>
      </c>
      <c r="CN885" s="19">
        <f>Table1[[#This Row],[Mid]]</f>
        <v>0</v>
      </c>
      <c r="CO885" s="19">
        <f>Table1[[#This Row],[Mid3]]+Table1[[#This Row],[Mid6]]+Table1[[#This Row],[Mid9]]</f>
        <v>0</v>
      </c>
      <c r="CP885" s="19">
        <f>Table1[[#This Row],[Mid12]]+Table1[[#This Row],[Mid15]]+Table1[[#This Row],[Mid18]]+Table1[[#This Row],[Mid21]]+Table1[[#This Row],[Mid24]]</f>
        <v>0</v>
      </c>
      <c r="CQ885" s="19">
        <f>Table1[[#This Row],[Mid27]]+Table1[[#This Row],[Mid30]]+Table1[[#This Row],[Mid33]]+Table1[[#This Row],[Mid36]]+Table1[[#This Row],[Mid39]]</f>
        <v>460</v>
      </c>
      <c r="CR885" t="s">
        <v>415</v>
      </c>
      <c r="CS885" s="19" t="str">
        <f>IF(AND(Table1[[#This Row],[Low41]]=0, Table1[[#This Row],[High43]]=0),"N","Y")</f>
        <v>N</v>
      </c>
    </row>
    <row r="886" spans="1:97" ht="19.5" customHeight="1" x14ac:dyDescent="0.25">
      <c r="A886">
        <v>10885</v>
      </c>
      <c r="B886" t="s">
        <v>2726</v>
      </c>
      <c r="C886" t="s">
        <v>2748</v>
      </c>
      <c r="D886">
        <v>40.62805556</v>
      </c>
      <c r="E886">
        <v>22.24666667</v>
      </c>
      <c r="F886" t="s">
        <v>2756</v>
      </c>
      <c r="G886" t="s">
        <v>2729</v>
      </c>
      <c r="H886" t="s">
        <v>167</v>
      </c>
      <c r="I886" t="s">
        <v>118</v>
      </c>
      <c r="J886" t="s">
        <v>119</v>
      </c>
      <c r="K886" t="s">
        <v>203</v>
      </c>
      <c r="L886" t="s">
        <v>18</v>
      </c>
      <c r="M886" t="s">
        <v>2750</v>
      </c>
      <c r="N886" s="6" t="s">
        <v>2751</v>
      </c>
      <c r="O886" t="s">
        <v>2652</v>
      </c>
      <c r="P886" t="s">
        <v>2652</v>
      </c>
      <c r="Q886" t="s">
        <v>2757</v>
      </c>
      <c r="R886" t="s">
        <v>2753</v>
      </c>
      <c r="S886">
        <v>2010</v>
      </c>
      <c r="T886" t="s">
        <v>771</v>
      </c>
      <c r="U886" t="s">
        <v>1479</v>
      </c>
      <c r="V886">
        <v>0</v>
      </c>
      <c r="W886">
        <v>900</v>
      </c>
      <c r="X886">
        <v>180</v>
      </c>
      <c r="Y886">
        <v>0</v>
      </c>
      <c r="Z886">
        <v>8</v>
      </c>
      <c r="AA886">
        <v>60</v>
      </c>
      <c r="AB886">
        <v>0</v>
      </c>
      <c r="AC886">
        <v>0</v>
      </c>
      <c r="AD886">
        <v>0</v>
      </c>
      <c r="AF886">
        <v>200</v>
      </c>
      <c r="AG886">
        <v>0</v>
      </c>
      <c r="AH886" t="s">
        <v>2259</v>
      </c>
      <c r="AI886">
        <v>0</v>
      </c>
      <c r="AJ886">
        <v>0</v>
      </c>
      <c r="AK886">
        <v>0</v>
      </c>
      <c r="AL886">
        <v>0</v>
      </c>
      <c r="AM886" t="s">
        <v>2754</v>
      </c>
      <c r="AN886" t="s">
        <v>132</v>
      </c>
      <c r="AO886">
        <v>0</v>
      </c>
      <c r="AP886">
        <v>0</v>
      </c>
      <c r="AQ886">
        <v>0</v>
      </c>
      <c r="AR886">
        <v>0</v>
      </c>
      <c r="AS886">
        <v>0</v>
      </c>
      <c r="AT886">
        <v>0</v>
      </c>
      <c r="AU886">
        <v>0</v>
      </c>
      <c r="AV886">
        <v>0</v>
      </c>
      <c r="AW886">
        <v>0</v>
      </c>
      <c r="AX886">
        <v>0</v>
      </c>
      <c r="AY886">
        <v>0</v>
      </c>
      <c r="AZ886">
        <v>0</v>
      </c>
      <c r="BA886">
        <v>0</v>
      </c>
      <c r="BB886">
        <v>0</v>
      </c>
      <c r="BC886">
        <v>0</v>
      </c>
      <c r="BD886">
        <v>0</v>
      </c>
      <c r="BE886">
        <v>0</v>
      </c>
      <c r="BF886">
        <v>0</v>
      </c>
      <c r="BG886">
        <v>0</v>
      </c>
      <c r="BH886">
        <v>0</v>
      </c>
      <c r="BI886">
        <v>0</v>
      </c>
      <c r="BJ886">
        <v>0</v>
      </c>
      <c r="BK886">
        <v>0</v>
      </c>
      <c r="BL886">
        <v>0</v>
      </c>
      <c r="BM886">
        <v>0</v>
      </c>
      <c r="BN886">
        <v>0</v>
      </c>
      <c r="BO886">
        <v>0</v>
      </c>
      <c r="BP886">
        <v>0</v>
      </c>
      <c r="BQ886">
        <v>0</v>
      </c>
      <c r="BR886">
        <v>0</v>
      </c>
      <c r="BS886">
        <v>0</v>
      </c>
      <c r="BT886">
        <v>0</v>
      </c>
      <c r="BU886">
        <v>0</v>
      </c>
      <c r="BV886">
        <v>0</v>
      </c>
      <c r="BW886">
        <v>34</v>
      </c>
      <c r="BX886">
        <v>0</v>
      </c>
      <c r="BY886">
        <v>0</v>
      </c>
      <c r="BZ886">
        <v>0</v>
      </c>
      <c r="CA886">
        <v>0</v>
      </c>
      <c r="CB886">
        <v>0</v>
      </c>
      <c r="CC886">
        <v>0</v>
      </c>
      <c r="CD886">
        <v>0</v>
      </c>
      <c r="CE88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86" s="19">
        <f>SUM(Table1[[#This Row],[Mid39]],Table1[[#This Row],[Mid36]],Table1[[#This Row],[Mid33]],Table1[[#This Row],[Mid30]],Table1[[#This Row],[Mid27]],Table1[[#This Row],[Mid24]],Table1[[#This Row],[Mid21]],Table1[[#This Row],[Mid18]],Table1[[#This Row],[Mid15]],Table1[[#This Row],[Mid12]],Table1[[#This Row],[Mid9]],Table1[[#This Row],[Mid6]],Table1[[#This Row],[Mid3]],Table1[[#This Row],[Mid]])</f>
        <v>34</v>
      </c>
      <c r="CG88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86" t="s">
        <v>157</v>
      </c>
      <c r="CI886" t="s">
        <v>134</v>
      </c>
      <c r="CJ886" t="s">
        <v>158</v>
      </c>
      <c r="CL886" s="19">
        <f>IF(Table1[[#This Row],[Type]]="Petroleum",1,IF(ISERROR(Table1[[#This Row],[Well Density]]*Table1[[#This Row],[Single Well Discovery Area]]),"",IF(Table1[[#This Row],[Well Density]]*Table1[[#This Row],[Single Well Discovery Area]]&gt;1,1,Table1[[#This Row],[Well Density]]*Table1[[#This Row],[Single Well Discovery Area]])))</f>
        <v>0</v>
      </c>
      <c r="CN886" s="19">
        <f>Table1[[#This Row],[Mid]]</f>
        <v>0</v>
      </c>
      <c r="CO886" s="19">
        <f>Table1[[#This Row],[Mid3]]+Table1[[#This Row],[Mid6]]+Table1[[#This Row],[Mid9]]</f>
        <v>0</v>
      </c>
      <c r="CP886" s="19">
        <f>Table1[[#This Row],[Mid12]]+Table1[[#This Row],[Mid15]]+Table1[[#This Row],[Mid18]]+Table1[[#This Row],[Mid21]]+Table1[[#This Row],[Mid24]]</f>
        <v>0</v>
      </c>
      <c r="CQ886" s="19">
        <f>Table1[[#This Row],[Mid27]]+Table1[[#This Row],[Mid30]]+Table1[[#This Row],[Mid33]]+Table1[[#This Row],[Mid36]]+Table1[[#This Row],[Mid39]]</f>
        <v>34</v>
      </c>
      <c r="CR886" t="s">
        <v>415</v>
      </c>
      <c r="CS886" s="19" t="str">
        <f>IF(AND(Table1[[#This Row],[Low41]]=0, Table1[[#This Row],[High43]]=0),"N","Y")</f>
        <v>N</v>
      </c>
    </row>
    <row r="887" spans="1:97" ht="19.5" customHeight="1" x14ac:dyDescent="0.25">
      <c r="A887">
        <v>10886</v>
      </c>
      <c r="B887" t="s">
        <v>2726</v>
      </c>
      <c r="C887" t="s">
        <v>2758</v>
      </c>
      <c r="D887">
        <v>40.336388890000002</v>
      </c>
      <c r="E887">
        <v>21.675000000000001</v>
      </c>
      <c r="F887" t="s">
        <v>2759</v>
      </c>
      <c r="G887" t="s">
        <v>2739</v>
      </c>
      <c r="H887" t="s">
        <v>2760</v>
      </c>
      <c r="I887" t="s">
        <v>118</v>
      </c>
      <c r="J887" t="s">
        <v>119</v>
      </c>
      <c r="K887" t="s">
        <v>167</v>
      </c>
      <c r="L887" t="s">
        <v>18</v>
      </c>
      <c r="M887" t="s">
        <v>2761</v>
      </c>
      <c r="N887" s="6" t="s">
        <v>2751</v>
      </c>
      <c r="O887" t="s">
        <v>2652</v>
      </c>
      <c r="P887" t="s">
        <v>2652</v>
      </c>
      <c r="Q887" t="s">
        <v>2762</v>
      </c>
      <c r="R887" t="s">
        <v>2763</v>
      </c>
      <c r="S887">
        <v>2010</v>
      </c>
      <c r="T887" t="s">
        <v>771</v>
      </c>
      <c r="U887" t="s">
        <v>1479</v>
      </c>
      <c r="V887">
        <v>0</v>
      </c>
      <c r="W887">
        <v>800</v>
      </c>
      <c r="X887">
        <v>1000</v>
      </c>
      <c r="Y887">
        <v>0</v>
      </c>
      <c r="Z887">
        <v>0</v>
      </c>
      <c r="AA887">
        <v>0</v>
      </c>
      <c r="AB887">
        <v>0</v>
      </c>
      <c r="AC887">
        <v>0</v>
      </c>
      <c r="AD887">
        <v>0</v>
      </c>
      <c r="AF887">
        <v>200</v>
      </c>
      <c r="AG887">
        <v>0</v>
      </c>
      <c r="AH887" t="s">
        <v>2259</v>
      </c>
      <c r="AI887">
        <v>0</v>
      </c>
      <c r="AJ887">
        <v>0</v>
      </c>
      <c r="AK887">
        <v>0</v>
      </c>
      <c r="AL887">
        <v>0</v>
      </c>
      <c r="AM887" t="s">
        <v>2754</v>
      </c>
      <c r="AN887" t="s">
        <v>132</v>
      </c>
      <c r="AO887">
        <v>0</v>
      </c>
      <c r="AP887">
        <v>0</v>
      </c>
      <c r="AQ887">
        <v>0</v>
      </c>
      <c r="AR887">
        <v>0</v>
      </c>
      <c r="AS887">
        <v>0</v>
      </c>
      <c r="AT887">
        <v>0</v>
      </c>
      <c r="AU887">
        <v>0</v>
      </c>
      <c r="AV887">
        <v>0</v>
      </c>
      <c r="AW887">
        <v>0</v>
      </c>
      <c r="AX887">
        <v>0</v>
      </c>
      <c r="AY887">
        <v>0</v>
      </c>
      <c r="AZ887">
        <v>0</v>
      </c>
      <c r="BA887">
        <v>0</v>
      </c>
      <c r="BB887">
        <v>0</v>
      </c>
      <c r="BC887">
        <v>0</v>
      </c>
      <c r="BD887">
        <v>0</v>
      </c>
      <c r="BE887">
        <v>0</v>
      </c>
      <c r="BF887">
        <v>0</v>
      </c>
      <c r="BG887">
        <v>0</v>
      </c>
      <c r="BH887">
        <v>0</v>
      </c>
      <c r="BI887">
        <v>0</v>
      </c>
      <c r="BJ887">
        <v>0</v>
      </c>
      <c r="BK887">
        <v>0</v>
      </c>
      <c r="BL887">
        <v>0</v>
      </c>
      <c r="BM887">
        <v>0</v>
      </c>
      <c r="BN887">
        <v>0</v>
      </c>
      <c r="BO887">
        <v>0</v>
      </c>
      <c r="BP887">
        <v>0</v>
      </c>
      <c r="BQ887">
        <v>0</v>
      </c>
      <c r="BR887">
        <v>0</v>
      </c>
      <c r="BS887">
        <v>0</v>
      </c>
      <c r="BT887">
        <v>0</v>
      </c>
      <c r="BU887">
        <v>0</v>
      </c>
      <c r="BV887">
        <v>0</v>
      </c>
      <c r="BW887">
        <v>0</v>
      </c>
      <c r="BX887">
        <v>0</v>
      </c>
      <c r="BY887">
        <v>0</v>
      </c>
      <c r="BZ887">
        <v>1343</v>
      </c>
      <c r="CA887">
        <v>0</v>
      </c>
      <c r="CB887">
        <v>0</v>
      </c>
      <c r="CC887">
        <v>0</v>
      </c>
      <c r="CD887">
        <v>0</v>
      </c>
      <c r="CE88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87" s="19">
        <f>SUM(Table1[[#This Row],[Mid39]],Table1[[#This Row],[Mid36]],Table1[[#This Row],[Mid33]],Table1[[#This Row],[Mid30]],Table1[[#This Row],[Mid27]],Table1[[#This Row],[Mid24]],Table1[[#This Row],[Mid21]],Table1[[#This Row],[Mid18]],Table1[[#This Row],[Mid15]],Table1[[#This Row],[Mid12]],Table1[[#This Row],[Mid9]],Table1[[#This Row],[Mid6]],Table1[[#This Row],[Mid3]],Table1[[#This Row],[Mid]])</f>
        <v>1343</v>
      </c>
      <c r="CG88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87" t="s">
        <v>157</v>
      </c>
      <c r="CI887" t="s">
        <v>176</v>
      </c>
      <c r="CJ887" t="s">
        <v>158</v>
      </c>
      <c r="CL887" s="19">
        <f>IF(Table1[[#This Row],[Type]]="Petroleum",1,IF(ISERROR(Table1[[#This Row],[Well Density]]*Table1[[#This Row],[Single Well Discovery Area]]),"",IF(Table1[[#This Row],[Well Density]]*Table1[[#This Row],[Single Well Discovery Area]]&gt;1,1,Table1[[#This Row],[Well Density]]*Table1[[#This Row],[Single Well Discovery Area]])))</f>
        <v>0</v>
      </c>
      <c r="CN887" s="19">
        <f>Table1[[#This Row],[Mid]]</f>
        <v>0</v>
      </c>
      <c r="CO887" s="19">
        <f>Table1[[#This Row],[Mid3]]+Table1[[#This Row],[Mid6]]+Table1[[#This Row],[Mid9]]</f>
        <v>0</v>
      </c>
      <c r="CP887" s="19">
        <f>Table1[[#This Row],[Mid12]]+Table1[[#This Row],[Mid15]]+Table1[[#This Row],[Mid18]]+Table1[[#This Row],[Mid21]]+Table1[[#This Row],[Mid24]]</f>
        <v>0</v>
      </c>
      <c r="CQ887" s="19">
        <f>Table1[[#This Row],[Mid27]]+Table1[[#This Row],[Mid30]]+Table1[[#This Row],[Mid33]]+Table1[[#This Row],[Mid36]]+Table1[[#This Row],[Mid39]]</f>
        <v>1343</v>
      </c>
      <c r="CR887" t="s">
        <v>415</v>
      </c>
      <c r="CS887" s="19" t="str">
        <f>IF(AND(Table1[[#This Row],[Low41]]=0, Table1[[#This Row],[High43]]=0),"N","Y")</f>
        <v>N</v>
      </c>
    </row>
    <row r="888" spans="1:97" ht="19.5" customHeight="1" x14ac:dyDescent="0.25">
      <c r="A888">
        <v>10887</v>
      </c>
      <c r="B888" t="s">
        <v>2764</v>
      </c>
      <c r="C888" t="s">
        <v>2765</v>
      </c>
      <c r="D888">
        <v>48.338055560000001</v>
      </c>
      <c r="E888">
        <v>16.691388889999999</v>
      </c>
      <c r="F888" t="s">
        <v>2766</v>
      </c>
      <c r="G888" t="s">
        <v>2767</v>
      </c>
      <c r="H888" t="s">
        <v>167</v>
      </c>
      <c r="I888" t="s">
        <v>1648</v>
      </c>
      <c r="J888" t="s">
        <v>202</v>
      </c>
      <c r="K888" t="s">
        <v>203</v>
      </c>
      <c r="L888" t="s">
        <v>121</v>
      </c>
      <c r="M888" t="s">
        <v>2768</v>
      </c>
      <c r="N888" s="6" t="s">
        <v>2769</v>
      </c>
      <c r="O888" t="s">
        <v>2652</v>
      </c>
      <c r="P888" t="s">
        <v>2652</v>
      </c>
      <c r="Q888" t="s">
        <v>2770</v>
      </c>
      <c r="R888" t="s">
        <v>2771</v>
      </c>
      <c r="S888">
        <v>2016</v>
      </c>
      <c r="T888" t="s">
        <v>771</v>
      </c>
      <c r="U888" t="s">
        <v>1479</v>
      </c>
      <c r="V888">
        <v>0</v>
      </c>
      <c r="W888">
        <v>2800</v>
      </c>
      <c r="X888">
        <v>0</v>
      </c>
      <c r="Y888">
        <v>0</v>
      </c>
      <c r="Z888">
        <v>0</v>
      </c>
      <c r="AA888">
        <v>0</v>
      </c>
      <c r="AB888">
        <v>0</v>
      </c>
      <c r="AC888">
        <v>0</v>
      </c>
      <c r="AD888">
        <v>15</v>
      </c>
      <c r="AF888">
        <v>20</v>
      </c>
      <c r="AG888">
        <v>0</v>
      </c>
      <c r="AH888" t="s">
        <v>2259</v>
      </c>
      <c r="AI888">
        <v>0</v>
      </c>
      <c r="AJ888">
        <v>0</v>
      </c>
      <c r="AK888">
        <v>0</v>
      </c>
      <c r="AL888">
        <v>0</v>
      </c>
      <c r="AM888" t="s">
        <v>2772</v>
      </c>
      <c r="AN888" t="s">
        <v>132</v>
      </c>
      <c r="AO888">
        <v>0</v>
      </c>
      <c r="AP888">
        <v>0</v>
      </c>
      <c r="AQ888">
        <v>0</v>
      </c>
      <c r="AR888">
        <v>0</v>
      </c>
      <c r="AS888">
        <v>0</v>
      </c>
      <c r="AT888">
        <v>0</v>
      </c>
      <c r="AU888">
        <v>0</v>
      </c>
      <c r="AV888">
        <v>0</v>
      </c>
      <c r="AW888">
        <v>0</v>
      </c>
      <c r="AX888">
        <v>0</v>
      </c>
      <c r="AY888">
        <v>0</v>
      </c>
      <c r="AZ888">
        <v>0</v>
      </c>
      <c r="BA888">
        <v>0</v>
      </c>
      <c r="BB888">
        <v>0</v>
      </c>
      <c r="BC888">
        <v>0</v>
      </c>
      <c r="BD888">
        <v>0</v>
      </c>
      <c r="BE888">
        <v>0</v>
      </c>
      <c r="BF888">
        <v>0</v>
      </c>
      <c r="BG888">
        <v>0</v>
      </c>
      <c r="BH888">
        <v>0</v>
      </c>
      <c r="BI888">
        <v>0</v>
      </c>
      <c r="BJ888">
        <v>0</v>
      </c>
      <c r="BK888">
        <v>0</v>
      </c>
      <c r="BL888">
        <v>0</v>
      </c>
      <c r="BM888">
        <v>3</v>
      </c>
      <c r="BN888">
        <v>20</v>
      </c>
      <c r="BO888">
        <v>62</v>
      </c>
      <c r="BP888">
        <v>0</v>
      </c>
      <c r="BQ888">
        <v>0</v>
      </c>
      <c r="BR888">
        <v>0</v>
      </c>
      <c r="BS888">
        <v>0</v>
      </c>
      <c r="BT888">
        <v>0</v>
      </c>
      <c r="BU888">
        <v>0</v>
      </c>
      <c r="BV888">
        <v>0</v>
      </c>
      <c r="BW888">
        <v>0</v>
      </c>
      <c r="BX888">
        <v>0</v>
      </c>
      <c r="BY888">
        <v>0</v>
      </c>
      <c r="BZ888">
        <v>0</v>
      </c>
      <c r="CA888">
        <v>0</v>
      </c>
      <c r="CB888">
        <v>0</v>
      </c>
      <c r="CC888">
        <v>0</v>
      </c>
      <c r="CD888">
        <v>0</v>
      </c>
      <c r="CE888" s="19">
        <f>SUM(Table1[[#This Row],[Low38]],Table1[[#This Row],[Low35]],Table1[[#This Row],[Low32]],Table1[[#This Row],[Low29]],Table1[[#This Row],[Low26]],Table1[[#This Row],[Low23]],Table1[[#This Row],[Low20]],Table1[[#This Row],[Low17]],Table1[[#This Row],[Low14]],Table1[[#This Row],[Low11]],Table1[[#This Row],[Low8]],Table1[[#This Row],[Low5]],Table1[[#This Row],[Low2]],Table1[[#This Row],[Low]])</f>
        <v>3</v>
      </c>
      <c r="CF888" s="19">
        <f>SUM(Table1[[#This Row],[Mid39]],Table1[[#This Row],[Mid36]],Table1[[#This Row],[Mid33]],Table1[[#This Row],[Mid30]],Table1[[#This Row],[Mid27]],Table1[[#This Row],[Mid24]],Table1[[#This Row],[Mid21]],Table1[[#This Row],[Mid18]],Table1[[#This Row],[Mid15]],Table1[[#This Row],[Mid12]],Table1[[#This Row],[Mid9]],Table1[[#This Row],[Mid6]],Table1[[#This Row],[Mid3]],Table1[[#This Row],[Mid]])</f>
        <v>20</v>
      </c>
      <c r="CG88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62</v>
      </c>
      <c r="CH888" t="s">
        <v>157</v>
      </c>
      <c r="CI888" t="s">
        <v>176</v>
      </c>
      <c r="CJ888" t="s">
        <v>158</v>
      </c>
      <c r="CL888" s="19">
        <f>IF(Table1[[#This Row],[Type]]="Petroleum",1,IF(ISERROR(Table1[[#This Row],[Well Density]]*Table1[[#This Row],[Single Well Discovery Area]]),"",IF(Table1[[#This Row],[Well Density]]*Table1[[#This Row],[Single Well Discovery Area]]&gt;1,1,Table1[[#This Row],[Well Density]]*Table1[[#This Row],[Single Well Discovery Area]])))</f>
        <v>1</v>
      </c>
      <c r="CN888" s="19">
        <f>Table1[[#This Row],[Mid]]</f>
        <v>0</v>
      </c>
      <c r="CO888" s="19">
        <f>Table1[[#This Row],[Mid3]]+Table1[[#This Row],[Mid6]]+Table1[[#This Row],[Mid9]]</f>
        <v>0</v>
      </c>
      <c r="CP888" s="19">
        <f>Table1[[#This Row],[Mid12]]+Table1[[#This Row],[Mid15]]+Table1[[#This Row],[Mid18]]+Table1[[#This Row],[Mid21]]+Table1[[#This Row],[Mid24]]</f>
        <v>20</v>
      </c>
      <c r="CQ888" s="19">
        <f>Table1[[#This Row],[Mid27]]+Table1[[#This Row],[Mid30]]+Table1[[#This Row],[Mid33]]+Table1[[#This Row],[Mid36]]+Table1[[#This Row],[Mid39]]</f>
        <v>0</v>
      </c>
      <c r="CR888" t="s">
        <v>415</v>
      </c>
      <c r="CS888" s="19" t="str">
        <f>IF(AND(Table1[[#This Row],[Low41]]=0, Table1[[#This Row],[High43]]=0),"N","Y")</f>
        <v>Y</v>
      </c>
    </row>
    <row r="889" spans="1:97" ht="19.5" customHeight="1" x14ac:dyDescent="0.25">
      <c r="A889">
        <v>10888</v>
      </c>
      <c r="B889" t="s">
        <v>2764</v>
      </c>
      <c r="C889" t="s">
        <v>2765</v>
      </c>
      <c r="D889">
        <v>48.338055560000001</v>
      </c>
      <c r="E889">
        <v>16.691388889999999</v>
      </c>
      <c r="F889" t="s">
        <v>2773</v>
      </c>
      <c r="G889" t="s">
        <v>2767</v>
      </c>
      <c r="H889" t="s">
        <v>167</v>
      </c>
      <c r="I889" t="s">
        <v>1753</v>
      </c>
      <c r="J889" t="s">
        <v>202</v>
      </c>
      <c r="K889" t="s">
        <v>203</v>
      </c>
      <c r="L889" t="s">
        <v>121</v>
      </c>
      <c r="M889" t="s">
        <v>2768</v>
      </c>
      <c r="N889" s="6" t="s">
        <v>2774</v>
      </c>
      <c r="O889" t="s">
        <v>2652</v>
      </c>
      <c r="P889" t="s">
        <v>2652</v>
      </c>
      <c r="Q889" t="s">
        <v>2770</v>
      </c>
      <c r="R889" t="s">
        <v>2771</v>
      </c>
      <c r="S889">
        <v>2016</v>
      </c>
      <c r="T889" t="s">
        <v>771</v>
      </c>
      <c r="U889" t="s">
        <v>1479</v>
      </c>
      <c r="V889">
        <v>0</v>
      </c>
      <c r="W889">
        <v>5500</v>
      </c>
      <c r="X889">
        <v>900</v>
      </c>
      <c r="Y889">
        <v>0</v>
      </c>
      <c r="Z889">
        <v>4</v>
      </c>
      <c r="AA889">
        <v>7</v>
      </c>
      <c r="AB889">
        <v>0</v>
      </c>
      <c r="AC889">
        <v>0</v>
      </c>
      <c r="AD889">
        <v>0</v>
      </c>
      <c r="AF889">
        <v>20</v>
      </c>
      <c r="AG889">
        <v>0</v>
      </c>
      <c r="AH889" t="s">
        <v>2259</v>
      </c>
      <c r="AI889">
        <v>0</v>
      </c>
      <c r="AJ889">
        <v>0</v>
      </c>
      <c r="AK889">
        <v>0</v>
      </c>
      <c r="AL889">
        <v>0</v>
      </c>
      <c r="AM889" t="s">
        <v>2772</v>
      </c>
      <c r="AN889" t="s">
        <v>132</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0</v>
      </c>
      <c r="BL889">
        <v>0</v>
      </c>
      <c r="BM889">
        <v>4</v>
      </c>
      <c r="BN889">
        <v>40</v>
      </c>
      <c r="BO889">
        <v>150</v>
      </c>
      <c r="BP889">
        <v>0</v>
      </c>
      <c r="BQ889">
        <v>0</v>
      </c>
      <c r="BR889">
        <v>0</v>
      </c>
      <c r="BS889">
        <v>0</v>
      </c>
      <c r="BT889">
        <v>0</v>
      </c>
      <c r="BU889">
        <v>0</v>
      </c>
      <c r="BV889">
        <v>0</v>
      </c>
      <c r="BW889">
        <v>0</v>
      </c>
      <c r="BX889">
        <v>0</v>
      </c>
      <c r="BY889">
        <v>0</v>
      </c>
      <c r="BZ889">
        <v>0</v>
      </c>
      <c r="CA889">
        <v>0</v>
      </c>
      <c r="CB889">
        <v>0</v>
      </c>
      <c r="CC889">
        <v>0</v>
      </c>
      <c r="CD889">
        <v>0</v>
      </c>
      <c r="CE889" s="19">
        <f>SUM(Table1[[#This Row],[Low38]],Table1[[#This Row],[Low35]],Table1[[#This Row],[Low32]],Table1[[#This Row],[Low29]],Table1[[#This Row],[Low26]],Table1[[#This Row],[Low23]],Table1[[#This Row],[Low20]],Table1[[#This Row],[Low17]],Table1[[#This Row],[Low14]],Table1[[#This Row],[Low11]],Table1[[#This Row],[Low8]],Table1[[#This Row],[Low5]],Table1[[#This Row],[Low2]],Table1[[#This Row],[Low]])</f>
        <v>4</v>
      </c>
      <c r="CF889" s="19">
        <f>SUM(Table1[[#This Row],[Mid39]],Table1[[#This Row],[Mid36]],Table1[[#This Row],[Mid33]],Table1[[#This Row],[Mid30]],Table1[[#This Row],[Mid27]],Table1[[#This Row],[Mid24]],Table1[[#This Row],[Mid21]],Table1[[#This Row],[Mid18]],Table1[[#This Row],[Mid15]],Table1[[#This Row],[Mid12]],Table1[[#This Row],[Mid9]],Table1[[#This Row],[Mid6]],Table1[[#This Row],[Mid3]],Table1[[#This Row],[Mid]])</f>
        <v>40</v>
      </c>
      <c r="CG88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150</v>
      </c>
      <c r="CH889" t="s">
        <v>157</v>
      </c>
      <c r="CI889" t="s">
        <v>176</v>
      </c>
      <c r="CJ889" t="s">
        <v>158</v>
      </c>
      <c r="CL889" s="19">
        <f>IF(Table1[[#This Row],[Type]]="Petroleum",1,IF(ISERROR(Table1[[#This Row],[Well Density]]*Table1[[#This Row],[Single Well Discovery Area]]),"",IF(Table1[[#This Row],[Well Density]]*Table1[[#This Row],[Single Well Discovery Area]]&gt;1,1,Table1[[#This Row],[Well Density]]*Table1[[#This Row],[Single Well Discovery Area]])))</f>
        <v>1</v>
      </c>
      <c r="CN889" s="19">
        <f>Table1[[#This Row],[Mid]]</f>
        <v>0</v>
      </c>
      <c r="CO889" s="19">
        <f>Table1[[#This Row],[Mid3]]+Table1[[#This Row],[Mid6]]+Table1[[#This Row],[Mid9]]</f>
        <v>0</v>
      </c>
      <c r="CP889" s="19">
        <f>Table1[[#This Row],[Mid12]]+Table1[[#This Row],[Mid15]]+Table1[[#This Row],[Mid18]]+Table1[[#This Row],[Mid21]]+Table1[[#This Row],[Mid24]]</f>
        <v>40</v>
      </c>
      <c r="CQ889" s="19">
        <f>Table1[[#This Row],[Mid27]]+Table1[[#This Row],[Mid30]]+Table1[[#This Row],[Mid33]]+Table1[[#This Row],[Mid36]]+Table1[[#This Row],[Mid39]]</f>
        <v>0</v>
      </c>
      <c r="CR889" t="s">
        <v>415</v>
      </c>
      <c r="CS889" s="19" t="str">
        <f>IF(AND(Table1[[#This Row],[Low41]]=0, Table1[[#This Row],[High43]]=0),"N","Y")</f>
        <v>Y</v>
      </c>
    </row>
    <row r="890" spans="1:97" ht="19.5" customHeight="1" x14ac:dyDescent="0.25">
      <c r="A890">
        <v>10889</v>
      </c>
      <c r="B890" t="s">
        <v>2764</v>
      </c>
      <c r="C890" t="s">
        <v>2765</v>
      </c>
      <c r="D890">
        <v>48.267499999999998</v>
      </c>
      <c r="E890">
        <v>16.542222219999999</v>
      </c>
      <c r="F890" t="s">
        <v>2775</v>
      </c>
      <c r="G890" t="s">
        <v>2767</v>
      </c>
      <c r="H890" t="s">
        <v>167</v>
      </c>
      <c r="I890" t="s">
        <v>2776</v>
      </c>
      <c r="J890" t="s">
        <v>202</v>
      </c>
      <c r="K890" t="s">
        <v>203</v>
      </c>
      <c r="L890" t="s">
        <v>121</v>
      </c>
      <c r="M890" t="s">
        <v>2768</v>
      </c>
      <c r="N890" s="6" t="s">
        <v>2777</v>
      </c>
      <c r="O890" t="s">
        <v>2652</v>
      </c>
      <c r="P890" t="s">
        <v>2652</v>
      </c>
      <c r="Q890" t="s">
        <v>2770</v>
      </c>
      <c r="R890" t="s">
        <v>2771</v>
      </c>
      <c r="S890">
        <v>2016</v>
      </c>
      <c r="T890" t="s">
        <v>771</v>
      </c>
      <c r="U890" t="s">
        <v>1479</v>
      </c>
      <c r="V890">
        <v>0</v>
      </c>
      <c r="W890">
        <v>0</v>
      </c>
      <c r="X890">
        <v>100</v>
      </c>
      <c r="Y890">
        <v>0</v>
      </c>
      <c r="Z890">
        <v>7.7</v>
      </c>
      <c r="AA890">
        <v>0</v>
      </c>
      <c r="AB890">
        <v>0</v>
      </c>
      <c r="AC890">
        <v>0</v>
      </c>
      <c r="AD890">
        <v>0</v>
      </c>
      <c r="AF890">
        <v>20</v>
      </c>
      <c r="AG890">
        <v>0</v>
      </c>
      <c r="AH890" t="s">
        <v>2259</v>
      </c>
      <c r="AI890">
        <v>0</v>
      </c>
      <c r="AJ890">
        <v>0</v>
      </c>
      <c r="AK890">
        <v>0</v>
      </c>
      <c r="AL890">
        <v>0</v>
      </c>
      <c r="AM890" t="s">
        <v>2772</v>
      </c>
      <c r="AN890" t="s">
        <v>132</v>
      </c>
      <c r="AO890">
        <v>0</v>
      </c>
      <c r="AP890">
        <v>0</v>
      </c>
      <c r="AQ890">
        <v>0</v>
      </c>
      <c r="AR890">
        <v>0</v>
      </c>
      <c r="AS890">
        <v>0</v>
      </c>
      <c r="AT890">
        <v>0</v>
      </c>
      <c r="AU890">
        <v>0</v>
      </c>
      <c r="AV890">
        <v>0</v>
      </c>
      <c r="AW890">
        <v>0</v>
      </c>
      <c r="AX890">
        <v>0</v>
      </c>
      <c r="AY890">
        <v>0</v>
      </c>
      <c r="AZ890">
        <v>0</v>
      </c>
      <c r="BA890">
        <v>0</v>
      </c>
      <c r="BB890">
        <v>0</v>
      </c>
      <c r="BC890">
        <v>0</v>
      </c>
      <c r="BD890">
        <v>0</v>
      </c>
      <c r="BE890">
        <v>0</v>
      </c>
      <c r="BF890">
        <v>0</v>
      </c>
      <c r="BG890">
        <v>0</v>
      </c>
      <c r="BH890">
        <v>0</v>
      </c>
      <c r="BI890">
        <v>0</v>
      </c>
      <c r="BJ890">
        <v>0</v>
      </c>
      <c r="BK890">
        <v>0</v>
      </c>
      <c r="BL890">
        <v>0</v>
      </c>
      <c r="BM890">
        <v>5</v>
      </c>
      <c r="BN890">
        <v>25</v>
      </c>
      <c r="BO890">
        <v>76</v>
      </c>
      <c r="BP890">
        <v>0</v>
      </c>
      <c r="BQ890">
        <v>0</v>
      </c>
      <c r="BR890">
        <v>0</v>
      </c>
      <c r="BS890">
        <v>0</v>
      </c>
      <c r="BT890">
        <v>0</v>
      </c>
      <c r="BU890">
        <v>0</v>
      </c>
      <c r="BV890">
        <v>0</v>
      </c>
      <c r="BW890">
        <v>0</v>
      </c>
      <c r="BX890">
        <v>0</v>
      </c>
      <c r="BY890">
        <v>0</v>
      </c>
      <c r="BZ890">
        <v>0</v>
      </c>
      <c r="CA890">
        <v>0</v>
      </c>
      <c r="CB890">
        <v>0</v>
      </c>
      <c r="CC890">
        <v>0</v>
      </c>
      <c r="CD890">
        <v>0</v>
      </c>
      <c r="CE890" s="19">
        <f>SUM(Table1[[#This Row],[Low38]],Table1[[#This Row],[Low35]],Table1[[#This Row],[Low32]],Table1[[#This Row],[Low29]],Table1[[#This Row],[Low26]],Table1[[#This Row],[Low23]],Table1[[#This Row],[Low20]],Table1[[#This Row],[Low17]],Table1[[#This Row],[Low14]],Table1[[#This Row],[Low11]],Table1[[#This Row],[Low8]],Table1[[#This Row],[Low5]],Table1[[#This Row],[Low2]],Table1[[#This Row],[Low]])</f>
        <v>5</v>
      </c>
      <c r="CF890" s="19">
        <f>SUM(Table1[[#This Row],[Mid39]],Table1[[#This Row],[Mid36]],Table1[[#This Row],[Mid33]],Table1[[#This Row],[Mid30]],Table1[[#This Row],[Mid27]],Table1[[#This Row],[Mid24]],Table1[[#This Row],[Mid21]],Table1[[#This Row],[Mid18]],Table1[[#This Row],[Mid15]],Table1[[#This Row],[Mid12]],Table1[[#This Row],[Mid9]],Table1[[#This Row],[Mid6]],Table1[[#This Row],[Mid3]],Table1[[#This Row],[Mid]])</f>
        <v>25</v>
      </c>
      <c r="CG89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76</v>
      </c>
      <c r="CH890" t="s">
        <v>157</v>
      </c>
      <c r="CI890" t="s">
        <v>176</v>
      </c>
      <c r="CJ890" t="s">
        <v>158</v>
      </c>
      <c r="CL890" s="19">
        <f>IF(Table1[[#This Row],[Type]]="Petroleum",1,IF(ISERROR(Table1[[#This Row],[Well Density]]*Table1[[#This Row],[Single Well Discovery Area]]),"",IF(Table1[[#This Row],[Well Density]]*Table1[[#This Row],[Single Well Discovery Area]]&gt;1,1,Table1[[#This Row],[Well Density]]*Table1[[#This Row],[Single Well Discovery Area]])))</f>
        <v>1</v>
      </c>
      <c r="CN890" s="19">
        <f>Table1[[#This Row],[Mid]]</f>
        <v>0</v>
      </c>
      <c r="CO890" s="19">
        <f>Table1[[#This Row],[Mid3]]+Table1[[#This Row],[Mid6]]+Table1[[#This Row],[Mid9]]</f>
        <v>0</v>
      </c>
      <c r="CP890" s="19">
        <f>Table1[[#This Row],[Mid12]]+Table1[[#This Row],[Mid15]]+Table1[[#This Row],[Mid18]]+Table1[[#This Row],[Mid21]]+Table1[[#This Row],[Mid24]]</f>
        <v>25</v>
      </c>
      <c r="CQ890" s="19">
        <f>Table1[[#This Row],[Mid27]]+Table1[[#This Row],[Mid30]]+Table1[[#This Row],[Mid33]]+Table1[[#This Row],[Mid36]]+Table1[[#This Row],[Mid39]]</f>
        <v>0</v>
      </c>
      <c r="CR890" t="s">
        <v>415</v>
      </c>
      <c r="CS890" s="19" t="str">
        <f>IF(AND(Table1[[#This Row],[Low41]]=0, Table1[[#This Row],[High43]]=0),"N","Y")</f>
        <v>Y</v>
      </c>
    </row>
    <row r="891" spans="1:97" ht="19.5" customHeight="1" x14ac:dyDescent="0.25">
      <c r="A891">
        <v>10890</v>
      </c>
      <c r="B891" t="s">
        <v>2764</v>
      </c>
      <c r="C891" t="s">
        <v>2765</v>
      </c>
      <c r="D891">
        <v>48.308888889999999</v>
      </c>
      <c r="E891">
        <v>16.283333330000001</v>
      </c>
      <c r="F891" t="s">
        <v>2778</v>
      </c>
      <c r="G891" t="s">
        <v>2767</v>
      </c>
      <c r="H891" t="s">
        <v>167</v>
      </c>
      <c r="I891" t="s">
        <v>1753</v>
      </c>
      <c r="J891" t="s">
        <v>202</v>
      </c>
      <c r="K891" t="s">
        <v>203</v>
      </c>
      <c r="L891" t="s">
        <v>121</v>
      </c>
      <c r="M891" t="s">
        <v>2768</v>
      </c>
      <c r="N891" s="6" t="s">
        <v>2779</v>
      </c>
      <c r="O891" t="s">
        <v>2652</v>
      </c>
      <c r="P891" t="s">
        <v>2652</v>
      </c>
      <c r="Q891" t="s">
        <v>2770</v>
      </c>
      <c r="R891" t="s">
        <v>2771</v>
      </c>
      <c r="S891">
        <v>2016</v>
      </c>
      <c r="T891" t="s">
        <v>771</v>
      </c>
      <c r="U891" t="s">
        <v>1479</v>
      </c>
      <c r="V891">
        <v>0</v>
      </c>
      <c r="W891">
        <v>2700</v>
      </c>
      <c r="X891">
        <v>40</v>
      </c>
      <c r="Y891">
        <v>0</v>
      </c>
      <c r="Z891">
        <v>15</v>
      </c>
      <c r="AA891">
        <v>3</v>
      </c>
      <c r="AB891">
        <v>0</v>
      </c>
      <c r="AC891">
        <v>0</v>
      </c>
      <c r="AD891">
        <v>9</v>
      </c>
      <c r="AF891">
        <v>20</v>
      </c>
      <c r="AG891">
        <v>0</v>
      </c>
      <c r="AH891" t="s">
        <v>2259</v>
      </c>
      <c r="AI891">
        <v>0</v>
      </c>
      <c r="AJ891">
        <v>0</v>
      </c>
      <c r="AK891">
        <v>0</v>
      </c>
      <c r="AL891">
        <v>0</v>
      </c>
      <c r="AM891" t="s">
        <v>2772</v>
      </c>
      <c r="AN891" t="s">
        <v>132</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4</v>
      </c>
      <c r="BN891">
        <v>15</v>
      </c>
      <c r="BO891">
        <v>34</v>
      </c>
      <c r="BP891">
        <v>0</v>
      </c>
      <c r="BQ891">
        <v>0</v>
      </c>
      <c r="BR891">
        <v>0</v>
      </c>
      <c r="BS891">
        <v>0</v>
      </c>
      <c r="BT891">
        <v>0</v>
      </c>
      <c r="BU891">
        <v>0</v>
      </c>
      <c r="BV891">
        <v>0</v>
      </c>
      <c r="BW891">
        <v>0</v>
      </c>
      <c r="BX891">
        <v>0</v>
      </c>
      <c r="BY891">
        <v>0</v>
      </c>
      <c r="BZ891">
        <v>0</v>
      </c>
      <c r="CA891">
        <v>0</v>
      </c>
      <c r="CB891">
        <v>0</v>
      </c>
      <c r="CC891">
        <v>0</v>
      </c>
      <c r="CD891">
        <v>0</v>
      </c>
      <c r="CE891" s="19">
        <f>SUM(Table1[[#This Row],[Low38]],Table1[[#This Row],[Low35]],Table1[[#This Row],[Low32]],Table1[[#This Row],[Low29]],Table1[[#This Row],[Low26]],Table1[[#This Row],[Low23]],Table1[[#This Row],[Low20]],Table1[[#This Row],[Low17]],Table1[[#This Row],[Low14]],Table1[[#This Row],[Low11]],Table1[[#This Row],[Low8]],Table1[[#This Row],[Low5]],Table1[[#This Row],[Low2]],Table1[[#This Row],[Low]])</f>
        <v>4</v>
      </c>
      <c r="CF891" s="19">
        <f>SUM(Table1[[#This Row],[Mid39]],Table1[[#This Row],[Mid36]],Table1[[#This Row],[Mid33]],Table1[[#This Row],[Mid30]],Table1[[#This Row],[Mid27]],Table1[[#This Row],[Mid24]],Table1[[#This Row],[Mid21]],Table1[[#This Row],[Mid18]],Table1[[#This Row],[Mid15]],Table1[[#This Row],[Mid12]],Table1[[#This Row],[Mid9]],Table1[[#This Row],[Mid6]],Table1[[#This Row],[Mid3]],Table1[[#This Row],[Mid]])</f>
        <v>15</v>
      </c>
      <c r="CG89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34</v>
      </c>
      <c r="CH891" t="s">
        <v>157</v>
      </c>
      <c r="CI891" t="s">
        <v>176</v>
      </c>
      <c r="CJ891" t="s">
        <v>158</v>
      </c>
      <c r="CL891" s="19">
        <f>IF(Table1[[#This Row],[Type]]="Petroleum",1,IF(ISERROR(Table1[[#This Row],[Well Density]]*Table1[[#This Row],[Single Well Discovery Area]]),"",IF(Table1[[#This Row],[Well Density]]*Table1[[#This Row],[Single Well Discovery Area]]&gt;1,1,Table1[[#This Row],[Well Density]]*Table1[[#This Row],[Single Well Discovery Area]])))</f>
        <v>1</v>
      </c>
      <c r="CN891" s="19">
        <f>Table1[[#This Row],[Mid]]</f>
        <v>0</v>
      </c>
      <c r="CO891" s="19">
        <f>Table1[[#This Row],[Mid3]]+Table1[[#This Row],[Mid6]]+Table1[[#This Row],[Mid9]]</f>
        <v>0</v>
      </c>
      <c r="CP891" s="19">
        <f>Table1[[#This Row],[Mid12]]+Table1[[#This Row],[Mid15]]+Table1[[#This Row],[Mid18]]+Table1[[#This Row],[Mid21]]+Table1[[#This Row],[Mid24]]</f>
        <v>15</v>
      </c>
      <c r="CQ891" s="19">
        <f>Table1[[#This Row],[Mid27]]+Table1[[#This Row],[Mid30]]+Table1[[#This Row],[Mid33]]+Table1[[#This Row],[Mid36]]+Table1[[#This Row],[Mid39]]</f>
        <v>0</v>
      </c>
      <c r="CR891" t="s">
        <v>415</v>
      </c>
      <c r="CS891" s="19" t="str">
        <f>IF(AND(Table1[[#This Row],[Low41]]=0, Table1[[#This Row],[High43]]=0),"N","Y")</f>
        <v>Y</v>
      </c>
    </row>
    <row r="892" spans="1:97" ht="19.5" customHeight="1" x14ac:dyDescent="0.25">
      <c r="A892">
        <v>10891</v>
      </c>
      <c r="B892" t="s">
        <v>2764</v>
      </c>
      <c r="C892" t="s">
        <v>2765</v>
      </c>
      <c r="D892">
        <v>48.365833330000001</v>
      </c>
      <c r="E892">
        <v>16.68444444</v>
      </c>
      <c r="F892" t="s">
        <v>2780</v>
      </c>
      <c r="G892" t="s">
        <v>2767</v>
      </c>
      <c r="H892" t="s">
        <v>167</v>
      </c>
      <c r="I892" t="s">
        <v>1753</v>
      </c>
      <c r="J892" t="s">
        <v>202</v>
      </c>
      <c r="K892" t="s">
        <v>203</v>
      </c>
      <c r="L892" t="s">
        <v>121</v>
      </c>
      <c r="M892" t="s">
        <v>2768</v>
      </c>
      <c r="N892" s="6" t="s">
        <v>2781</v>
      </c>
      <c r="O892" t="s">
        <v>2652</v>
      </c>
      <c r="P892" t="s">
        <v>2652</v>
      </c>
      <c r="Q892" t="s">
        <v>2770</v>
      </c>
      <c r="R892" t="s">
        <v>2771</v>
      </c>
      <c r="S892">
        <v>2016</v>
      </c>
      <c r="T892" t="s">
        <v>771</v>
      </c>
      <c r="U892" t="s">
        <v>1479</v>
      </c>
      <c r="V892">
        <v>0</v>
      </c>
      <c r="W892">
        <v>0</v>
      </c>
      <c r="X892">
        <v>0</v>
      </c>
      <c r="Y892">
        <v>0</v>
      </c>
      <c r="Z892">
        <v>0</v>
      </c>
      <c r="AA892">
        <v>0</v>
      </c>
      <c r="AB892">
        <v>0</v>
      </c>
      <c r="AC892">
        <v>0</v>
      </c>
      <c r="AD892">
        <v>0</v>
      </c>
      <c r="AF892">
        <v>20</v>
      </c>
      <c r="AG892">
        <v>0</v>
      </c>
      <c r="AH892" t="s">
        <v>2259</v>
      </c>
      <c r="AI892">
        <v>0</v>
      </c>
      <c r="AJ892">
        <v>0</v>
      </c>
      <c r="AK892">
        <v>0</v>
      </c>
      <c r="AL892">
        <v>0</v>
      </c>
      <c r="AM892" t="s">
        <v>2772</v>
      </c>
      <c r="AN892" t="s">
        <v>132</v>
      </c>
      <c r="AO892">
        <v>0</v>
      </c>
      <c r="AP892">
        <v>0</v>
      </c>
      <c r="AQ892">
        <v>0</v>
      </c>
      <c r="AR892">
        <v>0</v>
      </c>
      <c r="AS892">
        <v>0</v>
      </c>
      <c r="AT892">
        <v>0</v>
      </c>
      <c r="AU892">
        <v>0</v>
      </c>
      <c r="AV892">
        <v>0</v>
      </c>
      <c r="AW892">
        <v>0</v>
      </c>
      <c r="AX892">
        <v>0</v>
      </c>
      <c r="AY892">
        <v>0</v>
      </c>
      <c r="AZ892">
        <v>0</v>
      </c>
      <c r="BA892">
        <v>0</v>
      </c>
      <c r="BB892">
        <v>0</v>
      </c>
      <c r="BC892">
        <v>0</v>
      </c>
      <c r="BD892">
        <v>0</v>
      </c>
      <c r="BE892">
        <v>0</v>
      </c>
      <c r="BF892">
        <v>0</v>
      </c>
      <c r="BG892">
        <v>0</v>
      </c>
      <c r="BH892">
        <v>0</v>
      </c>
      <c r="BI892">
        <v>0</v>
      </c>
      <c r="BJ892">
        <v>0</v>
      </c>
      <c r="BK892">
        <v>0</v>
      </c>
      <c r="BL892">
        <v>0</v>
      </c>
      <c r="BM892">
        <v>1</v>
      </c>
      <c r="BN892">
        <v>13</v>
      </c>
      <c r="BO892">
        <v>24</v>
      </c>
      <c r="BP892">
        <v>0</v>
      </c>
      <c r="BQ892">
        <v>0</v>
      </c>
      <c r="BR892">
        <v>0</v>
      </c>
      <c r="BS892">
        <v>0</v>
      </c>
      <c r="BT892">
        <v>0</v>
      </c>
      <c r="BU892">
        <v>0</v>
      </c>
      <c r="BV892">
        <v>0</v>
      </c>
      <c r="BW892">
        <v>0</v>
      </c>
      <c r="BX892">
        <v>0</v>
      </c>
      <c r="BY892">
        <v>0</v>
      </c>
      <c r="BZ892">
        <v>0</v>
      </c>
      <c r="CA892">
        <v>0</v>
      </c>
      <c r="CB892">
        <v>0</v>
      </c>
      <c r="CC892">
        <v>0</v>
      </c>
      <c r="CD892">
        <v>0</v>
      </c>
      <c r="CE892" s="19">
        <f>SUM(Table1[[#This Row],[Low38]],Table1[[#This Row],[Low35]],Table1[[#This Row],[Low32]],Table1[[#This Row],[Low29]],Table1[[#This Row],[Low26]],Table1[[#This Row],[Low23]],Table1[[#This Row],[Low20]],Table1[[#This Row],[Low17]],Table1[[#This Row],[Low14]],Table1[[#This Row],[Low11]],Table1[[#This Row],[Low8]],Table1[[#This Row],[Low5]],Table1[[#This Row],[Low2]],Table1[[#This Row],[Low]])</f>
        <v>1</v>
      </c>
      <c r="CF892" s="19">
        <f>SUM(Table1[[#This Row],[Mid39]],Table1[[#This Row],[Mid36]],Table1[[#This Row],[Mid33]],Table1[[#This Row],[Mid30]],Table1[[#This Row],[Mid27]],Table1[[#This Row],[Mid24]],Table1[[#This Row],[Mid21]],Table1[[#This Row],[Mid18]],Table1[[#This Row],[Mid15]],Table1[[#This Row],[Mid12]],Table1[[#This Row],[Mid9]],Table1[[#This Row],[Mid6]],Table1[[#This Row],[Mid3]],Table1[[#This Row],[Mid]])</f>
        <v>13</v>
      </c>
      <c r="CG89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24</v>
      </c>
      <c r="CH892" t="s">
        <v>157</v>
      </c>
      <c r="CI892" t="s">
        <v>176</v>
      </c>
      <c r="CJ892" t="s">
        <v>158</v>
      </c>
      <c r="CL892" s="19">
        <f>IF(Table1[[#This Row],[Type]]="Petroleum",1,IF(ISERROR(Table1[[#This Row],[Well Density]]*Table1[[#This Row],[Single Well Discovery Area]]),"",IF(Table1[[#This Row],[Well Density]]*Table1[[#This Row],[Single Well Discovery Area]]&gt;1,1,Table1[[#This Row],[Well Density]]*Table1[[#This Row],[Single Well Discovery Area]])))</f>
        <v>1</v>
      </c>
      <c r="CN892" s="19">
        <f>Table1[[#This Row],[Mid]]</f>
        <v>0</v>
      </c>
      <c r="CO892" s="19">
        <f>Table1[[#This Row],[Mid3]]+Table1[[#This Row],[Mid6]]+Table1[[#This Row],[Mid9]]</f>
        <v>0</v>
      </c>
      <c r="CP892" s="19">
        <f>Table1[[#This Row],[Mid12]]+Table1[[#This Row],[Mid15]]+Table1[[#This Row],[Mid18]]+Table1[[#This Row],[Mid21]]+Table1[[#This Row],[Mid24]]</f>
        <v>13</v>
      </c>
      <c r="CQ892" s="19">
        <f>Table1[[#This Row],[Mid27]]+Table1[[#This Row],[Mid30]]+Table1[[#This Row],[Mid33]]+Table1[[#This Row],[Mid36]]+Table1[[#This Row],[Mid39]]</f>
        <v>0</v>
      </c>
      <c r="CR892" t="s">
        <v>415</v>
      </c>
      <c r="CS892" s="19" t="str">
        <f>IF(AND(Table1[[#This Row],[Low41]]=0, Table1[[#This Row],[High43]]=0),"N","Y")</f>
        <v>Y</v>
      </c>
    </row>
    <row r="893" spans="1:97" ht="19.5" customHeight="1" x14ac:dyDescent="0.25">
      <c r="A893">
        <v>10892</v>
      </c>
      <c r="B893" t="s">
        <v>2764</v>
      </c>
      <c r="C893" t="s">
        <v>2782</v>
      </c>
      <c r="D893">
        <v>48.015555560000003</v>
      </c>
      <c r="E893">
        <v>14.099166670000001</v>
      </c>
      <c r="F893" t="s">
        <v>2783</v>
      </c>
      <c r="G893" t="s">
        <v>2784</v>
      </c>
      <c r="H893" t="s">
        <v>167</v>
      </c>
      <c r="I893" t="s">
        <v>1753</v>
      </c>
      <c r="J893" t="s">
        <v>202</v>
      </c>
      <c r="K893" t="s">
        <v>203</v>
      </c>
      <c r="L893" t="s">
        <v>121</v>
      </c>
      <c r="M893" t="s">
        <v>2768</v>
      </c>
      <c r="N893" s="6" t="s">
        <v>2785</v>
      </c>
      <c r="O893" t="s">
        <v>2652</v>
      </c>
      <c r="P893" t="s">
        <v>2652</v>
      </c>
      <c r="Q893" t="s">
        <v>2770</v>
      </c>
      <c r="R893" t="s">
        <v>2771</v>
      </c>
      <c r="S893">
        <v>2016</v>
      </c>
      <c r="T893" t="s">
        <v>771</v>
      </c>
      <c r="U893" t="s">
        <v>1479</v>
      </c>
      <c r="V893">
        <v>0</v>
      </c>
      <c r="W893">
        <v>0</v>
      </c>
      <c r="X893">
        <v>0</v>
      </c>
      <c r="Y893">
        <v>0</v>
      </c>
      <c r="Z893">
        <v>0</v>
      </c>
      <c r="AA893">
        <v>0</v>
      </c>
      <c r="AB893">
        <v>0</v>
      </c>
      <c r="AC893">
        <v>0</v>
      </c>
      <c r="AD893">
        <v>0</v>
      </c>
      <c r="AF893">
        <v>20</v>
      </c>
      <c r="AG893">
        <v>0</v>
      </c>
      <c r="AH893" t="s">
        <v>2259</v>
      </c>
      <c r="AI893">
        <v>0</v>
      </c>
      <c r="AJ893">
        <v>0</v>
      </c>
      <c r="AK893">
        <v>0</v>
      </c>
      <c r="AL893">
        <v>0</v>
      </c>
      <c r="AM893" t="s">
        <v>2772</v>
      </c>
      <c r="AN893" t="s">
        <v>132</v>
      </c>
      <c r="AO893">
        <v>0</v>
      </c>
      <c r="AP893">
        <v>0</v>
      </c>
      <c r="AQ893">
        <v>0</v>
      </c>
      <c r="AR893">
        <v>0</v>
      </c>
      <c r="AS893">
        <v>0</v>
      </c>
      <c r="AT893">
        <v>0</v>
      </c>
      <c r="AU893">
        <v>0</v>
      </c>
      <c r="AV893">
        <v>0</v>
      </c>
      <c r="AW893">
        <v>0</v>
      </c>
      <c r="AX893">
        <v>0</v>
      </c>
      <c r="AY893">
        <v>0</v>
      </c>
      <c r="AZ893">
        <v>0</v>
      </c>
      <c r="BA893">
        <v>0</v>
      </c>
      <c r="BB893">
        <v>0</v>
      </c>
      <c r="BC893">
        <v>0</v>
      </c>
      <c r="BD893">
        <v>0</v>
      </c>
      <c r="BE893">
        <v>0</v>
      </c>
      <c r="BF893">
        <v>0</v>
      </c>
      <c r="BG893">
        <v>0</v>
      </c>
      <c r="BH893">
        <v>0</v>
      </c>
      <c r="BI893">
        <v>0</v>
      </c>
      <c r="BJ893">
        <v>0</v>
      </c>
      <c r="BK893">
        <v>0</v>
      </c>
      <c r="BL893">
        <v>0</v>
      </c>
      <c r="BM893">
        <v>5</v>
      </c>
      <c r="BN893">
        <v>33</v>
      </c>
      <c r="BO893">
        <v>101</v>
      </c>
      <c r="BP893">
        <v>0</v>
      </c>
      <c r="BQ893">
        <v>0</v>
      </c>
      <c r="BR893">
        <v>0</v>
      </c>
      <c r="BS893">
        <v>0</v>
      </c>
      <c r="BT893">
        <v>0</v>
      </c>
      <c r="BU893">
        <v>0</v>
      </c>
      <c r="BV893">
        <v>0</v>
      </c>
      <c r="BW893">
        <v>0</v>
      </c>
      <c r="BX893">
        <v>0</v>
      </c>
      <c r="BY893">
        <v>0</v>
      </c>
      <c r="BZ893">
        <v>0</v>
      </c>
      <c r="CA893">
        <v>0</v>
      </c>
      <c r="CB893">
        <v>0</v>
      </c>
      <c r="CC893">
        <v>0</v>
      </c>
      <c r="CD893">
        <v>0</v>
      </c>
      <c r="CE893" s="19">
        <f>SUM(Table1[[#This Row],[Low38]],Table1[[#This Row],[Low35]],Table1[[#This Row],[Low32]],Table1[[#This Row],[Low29]],Table1[[#This Row],[Low26]],Table1[[#This Row],[Low23]],Table1[[#This Row],[Low20]],Table1[[#This Row],[Low17]],Table1[[#This Row],[Low14]],Table1[[#This Row],[Low11]],Table1[[#This Row],[Low8]],Table1[[#This Row],[Low5]],Table1[[#This Row],[Low2]],Table1[[#This Row],[Low]])</f>
        <v>5</v>
      </c>
      <c r="CF893" s="19">
        <f>SUM(Table1[[#This Row],[Mid39]],Table1[[#This Row],[Mid36]],Table1[[#This Row],[Mid33]],Table1[[#This Row],[Mid30]],Table1[[#This Row],[Mid27]],Table1[[#This Row],[Mid24]],Table1[[#This Row],[Mid21]],Table1[[#This Row],[Mid18]],Table1[[#This Row],[Mid15]],Table1[[#This Row],[Mid12]],Table1[[#This Row],[Mid9]],Table1[[#This Row],[Mid6]],Table1[[#This Row],[Mid3]],Table1[[#This Row],[Mid]])</f>
        <v>33</v>
      </c>
      <c r="CG89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101</v>
      </c>
      <c r="CH893" t="s">
        <v>157</v>
      </c>
      <c r="CI893" t="s">
        <v>176</v>
      </c>
      <c r="CJ893" t="s">
        <v>158</v>
      </c>
      <c r="CL893" s="19">
        <f>IF(Table1[[#This Row],[Type]]="Petroleum",1,IF(ISERROR(Table1[[#This Row],[Well Density]]*Table1[[#This Row],[Single Well Discovery Area]]),"",IF(Table1[[#This Row],[Well Density]]*Table1[[#This Row],[Single Well Discovery Area]]&gt;1,1,Table1[[#This Row],[Well Density]]*Table1[[#This Row],[Single Well Discovery Area]])))</f>
        <v>1</v>
      </c>
      <c r="CN893" s="19">
        <f>Table1[[#This Row],[Mid]]</f>
        <v>0</v>
      </c>
      <c r="CO893" s="19">
        <f>Table1[[#This Row],[Mid3]]+Table1[[#This Row],[Mid6]]+Table1[[#This Row],[Mid9]]</f>
        <v>0</v>
      </c>
      <c r="CP893" s="19">
        <f>Table1[[#This Row],[Mid12]]+Table1[[#This Row],[Mid15]]+Table1[[#This Row],[Mid18]]+Table1[[#This Row],[Mid21]]+Table1[[#This Row],[Mid24]]</f>
        <v>33</v>
      </c>
      <c r="CQ893" s="19">
        <f>Table1[[#This Row],[Mid27]]+Table1[[#This Row],[Mid30]]+Table1[[#This Row],[Mid33]]+Table1[[#This Row],[Mid36]]+Table1[[#This Row],[Mid39]]</f>
        <v>0</v>
      </c>
      <c r="CR893" t="s">
        <v>415</v>
      </c>
      <c r="CS893" s="19" t="str">
        <f>IF(AND(Table1[[#This Row],[Low41]]=0, Table1[[#This Row],[High43]]=0),"N","Y")</f>
        <v>Y</v>
      </c>
    </row>
    <row r="894" spans="1:97" ht="19.5" customHeight="1" x14ac:dyDescent="0.25">
      <c r="A894">
        <v>10893</v>
      </c>
      <c r="B894" t="s">
        <v>2786</v>
      </c>
      <c r="C894" t="s">
        <v>2787</v>
      </c>
      <c r="D894">
        <v>45.653333330000002</v>
      </c>
      <c r="E894">
        <v>16.463333330000001</v>
      </c>
      <c r="F894" t="s">
        <v>2788</v>
      </c>
      <c r="G894" t="s">
        <v>2789</v>
      </c>
      <c r="H894" t="s">
        <v>2790</v>
      </c>
      <c r="I894" t="s">
        <v>118</v>
      </c>
      <c r="J894" t="s">
        <v>119</v>
      </c>
      <c r="K894" t="s">
        <v>167</v>
      </c>
      <c r="L894" t="s">
        <v>18</v>
      </c>
      <c r="M894" t="s">
        <v>2731</v>
      </c>
      <c r="N894" s="6" t="s">
        <v>2791</v>
      </c>
      <c r="O894" t="s">
        <v>2652</v>
      </c>
      <c r="P894" t="s">
        <v>2652</v>
      </c>
      <c r="Q894" t="s">
        <v>2792</v>
      </c>
      <c r="R894" t="s">
        <v>2793</v>
      </c>
      <c r="S894">
        <v>2021</v>
      </c>
      <c r="T894" t="s">
        <v>771</v>
      </c>
      <c r="U894" t="s">
        <v>1479</v>
      </c>
      <c r="V894">
        <v>1351</v>
      </c>
      <c r="W894">
        <v>1450</v>
      </c>
      <c r="X894">
        <v>150</v>
      </c>
      <c r="Z894">
        <v>18</v>
      </c>
      <c r="AC894">
        <v>531</v>
      </c>
      <c r="AD894">
        <v>120</v>
      </c>
      <c r="AE894">
        <v>8.8823094000000005E-2</v>
      </c>
      <c r="AF894">
        <v>200</v>
      </c>
      <c r="AH894" t="s">
        <v>2259</v>
      </c>
      <c r="AI894">
        <v>2</v>
      </c>
      <c r="AM894" t="s">
        <v>2794</v>
      </c>
      <c r="AN894" t="s">
        <v>132</v>
      </c>
      <c r="AO894">
        <v>0</v>
      </c>
      <c r="AP894">
        <v>0</v>
      </c>
      <c r="AQ894">
        <v>0</v>
      </c>
      <c r="AR894">
        <v>0</v>
      </c>
      <c r="AS894">
        <v>0</v>
      </c>
      <c r="AT894">
        <v>0</v>
      </c>
      <c r="AU894">
        <v>0</v>
      </c>
      <c r="AV894">
        <v>0</v>
      </c>
      <c r="AW894">
        <v>0</v>
      </c>
      <c r="AX894">
        <v>0</v>
      </c>
      <c r="AY894">
        <v>0</v>
      </c>
      <c r="AZ894">
        <v>0</v>
      </c>
      <c r="BA894">
        <v>0</v>
      </c>
      <c r="BB894">
        <v>0</v>
      </c>
      <c r="BC894">
        <v>0</v>
      </c>
      <c r="BD894">
        <v>0</v>
      </c>
      <c r="BE894">
        <v>0</v>
      </c>
      <c r="BF894">
        <v>0</v>
      </c>
      <c r="BG894">
        <v>0</v>
      </c>
      <c r="BH894">
        <v>0</v>
      </c>
      <c r="BI894">
        <v>0</v>
      </c>
      <c r="BJ894">
        <v>0</v>
      </c>
      <c r="BK894">
        <v>0</v>
      </c>
      <c r="BL894">
        <v>0</v>
      </c>
      <c r="BM894">
        <v>0</v>
      </c>
      <c r="BN894">
        <v>0</v>
      </c>
      <c r="BO894">
        <v>0</v>
      </c>
      <c r="BP894">
        <v>0</v>
      </c>
      <c r="BQ894">
        <v>0</v>
      </c>
      <c r="BR894">
        <v>0</v>
      </c>
      <c r="BS894">
        <v>0</v>
      </c>
      <c r="BT894">
        <v>0</v>
      </c>
      <c r="BU894">
        <v>0</v>
      </c>
      <c r="BV894">
        <v>0</v>
      </c>
      <c r="BW894">
        <v>310</v>
      </c>
      <c r="BX894">
        <v>0</v>
      </c>
      <c r="BY894">
        <v>0</v>
      </c>
      <c r="BZ894">
        <v>0</v>
      </c>
      <c r="CA894">
        <v>0</v>
      </c>
      <c r="CB894">
        <v>0</v>
      </c>
      <c r="CC894">
        <v>0</v>
      </c>
      <c r="CD894">
        <v>0</v>
      </c>
      <c r="CE89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94" s="19">
        <f>SUM(Table1[[#This Row],[Mid39]],Table1[[#This Row],[Mid36]],Table1[[#This Row],[Mid33]],Table1[[#This Row],[Mid30]],Table1[[#This Row],[Mid27]],Table1[[#This Row],[Mid24]],Table1[[#This Row],[Mid21]],Table1[[#This Row],[Mid18]],Table1[[#This Row],[Mid15]],Table1[[#This Row],[Mid12]],Table1[[#This Row],[Mid9]],Table1[[#This Row],[Mid6]],Table1[[#This Row],[Mid3]],Table1[[#This Row],[Mid]])</f>
        <v>310</v>
      </c>
      <c r="CG89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94" t="s">
        <v>157</v>
      </c>
      <c r="CI894" t="s">
        <v>2795</v>
      </c>
      <c r="CJ894" t="s">
        <v>158</v>
      </c>
      <c r="CL894" s="19">
        <f>IF(Table1[[#This Row],[Type]]="Petroleum",1,IF(ISERROR(Table1[[#This Row],[Well Density]]*Table1[[#This Row],[Single Well Discovery Area]]),"",IF(Table1[[#This Row],[Well Density]]*Table1[[#This Row],[Single Well Discovery Area]]&gt;1,1,Table1[[#This Row],[Well Density]]*Table1[[#This Row],[Single Well Discovery Area]])))</f>
        <v>1</v>
      </c>
      <c r="CN894" s="19">
        <f>Table1[[#This Row],[Mid]]</f>
        <v>0</v>
      </c>
      <c r="CO894" s="19">
        <f>Table1[[#This Row],[Mid3]]+Table1[[#This Row],[Mid6]]+Table1[[#This Row],[Mid9]]</f>
        <v>0</v>
      </c>
      <c r="CP894" s="19">
        <f>Table1[[#This Row],[Mid12]]+Table1[[#This Row],[Mid15]]+Table1[[#This Row],[Mid18]]+Table1[[#This Row],[Mid21]]+Table1[[#This Row],[Mid24]]</f>
        <v>0</v>
      </c>
      <c r="CQ894" s="19">
        <f>Table1[[#This Row],[Mid27]]+Table1[[#This Row],[Mid30]]+Table1[[#This Row],[Mid33]]+Table1[[#This Row],[Mid36]]+Table1[[#This Row],[Mid39]]</f>
        <v>310</v>
      </c>
      <c r="CR894" t="s">
        <v>415</v>
      </c>
      <c r="CS894" s="19" t="str">
        <f>IF(AND(Table1[[#This Row],[Low41]]=0, Table1[[#This Row],[High43]]=0),"N","Y")</f>
        <v>N</v>
      </c>
    </row>
    <row r="895" spans="1:97" ht="19.5" customHeight="1" x14ac:dyDescent="0.25">
      <c r="A895">
        <v>10894</v>
      </c>
      <c r="B895" t="s">
        <v>2786</v>
      </c>
      <c r="C895" t="s">
        <v>2787</v>
      </c>
      <c r="D895">
        <v>45.653333330000002</v>
      </c>
      <c r="E895">
        <v>16.463611109999999</v>
      </c>
      <c r="F895" t="s">
        <v>2796</v>
      </c>
      <c r="G895" t="s">
        <v>2789</v>
      </c>
      <c r="H895" t="s">
        <v>2797</v>
      </c>
      <c r="I895" t="s">
        <v>118</v>
      </c>
      <c r="J895" t="s">
        <v>119</v>
      </c>
      <c r="K895" t="s">
        <v>167</v>
      </c>
      <c r="L895" t="s">
        <v>18</v>
      </c>
      <c r="M895" t="s">
        <v>2731</v>
      </c>
      <c r="N895" s="6" t="s">
        <v>2791</v>
      </c>
      <c r="O895" t="s">
        <v>2652</v>
      </c>
      <c r="P895" t="s">
        <v>2652</v>
      </c>
      <c r="Q895" t="s">
        <v>2798</v>
      </c>
      <c r="R895" t="s">
        <v>2799</v>
      </c>
      <c r="S895">
        <v>2021</v>
      </c>
      <c r="T895" t="s">
        <v>771</v>
      </c>
      <c r="U895" t="s">
        <v>1479</v>
      </c>
      <c r="V895">
        <v>780</v>
      </c>
      <c r="W895">
        <v>2000</v>
      </c>
      <c r="X895">
        <v>250</v>
      </c>
      <c r="Z895">
        <v>16</v>
      </c>
      <c r="AC895">
        <v>541</v>
      </c>
      <c r="AE895">
        <v>0</v>
      </c>
      <c r="AF895">
        <v>200</v>
      </c>
      <c r="AH895" t="s">
        <v>2259</v>
      </c>
      <c r="AI895">
        <v>2</v>
      </c>
      <c r="AM895" t="s">
        <v>2794</v>
      </c>
      <c r="AN895" t="s">
        <v>132</v>
      </c>
      <c r="AO895">
        <v>0</v>
      </c>
      <c r="AP895">
        <v>0</v>
      </c>
      <c r="AQ895">
        <v>0</v>
      </c>
      <c r="AR895">
        <v>0</v>
      </c>
      <c r="AS895">
        <v>0</v>
      </c>
      <c r="AT895">
        <v>0</v>
      </c>
      <c r="AU895">
        <v>0</v>
      </c>
      <c r="AV895">
        <v>0</v>
      </c>
      <c r="AW895">
        <v>0</v>
      </c>
      <c r="AX895">
        <v>0</v>
      </c>
      <c r="AY895">
        <v>0</v>
      </c>
      <c r="AZ895">
        <v>0</v>
      </c>
      <c r="BA895">
        <v>0</v>
      </c>
      <c r="BB895">
        <v>0</v>
      </c>
      <c r="BC895">
        <v>0</v>
      </c>
      <c r="BD895">
        <v>0</v>
      </c>
      <c r="BE895">
        <v>0</v>
      </c>
      <c r="BF895">
        <v>0</v>
      </c>
      <c r="BG895">
        <v>0</v>
      </c>
      <c r="BH895">
        <v>0</v>
      </c>
      <c r="BI895">
        <v>0</v>
      </c>
      <c r="BJ895">
        <v>0</v>
      </c>
      <c r="BK895">
        <v>0</v>
      </c>
      <c r="BL895">
        <v>0</v>
      </c>
      <c r="BM895">
        <v>0</v>
      </c>
      <c r="BN895">
        <v>0</v>
      </c>
      <c r="BO895">
        <v>0</v>
      </c>
      <c r="BP895">
        <v>0</v>
      </c>
      <c r="BQ895">
        <v>0</v>
      </c>
      <c r="BR895">
        <v>0</v>
      </c>
      <c r="BS895">
        <v>0</v>
      </c>
      <c r="BT895">
        <v>0</v>
      </c>
      <c r="BU895">
        <v>0</v>
      </c>
      <c r="BV895">
        <v>0</v>
      </c>
      <c r="BW895">
        <v>269.7</v>
      </c>
      <c r="BX895">
        <v>0</v>
      </c>
      <c r="BY895">
        <v>0</v>
      </c>
      <c r="BZ895">
        <v>0</v>
      </c>
      <c r="CA895">
        <v>0</v>
      </c>
      <c r="CB895">
        <v>0</v>
      </c>
      <c r="CC895">
        <v>0</v>
      </c>
      <c r="CD895">
        <v>0</v>
      </c>
      <c r="CE89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95" s="19">
        <f>SUM(Table1[[#This Row],[Mid39]],Table1[[#This Row],[Mid36]],Table1[[#This Row],[Mid33]],Table1[[#This Row],[Mid30]],Table1[[#This Row],[Mid27]],Table1[[#This Row],[Mid24]],Table1[[#This Row],[Mid21]],Table1[[#This Row],[Mid18]],Table1[[#This Row],[Mid15]],Table1[[#This Row],[Mid12]],Table1[[#This Row],[Mid9]],Table1[[#This Row],[Mid6]],Table1[[#This Row],[Mid3]],Table1[[#This Row],[Mid]])</f>
        <v>269.7</v>
      </c>
      <c r="CG89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95" t="s">
        <v>157</v>
      </c>
      <c r="CI895" t="s">
        <v>2795</v>
      </c>
      <c r="CJ895" t="s">
        <v>158</v>
      </c>
      <c r="CL895" s="19">
        <f>IF(Table1[[#This Row],[Type]]="Petroleum",1,IF(ISERROR(Table1[[#This Row],[Well Density]]*Table1[[#This Row],[Single Well Discovery Area]]),"",IF(Table1[[#This Row],[Well Density]]*Table1[[#This Row],[Single Well Discovery Area]]&gt;1,1,Table1[[#This Row],[Well Density]]*Table1[[#This Row],[Single Well Discovery Area]])))</f>
        <v>0</v>
      </c>
      <c r="CN895" s="19">
        <f>Table1[[#This Row],[Mid]]</f>
        <v>0</v>
      </c>
      <c r="CO895" s="19">
        <f>Table1[[#This Row],[Mid3]]+Table1[[#This Row],[Mid6]]+Table1[[#This Row],[Mid9]]</f>
        <v>0</v>
      </c>
      <c r="CP895" s="19">
        <f>Table1[[#This Row],[Mid12]]+Table1[[#This Row],[Mid15]]+Table1[[#This Row],[Mid18]]+Table1[[#This Row],[Mid21]]+Table1[[#This Row],[Mid24]]</f>
        <v>0</v>
      </c>
      <c r="CQ895" s="19">
        <f>Table1[[#This Row],[Mid27]]+Table1[[#This Row],[Mid30]]+Table1[[#This Row],[Mid33]]+Table1[[#This Row],[Mid36]]+Table1[[#This Row],[Mid39]]</f>
        <v>269.7</v>
      </c>
      <c r="CR895" t="s">
        <v>415</v>
      </c>
      <c r="CS895" s="19" t="str">
        <f>IF(AND(Table1[[#This Row],[Low41]]=0, Table1[[#This Row],[High43]]=0),"N","Y")</f>
        <v>N</v>
      </c>
    </row>
    <row r="896" spans="1:97" ht="19.5" customHeight="1" x14ac:dyDescent="0.25">
      <c r="A896">
        <v>10895</v>
      </c>
      <c r="B896" t="s">
        <v>2786</v>
      </c>
      <c r="C896" t="s">
        <v>2787</v>
      </c>
      <c r="D896">
        <v>45.653333330000002</v>
      </c>
      <c r="E896">
        <v>16.46388889</v>
      </c>
      <c r="F896" t="s">
        <v>2800</v>
      </c>
      <c r="G896" t="s">
        <v>2789</v>
      </c>
      <c r="H896" t="s">
        <v>2797</v>
      </c>
      <c r="I896" t="s">
        <v>118</v>
      </c>
      <c r="J896" t="s">
        <v>119</v>
      </c>
      <c r="K896" t="s">
        <v>167</v>
      </c>
      <c r="L896" t="s">
        <v>18</v>
      </c>
      <c r="M896" t="s">
        <v>2731</v>
      </c>
      <c r="N896" s="6" t="s">
        <v>2791</v>
      </c>
      <c r="O896" t="s">
        <v>2652</v>
      </c>
      <c r="P896" t="s">
        <v>2652</v>
      </c>
      <c r="Q896" t="s">
        <v>2798</v>
      </c>
      <c r="R896" t="s">
        <v>2801</v>
      </c>
      <c r="S896">
        <v>2021</v>
      </c>
      <c r="T896" t="s">
        <v>771</v>
      </c>
      <c r="U896" t="s">
        <v>1479</v>
      </c>
      <c r="V896">
        <v>815</v>
      </c>
      <c r="W896">
        <v>2050</v>
      </c>
      <c r="X896">
        <v>250</v>
      </c>
      <c r="Z896">
        <v>16</v>
      </c>
      <c r="AC896">
        <v>55</v>
      </c>
      <c r="AE896">
        <v>0</v>
      </c>
      <c r="AF896">
        <v>200</v>
      </c>
      <c r="AH896" t="s">
        <v>2259</v>
      </c>
      <c r="AI896">
        <v>2</v>
      </c>
      <c r="AM896" t="s">
        <v>2794</v>
      </c>
      <c r="AN896" t="s">
        <v>132</v>
      </c>
      <c r="AO896">
        <v>0</v>
      </c>
      <c r="AP896">
        <v>0</v>
      </c>
      <c r="AQ896">
        <v>0</v>
      </c>
      <c r="AR896">
        <v>0</v>
      </c>
      <c r="AS896">
        <v>0</v>
      </c>
      <c r="AT896">
        <v>0</v>
      </c>
      <c r="AU896">
        <v>0</v>
      </c>
      <c r="AV896">
        <v>0</v>
      </c>
      <c r="AW896">
        <v>0</v>
      </c>
      <c r="AX896">
        <v>0</v>
      </c>
      <c r="AY896">
        <v>0</v>
      </c>
      <c r="AZ896">
        <v>0</v>
      </c>
      <c r="BA896">
        <v>0</v>
      </c>
      <c r="BB896">
        <v>0</v>
      </c>
      <c r="BC896">
        <v>0</v>
      </c>
      <c r="BD896">
        <v>0</v>
      </c>
      <c r="BE896">
        <v>0</v>
      </c>
      <c r="BF896">
        <v>0</v>
      </c>
      <c r="BG896">
        <v>0</v>
      </c>
      <c r="BH896">
        <v>0</v>
      </c>
      <c r="BI896">
        <v>0</v>
      </c>
      <c r="BJ896">
        <v>0</v>
      </c>
      <c r="BK896">
        <v>0</v>
      </c>
      <c r="BL896">
        <v>0</v>
      </c>
      <c r="BM896">
        <v>0</v>
      </c>
      <c r="BN896">
        <v>0</v>
      </c>
      <c r="BO896">
        <v>0</v>
      </c>
      <c r="BP896">
        <v>0</v>
      </c>
      <c r="BQ896">
        <v>0</v>
      </c>
      <c r="BR896">
        <v>0</v>
      </c>
      <c r="BS896">
        <v>0</v>
      </c>
      <c r="BT896">
        <v>0</v>
      </c>
      <c r="BU896">
        <v>0</v>
      </c>
      <c r="BV896">
        <v>0</v>
      </c>
      <c r="BW896">
        <v>281.7</v>
      </c>
      <c r="BX896">
        <v>0</v>
      </c>
      <c r="BY896">
        <v>0</v>
      </c>
      <c r="BZ896">
        <v>0</v>
      </c>
      <c r="CA896">
        <v>0</v>
      </c>
      <c r="CB896">
        <v>0</v>
      </c>
      <c r="CC896">
        <v>0</v>
      </c>
      <c r="CD896">
        <v>0</v>
      </c>
      <c r="CE89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96" s="19">
        <f>SUM(Table1[[#This Row],[Mid39]],Table1[[#This Row],[Mid36]],Table1[[#This Row],[Mid33]],Table1[[#This Row],[Mid30]],Table1[[#This Row],[Mid27]],Table1[[#This Row],[Mid24]],Table1[[#This Row],[Mid21]],Table1[[#This Row],[Mid18]],Table1[[#This Row],[Mid15]],Table1[[#This Row],[Mid12]],Table1[[#This Row],[Mid9]],Table1[[#This Row],[Mid6]],Table1[[#This Row],[Mid3]],Table1[[#This Row],[Mid]])</f>
        <v>281.7</v>
      </c>
      <c r="CG89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96" t="s">
        <v>157</v>
      </c>
      <c r="CI896" t="s">
        <v>2795</v>
      </c>
      <c r="CJ896" t="s">
        <v>158</v>
      </c>
      <c r="CL896" s="19">
        <f>IF(Table1[[#This Row],[Type]]="Petroleum",1,IF(ISERROR(Table1[[#This Row],[Well Density]]*Table1[[#This Row],[Single Well Discovery Area]]),"",IF(Table1[[#This Row],[Well Density]]*Table1[[#This Row],[Single Well Discovery Area]]&gt;1,1,Table1[[#This Row],[Well Density]]*Table1[[#This Row],[Single Well Discovery Area]])))</f>
        <v>0</v>
      </c>
      <c r="CN896" s="19">
        <f>Table1[[#This Row],[Mid]]</f>
        <v>0</v>
      </c>
      <c r="CO896" s="19">
        <f>Table1[[#This Row],[Mid3]]+Table1[[#This Row],[Mid6]]+Table1[[#This Row],[Mid9]]</f>
        <v>0</v>
      </c>
      <c r="CP896" s="19">
        <f>Table1[[#This Row],[Mid12]]+Table1[[#This Row],[Mid15]]+Table1[[#This Row],[Mid18]]+Table1[[#This Row],[Mid21]]+Table1[[#This Row],[Mid24]]</f>
        <v>0</v>
      </c>
      <c r="CQ896" s="19">
        <f>Table1[[#This Row],[Mid27]]+Table1[[#This Row],[Mid30]]+Table1[[#This Row],[Mid33]]+Table1[[#This Row],[Mid36]]+Table1[[#This Row],[Mid39]]</f>
        <v>281.7</v>
      </c>
      <c r="CR896" t="s">
        <v>415</v>
      </c>
      <c r="CS896" s="19" t="str">
        <f>IF(AND(Table1[[#This Row],[Low41]]=0, Table1[[#This Row],[High43]]=0),"N","Y")</f>
        <v>N</v>
      </c>
    </row>
    <row r="897" spans="1:97" ht="19.5" customHeight="1" x14ac:dyDescent="0.25">
      <c r="A897">
        <v>10896</v>
      </c>
      <c r="B897" t="s">
        <v>2786</v>
      </c>
      <c r="C897" t="s">
        <v>2802</v>
      </c>
      <c r="D897">
        <v>45.884999999999998</v>
      </c>
      <c r="E897">
        <v>17.606666669999999</v>
      </c>
      <c r="F897" t="s">
        <v>2803</v>
      </c>
      <c r="G897" t="s">
        <v>2789</v>
      </c>
      <c r="H897" t="s">
        <v>2804</v>
      </c>
      <c r="I897" t="s">
        <v>118</v>
      </c>
      <c r="J897" t="s">
        <v>119</v>
      </c>
      <c r="K897" t="s">
        <v>167</v>
      </c>
      <c r="L897" t="s">
        <v>18</v>
      </c>
      <c r="M897" t="s">
        <v>2731</v>
      </c>
      <c r="N897" s="6" t="s">
        <v>2791</v>
      </c>
      <c r="O897" t="s">
        <v>2652</v>
      </c>
      <c r="P897" t="s">
        <v>2652</v>
      </c>
      <c r="Q897" t="s">
        <v>2805</v>
      </c>
      <c r="R897" t="s">
        <v>2806</v>
      </c>
      <c r="S897">
        <v>2021</v>
      </c>
      <c r="T897" t="s">
        <v>771</v>
      </c>
      <c r="U897" t="s">
        <v>1479</v>
      </c>
      <c r="V897">
        <v>2429</v>
      </c>
      <c r="W897">
        <v>900</v>
      </c>
      <c r="X897">
        <v>1000</v>
      </c>
      <c r="Y897">
        <v>60</v>
      </c>
      <c r="Z897">
        <v>20</v>
      </c>
      <c r="AC897">
        <v>432</v>
      </c>
      <c r="AE897">
        <v>0</v>
      </c>
      <c r="AF897">
        <v>200</v>
      </c>
      <c r="AH897" t="s">
        <v>2259</v>
      </c>
      <c r="AI897">
        <v>2</v>
      </c>
      <c r="AM897" t="s">
        <v>2794</v>
      </c>
      <c r="AN897" t="s">
        <v>132</v>
      </c>
      <c r="AO897">
        <v>0</v>
      </c>
      <c r="AP897">
        <v>0</v>
      </c>
      <c r="AQ897">
        <v>0</v>
      </c>
      <c r="AR897">
        <v>0</v>
      </c>
      <c r="AS897">
        <v>0</v>
      </c>
      <c r="AT897">
        <v>0</v>
      </c>
      <c r="AU897">
        <v>0</v>
      </c>
      <c r="AV897">
        <v>0</v>
      </c>
      <c r="AW897">
        <v>0</v>
      </c>
      <c r="AX897">
        <v>0</v>
      </c>
      <c r="AY897">
        <v>0</v>
      </c>
      <c r="AZ897">
        <v>0</v>
      </c>
      <c r="BA897">
        <v>0</v>
      </c>
      <c r="BB897">
        <v>0</v>
      </c>
      <c r="BC897">
        <v>0</v>
      </c>
      <c r="BD897">
        <v>0</v>
      </c>
      <c r="BE897">
        <v>0</v>
      </c>
      <c r="BF897">
        <v>0</v>
      </c>
      <c r="BG897">
        <v>0</v>
      </c>
      <c r="BH897">
        <v>0</v>
      </c>
      <c r="BI897">
        <v>0</v>
      </c>
      <c r="BJ897">
        <v>0</v>
      </c>
      <c r="BK897">
        <v>0</v>
      </c>
      <c r="BL897">
        <v>0</v>
      </c>
      <c r="BM897">
        <v>0</v>
      </c>
      <c r="BN897">
        <v>0</v>
      </c>
      <c r="BO897">
        <v>0</v>
      </c>
      <c r="BP897">
        <v>0</v>
      </c>
      <c r="BQ897">
        <v>0</v>
      </c>
      <c r="BR897">
        <v>0</v>
      </c>
      <c r="BS897">
        <v>0</v>
      </c>
      <c r="BT897">
        <v>0</v>
      </c>
      <c r="BU897">
        <v>0</v>
      </c>
      <c r="BV897">
        <v>0</v>
      </c>
      <c r="BW897">
        <v>0</v>
      </c>
      <c r="BX897">
        <v>0</v>
      </c>
      <c r="BY897">
        <v>0</v>
      </c>
      <c r="BZ897">
        <v>3360.7</v>
      </c>
      <c r="CA897">
        <v>0</v>
      </c>
      <c r="CB897">
        <v>0</v>
      </c>
      <c r="CC897">
        <v>0</v>
      </c>
      <c r="CD897">
        <v>0</v>
      </c>
      <c r="CE89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97" s="19">
        <f>SUM(Table1[[#This Row],[Mid39]],Table1[[#This Row],[Mid36]],Table1[[#This Row],[Mid33]],Table1[[#This Row],[Mid30]],Table1[[#This Row],[Mid27]],Table1[[#This Row],[Mid24]],Table1[[#This Row],[Mid21]],Table1[[#This Row],[Mid18]],Table1[[#This Row],[Mid15]],Table1[[#This Row],[Mid12]],Table1[[#This Row],[Mid9]],Table1[[#This Row],[Mid6]],Table1[[#This Row],[Mid3]],Table1[[#This Row],[Mid]])</f>
        <v>3360.7</v>
      </c>
      <c r="CG89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97" t="s">
        <v>157</v>
      </c>
      <c r="CI897" t="s">
        <v>2795</v>
      </c>
      <c r="CJ897" t="s">
        <v>158</v>
      </c>
      <c r="CL897" s="19">
        <f>IF(Table1[[#This Row],[Type]]="Petroleum",1,IF(ISERROR(Table1[[#This Row],[Well Density]]*Table1[[#This Row],[Single Well Discovery Area]]),"",IF(Table1[[#This Row],[Well Density]]*Table1[[#This Row],[Single Well Discovery Area]]&gt;1,1,Table1[[#This Row],[Well Density]]*Table1[[#This Row],[Single Well Discovery Area]])))</f>
        <v>0</v>
      </c>
      <c r="CN897" s="19">
        <f>Table1[[#This Row],[Mid]]</f>
        <v>0</v>
      </c>
      <c r="CO897" s="19">
        <f>Table1[[#This Row],[Mid3]]+Table1[[#This Row],[Mid6]]+Table1[[#This Row],[Mid9]]</f>
        <v>0</v>
      </c>
      <c r="CP897" s="19">
        <f>Table1[[#This Row],[Mid12]]+Table1[[#This Row],[Mid15]]+Table1[[#This Row],[Mid18]]+Table1[[#This Row],[Mid21]]+Table1[[#This Row],[Mid24]]</f>
        <v>0</v>
      </c>
      <c r="CQ897" s="19">
        <f>Table1[[#This Row],[Mid27]]+Table1[[#This Row],[Mid30]]+Table1[[#This Row],[Mid33]]+Table1[[#This Row],[Mid36]]+Table1[[#This Row],[Mid39]]</f>
        <v>3360.7</v>
      </c>
      <c r="CR897" t="s">
        <v>415</v>
      </c>
      <c r="CS897" s="19" t="str">
        <f>IF(AND(Table1[[#This Row],[Low41]]=0, Table1[[#This Row],[High43]]=0),"N","Y")</f>
        <v>N</v>
      </c>
    </row>
    <row r="898" spans="1:97" ht="19.5" customHeight="1" x14ac:dyDescent="0.25">
      <c r="A898">
        <v>10897</v>
      </c>
      <c r="B898" t="s">
        <v>2786</v>
      </c>
      <c r="C898" t="s">
        <v>2802</v>
      </c>
      <c r="D898">
        <v>45.508888890000001</v>
      </c>
      <c r="E898">
        <v>18.68</v>
      </c>
      <c r="F898" t="s">
        <v>2807</v>
      </c>
      <c r="G898" t="s">
        <v>2789</v>
      </c>
      <c r="H898" t="s">
        <v>2804</v>
      </c>
      <c r="I898" t="s">
        <v>118</v>
      </c>
      <c r="J898" t="s">
        <v>119</v>
      </c>
      <c r="K898" t="s">
        <v>167</v>
      </c>
      <c r="L898" t="s">
        <v>18</v>
      </c>
      <c r="M898" t="s">
        <v>2731</v>
      </c>
      <c r="N898" s="6" t="s">
        <v>2791</v>
      </c>
      <c r="O898" t="s">
        <v>2652</v>
      </c>
      <c r="P898" t="s">
        <v>2652</v>
      </c>
      <c r="Q898" t="s">
        <v>2805</v>
      </c>
      <c r="R898" t="s">
        <v>2808</v>
      </c>
      <c r="S898">
        <v>2021</v>
      </c>
      <c r="T898" t="s">
        <v>771</v>
      </c>
      <c r="U898" t="s">
        <v>1479</v>
      </c>
      <c r="V898">
        <v>236</v>
      </c>
      <c r="W898">
        <v>1000</v>
      </c>
      <c r="X898">
        <v>500</v>
      </c>
      <c r="Y898">
        <v>70</v>
      </c>
      <c r="Z898">
        <v>20</v>
      </c>
      <c r="AC898">
        <v>379</v>
      </c>
      <c r="AE898">
        <v>0</v>
      </c>
      <c r="AF898">
        <v>200</v>
      </c>
      <c r="AH898" t="s">
        <v>2259</v>
      </c>
      <c r="AI898">
        <v>2</v>
      </c>
      <c r="AM898" t="s">
        <v>2794</v>
      </c>
      <c r="AN898" t="s">
        <v>132</v>
      </c>
      <c r="AO898">
        <v>0</v>
      </c>
      <c r="AP898">
        <v>0</v>
      </c>
      <c r="AQ898">
        <v>0</v>
      </c>
      <c r="AR898">
        <v>0</v>
      </c>
      <c r="AS898">
        <v>0</v>
      </c>
      <c r="AT898">
        <v>0</v>
      </c>
      <c r="AU898">
        <v>0</v>
      </c>
      <c r="AV898">
        <v>0</v>
      </c>
      <c r="AW898">
        <v>0</v>
      </c>
      <c r="AX898">
        <v>0</v>
      </c>
      <c r="AY898">
        <v>0</v>
      </c>
      <c r="AZ898">
        <v>0</v>
      </c>
      <c r="BA898">
        <v>0</v>
      </c>
      <c r="BB898">
        <v>0</v>
      </c>
      <c r="BC898">
        <v>0</v>
      </c>
      <c r="BD898">
        <v>0</v>
      </c>
      <c r="BE898">
        <v>0</v>
      </c>
      <c r="BF898">
        <v>0</v>
      </c>
      <c r="BG898">
        <v>0</v>
      </c>
      <c r="BH898">
        <v>0</v>
      </c>
      <c r="BI898">
        <v>0</v>
      </c>
      <c r="BJ898">
        <v>0</v>
      </c>
      <c r="BK898">
        <v>0</v>
      </c>
      <c r="BL898">
        <v>0</v>
      </c>
      <c r="BM898">
        <v>0</v>
      </c>
      <c r="BN898">
        <v>0</v>
      </c>
      <c r="BO898">
        <v>0</v>
      </c>
      <c r="BP898">
        <v>0</v>
      </c>
      <c r="BQ898">
        <v>0</v>
      </c>
      <c r="BR898">
        <v>0</v>
      </c>
      <c r="BS898">
        <v>0</v>
      </c>
      <c r="BT898">
        <v>0</v>
      </c>
      <c r="BU898">
        <v>0</v>
      </c>
      <c r="BV898">
        <v>0</v>
      </c>
      <c r="BW898">
        <v>0</v>
      </c>
      <c r="BX898">
        <v>0</v>
      </c>
      <c r="BY898">
        <v>0</v>
      </c>
      <c r="BZ898">
        <v>143.1</v>
      </c>
      <c r="CA898">
        <v>0</v>
      </c>
      <c r="CB898">
        <v>0</v>
      </c>
      <c r="CC898">
        <v>0</v>
      </c>
      <c r="CD898">
        <v>0</v>
      </c>
      <c r="CE89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98" s="19">
        <f>SUM(Table1[[#This Row],[Mid39]],Table1[[#This Row],[Mid36]],Table1[[#This Row],[Mid33]],Table1[[#This Row],[Mid30]],Table1[[#This Row],[Mid27]],Table1[[#This Row],[Mid24]],Table1[[#This Row],[Mid21]],Table1[[#This Row],[Mid18]],Table1[[#This Row],[Mid15]],Table1[[#This Row],[Mid12]],Table1[[#This Row],[Mid9]],Table1[[#This Row],[Mid6]],Table1[[#This Row],[Mid3]],Table1[[#This Row],[Mid]])</f>
        <v>143.1</v>
      </c>
      <c r="CG89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98" t="s">
        <v>157</v>
      </c>
      <c r="CI898" t="s">
        <v>2795</v>
      </c>
      <c r="CJ898" t="s">
        <v>158</v>
      </c>
      <c r="CL898" s="19">
        <f>IF(Table1[[#This Row],[Type]]="Petroleum",1,IF(ISERROR(Table1[[#This Row],[Well Density]]*Table1[[#This Row],[Single Well Discovery Area]]),"",IF(Table1[[#This Row],[Well Density]]*Table1[[#This Row],[Single Well Discovery Area]]&gt;1,1,Table1[[#This Row],[Well Density]]*Table1[[#This Row],[Single Well Discovery Area]])))</f>
        <v>0</v>
      </c>
      <c r="CN898" s="19">
        <f>Table1[[#This Row],[Mid]]</f>
        <v>0</v>
      </c>
      <c r="CO898" s="19">
        <f>Table1[[#This Row],[Mid3]]+Table1[[#This Row],[Mid6]]+Table1[[#This Row],[Mid9]]</f>
        <v>0</v>
      </c>
      <c r="CP898" s="19">
        <f>Table1[[#This Row],[Mid12]]+Table1[[#This Row],[Mid15]]+Table1[[#This Row],[Mid18]]+Table1[[#This Row],[Mid21]]+Table1[[#This Row],[Mid24]]</f>
        <v>0</v>
      </c>
      <c r="CQ898" s="19">
        <f>Table1[[#This Row],[Mid27]]+Table1[[#This Row],[Mid30]]+Table1[[#This Row],[Mid33]]+Table1[[#This Row],[Mid36]]+Table1[[#This Row],[Mid39]]</f>
        <v>143.1</v>
      </c>
      <c r="CR898" t="s">
        <v>415</v>
      </c>
      <c r="CS898" s="19" t="str">
        <f>IF(AND(Table1[[#This Row],[Low41]]=0, Table1[[#This Row],[High43]]=0),"N","Y")</f>
        <v>N</v>
      </c>
    </row>
    <row r="899" spans="1:97" ht="19.5" customHeight="1" x14ac:dyDescent="0.25">
      <c r="A899">
        <v>10898</v>
      </c>
      <c r="B899" t="s">
        <v>2786</v>
      </c>
      <c r="C899" t="s">
        <v>2809</v>
      </c>
      <c r="D899">
        <v>43.53</v>
      </c>
      <c r="E899">
        <v>15.198888889999999</v>
      </c>
      <c r="F899" t="s">
        <v>2810</v>
      </c>
      <c r="G899" t="s">
        <v>2811</v>
      </c>
      <c r="H899" t="s">
        <v>167</v>
      </c>
      <c r="I899" t="s">
        <v>118</v>
      </c>
      <c r="J899" t="s">
        <v>119</v>
      </c>
      <c r="K899" t="s">
        <v>203</v>
      </c>
      <c r="L899" t="s">
        <v>18</v>
      </c>
      <c r="M899" t="s">
        <v>2731</v>
      </c>
      <c r="N899" s="6" t="s">
        <v>2812</v>
      </c>
      <c r="O899" t="s">
        <v>2652</v>
      </c>
      <c r="P899" t="s">
        <v>2652</v>
      </c>
      <c r="Q899" t="s">
        <v>2813</v>
      </c>
      <c r="R899" t="s">
        <v>2814</v>
      </c>
      <c r="S899">
        <v>2019</v>
      </c>
      <c r="T899" t="s">
        <v>771</v>
      </c>
      <c r="U899" t="s">
        <v>1479</v>
      </c>
      <c r="V899"/>
      <c r="W899">
        <v>2923</v>
      </c>
      <c r="Y899">
        <v>20</v>
      </c>
      <c r="Z899">
        <v>15</v>
      </c>
      <c r="AC899">
        <v>858</v>
      </c>
      <c r="AD899">
        <v>1</v>
      </c>
      <c r="AF899">
        <v>200</v>
      </c>
      <c r="AH899" t="s">
        <v>2259</v>
      </c>
      <c r="AI899">
        <v>2</v>
      </c>
      <c r="AJ899">
        <v>3.4999999999999997E-5</v>
      </c>
      <c r="AL899">
        <v>2.9</v>
      </c>
      <c r="AM899" t="s">
        <v>2815</v>
      </c>
      <c r="AN899" t="s">
        <v>132</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0</v>
      </c>
      <c r="BL899">
        <v>0</v>
      </c>
      <c r="BM899">
        <v>0</v>
      </c>
      <c r="BN899">
        <v>0</v>
      </c>
      <c r="BO899">
        <v>0</v>
      </c>
      <c r="BP899">
        <v>0</v>
      </c>
      <c r="BQ899">
        <v>0</v>
      </c>
      <c r="BR899">
        <v>0</v>
      </c>
      <c r="BS899">
        <v>0</v>
      </c>
      <c r="BT899">
        <v>0</v>
      </c>
      <c r="BU899">
        <v>0</v>
      </c>
      <c r="BV899">
        <v>0</v>
      </c>
      <c r="BW899">
        <v>0</v>
      </c>
      <c r="BX899">
        <v>0</v>
      </c>
      <c r="BY899">
        <v>0</v>
      </c>
      <c r="BZ899">
        <v>327.05</v>
      </c>
      <c r="CA899">
        <v>0</v>
      </c>
      <c r="CB899">
        <v>0</v>
      </c>
      <c r="CC899">
        <v>0</v>
      </c>
      <c r="CD899">
        <v>0</v>
      </c>
      <c r="CE89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899" s="19">
        <f>SUM(Table1[[#This Row],[Mid39]],Table1[[#This Row],[Mid36]],Table1[[#This Row],[Mid33]],Table1[[#This Row],[Mid30]],Table1[[#This Row],[Mid27]],Table1[[#This Row],[Mid24]],Table1[[#This Row],[Mid21]],Table1[[#This Row],[Mid18]],Table1[[#This Row],[Mid15]],Table1[[#This Row],[Mid12]],Table1[[#This Row],[Mid9]],Table1[[#This Row],[Mid6]],Table1[[#This Row],[Mid3]],Table1[[#This Row],[Mid]])</f>
        <v>327.05</v>
      </c>
      <c r="CG89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899" t="s">
        <v>157</v>
      </c>
      <c r="CI899" t="s">
        <v>2795</v>
      </c>
      <c r="CJ899" t="s">
        <v>158</v>
      </c>
      <c r="CL899" s="19">
        <f>IF(Table1[[#This Row],[Type]]="Petroleum",1,IF(ISERROR(Table1[[#This Row],[Well Density]]*Table1[[#This Row],[Single Well Discovery Area]]),"",IF(Table1[[#This Row],[Well Density]]*Table1[[#This Row],[Single Well Discovery Area]]&gt;1,1,Table1[[#This Row],[Well Density]]*Table1[[#This Row],[Single Well Discovery Area]])))</f>
        <v>0</v>
      </c>
      <c r="CN899" s="19">
        <f>Table1[[#This Row],[Mid]]</f>
        <v>0</v>
      </c>
      <c r="CO899" s="19">
        <f>Table1[[#This Row],[Mid3]]+Table1[[#This Row],[Mid6]]+Table1[[#This Row],[Mid9]]</f>
        <v>0</v>
      </c>
      <c r="CP899" s="19">
        <f>Table1[[#This Row],[Mid12]]+Table1[[#This Row],[Mid15]]+Table1[[#This Row],[Mid18]]+Table1[[#This Row],[Mid21]]+Table1[[#This Row],[Mid24]]</f>
        <v>0</v>
      </c>
      <c r="CQ899" s="19">
        <f>Table1[[#This Row],[Mid27]]+Table1[[#This Row],[Mid30]]+Table1[[#This Row],[Mid33]]+Table1[[#This Row],[Mid36]]+Table1[[#This Row],[Mid39]]</f>
        <v>327.05</v>
      </c>
      <c r="CR899" t="s">
        <v>415</v>
      </c>
      <c r="CS899" s="19" t="str">
        <f>IF(AND(Table1[[#This Row],[Low41]]=0, Table1[[#This Row],[High43]]=0),"N","Y")</f>
        <v>N</v>
      </c>
    </row>
    <row r="900" spans="1:97" ht="19.5" customHeight="1" x14ac:dyDescent="0.25">
      <c r="A900">
        <v>10899</v>
      </c>
      <c r="B900" t="s">
        <v>2786</v>
      </c>
      <c r="C900" t="s">
        <v>2787</v>
      </c>
      <c r="D900">
        <v>45.68305556</v>
      </c>
      <c r="E900">
        <v>16.407222220000001</v>
      </c>
      <c r="F900" t="s">
        <v>2816</v>
      </c>
      <c r="G900" t="s">
        <v>2789</v>
      </c>
      <c r="H900" t="s">
        <v>2804</v>
      </c>
      <c r="I900" t="s">
        <v>1648</v>
      </c>
      <c r="J900" t="s">
        <v>202</v>
      </c>
      <c r="K900" t="s">
        <v>203</v>
      </c>
      <c r="L900" t="s">
        <v>121</v>
      </c>
      <c r="M900" t="s">
        <v>2731</v>
      </c>
      <c r="N900" s="6" t="s">
        <v>2817</v>
      </c>
      <c r="O900" t="s">
        <v>2818</v>
      </c>
      <c r="P900" t="s">
        <v>2819</v>
      </c>
      <c r="Q900" t="s">
        <v>2820</v>
      </c>
      <c r="R900" t="s">
        <v>2821</v>
      </c>
      <c r="S900">
        <v>2021</v>
      </c>
      <c r="T900" t="s">
        <v>771</v>
      </c>
      <c r="U900" t="s">
        <v>1479</v>
      </c>
      <c r="V900"/>
      <c r="W900">
        <v>1699</v>
      </c>
      <c r="AF900">
        <v>200</v>
      </c>
      <c r="AH900" t="s">
        <v>2259</v>
      </c>
      <c r="AM900" t="s">
        <v>2822</v>
      </c>
      <c r="AN900" t="s">
        <v>132</v>
      </c>
      <c r="AO900">
        <v>0</v>
      </c>
      <c r="AP900">
        <v>0</v>
      </c>
      <c r="AQ900">
        <v>0</v>
      </c>
      <c r="AR900">
        <v>0</v>
      </c>
      <c r="AS900">
        <v>0</v>
      </c>
      <c r="AT900">
        <v>0</v>
      </c>
      <c r="AU900">
        <v>0</v>
      </c>
      <c r="AV900">
        <v>0</v>
      </c>
      <c r="AW900">
        <v>0</v>
      </c>
      <c r="AX900">
        <v>0</v>
      </c>
      <c r="AY900">
        <v>0</v>
      </c>
      <c r="AZ900">
        <v>0</v>
      </c>
      <c r="BA900">
        <v>0</v>
      </c>
      <c r="BB900">
        <v>0</v>
      </c>
      <c r="BC900">
        <v>0</v>
      </c>
      <c r="BD900">
        <v>0</v>
      </c>
      <c r="BE900">
        <v>10.1</v>
      </c>
      <c r="BF900">
        <v>0</v>
      </c>
      <c r="BG900">
        <v>0</v>
      </c>
      <c r="BH900">
        <v>0</v>
      </c>
      <c r="BI900">
        <v>0</v>
      </c>
      <c r="BJ900">
        <v>0</v>
      </c>
      <c r="BK900">
        <v>0</v>
      </c>
      <c r="BL900">
        <v>0</v>
      </c>
      <c r="BM900">
        <v>0</v>
      </c>
      <c r="BN900">
        <v>0</v>
      </c>
      <c r="BO900">
        <v>0</v>
      </c>
      <c r="BP900">
        <v>0</v>
      </c>
      <c r="BQ900">
        <v>0</v>
      </c>
      <c r="BR900">
        <v>0</v>
      </c>
      <c r="BS900">
        <v>0</v>
      </c>
      <c r="BT900">
        <v>0</v>
      </c>
      <c r="BU900">
        <v>0</v>
      </c>
      <c r="BV900">
        <v>0</v>
      </c>
      <c r="BW900">
        <v>0</v>
      </c>
      <c r="BX900">
        <v>0</v>
      </c>
      <c r="BY900">
        <v>0</v>
      </c>
      <c r="BZ900">
        <v>0</v>
      </c>
      <c r="CA900">
        <v>0</v>
      </c>
      <c r="CB900">
        <v>0</v>
      </c>
      <c r="CC900">
        <v>0</v>
      </c>
      <c r="CD900">
        <v>0</v>
      </c>
      <c r="CE90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00" s="19">
        <f>SUM(Table1[[#This Row],[Mid39]],Table1[[#This Row],[Mid36]],Table1[[#This Row],[Mid33]],Table1[[#This Row],[Mid30]],Table1[[#This Row],[Mid27]],Table1[[#This Row],[Mid24]],Table1[[#This Row],[Mid21]],Table1[[#This Row],[Mid18]],Table1[[#This Row],[Mid15]],Table1[[#This Row],[Mid12]],Table1[[#This Row],[Mid9]],Table1[[#This Row],[Mid6]],Table1[[#This Row],[Mid3]],Table1[[#This Row],[Mid]])</f>
        <v>10.1</v>
      </c>
      <c r="CG90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00" t="s">
        <v>157</v>
      </c>
      <c r="CI900" t="s">
        <v>2795</v>
      </c>
      <c r="CJ900" t="s">
        <v>158</v>
      </c>
      <c r="CL900" s="19">
        <f>IF(Table1[[#This Row],[Type]]="Petroleum",1,IF(ISERROR(Table1[[#This Row],[Well Density]]*Table1[[#This Row],[Single Well Discovery Area]]),"",IF(Table1[[#This Row],[Well Density]]*Table1[[#This Row],[Single Well Discovery Area]]&gt;1,1,Table1[[#This Row],[Well Density]]*Table1[[#This Row],[Single Well Discovery Area]])))</f>
        <v>1</v>
      </c>
      <c r="CN900" s="19">
        <f>Table1[[#This Row],[Mid]]</f>
        <v>0</v>
      </c>
      <c r="CO900" s="19">
        <f>Table1[[#This Row],[Mid3]]+Table1[[#This Row],[Mid6]]+Table1[[#This Row],[Mid9]]</f>
        <v>0</v>
      </c>
      <c r="CP900" s="19">
        <f>Table1[[#This Row],[Mid12]]+Table1[[#This Row],[Mid15]]+Table1[[#This Row],[Mid18]]+Table1[[#This Row],[Mid21]]+Table1[[#This Row],[Mid24]]</f>
        <v>10.1</v>
      </c>
      <c r="CQ900" s="19">
        <f>Table1[[#This Row],[Mid27]]+Table1[[#This Row],[Mid30]]+Table1[[#This Row],[Mid33]]+Table1[[#This Row],[Mid36]]+Table1[[#This Row],[Mid39]]</f>
        <v>0</v>
      </c>
      <c r="CR900" t="s">
        <v>415</v>
      </c>
      <c r="CS900" s="19" t="str">
        <f>IF(AND(Table1[[#This Row],[Low41]]=0, Table1[[#This Row],[High43]]=0),"N","Y")</f>
        <v>N</v>
      </c>
    </row>
    <row r="901" spans="1:97" ht="19.5" customHeight="1" x14ac:dyDescent="0.25">
      <c r="A901">
        <v>10900</v>
      </c>
      <c r="B901" t="s">
        <v>2786</v>
      </c>
      <c r="C901" t="s">
        <v>2802</v>
      </c>
      <c r="D901">
        <v>46.1875</v>
      </c>
      <c r="E901">
        <v>16.97361111</v>
      </c>
      <c r="F901" t="s">
        <v>2823</v>
      </c>
      <c r="G901" t="s">
        <v>2789</v>
      </c>
      <c r="H901" t="s">
        <v>2804</v>
      </c>
      <c r="I901" t="s">
        <v>1648</v>
      </c>
      <c r="J901" t="s">
        <v>202</v>
      </c>
      <c r="K901" t="s">
        <v>203</v>
      </c>
      <c r="L901" t="s">
        <v>121</v>
      </c>
      <c r="M901" t="s">
        <v>2731</v>
      </c>
      <c r="N901" s="6" t="s">
        <v>2817</v>
      </c>
      <c r="O901" t="s">
        <v>2652</v>
      </c>
      <c r="P901" t="s">
        <v>2652</v>
      </c>
      <c r="Q901" t="s">
        <v>2820</v>
      </c>
      <c r="R901" t="s">
        <v>2821</v>
      </c>
      <c r="S901">
        <v>2021</v>
      </c>
      <c r="T901" t="s">
        <v>771</v>
      </c>
      <c r="U901" t="s">
        <v>1479</v>
      </c>
      <c r="V901"/>
      <c r="W901">
        <v>3100</v>
      </c>
      <c r="AF901">
        <v>20</v>
      </c>
      <c r="AH901" t="s">
        <v>2259</v>
      </c>
      <c r="AM901" t="s">
        <v>2822</v>
      </c>
      <c r="AN901" t="s">
        <v>132</v>
      </c>
      <c r="AO901">
        <v>0</v>
      </c>
      <c r="AP901">
        <v>0</v>
      </c>
      <c r="AQ901">
        <v>0</v>
      </c>
      <c r="AR901">
        <v>0</v>
      </c>
      <c r="AS901">
        <v>0</v>
      </c>
      <c r="AT901">
        <v>0</v>
      </c>
      <c r="AU901">
        <v>0</v>
      </c>
      <c r="AV901">
        <v>0</v>
      </c>
      <c r="AW901">
        <v>0</v>
      </c>
      <c r="AX901">
        <v>0</v>
      </c>
      <c r="AY901">
        <v>0</v>
      </c>
      <c r="AZ901">
        <v>0</v>
      </c>
      <c r="BA901">
        <v>0</v>
      </c>
      <c r="BB901">
        <v>0</v>
      </c>
      <c r="BC901">
        <v>0</v>
      </c>
      <c r="BD901">
        <v>0</v>
      </c>
      <c r="BE901">
        <v>0</v>
      </c>
      <c r="BF901">
        <v>0</v>
      </c>
      <c r="BG901">
        <v>0</v>
      </c>
      <c r="BH901">
        <v>42.8</v>
      </c>
      <c r="BI901">
        <v>0</v>
      </c>
      <c r="BJ901">
        <v>0</v>
      </c>
      <c r="BK901">
        <v>0</v>
      </c>
      <c r="BL901">
        <v>0</v>
      </c>
      <c r="BM901">
        <v>0</v>
      </c>
      <c r="BN901">
        <v>0</v>
      </c>
      <c r="BO901">
        <v>0</v>
      </c>
      <c r="BP901">
        <v>0</v>
      </c>
      <c r="BQ901">
        <v>0</v>
      </c>
      <c r="BR901">
        <v>0</v>
      </c>
      <c r="BS901">
        <v>0</v>
      </c>
      <c r="BT901">
        <v>0</v>
      </c>
      <c r="BU901">
        <v>0</v>
      </c>
      <c r="BV901">
        <v>0</v>
      </c>
      <c r="BW901">
        <v>0</v>
      </c>
      <c r="BX901">
        <v>0</v>
      </c>
      <c r="BY901">
        <v>0</v>
      </c>
      <c r="BZ901">
        <v>0</v>
      </c>
      <c r="CA901">
        <v>0</v>
      </c>
      <c r="CB901">
        <v>0</v>
      </c>
      <c r="CC901">
        <v>0</v>
      </c>
      <c r="CD901">
        <v>0</v>
      </c>
      <c r="CE90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01" s="19">
        <f>SUM(Table1[[#This Row],[Mid39]],Table1[[#This Row],[Mid36]],Table1[[#This Row],[Mid33]],Table1[[#This Row],[Mid30]],Table1[[#This Row],[Mid27]],Table1[[#This Row],[Mid24]],Table1[[#This Row],[Mid21]],Table1[[#This Row],[Mid18]],Table1[[#This Row],[Mid15]],Table1[[#This Row],[Mid12]],Table1[[#This Row],[Mid9]],Table1[[#This Row],[Mid6]],Table1[[#This Row],[Mid3]],Table1[[#This Row],[Mid]])</f>
        <v>42.8</v>
      </c>
      <c r="CG90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01" t="s">
        <v>157</v>
      </c>
      <c r="CI901" t="s">
        <v>176</v>
      </c>
      <c r="CJ901" t="s">
        <v>158</v>
      </c>
      <c r="CL901" s="19">
        <f>IF(Table1[[#This Row],[Type]]="Petroleum",1,IF(ISERROR(Table1[[#This Row],[Well Density]]*Table1[[#This Row],[Single Well Discovery Area]]),"",IF(Table1[[#This Row],[Well Density]]*Table1[[#This Row],[Single Well Discovery Area]]&gt;1,1,Table1[[#This Row],[Well Density]]*Table1[[#This Row],[Single Well Discovery Area]])))</f>
        <v>1</v>
      </c>
      <c r="CN901" s="19">
        <f>Table1[[#This Row],[Mid]]</f>
        <v>0</v>
      </c>
      <c r="CO901" s="19">
        <f>Table1[[#This Row],[Mid3]]+Table1[[#This Row],[Mid6]]+Table1[[#This Row],[Mid9]]</f>
        <v>0</v>
      </c>
      <c r="CP901" s="19">
        <f>Table1[[#This Row],[Mid12]]+Table1[[#This Row],[Mid15]]+Table1[[#This Row],[Mid18]]+Table1[[#This Row],[Mid21]]+Table1[[#This Row],[Mid24]]</f>
        <v>42.8</v>
      </c>
      <c r="CQ901" s="19">
        <f>Table1[[#This Row],[Mid27]]+Table1[[#This Row],[Mid30]]+Table1[[#This Row],[Mid33]]+Table1[[#This Row],[Mid36]]+Table1[[#This Row],[Mid39]]</f>
        <v>0</v>
      </c>
      <c r="CR901" t="s">
        <v>415</v>
      </c>
      <c r="CS901" s="19" t="str">
        <f>IF(AND(Table1[[#This Row],[Low41]]=0, Table1[[#This Row],[High43]]=0),"N","Y")</f>
        <v>N</v>
      </c>
    </row>
    <row r="902" spans="1:97" ht="19.5" customHeight="1" x14ac:dyDescent="0.25">
      <c r="A902">
        <v>10901</v>
      </c>
      <c r="B902" t="s">
        <v>2786</v>
      </c>
      <c r="C902" t="s">
        <v>2802</v>
      </c>
      <c r="D902">
        <v>46.108055559999997</v>
      </c>
      <c r="E902">
        <v>17.106111110000001</v>
      </c>
      <c r="F902" t="s">
        <v>2824</v>
      </c>
      <c r="G902" t="s">
        <v>2789</v>
      </c>
      <c r="H902" t="s">
        <v>2804</v>
      </c>
      <c r="I902" t="s">
        <v>1648</v>
      </c>
      <c r="J902" t="s">
        <v>202</v>
      </c>
      <c r="K902" t="s">
        <v>203</v>
      </c>
      <c r="L902" t="s">
        <v>121</v>
      </c>
      <c r="M902" t="s">
        <v>2731</v>
      </c>
      <c r="N902" s="6" t="s">
        <v>2817</v>
      </c>
      <c r="O902" t="s">
        <v>2652</v>
      </c>
      <c r="P902" t="s">
        <v>2652</v>
      </c>
      <c r="Q902" t="s">
        <v>2820</v>
      </c>
      <c r="R902" t="s">
        <v>2821</v>
      </c>
      <c r="S902">
        <v>2021</v>
      </c>
      <c r="T902" t="s">
        <v>771</v>
      </c>
      <c r="U902" t="s">
        <v>1479</v>
      </c>
      <c r="V902"/>
      <c r="W902">
        <v>3054</v>
      </c>
      <c r="AF902">
        <v>20</v>
      </c>
      <c r="AH902" t="s">
        <v>2259</v>
      </c>
      <c r="AM902" t="s">
        <v>2822</v>
      </c>
      <c r="AN902" t="s">
        <v>132</v>
      </c>
      <c r="AO902">
        <v>0</v>
      </c>
      <c r="AP902">
        <v>0</v>
      </c>
      <c r="AQ902">
        <v>0</v>
      </c>
      <c r="AR902">
        <v>0</v>
      </c>
      <c r="AS902">
        <v>0</v>
      </c>
      <c r="AT902">
        <v>0</v>
      </c>
      <c r="AU902">
        <v>0</v>
      </c>
      <c r="AV902">
        <v>0</v>
      </c>
      <c r="AW902">
        <v>0</v>
      </c>
      <c r="AX902">
        <v>0</v>
      </c>
      <c r="AY902">
        <v>0</v>
      </c>
      <c r="AZ902">
        <v>0</v>
      </c>
      <c r="BA902">
        <v>0</v>
      </c>
      <c r="BB902">
        <v>0</v>
      </c>
      <c r="BC902">
        <v>0</v>
      </c>
      <c r="BD902">
        <v>0</v>
      </c>
      <c r="BE902">
        <v>0</v>
      </c>
      <c r="BF902">
        <v>0</v>
      </c>
      <c r="BG902">
        <v>0</v>
      </c>
      <c r="BH902">
        <v>31.6</v>
      </c>
      <c r="BI902">
        <v>0</v>
      </c>
      <c r="BJ902">
        <v>0</v>
      </c>
      <c r="BK902">
        <v>0</v>
      </c>
      <c r="BL902">
        <v>0</v>
      </c>
      <c r="BM902">
        <v>0</v>
      </c>
      <c r="BN902">
        <v>0</v>
      </c>
      <c r="BO902">
        <v>0</v>
      </c>
      <c r="BP902">
        <v>0</v>
      </c>
      <c r="BQ902">
        <v>0</v>
      </c>
      <c r="BR902">
        <v>0</v>
      </c>
      <c r="BS902">
        <v>0</v>
      </c>
      <c r="BT902">
        <v>0</v>
      </c>
      <c r="BU902">
        <v>0</v>
      </c>
      <c r="BV902">
        <v>0</v>
      </c>
      <c r="BW902">
        <v>0</v>
      </c>
      <c r="BX902">
        <v>0</v>
      </c>
      <c r="BY902">
        <v>0</v>
      </c>
      <c r="BZ902">
        <v>0</v>
      </c>
      <c r="CA902">
        <v>0</v>
      </c>
      <c r="CB902">
        <v>0</v>
      </c>
      <c r="CC902">
        <v>0</v>
      </c>
      <c r="CD902">
        <v>0</v>
      </c>
      <c r="CE90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02" s="19">
        <f>SUM(Table1[[#This Row],[Mid39]],Table1[[#This Row],[Mid36]],Table1[[#This Row],[Mid33]],Table1[[#This Row],[Mid30]],Table1[[#This Row],[Mid27]],Table1[[#This Row],[Mid24]],Table1[[#This Row],[Mid21]],Table1[[#This Row],[Mid18]],Table1[[#This Row],[Mid15]],Table1[[#This Row],[Mid12]],Table1[[#This Row],[Mid9]],Table1[[#This Row],[Mid6]],Table1[[#This Row],[Mid3]],Table1[[#This Row],[Mid]])</f>
        <v>31.6</v>
      </c>
      <c r="CG90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02" t="s">
        <v>157</v>
      </c>
      <c r="CI902" t="s">
        <v>176</v>
      </c>
      <c r="CJ902" t="s">
        <v>158</v>
      </c>
      <c r="CL902" s="19">
        <f>IF(Table1[[#This Row],[Type]]="Petroleum",1,IF(ISERROR(Table1[[#This Row],[Well Density]]*Table1[[#This Row],[Single Well Discovery Area]]),"",IF(Table1[[#This Row],[Well Density]]*Table1[[#This Row],[Single Well Discovery Area]]&gt;1,1,Table1[[#This Row],[Well Density]]*Table1[[#This Row],[Single Well Discovery Area]])))</f>
        <v>1</v>
      </c>
      <c r="CN902" s="19">
        <f>Table1[[#This Row],[Mid]]</f>
        <v>0</v>
      </c>
      <c r="CO902" s="19">
        <f>Table1[[#This Row],[Mid3]]+Table1[[#This Row],[Mid6]]+Table1[[#This Row],[Mid9]]</f>
        <v>0</v>
      </c>
      <c r="CP902" s="19">
        <f>Table1[[#This Row],[Mid12]]+Table1[[#This Row],[Mid15]]+Table1[[#This Row],[Mid18]]+Table1[[#This Row],[Mid21]]+Table1[[#This Row],[Mid24]]</f>
        <v>31.6</v>
      </c>
      <c r="CQ902" s="19">
        <f>Table1[[#This Row],[Mid27]]+Table1[[#This Row],[Mid30]]+Table1[[#This Row],[Mid33]]+Table1[[#This Row],[Mid36]]+Table1[[#This Row],[Mid39]]</f>
        <v>0</v>
      </c>
      <c r="CR902" t="s">
        <v>415</v>
      </c>
      <c r="CS902" s="19" t="str">
        <f>IF(AND(Table1[[#This Row],[Low41]]=0, Table1[[#This Row],[High43]]=0),"N","Y")</f>
        <v>N</v>
      </c>
    </row>
    <row r="903" spans="1:97" ht="19.5" customHeight="1" x14ac:dyDescent="0.25">
      <c r="A903">
        <v>10902</v>
      </c>
      <c r="B903" t="s">
        <v>2786</v>
      </c>
      <c r="C903" t="s">
        <v>2802</v>
      </c>
      <c r="D903">
        <v>45.701944439999998</v>
      </c>
      <c r="E903">
        <v>18.098333329999999</v>
      </c>
      <c r="F903" t="s">
        <v>2825</v>
      </c>
      <c r="G903" t="s">
        <v>2789</v>
      </c>
      <c r="H903" t="s">
        <v>2804</v>
      </c>
      <c r="I903" t="s">
        <v>1648</v>
      </c>
      <c r="J903" t="s">
        <v>202</v>
      </c>
      <c r="K903" t="s">
        <v>203</v>
      </c>
      <c r="L903" t="s">
        <v>121</v>
      </c>
      <c r="M903" t="s">
        <v>2731</v>
      </c>
      <c r="N903" s="6" t="s">
        <v>2817</v>
      </c>
      <c r="O903" t="s">
        <v>2652</v>
      </c>
      <c r="P903" t="s">
        <v>2652</v>
      </c>
      <c r="Q903" t="s">
        <v>2820</v>
      </c>
      <c r="R903" t="s">
        <v>2821</v>
      </c>
      <c r="S903">
        <v>2021</v>
      </c>
      <c r="T903" t="s">
        <v>771</v>
      </c>
      <c r="U903" t="s">
        <v>1479</v>
      </c>
      <c r="V903"/>
      <c r="W903">
        <v>1519</v>
      </c>
      <c r="AF903">
        <v>200</v>
      </c>
      <c r="AH903" t="s">
        <v>2259</v>
      </c>
      <c r="AM903" t="s">
        <v>2822</v>
      </c>
      <c r="AN903" t="s">
        <v>132</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13.7</v>
      </c>
      <c r="BI903">
        <v>0</v>
      </c>
      <c r="BJ903">
        <v>0</v>
      </c>
      <c r="BK903">
        <v>0</v>
      </c>
      <c r="BL903">
        <v>0</v>
      </c>
      <c r="BM903">
        <v>0</v>
      </c>
      <c r="BN903">
        <v>0</v>
      </c>
      <c r="BO903">
        <v>0</v>
      </c>
      <c r="BP903">
        <v>0</v>
      </c>
      <c r="BQ903">
        <v>0</v>
      </c>
      <c r="BR903">
        <v>0</v>
      </c>
      <c r="BS903">
        <v>0</v>
      </c>
      <c r="BT903">
        <v>0</v>
      </c>
      <c r="BU903">
        <v>0</v>
      </c>
      <c r="BV903">
        <v>0</v>
      </c>
      <c r="BW903">
        <v>0</v>
      </c>
      <c r="BX903">
        <v>0</v>
      </c>
      <c r="BY903">
        <v>0</v>
      </c>
      <c r="BZ903">
        <v>0</v>
      </c>
      <c r="CA903">
        <v>0</v>
      </c>
      <c r="CB903">
        <v>0</v>
      </c>
      <c r="CC903">
        <v>0</v>
      </c>
      <c r="CD903">
        <v>0</v>
      </c>
      <c r="CE90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03" s="19">
        <f>SUM(Table1[[#This Row],[Mid39]],Table1[[#This Row],[Mid36]],Table1[[#This Row],[Mid33]],Table1[[#This Row],[Mid30]],Table1[[#This Row],[Mid27]],Table1[[#This Row],[Mid24]],Table1[[#This Row],[Mid21]],Table1[[#This Row],[Mid18]],Table1[[#This Row],[Mid15]],Table1[[#This Row],[Mid12]],Table1[[#This Row],[Mid9]],Table1[[#This Row],[Mid6]],Table1[[#This Row],[Mid3]],Table1[[#This Row],[Mid]])</f>
        <v>13.7</v>
      </c>
      <c r="CG90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03" t="s">
        <v>157</v>
      </c>
      <c r="CI903" t="s">
        <v>134</v>
      </c>
      <c r="CJ903" t="s">
        <v>158</v>
      </c>
      <c r="CL903" s="19">
        <f>IF(Table1[[#This Row],[Type]]="Petroleum",1,IF(ISERROR(Table1[[#This Row],[Well Density]]*Table1[[#This Row],[Single Well Discovery Area]]),"",IF(Table1[[#This Row],[Well Density]]*Table1[[#This Row],[Single Well Discovery Area]]&gt;1,1,Table1[[#This Row],[Well Density]]*Table1[[#This Row],[Single Well Discovery Area]])))</f>
        <v>1</v>
      </c>
      <c r="CN903" s="19">
        <f>Table1[[#This Row],[Mid]]</f>
        <v>0</v>
      </c>
      <c r="CO903" s="19">
        <f>Table1[[#This Row],[Mid3]]+Table1[[#This Row],[Mid6]]+Table1[[#This Row],[Mid9]]</f>
        <v>0</v>
      </c>
      <c r="CP903" s="19">
        <f>Table1[[#This Row],[Mid12]]+Table1[[#This Row],[Mid15]]+Table1[[#This Row],[Mid18]]+Table1[[#This Row],[Mid21]]+Table1[[#This Row],[Mid24]]</f>
        <v>13.7</v>
      </c>
      <c r="CQ903" s="19">
        <f>Table1[[#This Row],[Mid27]]+Table1[[#This Row],[Mid30]]+Table1[[#This Row],[Mid33]]+Table1[[#This Row],[Mid36]]+Table1[[#This Row],[Mid39]]</f>
        <v>0</v>
      </c>
      <c r="CR903" t="s">
        <v>415</v>
      </c>
      <c r="CS903" s="19" t="str">
        <f>IF(AND(Table1[[#This Row],[Low41]]=0, Table1[[#This Row],[High43]]=0),"N","Y")</f>
        <v>N</v>
      </c>
    </row>
    <row r="904" spans="1:97" ht="19.5" customHeight="1" x14ac:dyDescent="0.25">
      <c r="A904">
        <v>10903</v>
      </c>
      <c r="B904" t="s">
        <v>2786</v>
      </c>
      <c r="C904" t="s">
        <v>2826</v>
      </c>
      <c r="D904">
        <v>44.333888889999997</v>
      </c>
      <c r="E904">
        <v>13.498055559999999</v>
      </c>
      <c r="F904" t="s">
        <v>2827</v>
      </c>
      <c r="G904" t="s">
        <v>2811</v>
      </c>
      <c r="H904" t="s">
        <v>167</v>
      </c>
      <c r="I904" t="s">
        <v>1648</v>
      </c>
      <c r="J904" t="s">
        <v>202</v>
      </c>
      <c r="K904" t="s">
        <v>203</v>
      </c>
      <c r="L904" t="s">
        <v>121</v>
      </c>
      <c r="M904" t="s">
        <v>2828</v>
      </c>
      <c r="N904" s="6" t="s">
        <v>2817</v>
      </c>
      <c r="O904" t="s">
        <v>2652</v>
      </c>
      <c r="P904" t="s">
        <v>2652</v>
      </c>
      <c r="Q904" t="s">
        <v>2829</v>
      </c>
      <c r="R904" t="s">
        <v>2821</v>
      </c>
      <c r="S904">
        <v>2021</v>
      </c>
      <c r="T904" t="s">
        <v>771</v>
      </c>
      <c r="U904" t="s">
        <v>1479</v>
      </c>
      <c r="V904"/>
      <c r="W904">
        <v>870</v>
      </c>
      <c r="AF904">
        <v>200</v>
      </c>
      <c r="AH904" t="s">
        <v>2259</v>
      </c>
      <c r="AM904" t="s">
        <v>2822</v>
      </c>
      <c r="AN904" t="s">
        <v>132</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10.5</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04" s="19">
        <f>SUM(Table1[[#This Row],[Mid39]],Table1[[#This Row],[Mid36]],Table1[[#This Row],[Mid33]],Table1[[#This Row],[Mid30]],Table1[[#This Row],[Mid27]],Table1[[#This Row],[Mid24]],Table1[[#This Row],[Mid21]],Table1[[#This Row],[Mid18]],Table1[[#This Row],[Mid15]],Table1[[#This Row],[Mid12]],Table1[[#This Row],[Mid9]],Table1[[#This Row],[Mid6]],Table1[[#This Row],[Mid3]],Table1[[#This Row],[Mid]])</f>
        <v>10.5</v>
      </c>
      <c r="CG90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04" t="s">
        <v>157</v>
      </c>
      <c r="CI904" t="s">
        <v>134</v>
      </c>
      <c r="CJ904" t="s">
        <v>158</v>
      </c>
      <c r="CL904" s="19">
        <f>IF(Table1[[#This Row],[Type]]="Petroleum",1,IF(ISERROR(Table1[[#This Row],[Well Density]]*Table1[[#This Row],[Single Well Discovery Area]]),"",IF(Table1[[#This Row],[Well Density]]*Table1[[#This Row],[Single Well Discovery Area]]&gt;1,1,Table1[[#This Row],[Well Density]]*Table1[[#This Row],[Single Well Discovery Area]])))</f>
        <v>1</v>
      </c>
      <c r="CN904" s="19">
        <f>Table1[[#This Row],[Mid]]</f>
        <v>0</v>
      </c>
      <c r="CO904" s="19">
        <f>Table1[[#This Row],[Mid3]]+Table1[[#This Row],[Mid6]]+Table1[[#This Row],[Mid9]]</f>
        <v>0</v>
      </c>
      <c r="CP904" s="19">
        <f>Table1[[#This Row],[Mid12]]+Table1[[#This Row],[Mid15]]+Table1[[#This Row],[Mid18]]+Table1[[#This Row],[Mid21]]+Table1[[#This Row],[Mid24]]</f>
        <v>10.5</v>
      </c>
      <c r="CQ904" s="19">
        <f>Table1[[#This Row],[Mid27]]+Table1[[#This Row],[Mid30]]+Table1[[#This Row],[Mid33]]+Table1[[#This Row],[Mid36]]+Table1[[#This Row],[Mid39]]</f>
        <v>0</v>
      </c>
      <c r="CR904" t="s">
        <v>415</v>
      </c>
      <c r="CS904" s="19" t="str">
        <f>IF(AND(Table1[[#This Row],[Low41]]=0, Table1[[#This Row],[High43]]=0),"N","Y")</f>
        <v>N</v>
      </c>
    </row>
    <row r="905" spans="1:97" ht="19.5" customHeight="1" x14ac:dyDescent="0.25">
      <c r="A905">
        <v>10904</v>
      </c>
      <c r="B905" t="s">
        <v>2786</v>
      </c>
      <c r="C905" t="s">
        <v>2826</v>
      </c>
      <c r="D905">
        <v>44.410277780000001</v>
      </c>
      <c r="E905">
        <v>13.531388890000001</v>
      </c>
      <c r="F905" t="s">
        <v>2830</v>
      </c>
      <c r="G905" t="s">
        <v>2811</v>
      </c>
      <c r="H905" t="s">
        <v>167</v>
      </c>
      <c r="I905" t="s">
        <v>1648</v>
      </c>
      <c r="J905" t="s">
        <v>202</v>
      </c>
      <c r="K905" t="s">
        <v>203</v>
      </c>
      <c r="L905" t="s">
        <v>121</v>
      </c>
      <c r="M905" t="s">
        <v>2828</v>
      </c>
      <c r="N905" s="6" t="s">
        <v>2817</v>
      </c>
      <c r="O905" t="s">
        <v>2652</v>
      </c>
      <c r="P905" t="s">
        <v>2652</v>
      </c>
      <c r="Q905" t="s">
        <v>2831</v>
      </c>
      <c r="R905" t="s">
        <v>2821</v>
      </c>
      <c r="S905">
        <v>2021</v>
      </c>
      <c r="T905" t="s">
        <v>771</v>
      </c>
      <c r="U905" t="s">
        <v>1479</v>
      </c>
      <c r="V905"/>
      <c r="W905">
        <v>1300</v>
      </c>
      <c r="AF905">
        <v>200</v>
      </c>
      <c r="AH905" t="s">
        <v>2259</v>
      </c>
      <c r="AM905" t="s">
        <v>2822</v>
      </c>
      <c r="AN905" t="s">
        <v>132</v>
      </c>
      <c r="AO905">
        <v>0</v>
      </c>
      <c r="AP905">
        <v>0</v>
      </c>
      <c r="AQ905">
        <v>0</v>
      </c>
      <c r="AR905">
        <v>0</v>
      </c>
      <c r="AS905">
        <v>0</v>
      </c>
      <c r="AT905">
        <v>0</v>
      </c>
      <c r="AU905">
        <v>0</v>
      </c>
      <c r="AV905">
        <v>0</v>
      </c>
      <c r="AW905">
        <v>0</v>
      </c>
      <c r="AX905">
        <v>0</v>
      </c>
      <c r="AY905">
        <v>0</v>
      </c>
      <c r="AZ905">
        <v>0</v>
      </c>
      <c r="BA905">
        <v>0</v>
      </c>
      <c r="BB905">
        <v>0</v>
      </c>
      <c r="BC905">
        <v>0</v>
      </c>
      <c r="BD905">
        <v>0</v>
      </c>
      <c r="BE905">
        <v>0</v>
      </c>
      <c r="BF905">
        <v>0</v>
      </c>
      <c r="BG905">
        <v>0</v>
      </c>
      <c r="BH905">
        <v>11.9</v>
      </c>
      <c r="BI905">
        <v>0</v>
      </c>
      <c r="BJ905">
        <v>0</v>
      </c>
      <c r="BK905">
        <v>0</v>
      </c>
      <c r="BL905">
        <v>0</v>
      </c>
      <c r="BM905">
        <v>0</v>
      </c>
      <c r="BN905">
        <v>0</v>
      </c>
      <c r="BO905">
        <v>0</v>
      </c>
      <c r="BP905">
        <v>0</v>
      </c>
      <c r="BQ905">
        <v>0</v>
      </c>
      <c r="BR905">
        <v>0</v>
      </c>
      <c r="BS905">
        <v>0</v>
      </c>
      <c r="BT905">
        <v>0</v>
      </c>
      <c r="BU905">
        <v>0</v>
      </c>
      <c r="BV905">
        <v>0</v>
      </c>
      <c r="BW905">
        <v>0</v>
      </c>
      <c r="BX905">
        <v>0</v>
      </c>
      <c r="BY905">
        <v>0</v>
      </c>
      <c r="BZ905">
        <v>0</v>
      </c>
      <c r="CA905">
        <v>0</v>
      </c>
      <c r="CB905">
        <v>0</v>
      </c>
      <c r="CC905">
        <v>0</v>
      </c>
      <c r="CD905">
        <v>0</v>
      </c>
      <c r="CE90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05" s="19">
        <f>SUM(Table1[[#This Row],[Mid39]],Table1[[#This Row],[Mid36]],Table1[[#This Row],[Mid33]],Table1[[#This Row],[Mid30]],Table1[[#This Row],[Mid27]],Table1[[#This Row],[Mid24]],Table1[[#This Row],[Mid21]],Table1[[#This Row],[Mid18]],Table1[[#This Row],[Mid15]],Table1[[#This Row],[Mid12]],Table1[[#This Row],[Mid9]],Table1[[#This Row],[Mid6]],Table1[[#This Row],[Mid3]],Table1[[#This Row],[Mid]])</f>
        <v>11.9</v>
      </c>
      <c r="CG90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05" t="s">
        <v>157</v>
      </c>
      <c r="CI905" t="s">
        <v>134</v>
      </c>
      <c r="CJ905" t="s">
        <v>158</v>
      </c>
      <c r="CL905" s="19">
        <f>IF(Table1[[#This Row],[Type]]="Petroleum",1,IF(ISERROR(Table1[[#This Row],[Well Density]]*Table1[[#This Row],[Single Well Discovery Area]]),"",IF(Table1[[#This Row],[Well Density]]*Table1[[#This Row],[Single Well Discovery Area]]&gt;1,1,Table1[[#This Row],[Well Density]]*Table1[[#This Row],[Single Well Discovery Area]])))</f>
        <v>1</v>
      </c>
      <c r="CN905" s="19">
        <f>Table1[[#This Row],[Mid]]</f>
        <v>0</v>
      </c>
      <c r="CO905" s="19">
        <f>Table1[[#This Row],[Mid3]]+Table1[[#This Row],[Mid6]]+Table1[[#This Row],[Mid9]]</f>
        <v>0</v>
      </c>
      <c r="CP905" s="19">
        <f>Table1[[#This Row],[Mid12]]+Table1[[#This Row],[Mid15]]+Table1[[#This Row],[Mid18]]+Table1[[#This Row],[Mid21]]+Table1[[#This Row],[Mid24]]</f>
        <v>11.9</v>
      </c>
      <c r="CQ905" s="19">
        <f>Table1[[#This Row],[Mid27]]+Table1[[#This Row],[Mid30]]+Table1[[#This Row],[Mid33]]+Table1[[#This Row],[Mid36]]+Table1[[#This Row],[Mid39]]</f>
        <v>0</v>
      </c>
      <c r="CR905" t="s">
        <v>415</v>
      </c>
      <c r="CS905" s="19" t="str">
        <f>IF(AND(Table1[[#This Row],[Low41]]=0, Table1[[#This Row],[High43]]=0),"N","Y")</f>
        <v>N</v>
      </c>
    </row>
    <row r="906" spans="1:97" ht="19.5" customHeight="1" x14ac:dyDescent="0.25">
      <c r="A906">
        <v>10905</v>
      </c>
      <c r="B906" t="s">
        <v>2786</v>
      </c>
      <c r="C906" t="s">
        <v>2832</v>
      </c>
      <c r="D906">
        <v>44.060833330000001</v>
      </c>
      <c r="E906">
        <v>14.768055560000001</v>
      </c>
      <c r="F906" t="s">
        <v>2833</v>
      </c>
      <c r="G906" t="s">
        <v>2811</v>
      </c>
      <c r="H906" t="s">
        <v>167</v>
      </c>
      <c r="I906" t="s">
        <v>118</v>
      </c>
      <c r="J906" t="s">
        <v>119</v>
      </c>
      <c r="K906" t="s">
        <v>203</v>
      </c>
      <c r="L906" t="s">
        <v>18</v>
      </c>
      <c r="M906" t="s">
        <v>2834</v>
      </c>
      <c r="N906" s="6" t="s">
        <v>2835</v>
      </c>
      <c r="O906" t="s">
        <v>2652</v>
      </c>
      <c r="P906" t="s">
        <v>2652</v>
      </c>
      <c r="Q906" t="s">
        <v>2836</v>
      </c>
      <c r="R906" t="s">
        <v>2837</v>
      </c>
      <c r="S906">
        <v>2019</v>
      </c>
      <c r="T906" t="s">
        <v>771</v>
      </c>
      <c r="U906" t="s">
        <v>1479</v>
      </c>
      <c r="V906"/>
      <c r="W906">
        <v>921</v>
      </c>
      <c r="Z906">
        <v>18.8</v>
      </c>
      <c r="AC906">
        <v>856</v>
      </c>
      <c r="AF906">
        <v>200</v>
      </c>
      <c r="AH906" t="s">
        <v>2259</v>
      </c>
      <c r="AI906">
        <v>5</v>
      </c>
      <c r="AJ906">
        <v>1E-4</v>
      </c>
      <c r="AL906">
        <v>92.7</v>
      </c>
      <c r="AM906" t="s">
        <v>2815</v>
      </c>
      <c r="AN906" t="s">
        <v>132</v>
      </c>
      <c r="AO906">
        <v>0</v>
      </c>
      <c r="AP906">
        <v>0</v>
      </c>
      <c r="AQ906">
        <v>0</v>
      </c>
      <c r="AR906">
        <v>0</v>
      </c>
      <c r="AS906">
        <v>0</v>
      </c>
      <c r="AT906">
        <v>0</v>
      </c>
      <c r="AU906">
        <v>0</v>
      </c>
      <c r="AV906">
        <v>0</v>
      </c>
      <c r="AW906">
        <v>0</v>
      </c>
      <c r="AX906">
        <v>0</v>
      </c>
      <c r="AY906">
        <v>0</v>
      </c>
      <c r="AZ906">
        <v>0</v>
      </c>
      <c r="BA906">
        <v>0</v>
      </c>
      <c r="BB906">
        <v>0</v>
      </c>
      <c r="BC906">
        <v>0</v>
      </c>
      <c r="BD906">
        <v>0</v>
      </c>
      <c r="BE906">
        <v>0</v>
      </c>
      <c r="BF906">
        <v>0</v>
      </c>
      <c r="BG906">
        <v>0</v>
      </c>
      <c r="BH906">
        <v>0</v>
      </c>
      <c r="BI906">
        <v>0</v>
      </c>
      <c r="BJ906">
        <v>0</v>
      </c>
      <c r="BK906">
        <v>0</v>
      </c>
      <c r="BL906">
        <v>0</v>
      </c>
      <c r="BM906">
        <v>0</v>
      </c>
      <c r="BN906">
        <v>0</v>
      </c>
      <c r="BO906">
        <v>0</v>
      </c>
      <c r="BR906">
        <v>0</v>
      </c>
      <c r="BS906">
        <v>0</v>
      </c>
      <c r="BT906">
        <v>0</v>
      </c>
      <c r="BU906">
        <v>0</v>
      </c>
      <c r="BV906">
        <v>20</v>
      </c>
      <c r="BW906">
        <v>0</v>
      </c>
      <c r="BX906">
        <v>0</v>
      </c>
      <c r="BY906">
        <v>0</v>
      </c>
      <c r="BZ906">
        <v>0</v>
      </c>
      <c r="CA906">
        <v>0</v>
      </c>
      <c r="CB906">
        <v>0</v>
      </c>
      <c r="CC906">
        <v>0</v>
      </c>
      <c r="CD906">
        <v>0</v>
      </c>
      <c r="CE906" s="19">
        <f>SUM(Table1[[#This Row],[Low38]],Table1[[#This Row],[Low35]],Table1[[#This Row],[Low32]],Table1[[#This Row],[Low29]],Table1[[#This Row],[Low26]],Table1[[#This Row],[Low23]],Table1[[#This Row],[Low20]],Table1[[#This Row],[Low17]],Table1[[#This Row],[Low14]],Table1[[#This Row],[Low11]],Table1[[#This Row],[Low8]],Table1[[#This Row],[Low5]],Table1[[#This Row],[Low2]],Table1[[#This Row],[Low]])</f>
        <v>20</v>
      </c>
      <c r="CF90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90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06" t="s">
        <v>157</v>
      </c>
      <c r="CI906" t="s">
        <v>176</v>
      </c>
      <c r="CJ906" t="s">
        <v>158</v>
      </c>
      <c r="CL906" s="19">
        <f>IF(Table1[[#This Row],[Type]]="Petroleum",1,IF(ISERROR(Table1[[#This Row],[Well Density]]*Table1[[#This Row],[Single Well Discovery Area]]),"",IF(Table1[[#This Row],[Well Density]]*Table1[[#This Row],[Single Well Discovery Area]]&gt;1,1,Table1[[#This Row],[Well Density]]*Table1[[#This Row],[Single Well Discovery Area]])))</f>
        <v>0</v>
      </c>
      <c r="CN906" s="19">
        <f>Table1[[#This Row],[Mid]]</f>
        <v>0</v>
      </c>
      <c r="CO906" s="19">
        <f>Table1[[#This Row],[Mid3]]+Table1[[#This Row],[Mid6]]+Table1[[#This Row],[Mid9]]</f>
        <v>0</v>
      </c>
      <c r="CP906" s="19">
        <f>Table1[[#This Row],[Mid12]]+Table1[[#This Row],[Mid15]]+Table1[[#This Row],[Mid18]]+Table1[[#This Row],[Mid21]]+Table1[[#This Row],[Mid24]]</f>
        <v>0</v>
      </c>
      <c r="CQ906" s="19">
        <f>Table1[[#This Row],[Mid27]]+Table1[[#This Row],[Mid30]]+Table1[[#This Row],[Mid33]]+Table1[[#This Row],[Mid36]]+Table1[[#This Row],[Mid39]]</f>
        <v>0</v>
      </c>
      <c r="CR906" t="s">
        <v>415</v>
      </c>
      <c r="CS906" s="19" t="str">
        <f>IF(AND(Table1[[#This Row],[Low41]]=0, Table1[[#This Row],[High43]]=0),"N","Y")</f>
        <v>Y</v>
      </c>
    </row>
    <row r="907" spans="1:97" ht="19.5" customHeight="1" x14ac:dyDescent="0.25">
      <c r="A907">
        <v>10906</v>
      </c>
      <c r="B907" t="s">
        <v>2786</v>
      </c>
      <c r="C907" t="s">
        <v>2832</v>
      </c>
      <c r="D907">
        <v>43.518611110000002</v>
      </c>
      <c r="E907">
        <v>15.142777779999999</v>
      </c>
      <c r="F907" t="s">
        <v>2838</v>
      </c>
      <c r="G907" t="s">
        <v>2811</v>
      </c>
      <c r="H907" t="s">
        <v>2839</v>
      </c>
      <c r="I907" t="s">
        <v>118</v>
      </c>
      <c r="J907" t="s">
        <v>119</v>
      </c>
      <c r="K907" t="s">
        <v>203</v>
      </c>
      <c r="L907" t="s">
        <v>121</v>
      </c>
      <c r="M907" t="s">
        <v>2840</v>
      </c>
      <c r="N907" s="6" t="s">
        <v>2841</v>
      </c>
      <c r="O907" t="s">
        <v>2652</v>
      </c>
      <c r="P907" t="s">
        <v>2652</v>
      </c>
      <c r="Q907" s="21" t="s">
        <v>2842</v>
      </c>
      <c r="R907" t="s">
        <v>2843</v>
      </c>
      <c r="S907">
        <v>2024</v>
      </c>
      <c r="T907" t="s">
        <v>771</v>
      </c>
      <c r="U907" t="s">
        <v>1479</v>
      </c>
      <c r="V907">
        <v>20</v>
      </c>
      <c r="W907">
        <v>2300</v>
      </c>
      <c r="X907">
        <v>570</v>
      </c>
      <c r="Z907">
        <v>9</v>
      </c>
      <c r="AC907">
        <v>903</v>
      </c>
      <c r="AD907">
        <v>1</v>
      </c>
      <c r="AE907">
        <v>0.05</v>
      </c>
      <c r="AF907">
        <v>20</v>
      </c>
      <c r="AH907" t="s">
        <v>2259</v>
      </c>
      <c r="AI907">
        <v>0.17</v>
      </c>
      <c r="AJ907">
        <v>6.9999999999999994E-5</v>
      </c>
      <c r="AL907">
        <v>20.97</v>
      </c>
      <c r="AM907" t="s">
        <v>2815</v>
      </c>
      <c r="AN907" t="s">
        <v>132</v>
      </c>
      <c r="AO907">
        <v>0</v>
      </c>
      <c r="AP907">
        <v>0</v>
      </c>
      <c r="AQ907">
        <v>0</v>
      </c>
      <c r="AR907">
        <v>0</v>
      </c>
      <c r="AS907">
        <v>0</v>
      </c>
      <c r="AT907">
        <v>0</v>
      </c>
      <c r="AU907">
        <v>0</v>
      </c>
      <c r="AV907">
        <v>0</v>
      </c>
      <c r="AW907">
        <v>0</v>
      </c>
      <c r="AX907">
        <v>0</v>
      </c>
      <c r="AY907">
        <v>0</v>
      </c>
      <c r="AZ907">
        <v>0</v>
      </c>
      <c r="BA907">
        <v>0</v>
      </c>
      <c r="BB907">
        <v>0</v>
      </c>
      <c r="BC907">
        <v>0</v>
      </c>
      <c r="BD907">
        <v>0</v>
      </c>
      <c r="BE907">
        <v>0</v>
      </c>
      <c r="BF907">
        <v>0</v>
      </c>
      <c r="BG907">
        <v>0</v>
      </c>
      <c r="BH907">
        <v>13</v>
      </c>
      <c r="BI907">
        <v>0</v>
      </c>
      <c r="BJ907">
        <v>0</v>
      </c>
      <c r="BL907">
        <v>0</v>
      </c>
      <c r="BM907">
        <v>0</v>
      </c>
      <c r="BN907">
        <v>0</v>
      </c>
      <c r="BO907">
        <v>0</v>
      </c>
      <c r="BR907">
        <v>0</v>
      </c>
      <c r="BS907">
        <v>0</v>
      </c>
      <c r="BT907">
        <v>0</v>
      </c>
      <c r="BU907">
        <v>0</v>
      </c>
      <c r="BW907">
        <v>0</v>
      </c>
      <c r="BX907">
        <v>0</v>
      </c>
      <c r="BY907">
        <v>0</v>
      </c>
      <c r="BZ907">
        <v>0</v>
      </c>
      <c r="CA907">
        <v>0</v>
      </c>
      <c r="CB907">
        <v>0</v>
      </c>
      <c r="CC907">
        <v>0</v>
      </c>
      <c r="CD907">
        <v>0</v>
      </c>
      <c r="CE90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07" s="19">
        <f>SUM(Table1[[#This Row],[Mid39]],Table1[[#This Row],[Mid36]],Table1[[#This Row],[Mid33]],Table1[[#This Row],[Mid30]],Table1[[#This Row],[Mid27]],Table1[[#This Row],[Mid24]],Table1[[#This Row],[Mid21]],Table1[[#This Row],[Mid18]],Table1[[#This Row],[Mid15]],Table1[[#This Row],[Mid12]],Table1[[#This Row],[Mid9]],Table1[[#This Row],[Mid6]],Table1[[#This Row],[Mid3]],Table1[[#This Row],[Mid]])</f>
        <v>13</v>
      </c>
      <c r="CG90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07" t="s">
        <v>157</v>
      </c>
      <c r="CI907" t="s">
        <v>176</v>
      </c>
      <c r="CJ907" t="s">
        <v>158</v>
      </c>
      <c r="CL907" s="19">
        <f>IF(Table1[[#This Row],[Type]]="Petroleum",1,IF(ISERROR(Table1[[#This Row],[Well Density]]*Table1[[#This Row],[Single Well Discovery Area]]),"",IF(Table1[[#This Row],[Well Density]]*Table1[[#This Row],[Single Well Discovery Area]]&gt;1,1,Table1[[#This Row],[Well Density]]*Table1[[#This Row],[Single Well Discovery Area]])))</f>
        <v>1</v>
      </c>
      <c r="CN907" s="19">
        <f>Table1[[#This Row],[Mid]]</f>
        <v>0</v>
      </c>
      <c r="CO907" s="19">
        <f>Table1[[#This Row],[Mid3]]+Table1[[#This Row],[Mid6]]+Table1[[#This Row],[Mid9]]</f>
        <v>0</v>
      </c>
      <c r="CP907" s="19">
        <f>Table1[[#This Row],[Mid12]]+Table1[[#This Row],[Mid15]]+Table1[[#This Row],[Mid18]]+Table1[[#This Row],[Mid21]]+Table1[[#This Row],[Mid24]]</f>
        <v>13</v>
      </c>
      <c r="CQ907" s="19">
        <f>Table1[[#This Row],[Mid27]]+Table1[[#This Row],[Mid30]]+Table1[[#This Row],[Mid33]]+Table1[[#This Row],[Mid36]]+Table1[[#This Row],[Mid39]]</f>
        <v>0</v>
      </c>
      <c r="CR907" t="s">
        <v>415</v>
      </c>
      <c r="CS907" s="19" t="str">
        <f>IF(AND(Table1[[#This Row],[Low41]]=0, Table1[[#This Row],[High43]]=0),"N","Y")</f>
        <v>N</v>
      </c>
    </row>
    <row r="908" spans="1:97" ht="19.5" customHeight="1" x14ac:dyDescent="0.25">
      <c r="A908">
        <v>10907</v>
      </c>
      <c r="B908" t="s">
        <v>2786</v>
      </c>
      <c r="C908" t="s">
        <v>2832</v>
      </c>
      <c r="D908">
        <v>43.538888890000003</v>
      </c>
      <c r="E908">
        <v>15.36444444</v>
      </c>
      <c r="F908" t="s">
        <v>2844</v>
      </c>
      <c r="G908" t="s">
        <v>2811</v>
      </c>
      <c r="H908" t="s">
        <v>2845</v>
      </c>
      <c r="I908" t="s">
        <v>118</v>
      </c>
      <c r="J908" t="s">
        <v>119</v>
      </c>
      <c r="K908" t="s">
        <v>203</v>
      </c>
      <c r="L908" t="s">
        <v>121</v>
      </c>
      <c r="M908" t="s">
        <v>2846</v>
      </c>
      <c r="N908" s="6" t="s">
        <v>2841</v>
      </c>
      <c r="O908" t="s">
        <v>2652</v>
      </c>
      <c r="P908" t="s">
        <v>2652</v>
      </c>
      <c r="Q908" s="21" t="s">
        <v>2847</v>
      </c>
      <c r="R908" t="s">
        <v>2843</v>
      </c>
      <c r="S908">
        <v>2024</v>
      </c>
      <c r="T908" t="s">
        <v>771</v>
      </c>
      <c r="U908" t="s">
        <v>1479</v>
      </c>
      <c r="V908">
        <v>20</v>
      </c>
      <c r="W908">
        <v>2300</v>
      </c>
      <c r="X908">
        <v>502</v>
      </c>
      <c r="Z908">
        <v>12</v>
      </c>
      <c r="AC908">
        <v>905</v>
      </c>
      <c r="AD908">
        <v>1</v>
      </c>
      <c r="AE908">
        <v>0.05</v>
      </c>
      <c r="AF908">
        <v>20</v>
      </c>
      <c r="AH908" t="s">
        <v>2259</v>
      </c>
      <c r="AI908">
        <v>0.17</v>
      </c>
      <c r="AJ908">
        <v>6.9999999999999994E-5</v>
      </c>
      <c r="AL908">
        <v>21.4</v>
      </c>
      <c r="AM908" t="s">
        <v>2815</v>
      </c>
      <c r="AN908" t="s">
        <v>132</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30</v>
      </c>
      <c r="BI908">
        <v>0</v>
      </c>
      <c r="BJ908">
        <v>0</v>
      </c>
      <c r="BL908">
        <v>0</v>
      </c>
      <c r="BM908">
        <v>0</v>
      </c>
      <c r="BN908">
        <v>0</v>
      </c>
      <c r="BO908">
        <v>0</v>
      </c>
      <c r="BR908">
        <v>0</v>
      </c>
      <c r="BS908">
        <v>0</v>
      </c>
      <c r="BU908">
        <v>0</v>
      </c>
      <c r="BV908">
        <v>0</v>
      </c>
      <c r="BW908">
        <v>0</v>
      </c>
      <c r="BX908">
        <v>0</v>
      </c>
      <c r="BY908">
        <v>0</v>
      </c>
      <c r="BZ908">
        <v>0</v>
      </c>
      <c r="CA908">
        <v>0</v>
      </c>
      <c r="CB908">
        <v>0</v>
      </c>
      <c r="CC908">
        <v>0</v>
      </c>
      <c r="CD908">
        <v>0</v>
      </c>
      <c r="CE90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08" s="19">
        <f>SUM(Table1[[#This Row],[Mid39]],Table1[[#This Row],[Mid36]],Table1[[#This Row],[Mid33]],Table1[[#This Row],[Mid30]],Table1[[#This Row],[Mid27]],Table1[[#This Row],[Mid24]],Table1[[#This Row],[Mid21]],Table1[[#This Row],[Mid18]],Table1[[#This Row],[Mid15]],Table1[[#This Row],[Mid12]],Table1[[#This Row],[Mid9]],Table1[[#This Row],[Mid6]],Table1[[#This Row],[Mid3]],Table1[[#This Row],[Mid]])</f>
        <v>30</v>
      </c>
      <c r="CG90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08" t="s">
        <v>157</v>
      </c>
      <c r="CI908" t="s">
        <v>176</v>
      </c>
      <c r="CJ908" t="s">
        <v>158</v>
      </c>
      <c r="CL908" s="19">
        <f>IF(Table1[[#This Row],[Type]]="Petroleum",1,IF(ISERROR(Table1[[#This Row],[Well Density]]*Table1[[#This Row],[Single Well Discovery Area]]),"",IF(Table1[[#This Row],[Well Density]]*Table1[[#This Row],[Single Well Discovery Area]]&gt;1,1,Table1[[#This Row],[Well Density]]*Table1[[#This Row],[Single Well Discovery Area]])))</f>
        <v>1</v>
      </c>
      <c r="CN908" s="19">
        <f>Table1[[#This Row],[Mid]]</f>
        <v>0</v>
      </c>
      <c r="CO908" s="19">
        <f>Table1[[#This Row],[Mid3]]+Table1[[#This Row],[Mid6]]+Table1[[#This Row],[Mid9]]</f>
        <v>0</v>
      </c>
      <c r="CP908" s="19">
        <f>Table1[[#This Row],[Mid12]]+Table1[[#This Row],[Mid15]]+Table1[[#This Row],[Mid18]]+Table1[[#This Row],[Mid21]]+Table1[[#This Row],[Mid24]]</f>
        <v>30</v>
      </c>
      <c r="CQ908" s="19">
        <f>Table1[[#This Row],[Mid27]]+Table1[[#This Row],[Mid30]]+Table1[[#This Row],[Mid33]]+Table1[[#This Row],[Mid36]]+Table1[[#This Row],[Mid39]]</f>
        <v>0</v>
      </c>
      <c r="CR908" t="s">
        <v>415</v>
      </c>
      <c r="CS908" s="19" t="str">
        <f>IF(AND(Table1[[#This Row],[Low41]]=0, Table1[[#This Row],[High43]]=0),"N","Y")</f>
        <v>N</v>
      </c>
    </row>
    <row r="909" spans="1:97" ht="19.5" customHeight="1" x14ac:dyDescent="0.25">
      <c r="A909">
        <v>10908</v>
      </c>
      <c r="B909" t="s">
        <v>2786</v>
      </c>
      <c r="C909" t="s">
        <v>2832</v>
      </c>
      <c r="D909">
        <v>43.18</v>
      </c>
      <c r="E909">
        <v>16.004999999999999</v>
      </c>
      <c r="F909" t="s">
        <v>2848</v>
      </c>
      <c r="G909" t="s">
        <v>2811</v>
      </c>
      <c r="H909" t="s">
        <v>167</v>
      </c>
      <c r="I909" t="s">
        <v>118</v>
      </c>
      <c r="J909" t="s">
        <v>119</v>
      </c>
      <c r="K909" t="s">
        <v>203</v>
      </c>
      <c r="L909" t="s">
        <v>18</v>
      </c>
      <c r="M909" t="s">
        <v>2834</v>
      </c>
      <c r="N909" s="6" t="s">
        <v>2849</v>
      </c>
      <c r="O909" t="s">
        <v>2652</v>
      </c>
      <c r="P909" t="s">
        <v>2652</v>
      </c>
      <c r="Q909" t="s">
        <v>2850</v>
      </c>
      <c r="R909" t="s">
        <v>2851</v>
      </c>
      <c r="S909">
        <v>2019</v>
      </c>
      <c r="T909" t="s">
        <v>771</v>
      </c>
      <c r="U909" t="s">
        <v>1479</v>
      </c>
      <c r="V909"/>
      <c r="W909">
        <v>890</v>
      </c>
      <c r="Z909">
        <v>18.8</v>
      </c>
      <c r="AC909">
        <v>872</v>
      </c>
      <c r="AF909">
        <v>200</v>
      </c>
      <c r="AH909" t="s">
        <v>2259</v>
      </c>
      <c r="AI909">
        <v>5</v>
      </c>
      <c r="AJ909">
        <v>1.2E-4</v>
      </c>
      <c r="AL909">
        <v>8.9499999999999993</v>
      </c>
      <c r="AM909" t="s">
        <v>2815</v>
      </c>
      <c r="AN909" t="s">
        <v>132</v>
      </c>
      <c r="AO909">
        <v>0</v>
      </c>
      <c r="AP909">
        <v>0</v>
      </c>
      <c r="AQ909">
        <v>0</v>
      </c>
      <c r="AR909">
        <v>0</v>
      </c>
      <c r="AS909">
        <v>0</v>
      </c>
      <c r="AT909">
        <v>0</v>
      </c>
      <c r="AU909">
        <v>0</v>
      </c>
      <c r="AV909">
        <v>0</v>
      </c>
      <c r="AW909">
        <v>0</v>
      </c>
      <c r="AX909">
        <v>0</v>
      </c>
      <c r="AY909">
        <v>0</v>
      </c>
      <c r="AZ909">
        <v>0</v>
      </c>
      <c r="BA909">
        <v>0</v>
      </c>
      <c r="BB909">
        <v>0</v>
      </c>
      <c r="BC909">
        <v>0</v>
      </c>
      <c r="BD909">
        <v>0</v>
      </c>
      <c r="BE909">
        <v>0</v>
      </c>
      <c r="BF909">
        <v>0</v>
      </c>
      <c r="BG909">
        <v>0</v>
      </c>
      <c r="BH909">
        <v>0</v>
      </c>
      <c r="BI909">
        <v>0</v>
      </c>
      <c r="BJ909">
        <v>0</v>
      </c>
      <c r="BK909">
        <v>0</v>
      </c>
      <c r="BL909">
        <v>0</v>
      </c>
      <c r="BM909">
        <v>0</v>
      </c>
      <c r="BN909">
        <v>0</v>
      </c>
      <c r="BO909">
        <v>0</v>
      </c>
      <c r="BR909">
        <v>0</v>
      </c>
      <c r="BS909">
        <v>0</v>
      </c>
      <c r="BT909">
        <v>0</v>
      </c>
      <c r="BU909">
        <v>0</v>
      </c>
      <c r="BV909">
        <v>33.950000000000003</v>
      </c>
      <c r="BW909">
        <v>0</v>
      </c>
      <c r="BX909">
        <v>0</v>
      </c>
      <c r="BY909">
        <v>0</v>
      </c>
      <c r="BZ909">
        <v>0</v>
      </c>
      <c r="CA909">
        <v>0</v>
      </c>
      <c r="CB909">
        <v>0</v>
      </c>
      <c r="CC909">
        <v>0</v>
      </c>
      <c r="CD909">
        <v>0</v>
      </c>
      <c r="CE909" s="19">
        <f>SUM(Table1[[#This Row],[Low38]],Table1[[#This Row],[Low35]],Table1[[#This Row],[Low32]],Table1[[#This Row],[Low29]],Table1[[#This Row],[Low26]],Table1[[#This Row],[Low23]],Table1[[#This Row],[Low20]],Table1[[#This Row],[Low17]],Table1[[#This Row],[Low14]],Table1[[#This Row],[Low11]],Table1[[#This Row],[Low8]],Table1[[#This Row],[Low5]],Table1[[#This Row],[Low2]],Table1[[#This Row],[Low]])</f>
        <v>33.950000000000003</v>
      </c>
      <c r="CF90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90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09" t="s">
        <v>157</v>
      </c>
      <c r="CI909" t="s">
        <v>176</v>
      </c>
      <c r="CJ909" t="s">
        <v>158</v>
      </c>
      <c r="CL909" s="19">
        <f>IF(Table1[[#This Row],[Type]]="Petroleum",1,IF(ISERROR(Table1[[#This Row],[Well Density]]*Table1[[#This Row],[Single Well Discovery Area]]),"",IF(Table1[[#This Row],[Well Density]]*Table1[[#This Row],[Single Well Discovery Area]]&gt;1,1,Table1[[#This Row],[Well Density]]*Table1[[#This Row],[Single Well Discovery Area]])))</f>
        <v>0</v>
      </c>
      <c r="CN909" s="19">
        <f>Table1[[#This Row],[Mid]]</f>
        <v>0</v>
      </c>
      <c r="CO909" s="19">
        <f>Table1[[#This Row],[Mid3]]+Table1[[#This Row],[Mid6]]+Table1[[#This Row],[Mid9]]</f>
        <v>0</v>
      </c>
      <c r="CP909" s="19">
        <f>Table1[[#This Row],[Mid12]]+Table1[[#This Row],[Mid15]]+Table1[[#This Row],[Mid18]]+Table1[[#This Row],[Mid21]]+Table1[[#This Row],[Mid24]]</f>
        <v>0</v>
      </c>
      <c r="CQ909" s="19">
        <f>Table1[[#This Row],[Mid27]]+Table1[[#This Row],[Mid30]]+Table1[[#This Row],[Mid33]]+Table1[[#This Row],[Mid36]]+Table1[[#This Row],[Mid39]]</f>
        <v>0</v>
      </c>
      <c r="CR909" t="s">
        <v>415</v>
      </c>
      <c r="CS909" s="19" t="str">
        <f>IF(AND(Table1[[#This Row],[Low41]]=0, Table1[[#This Row],[High43]]=0),"N","Y")</f>
        <v>Y</v>
      </c>
    </row>
    <row r="910" spans="1:97" ht="19.5" customHeight="1" x14ac:dyDescent="0.25">
      <c r="A910">
        <v>10909</v>
      </c>
      <c r="B910" t="s">
        <v>419</v>
      </c>
      <c r="C910" t="s">
        <v>223</v>
      </c>
      <c r="D910">
        <v>51.37944444</v>
      </c>
      <c r="E910">
        <v>11.736388890000001</v>
      </c>
      <c r="F910" t="s">
        <v>2852</v>
      </c>
      <c r="G910" t="s">
        <v>410</v>
      </c>
      <c r="H910" t="s">
        <v>167</v>
      </c>
      <c r="I910" t="s">
        <v>118</v>
      </c>
      <c r="J910" t="s">
        <v>119</v>
      </c>
      <c r="K910" t="s">
        <v>167</v>
      </c>
      <c r="L910" t="s">
        <v>18</v>
      </c>
      <c r="M910" t="s">
        <v>252</v>
      </c>
      <c r="N910" s="6" t="s">
        <v>2853</v>
      </c>
      <c r="O910" t="s">
        <v>2652</v>
      </c>
      <c r="P910" t="s">
        <v>2652</v>
      </c>
      <c r="Q910" t="s">
        <v>2854</v>
      </c>
      <c r="R910" t="s">
        <v>2855</v>
      </c>
      <c r="S910">
        <v>2017</v>
      </c>
      <c r="T910" t="s">
        <v>771</v>
      </c>
      <c r="U910" t="s">
        <v>1479</v>
      </c>
      <c r="V910"/>
      <c r="AF910">
        <v>200</v>
      </c>
      <c r="AH910" t="s">
        <v>2259</v>
      </c>
      <c r="AM910" t="s">
        <v>2856</v>
      </c>
      <c r="AN910" t="s">
        <v>132</v>
      </c>
      <c r="CB910">
        <v>1100</v>
      </c>
      <c r="CC910">
        <v>2900</v>
      </c>
      <c r="CD910">
        <v>6700</v>
      </c>
      <c r="CE910" s="19">
        <f>SUM(Table1[[#This Row],[Low38]],Table1[[#This Row],[Low35]],Table1[[#This Row],[Low32]],Table1[[#This Row],[Low29]],Table1[[#This Row],[Low26]],Table1[[#This Row],[Low23]],Table1[[#This Row],[Low20]],Table1[[#This Row],[Low17]],Table1[[#This Row],[Low14]],Table1[[#This Row],[Low11]],Table1[[#This Row],[Low8]],Table1[[#This Row],[Low5]],Table1[[#This Row],[Low2]],Table1[[#This Row],[Low]])</f>
        <v>1100</v>
      </c>
      <c r="CF910" s="19">
        <f>SUM(Table1[[#This Row],[Mid39]],Table1[[#This Row],[Mid36]],Table1[[#This Row],[Mid33]],Table1[[#This Row],[Mid30]],Table1[[#This Row],[Mid27]],Table1[[#This Row],[Mid24]],Table1[[#This Row],[Mid21]],Table1[[#This Row],[Mid18]],Table1[[#This Row],[Mid15]],Table1[[#This Row],[Mid12]],Table1[[#This Row],[Mid9]],Table1[[#This Row],[Mid6]],Table1[[#This Row],[Mid3]],Table1[[#This Row],[Mid]])</f>
        <v>2900</v>
      </c>
      <c r="CG9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6700</v>
      </c>
      <c r="CH910" t="s">
        <v>157</v>
      </c>
      <c r="CI910" t="s">
        <v>134</v>
      </c>
      <c r="CJ910" t="s">
        <v>158</v>
      </c>
      <c r="CL910" s="19">
        <f>IF(Table1[[#This Row],[Type]]="Petroleum",1,IF(ISERROR(Table1[[#This Row],[Well Density]]*Table1[[#This Row],[Single Well Discovery Area]]),"",IF(Table1[[#This Row],[Well Density]]*Table1[[#This Row],[Single Well Discovery Area]]&gt;1,1,Table1[[#This Row],[Well Density]]*Table1[[#This Row],[Single Well Discovery Area]])))</f>
        <v>0</v>
      </c>
      <c r="CN910" s="19">
        <f>Table1[[#This Row],[Mid]]</f>
        <v>0</v>
      </c>
      <c r="CO910" s="19">
        <f>Table1[[#This Row],[Mid3]]+Table1[[#This Row],[Mid6]]+Table1[[#This Row],[Mid9]]</f>
        <v>0</v>
      </c>
      <c r="CP910" s="19">
        <f>Table1[[#This Row],[Mid12]]+Table1[[#This Row],[Mid15]]+Table1[[#This Row],[Mid18]]+Table1[[#This Row],[Mid21]]+Table1[[#This Row],[Mid24]]</f>
        <v>0</v>
      </c>
      <c r="CQ910" s="19">
        <f>Table1[[#This Row],[Mid27]]+Table1[[#This Row],[Mid30]]+Table1[[#This Row],[Mid33]]+Table1[[#This Row],[Mid36]]+Table1[[#This Row],[Mid39]]</f>
        <v>2900</v>
      </c>
      <c r="CR910" t="s">
        <v>415</v>
      </c>
      <c r="CS910" s="19" t="str">
        <f>IF(AND(Table1[[#This Row],[Low41]]=0, Table1[[#This Row],[High43]]=0),"N","Y")</f>
        <v>Y</v>
      </c>
    </row>
    <row r="911" spans="1:97" ht="19.5" customHeight="1" x14ac:dyDescent="0.25">
      <c r="A911">
        <v>10910</v>
      </c>
      <c r="B911" t="s">
        <v>419</v>
      </c>
      <c r="C911" t="s">
        <v>223</v>
      </c>
      <c r="D911">
        <v>52.870833330000004</v>
      </c>
      <c r="E911">
        <v>10.64555556</v>
      </c>
      <c r="F911" t="s">
        <v>2857</v>
      </c>
      <c r="G911" t="s">
        <v>410</v>
      </c>
      <c r="H911" t="s">
        <v>167</v>
      </c>
      <c r="I911" t="s">
        <v>118</v>
      </c>
      <c r="J911" t="s">
        <v>119</v>
      </c>
      <c r="K911" t="s">
        <v>167</v>
      </c>
      <c r="L911" t="s">
        <v>18</v>
      </c>
      <c r="M911" t="s">
        <v>252</v>
      </c>
      <c r="N911" s="6" t="s">
        <v>2853</v>
      </c>
      <c r="P911" t="s">
        <v>2652</v>
      </c>
      <c r="Q911" t="s">
        <v>2854</v>
      </c>
      <c r="R911" t="s">
        <v>2858</v>
      </c>
      <c r="S911">
        <v>2017</v>
      </c>
      <c r="T911" t="s">
        <v>771</v>
      </c>
      <c r="U911" t="s">
        <v>1479</v>
      </c>
      <c r="V911"/>
      <c r="AF911">
        <v>200</v>
      </c>
      <c r="AH911" t="s">
        <v>2259</v>
      </c>
      <c r="AM911" t="s">
        <v>2856</v>
      </c>
      <c r="AN911" t="s">
        <v>132</v>
      </c>
      <c r="CB911">
        <v>12700</v>
      </c>
      <c r="CC911">
        <v>29500</v>
      </c>
      <c r="CD911">
        <v>66800</v>
      </c>
      <c r="CE911" s="19">
        <f>SUM(Table1[[#This Row],[Low38]],Table1[[#This Row],[Low35]],Table1[[#This Row],[Low32]],Table1[[#This Row],[Low29]],Table1[[#This Row],[Low26]],Table1[[#This Row],[Low23]],Table1[[#This Row],[Low20]],Table1[[#This Row],[Low17]],Table1[[#This Row],[Low14]],Table1[[#This Row],[Low11]],Table1[[#This Row],[Low8]],Table1[[#This Row],[Low5]],Table1[[#This Row],[Low2]],Table1[[#This Row],[Low]])</f>
        <v>12700</v>
      </c>
      <c r="CF911" s="19">
        <f>SUM(Table1[[#This Row],[Mid39]],Table1[[#This Row],[Mid36]],Table1[[#This Row],[Mid33]],Table1[[#This Row],[Mid30]],Table1[[#This Row],[Mid27]],Table1[[#This Row],[Mid24]],Table1[[#This Row],[Mid21]],Table1[[#This Row],[Mid18]],Table1[[#This Row],[Mid15]],Table1[[#This Row],[Mid12]],Table1[[#This Row],[Mid9]],Table1[[#This Row],[Mid6]],Table1[[#This Row],[Mid3]],Table1[[#This Row],[Mid]])</f>
        <v>29500</v>
      </c>
      <c r="CG9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66800</v>
      </c>
      <c r="CH911" t="s">
        <v>157</v>
      </c>
      <c r="CI911" t="s">
        <v>134</v>
      </c>
      <c r="CJ911" t="s">
        <v>158</v>
      </c>
      <c r="CL911" s="19">
        <f>IF(Table1[[#This Row],[Type]]="Petroleum",1,IF(ISERROR(Table1[[#This Row],[Well Density]]*Table1[[#This Row],[Single Well Discovery Area]]),"",IF(Table1[[#This Row],[Well Density]]*Table1[[#This Row],[Single Well Discovery Area]]&gt;1,1,Table1[[#This Row],[Well Density]]*Table1[[#This Row],[Single Well Discovery Area]])))</f>
        <v>0</v>
      </c>
      <c r="CN911" s="19">
        <f>Table1[[#This Row],[Mid]]</f>
        <v>0</v>
      </c>
      <c r="CO911" s="19">
        <f>Table1[[#This Row],[Mid3]]+Table1[[#This Row],[Mid6]]+Table1[[#This Row],[Mid9]]</f>
        <v>0</v>
      </c>
      <c r="CP911" s="19">
        <f>Table1[[#This Row],[Mid12]]+Table1[[#This Row],[Mid15]]+Table1[[#This Row],[Mid18]]+Table1[[#This Row],[Mid21]]+Table1[[#This Row],[Mid24]]</f>
        <v>0</v>
      </c>
      <c r="CQ911" s="19">
        <f>Table1[[#This Row],[Mid27]]+Table1[[#This Row],[Mid30]]+Table1[[#This Row],[Mid33]]+Table1[[#This Row],[Mid36]]+Table1[[#This Row],[Mid39]]</f>
        <v>29500</v>
      </c>
      <c r="CR911" t="s">
        <v>415</v>
      </c>
      <c r="CS911" s="19" t="str">
        <f>IF(AND(Table1[[#This Row],[Low41]]=0, Table1[[#This Row],[High43]]=0),"N","Y")</f>
        <v>Y</v>
      </c>
    </row>
    <row r="912" spans="1:97" ht="19.5" customHeight="1" x14ac:dyDescent="0.25">
      <c r="A912">
        <v>10911</v>
      </c>
      <c r="B912" t="s">
        <v>419</v>
      </c>
      <c r="C912" t="s">
        <v>223</v>
      </c>
      <c r="D912">
        <v>52.704166669999999</v>
      </c>
      <c r="E912">
        <v>10.47888889</v>
      </c>
      <c r="F912" t="s">
        <v>2859</v>
      </c>
      <c r="G912" t="s">
        <v>410</v>
      </c>
      <c r="H912" t="s">
        <v>2860</v>
      </c>
      <c r="I912" t="s">
        <v>118</v>
      </c>
      <c r="J912" t="s">
        <v>119</v>
      </c>
      <c r="K912" t="s">
        <v>167</v>
      </c>
      <c r="L912" t="s">
        <v>18</v>
      </c>
      <c r="M912" t="s">
        <v>329</v>
      </c>
      <c r="N912" s="6" t="s">
        <v>2853</v>
      </c>
      <c r="O912" t="s">
        <v>2652</v>
      </c>
      <c r="P912" t="s">
        <v>2652</v>
      </c>
      <c r="Q912" t="s">
        <v>2854</v>
      </c>
      <c r="R912" t="s">
        <v>2858</v>
      </c>
      <c r="S912">
        <v>2017</v>
      </c>
      <c r="T912" t="s">
        <v>771</v>
      </c>
      <c r="U912" t="s">
        <v>1479</v>
      </c>
      <c r="V912"/>
      <c r="AF912">
        <v>200</v>
      </c>
      <c r="AH912" t="s">
        <v>2259</v>
      </c>
      <c r="AM912" t="s">
        <v>2856</v>
      </c>
      <c r="AN912" t="s">
        <v>132</v>
      </c>
      <c r="CB912">
        <v>6600</v>
      </c>
      <c r="CC912">
        <v>16700</v>
      </c>
      <c r="CD912">
        <v>41800</v>
      </c>
      <c r="CE912" s="19">
        <f>SUM(Table1[[#This Row],[Low38]],Table1[[#This Row],[Low35]],Table1[[#This Row],[Low32]],Table1[[#This Row],[Low29]],Table1[[#This Row],[Low26]],Table1[[#This Row],[Low23]],Table1[[#This Row],[Low20]],Table1[[#This Row],[Low17]],Table1[[#This Row],[Low14]],Table1[[#This Row],[Low11]],Table1[[#This Row],[Low8]],Table1[[#This Row],[Low5]],Table1[[#This Row],[Low2]],Table1[[#This Row],[Low]])</f>
        <v>6600</v>
      </c>
      <c r="CF912" s="19">
        <f>SUM(Table1[[#This Row],[Mid39]],Table1[[#This Row],[Mid36]],Table1[[#This Row],[Mid33]],Table1[[#This Row],[Mid30]],Table1[[#This Row],[Mid27]],Table1[[#This Row],[Mid24]],Table1[[#This Row],[Mid21]],Table1[[#This Row],[Mid18]],Table1[[#This Row],[Mid15]],Table1[[#This Row],[Mid12]],Table1[[#This Row],[Mid9]],Table1[[#This Row],[Mid6]],Table1[[#This Row],[Mid3]],Table1[[#This Row],[Mid]])</f>
        <v>16700</v>
      </c>
      <c r="CG9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41800</v>
      </c>
      <c r="CH912" t="s">
        <v>157</v>
      </c>
      <c r="CI912" t="s">
        <v>134</v>
      </c>
      <c r="CJ912" t="s">
        <v>158</v>
      </c>
      <c r="CL912" s="19">
        <f>IF(Table1[[#This Row],[Type]]="Petroleum",1,IF(ISERROR(Table1[[#This Row],[Well Density]]*Table1[[#This Row],[Single Well Discovery Area]]),"",IF(Table1[[#This Row],[Well Density]]*Table1[[#This Row],[Single Well Discovery Area]]&gt;1,1,Table1[[#This Row],[Well Density]]*Table1[[#This Row],[Single Well Discovery Area]])))</f>
        <v>0</v>
      </c>
      <c r="CN912" s="19">
        <f>Table1[[#This Row],[Mid]]</f>
        <v>0</v>
      </c>
      <c r="CO912" s="19">
        <f>Table1[[#This Row],[Mid3]]+Table1[[#This Row],[Mid6]]+Table1[[#This Row],[Mid9]]</f>
        <v>0</v>
      </c>
      <c r="CP912" s="19">
        <f>Table1[[#This Row],[Mid12]]+Table1[[#This Row],[Mid15]]+Table1[[#This Row],[Mid18]]+Table1[[#This Row],[Mid21]]+Table1[[#This Row],[Mid24]]</f>
        <v>0</v>
      </c>
      <c r="CQ912" s="19">
        <f>Table1[[#This Row],[Mid27]]+Table1[[#This Row],[Mid30]]+Table1[[#This Row],[Mid33]]+Table1[[#This Row],[Mid36]]+Table1[[#This Row],[Mid39]]</f>
        <v>16700</v>
      </c>
      <c r="CR912" t="s">
        <v>415</v>
      </c>
      <c r="CS912" s="19" t="str">
        <f>IF(AND(Table1[[#This Row],[Low41]]=0, Table1[[#This Row],[High43]]=0),"N","Y")</f>
        <v>Y</v>
      </c>
    </row>
    <row r="913" spans="1:97" ht="19.5" customHeight="1" x14ac:dyDescent="0.25">
      <c r="A913">
        <v>10912</v>
      </c>
      <c r="B913" t="s">
        <v>419</v>
      </c>
      <c r="C913" t="s">
        <v>223</v>
      </c>
      <c r="D913">
        <v>50.678055559999997</v>
      </c>
      <c r="E913">
        <v>10.554166670000001</v>
      </c>
      <c r="F913" t="s">
        <v>2861</v>
      </c>
      <c r="G913" t="s">
        <v>410</v>
      </c>
      <c r="H913" t="s">
        <v>167</v>
      </c>
      <c r="I913" t="s">
        <v>520</v>
      </c>
      <c r="J913" t="s">
        <v>202</v>
      </c>
      <c r="K913" t="s">
        <v>167</v>
      </c>
      <c r="L913" t="s">
        <v>121</v>
      </c>
      <c r="M913" t="s">
        <v>252</v>
      </c>
      <c r="N913" s="6" t="s">
        <v>2862</v>
      </c>
      <c r="O913" t="s">
        <v>2652</v>
      </c>
      <c r="P913" t="s">
        <v>2652</v>
      </c>
      <c r="Q913" t="s">
        <v>2854</v>
      </c>
      <c r="R913" t="s">
        <v>2863</v>
      </c>
      <c r="S913">
        <v>2021</v>
      </c>
      <c r="T913" t="s">
        <v>771</v>
      </c>
      <c r="U913" t="s">
        <v>1479</v>
      </c>
      <c r="V913"/>
      <c r="AF913">
        <v>200</v>
      </c>
      <c r="AH913" t="s">
        <v>2259</v>
      </c>
      <c r="AM913" t="s">
        <v>2864</v>
      </c>
      <c r="AN913" t="s">
        <v>132</v>
      </c>
      <c r="BN913">
        <v>2000</v>
      </c>
      <c r="CE91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13" s="19">
        <f>SUM(Table1[[#This Row],[Mid39]],Table1[[#This Row],[Mid36]],Table1[[#This Row],[Mid33]],Table1[[#This Row],[Mid30]],Table1[[#This Row],[Mid27]],Table1[[#This Row],[Mid24]],Table1[[#This Row],[Mid21]],Table1[[#This Row],[Mid18]],Table1[[#This Row],[Mid15]],Table1[[#This Row],[Mid12]],Table1[[#This Row],[Mid9]],Table1[[#This Row],[Mid6]],Table1[[#This Row],[Mid3]],Table1[[#This Row],[Mid]])</f>
        <v>2000</v>
      </c>
      <c r="CG9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13" t="s">
        <v>157</v>
      </c>
      <c r="CI913" t="s">
        <v>134</v>
      </c>
      <c r="CJ913" t="s">
        <v>158</v>
      </c>
      <c r="CL913" s="19">
        <f>IF(Table1[[#This Row],[Type]]="Petroleum",1,IF(ISERROR(Table1[[#This Row],[Well Density]]*Table1[[#This Row],[Single Well Discovery Area]]),"",IF(Table1[[#This Row],[Well Density]]*Table1[[#This Row],[Single Well Discovery Area]]&gt;1,1,Table1[[#This Row],[Well Density]]*Table1[[#This Row],[Single Well Discovery Area]])))</f>
        <v>1</v>
      </c>
      <c r="CN913" s="19">
        <f>Table1[[#This Row],[Mid]]</f>
        <v>0</v>
      </c>
      <c r="CO913" s="19">
        <f>Table1[[#This Row],[Mid3]]+Table1[[#This Row],[Mid6]]+Table1[[#This Row],[Mid9]]</f>
        <v>0</v>
      </c>
      <c r="CP913" s="19">
        <f>Table1[[#This Row],[Mid12]]+Table1[[#This Row],[Mid15]]+Table1[[#This Row],[Mid18]]+Table1[[#This Row],[Mid21]]+Table1[[#This Row],[Mid24]]</f>
        <v>2000</v>
      </c>
      <c r="CQ913" s="19">
        <f>Table1[[#This Row],[Mid27]]+Table1[[#This Row],[Mid30]]+Table1[[#This Row],[Mid33]]+Table1[[#This Row],[Mid36]]+Table1[[#This Row],[Mid39]]</f>
        <v>0</v>
      </c>
      <c r="CR913" t="s">
        <v>415</v>
      </c>
      <c r="CS913" s="19" t="str">
        <f>IF(AND(Table1[[#This Row],[Low41]]=0, Table1[[#This Row],[High43]]=0),"N","Y")</f>
        <v>N</v>
      </c>
    </row>
    <row r="914" spans="1:97" ht="19.5" customHeight="1" x14ac:dyDescent="0.25">
      <c r="A914">
        <v>10913</v>
      </c>
      <c r="B914" t="s">
        <v>2865</v>
      </c>
      <c r="C914" t="s">
        <v>2866</v>
      </c>
      <c r="D914">
        <v>43.044444439999999</v>
      </c>
      <c r="E914">
        <v>28.193333330000002</v>
      </c>
      <c r="F914" t="s">
        <v>2867</v>
      </c>
      <c r="G914" t="s">
        <v>2868</v>
      </c>
      <c r="H914" t="s">
        <v>2869</v>
      </c>
      <c r="I914" t="s">
        <v>433</v>
      </c>
      <c r="J914" t="s">
        <v>202</v>
      </c>
      <c r="K914" t="s">
        <v>203</v>
      </c>
      <c r="L914" t="s">
        <v>204</v>
      </c>
      <c r="M914" t="s">
        <v>369</v>
      </c>
      <c r="N914" s="6" t="s">
        <v>2870</v>
      </c>
      <c r="O914" t="s">
        <v>2871</v>
      </c>
      <c r="P914" s="21" t="s">
        <v>2872</v>
      </c>
      <c r="Q914" t="s">
        <v>2873</v>
      </c>
      <c r="R914" s="21" t="s">
        <v>2874</v>
      </c>
      <c r="S914">
        <v>2023</v>
      </c>
      <c r="T914" t="s">
        <v>771</v>
      </c>
      <c r="U914" t="s">
        <v>2875</v>
      </c>
      <c r="V914">
        <v>0</v>
      </c>
      <c r="W914">
        <v>2500</v>
      </c>
      <c r="X914">
        <v>30</v>
      </c>
      <c r="Y914">
        <v>0</v>
      </c>
      <c r="Z914">
        <v>15</v>
      </c>
      <c r="AA914">
        <v>2400</v>
      </c>
      <c r="AB914">
        <v>0</v>
      </c>
      <c r="AC914">
        <v>300</v>
      </c>
      <c r="AD914">
        <v>2</v>
      </c>
      <c r="AF914">
        <v>20</v>
      </c>
      <c r="AG914">
        <v>102</v>
      </c>
      <c r="AH914" t="s">
        <v>2446</v>
      </c>
      <c r="AI914">
        <v>0</v>
      </c>
      <c r="AJ914">
        <v>0</v>
      </c>
      <c r="AK914">
        <v>0</v>
      </c>
      <c r="AL914">
        <v>0</v>
      </c>
      <c r="AM914" s="21" t="s">
        <v>2876</v>
      </c>
      <c r="AN914" t="s">
        <v>132</v>
      </c>
      <c r="AO914">
        <v>0</v>
      </c>
      <c r="AP914">
        <v>0</v>
      </c>
      <c r="AQ914">
        <v>0</v>
      </c>
      <c r="AR914">
        <v>0</v>
      </c>
      <c r="AS914">
        <v>0</v>
      </c>
      <c r="AT914">
        <v>0</v>
      </c>
      <c r="AU914">
        <v>0</v>
      </c>
      <c r="AV914">
        <v>0</v>
      </c>
      <c r="AW914">
        <v>0</v>
      </c>
      <c r="AX914">
        <v>0</v>
      </c>
      <c r="AY914">
        <v>0</v>
      </c>
      <c r="AZ914">
        <v>0</v>
      </c>
      <c r="BA914">
        <v>0</v>
      </c>
      <c r="BB914">
        <v>0</v>
      </c>
      <c r="BC914">
        <v>0</v>
      </c>
      <c r="BD914">
        <v>0</v>
      </c>
      <c r="BE914">
        <v>0</v>
      </c>
      <c r="BF914">
        <v>0</v>
      </c>
      <c r="BG914">
        <v>0</v>
      </c>
      <c r="BH914">
        <v>4</v>
      </c>
      <c r="BI914">
        <v>0</v>
      </c>
      <c r="BJ914">
        <v>0</v>
      </c>
      <c r="BK914">
        <v>0</v>
      </c>
      <c r="BL914">
        <v>0</v>
      </c>
      <c r="BM914">
        <v>0</v>
      </c>
      <c r="BN914">
        <v>0</v>
      </c>
      <c r="BO914">
        <v>0</v>
      </c>
      <c r="BP914">
        <v>0</v>
      </c>
      <c r="BQ914">
        <v>0</v>
      </c>
      <c r="BR914">
        <v>0</v>
      </c>
      <c r="BS914">
        <v>0</v>
      </c>
      <c r="BT914">
        <v>0</v>
      </c>
      <c r="BU914">
        <v>0</v>
      </c>
      <c r="BV914">
        <v>0</v>
      </c>
      <c r="BW914">
        <v>0</v>
      </c>
      <c r="BX914">
        <v>0</v>
      </c>
      <c r="BY914">
        <v>0</v>
      </c>
      <c r="BZ914">
        <v>0</v>
      </c>
      <c r="CA914">
        <v>0</v>
      </c>
      <c r="CB914">
        <v>0</v>
      </c>
      <c r="CC914">
        <v>0</v>
      </c>
      <c r="CD914">
        <v>0</v>
      </c>
      <c r="CE91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14" s="19">
        <f>SUM(Table1[[#This Row],[Mid39]],Table1[[#This Row],[Mid36]],Table1[[#This Row],[Mid33]],Table1[[#This Row],[Mid30]],Table1[[#This Row],[Mid27]],Table1[[#This Row],[Mid24]],Table1[[#This Row],[Mid21]],Table1[[#This Row],[Mid18]],Table1[[#This Row],[Mid15]],Table1[[#This Row],[Mid12]],Table1[[#This Row],[Mid9]],Table1[[#This Row],[Mid6]],Table1[[#This Row],[Mid3]],Table1[[#This Row],[Mid]])</f>
        <v>4</v>
      </c>
      <c r="CG9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14" t="s">
        <v>157</v>
      </c>
      <c r="CI914" t="s">
        <v>176</v>
      </c>
      <c r="CJ914" t="s">
        <v>158</v>
      </c>
      <c r="CL914" s="19">
        <f>IF(Table1[[#This Row],[Type]]="Petroleum",1,IF(ISERROR(Table1[[#This Row],[Well Density]]*Table1[[#This Row],[Single Well Discovery Area]]),"",IF(Table1[[#This Row],[Well Density]]*Table1[[#This Row],[Single Well Discovery Area]]&gt;1,1,Table1[[#This Row],[Well Density]]*Table1[[#This Row],[Single Well Discovery Area]])))</f>
        <v>1</v>
      </c>
      <c r="CN914" s="19">
        <f>Table1[[#This Row],[Mid]]</f>
        <v>0</v>
      </c>
      <c r="CO914" s="19">
        <f>Table1[[#This Row],[Mid3]]+Table1[[#This Row],[Mid6]]+Table1[[#This Row],[Mid9]]</f>
        <v>0</v>
      </c>
      <c r="CP914" s="19">
        <f>Table1[[#This Row],[Mid12]]+Table1[[#This Row],[Mid15]]+Table1[[#This Row],[Mid18]]+Table1[[#This Row],[Mid21]]+Table1[[#This Row],[Mid24]]</f>
        <v>4</v>
      </c>
      <c r="CQ914" s="19">
        <f>Table1[[#This Row],[Mid27]]+Table1[[#This Row],[Mid30]]+Table1[[#This Row],[Mid33]]+Table1[[#This Row],[Mid36]]+Table1[[#This Row],[Mid39]]</f>
        <v>0</v>
      </c>
      <c r="CR914" t="s">
        <v>415</v>
      </c>
      <c r="CS914" s="19" t="str">
        <f>IF(AND(Table1[[#This Row],[Low41]]=0, Table1[[#This Row],[High43]]=0),"N","Y")</f>
        <v>N</v>
      </c>
    </row>
    <row r="915" spans="1:97" ht="19.5" customHeight="1" x14ac:dyDescent="0.25">
      <c r="A915">
        <v>10914</v>
      </c>
      <c r="B915" t="s">
        <v>2865</v>
      </c>
      <c r="C915" t="s">
        <v>2877</v>
      </c>
      <c r="D915">
        <v>43.229722219999999</v>
      </c>
      <c r="E915">
        <v>25.467777779999999</v>
      </c>
      <c r="F915" t="s">
        <v>2878</v>
      </c>
      <c r="G915" t="s">
        <v>2877</v>
      </c>
      <c r="H915" t="s">
        <v>2879</v>
      </c>
      <c r="I915" t="s">
        <v>118</v>
      </c>
      <c r="J915" t="s">
        <v>119</v>
      </c>
      <c r="K915" t="s">
        <v>167</v>
      </c>
      <c r="L915" t="s">
        <v>18</v>
      </c>
      <c r="M915" t="s">
        <v>139</v>
      </c>
      <c r="N915" s="6" t="s">
        <v>2880</v>
      </c>
      <c r="O915" t="s">
        <v>2881</v>
      </c>
      <c r="P915" t="s">
        <v>1150</v>
      </c>
      <c r="Q915" t="s">
        <v>2882</v>
      </c>
      <c r="R915" t="s">
        <v>2883</v>
      </c>
      <c r="S915">
        <v>2007</v>
      </c>
      <c r="T915" t="s">
        <v>771</v>
      </c>
      <c r="U915" t="s">
        <v>2875</v>
      </c>
      <c r="V915">
        <v>800</v>
      </c>
      <c r="W915">
        <v>950</v>
      </c>
      <c r="X915">
        <v>1100</v>
      </c>
      <c r="Z915">
        <v>6</v>
      </c>
      <c r="AE915">
        <v>0</v>
      </c>
      <c r="AG915">
        <v>90</v>
      </c>
      <c r="AH915" t="s">
        <v>2259</v>
      </c>
      <c r="AI915">
        <v>8</v>
      </c>
      <c r="AM915" t="s">
        <v>2884</v>
      </c>
      <c r="AN915" t="s">
        <v>132</v>
      </c>
      <c r="BV915">
        <v>400</v>
      </c>
      <c r="BW915">
        <v>460</v>
      </c>
      <c r="BX915">
        <v>550</v>
      </c>
      <c r="CE915" s="19">
        <f>SUM(Table1[[#This Row],[Low38]],Table1[[#This Row],[Low35]],Table1[[#This Row],[Low32]],Table1[[#This Row],[Low29]],Table1[[#This Row],[Low26]],Table1[[#This Row],[Low23]],Table1[[#This Row],[Low20]],Table1[[#This Row],[Low17]],Table1[[#This Row],[Low14]],Table1[[#This Row],[Low11]],Table1[[#This Row],[Low8]],Table1[[#This Row],[Low5]],Table1[[#This Row],[Low2]],Table1[[#This Row],[Low]])</f>
        <v>400</v>
      </c>
      <c r="CF915" s="19">
        <f>SUM(Table1[[#This Row],[Mid39]],Table1[[#This Row],[Mid36]],Table1[[#This Row],[Mid33]],Table1[[#This Row],[Mid30]],Table1[[#This Row],[Mid27]],Table1[[#This Row],[Mid24]],Table1[[#This Row],[Mid21]],Table1[[#This Row],[Mid18]],Table1[[#This Row],[Mid15]],Table1[[#This Row],[Mid12]],Table1[[#This Row],[Mid9]],Table1[[#This Row],[Mid6]],Table1[[#This Row],[Mid3]],Table1[[#This Row],[Mid]])</f>
        <v>460</v>
      </c>
      <c r="CG9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550</v>
      </c>
      <c r="CH915" t="s">
        <v>157</v>
      </c>
      <c r="CI915" t="s">
        <v>176</v>
      </c>
      <c r="CJ915" t="s">
        <v>135</v>
      </c>
      <c r="CL915" s="19">
        <f>IF(Table1[[#This Row],[Type]]="Petroleum",1,IF(ISERROR(Table1[[#This Row],[Well Density]]*Table1[[#This Row],[Single Well Discovery Area]]),"",IF(Table1[[#This Row],[Well Density]]*Table1[[#This Row],[Single Well Discovery Area]]&gt;1,1,Table1[[#This Row],[Well Density]]*Table1[[#This Row],[Single Well Discovery Area]])))</f>
        <v>0</v>
      </c>
      <c r="CN915" s="19">
        <f>Table1[[#This Row],[Mid]]</f>
        <v>0</v>
      </c>
      <c r="CO915" s="19">
        <f>Table1[[#This Row],[Mid3]]+Table1[[#This Row],[Mid6]]+Table1[[#This Row],[Mid9]]</f>
        <v>0</v>
      </c>
      <c r="CP915" s="19">
        <f>Table1[[#This Row],[Mid12]]+Table1[[#This Row],[Mid15]]+Table1[[#This Row],[Mid18]]+Table1[[#This Row],[Mid21]]+Table1[[#This Row],[Mid24]]</f>
        <v>0</v>
      </c>
      <c r="CQ915" s="19">
        <f>Table1[[#This Row],[Mid27]]+Table1[[#This Row],[Mid30]]+Table1[[#This Row],[Mid33]]+Table1[[#This Row],[Mid36]]+Table1[[#This Row],[Mid39]]</f>
        <v>460</v>
      </c>
      <c r="CR915" t="s">
        <v>415</v>
      </c>
      <c r="CS915" s="19" t="str">
        <f>IF(AND(Table1[[#This Row],[Low41]]=0, Table1[[#This Row],[High43]]=0),"N","Y")</f>
        <v>Y</v>
      </c>
    </row>
    <row r="916" spans="1:97" ht="19.5" customHeight="1" x14ac:dyDescent="0.25">
      <c r="A916">
        <v>10915</v>
      </c>
      <c r="B916" t="s">
        <v>2865</v>
      </c>
      <c r="C916" t="s">
        <v>2877</v>
      </c>
      <c r="D916">
        <v>43.523888890000002</v>
      </c>
      <c r="E916">
        <v>24.877500000000001</v>
      </c>
      <c r="F916" t="s">
        <v>2885</v>
      </c>
      <c r="G916" t="s">
        <v>2877</v>
      </c>
      <c r="H916" t="s">
        <v>2879</v>
      </c>
      <c r="I916" t="s">
        <v>118</v>
      </c>
      <c r="J916" t="s">
        <v>202</v>
      </c>
      <c r="K916" t="s">
        <v>167</v>
      </c>
      <c r="L916" t="s">
        <v>204</v>
      </c>
      <c r="M916" t="s">
        <v>139</v>
      </c>
      <c r="N916" s="6" t="s">
        <v>2886</v>
      </c>
      <c r="O916" t="s">
        <v>2881</v>
      </c>
      <c r="P916" t="s">
        <v>1150</v>
      </c>
      <c r="Q916" t="s">
        <v>2882</v>
      </c>
      <c r="R916" t="s">
        <v>2883</v>
      </c>
      <c r="S916">
        <v>2007</v>
      </c>
      <c r="T916" t="s">
        <v>771</v>
      </c>
      <c r="U916" t="s">
        <v>2875</v>
      </c>
      <c r="V916">
        <v>4000</v>
      </c>
      <c r="W916">
        <v>1000</v>
      </c>
      <c r="X916">
        <v>750</v>
      </c>
      <c r="Y916">
        <v>0</v>
      </c>
      <c r="Z916">
        <v>5</v>
      </c>
      <c r="AA916">
        <v>0</v>
      </c>
      <c r="AB916">
        <v>0</v>
      </c>
      <c r="AC916">
        <v>0</v>
      </c>
      <c r="AD916">
        <v>0</v>
      </c>
      <c r="AE916">
        <v>0</v>
      </c>
      <c r="AF916">
        <v>200</v>
      </c>
      <c r="AG916">
        <v>100</v>
      </c>
      <c r="AH916" t="s">
        <v>2259</v>
      </c>
      <c r="AI916">
        <v>10</v>
      </c>
      <c r="AJ916">
        <v>0</v>
      </c>
      <c r="AK916">
        <v>0</v>
      </c>
      <c r="AL916">
        <v>0</v>
      </c>
      <c r="AM916" t="s">
        <v>2884</v>
      </c>
      <c r="AN916" t="s">
        <v>132</v>
      </c>
      <c r="AO916">
        <v>0</v>
      </c>
      <c r="AP916">
        <v>0</v>
      </c>
      <c r="AQ916">
        <v>0</v>
      </c>
      <c r="AR916">
        <v>0</v>
      </c>
      <c r="AS916">
        <v>0</v>
      </c>
      <c r="AT916">
        <v>0</v>
      </c>
      <c r="AU916">
        <v>0</v>
      </c>
      <c r="AV916">
        <v>0</v>
      </c>
      <c r="AW916">
        <v>0</v>
      </c>
      <c r="AX916">
        <v>0</v>
      </c>
      <c r="AY916">
        <v>0</v>
      </c>
      <c r="AZ916">
        <v>0</v>
      </c>
      <c r="BA916">
        <v>0</v>
      </c>
      <c r="BB916">
        <v>0</v>
      </c>
      <c r="BC916">
        <v>0</v>
      </c>
      <c r="BD916">
        <v>0</v>
      </c>
      <c r="BE916">
        <v>0</v>
      </c>
      <c r="BF916">
        <v>0</v>
      </c>
      <c r="BG916">
        <v>0</v>
      </c>
      <c r="BH916">
        <v>0</v>
      </c>
      <c r="BI916">
        <v>0</v>
      </c>
      <c r="BJ916">
        <v>0</v>
      </c>
      <c r="BK916">
        <v>0</v>
      </c>
      <c r="BL916">
        <v>0</v>
      </c>
      <c r="BM916">
        <v>0</v>
      </c>
      <c r="BN916">
        <v>0</v>
      </c>
      <c r="BO916">
        <v>0</v>
      </c>
      <c r="BP916">
        <v>0</v>
      </c>
      <c r="BQ916">
        <v>0</v>
      </c>
      <c r="BR916">
        <v>0</v>
      </c>
      <c r="BS916">
        <v>0</v>
      </c>
      <c r="BT916">
        <v>0</v>
      </c>
      <c r="BU916">
        <v>0</v>
      </c>
      <c r="BV916">
        <v>1600</v>
      </c>
      <c r="BW916">
        <v>1800</v>
      </c>
      <c r="BX916">
        <v>2000</v>
      </c>
      <c r="BY916">
        <v>0</v>
      </c>
      <c r="BZ916">
        <v>0</v>
      </c>
      <c r="CA916">
        <v>0</v>
      </c>
      <c r="CB916">
        <v>0</v>
      </c>
      <c r="CC916">
        <v>0</v>
      </c>
      <c r="CD916">
        <v>0</v>
      </c>
      <c r="CE916" s="19">
        <f>SUM(Table1[[#This Row],[Low38]],Table1[[#This Row],[Low35]],Table1[[#This Row],[Low32]],Table1[[#This Row],[Low29]],Table1[[#This Row],[Low26]],Table1[[#This Row],[Low23]],Table1[[#This Row],[Low20]],Table1[[#This Row],[Low17]],Table1[[#This Row],[Low14]],Table1[[#This Row],[Low11]],Table1[[#This Row],[Low8]],Table1[[#This Row],[Low5]],Table1[[#This Row],[Low2]],Table1[[#This Row],[Low]])</f>
        <v>1600</v>
      </c>
      <c r="CF916" s="19">
        <f>SUM(Table1[[#This Row],[Mid39]],Table1[[#This Row],[Mid36]],Table1[[#This Row],[Mid33]],Table1[[#This Row],[Mid30]],Table1[[#This Row],[Mid27]],Table1[[#This Row],[Mid24]],Table1[[#This Row],[Mid21]],Table1[[#This Row],[Mid18]],Table1[[#This Row],[Mid15]],Table1[[#This Row],[Mid12]],Table1[[#This Row],[Mid9]],Table1[[#This Row],[Mid6]],Table1[[#This Row],[Mid3]],Table1[[#This Row],[Mid]])</f>
        <v>1800</v>
      </c>
      <c r="CG9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2000</v>
      </c>
      <c r="CH916" t="s">
        <v>157</v>
      </c>
      <c r="CI916" t="s">
        <v>176</v>
      </c>
      <c r="CJ916" t="s">
        <v>158</v>
      </c>
      <c r="CL916" s="19">
        <f>IF(Table1[[#This Row],[Type]]="Petroleum",1,IF(ISERROR(Table1[[#This Row],[Well Density]]*Table1[[#This Row],[Single Well Discovery Area]]),"",IF(Table1[[#This Row],[Well Density]]*Table1[[#This Row],[Single Well Discovery Area]]&gt;1,1,Table1[[#This Row],[Well Density]]*Table1[[#This Row],[Single Well Discovery Area]])))</f>
        <v>1</v>
      </c>
      <c r="CN916" s="19">
        <f>Table1[[#This Row],[Mid]]</f>
        <v>0</v>
      </c>
      <c r="CO916" s="19">
        <f>Table1[[#This Row],[Mid3]]+Table1[[#This Row],[Mid6]]+Table1[[#This Row],[Mid9]]</f>
        <v>0</v>
      </c>
      <c r="CP916" s="19">
        <f>Table1[[#This Row],[Mid12]]+Table1[[#This Row],[Mid15]]+Table1[[#This Row],[Mid18]]+Table1[[#This Row],[Mid21]]+Table1[[#This Row],[Mid24]]</f>
        <v>0</v>
      </c>
      <c r="CQ916" s="19">
        <f>Table1[[#This Row],[Mid27]]+Table1[[#This Row],[Mid30]]+Table1[[#This Row],[Mid33]]+Table1[[#This Row],[Mid36]]+Table1[[#This Row],[Mid39]]</f>
        <v>1800</v>
      </c>
      <c r="CR916" t="s">
        <v>415</v>
      </c>
      <c r="CS916" s="19" t="str">
        <f>IF(AND(Table1[[#This Row],[Low41]]=0, Table1[[#This Row],[High43]]=0),"N","Y")</f>
        <v>Y</v>
      </c>
    </row>
    <row r="917" spans="1:97" ht="19.5" customHeight="1" x14ac:dyDescent="0.25">
      <c r="A917">
        <v>10916</v>
      </c>
      <c r="B917" t="s">
        <v>2865</v>
      </c>
      <c r="C917" t="s">
        <v>2877</v>
      </c>
      <c r="D917">
        <v>43.214722219999999</v>
      </c>
      <c r="E917">
        <v>26.89722222</v>
      </c>
      <c r="F917" t="s">
        <v>2887</v>
      </c>
      <c r="G917" t="s">
        <v>2877</v>
      </c>
      <c r="H917" t="s">
        <v>2888</v>
      </c>
      <c r="I917" t="s">
        <v>118</v>
      </c>
      <c r="J917" t="s">
        <v>202</v>
      </c>
      <c r="K917" t="s">
        <v>167</v>
      </c>
      <c r="L917" t="s">
        <v>204</v>
      </c>
      <c r="M917" t="s">
        <v>2889</v>
      </c>
      <c r="N917" s="6" t="s">
        <v>2890</v>
      </c>
      <c r="O917" t="s">
        <v>2881</v>
      </c>
      <c r="P917" t="s">
        <v>1150</v>
      </c>
      <c r="Q917" t="s">
        <v>2891</v>
      </c>
      <c r="R917" t="s">
        <v>2883</v>
      </c>
      <c r="S917">
        <v>2007</v>
      </c>
      <c r="T917" t="s">
        <v>771</v>
      </c>
      <c r="U917" t="s">
        <v>2875</v>
      </c>
      <c r="V917">
        <v>42</v>
      </c>
      <c r="W917">
        <v>2500</v>
      </c>
      <c r="X917">
        <v>300</v>
      </c>
      <c r="Y917">
        <v>0</v>
      </c>
      <c r="Z917">
        <v>8</v>
      </c>
      <c r="AA917">
        <v>0</v>
      </c>
      <c r="AB917">
        <v>0</v>
      </c>
      <c r="AC917">
        <v>0</v>
      </c>
      <c r="AD917">
        <v>0</v>
      </c>
      <c r="AE917">
        <v>0</v>
      </c>
      <c r="AF917">
        <v>200</v>
      </c>
      <c r="AG917">
        <v>240</v>
      </c>
      <c r="AH917" t="s">
        <v>2259</v>
      </c>
      <c r="AI917">
        <v>4</v>
      </c>
      <c r="AJ917">
        <v>0</v>
      </c>
      <c r="AK917">
        <v>0</v>
      </c>
      <c r="AL917">
        <v>0</v>
      </c>
      <c r="AM917" t="s">
        <v>2884</v>
      </c>
      <c r="AN917" t="s">
        <v>132</v>
      </c>
      <c r="AO917">
        <v>0</v>
      </c>
      <c r="AP917">
        <v>0</v>
      </c>
      <c r="AQ917">
        <v>0</v>
      </c>
      <c r="AR917">
        <v>0</v>
      </c>
      <c r="AS917">
        <v>0</v>
      </c>
      <c r="AT917">
        <v>0</v>
      </c>
      <c r="AU917">
        <v>0</v>
      </c>
      <c r="AV917">
        <v>0</v>
      </c>
      <c r="AW917">
        <v>0</v>
      </c>
      <c r="AX917">
        <v>0</v>
      </c>
      <c r="AY917">
        <v>0</v>
      </c>
      <c r="AZ917">
        <v>0</v>
      </c>
      <c r="BA917">
        <v>0</v>
      </c>
      <c r="BB917">
        <v>0</v>
      </c>
      <c r="BC917">
        <v>0</v>
      </c>
      <c r="BD917">
        <v>0</v>
      </c>
      <c r="BE917">
        <v>0</v>
      </c>
      <c r="BF917">
        <v>0</v>
      </c>
      <c r="BG917">
        <v>0</v>
      </c>
      <c r="BH917">
        <v>0</v>
      </c>
      <c r="BI917">
        <v>0</v>
      </c>
      <c r="BJ917">
        <v>0</v>
      </c>
      <c r="BK917">
        <v>0</v>
      </c>
      <c r="BL917">
        <v>0</v>
      </c>
      <c r="BM917">
        <v>0</v>
      </c>
      <c r="BN917">
        <v>0</v>
      </c>
      <c r="BO917">
        <v>0</v>
      </c>
      <c r="BP917">
        <v>0</v>
      </c>
      <c r="BQ917">
        <v>0</v>
      </c>
      <c r="BR917">
        <v>0</v>
      </c>
      <c r="BS917">
        <v>0</v>
      </c>
      <c r="BT917">
        <v>0</v>
      </c>
      <c r="BU917">
        <v>0</v>
      </c>
      <c r="BV917">
        <v>15</v>
      </c>
      <c r="BW917">
        <v>17.5</v>
      </c>
      <c r="BX917">
        <v>25</v>
      </c>
      <c r="BY917">
        <v>0</v>
      </c>
      <c r="BZ917">
        <v>0</v>
      </c>
      <c r="CA917">
        <v>0</v>
      </c>
      <c r="CB917">
        <v>0</v>
      </c>
      <c r="CC917">
        <v>0</v>
      </c>
      <c r="CD917">
        <v>0</v>
      </c>
      <c r="CE917" s="19">
        <f>SUM(Table1[[#This Row],[Low38]],Table1[[#This Row],[Low35]],Table1[[#This Row],[Low32]],Table1[[#This Row],[Low29]],Table1[[#This Row],[Low26]],Table1[[#This Row],[Low23]],Table1[[#This Row],[Low20]],Table1[[#This Row],[Low17]],Table1[[#This Row],[Low14]],Table1[[#This Row],[Low11]],Table1[[#This Row],[Low8]],Table1[[#This Row],[Low5]],Table1[[#This Row],[Low2]],Table1[[#This Row],[Low]])</f>
        <v>15</v>
      </c>
      <c r="CF917" s="19">
        <f>SUM(Table1[[#This Row],[Mid39]],Table1[[#This Row],[Mid36]],Table1[[#This Row],[Mid33]],Table1[[#This Row],[Mid30]],Table1[[#This Row],[Mid27]],Table1[[#This Row],[Mid24]],Table1[[#This Row],[Mid21]],Table1[[#This Row],[Mid18]],Table1[[#This Row],[Mid15]],Table1[[#This Row],[Mid12]],Table1[[#This Row],[Mid9]],Table1[[#This Row],[Mid6]],Table1[[#This Row],[Mid3]],Table1[[#This Row],[Mid]])</f>
        <v>17.5</v>
      </c>
      <c r="CG9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25</v>
      </c>
      <c r="CH917" t="s">
        <v>157</v>
      </c>
      <c r="CI917" t="s">
        <v>176</v>
      </c>
      <c r="CJ917" t="s">
        <v>158</v>
      </c>
      <c r="CL917" s="19">
        <f>IF(Table1[[#This Row],[Type]]="Petroleum",1,IF(ISERROR(Table1[[#This Row],[Well Density]]*Table1[[#This Row],[Single Well Discovery Area]]),"",IF(Table1[[#This Row],[Well Density]]*Table1[[#This Row],[Single Well Discovery Area]]&gt;1,1,Table1[[#This Row],[Well Density]]*Table1[[#This Row],[Single Well Discovery Area]])))</f>
        <v>1</v>
      </c>
      <c r="CN917" s="19">
        <f>Table1[[#This Row],[Mid]]</f>
        <v>0</v>
      </c>
      <c r="CO917" s="19">
        <f>Table1[[#This Row],[Mid3]]+Table1[[#This Row],[Mid6]]+Table1[[#This Row],[Mid9]]</f>
        <v>0</v>
      </c>
      <c r="CP917" s="19">
        <f>Table1[[#This Row],[Mid12]]+Table1[[#This Row],[Mid15]]+Table1[[#This Row],[Mid18]]+Table1[[#This Row],[Mid21]]+Table1[[#This Row],[Mid24]]</f>
        <v>0</v>
      </c>
      <c r="CQ917" s="19">
        <f>Table1[[#This Row],[Mid27]]+Table1[[#This Row],[Mid30]]+Table1[[#This Row],[Mid33]]+Table1[[#This Row],[Mid36]]+Table1[[#This Row],[Mid39]]</f>
        <v>17.5</v>
      </c>
      <c r="CR917" t="s">
        <v>415</v>
      </c>
      <c r="CS917" s="19" t="str">
        <f>IF(AND(Table1[[#This Row],[Low41]]=0, Table1[[#This Row],[High43]]=0),"N","Y")</f>
        <v>Y</v>
      </c>
    </row>
    <row r="918" spans="1:97" ht="19.5" customHeight="1" x14ac:dyDescent="0.25">
      <c r="A918">
        <v>10917</v>
      </c>
      <c r="B918" t="s">
        <v>2865</v>
      </c>
      <c r="C918" t="s">
        <v>2877</v>
      </c>
      <c r="D918">
        <v>43.382777779999998</v>
      </c>
      <c r="E918">
        <v>26.333055559999998</v>
      </c>
      <c r="F918" t="s">
        <v>2892</v>
      </c>
      <c r="G918" t="s">
        <v>2877</v>
      </c>
      <c r="H918" t="s">
        <v>2893</v>
      </c>
      <c r="I918" t="s">
        <v>118</v>
      </c>
      <c r="J918" t="s">
        <v>119</v>
      </c>
      <c r="K918" t="s">
        <v>167</v>
      </c>
      <c r="L918" t="s">
        <v>18</v>
      </c>
      <c r="M918" t="s">
        <v>139</v>
      </c>
      <c r="N918" s="6" t="s">
        <v>2894</v>
      </c>
      <c r="O918" t="s">
        <v>2881</v>
      </c>
      <c r="P918" t="s">
        <v>1150</v>
      </c>
      <c r="Q918" t="s">
        <v>2895</v>
      </c>
      <c r="R918" t="s">
        <v>2883</v>
      </c>
      <c r="S918">
        <v>2007</v>
      </c>
      <c r="T918" t="s">
        <v>771</v>
      </c>
      <c r="U918" t="s">
        <v>2875</v>
      </c>
      <c r="V918">
        <v>600</v>
      </c>
      <c r="W918">
        <v>1500</v>
      </c>
      <c r="X918">
        <v>40</v>
      </c>
      <c r="Z918">
        <v>5</v>
      </c>
      <c r="AE918">
        <v>0</v>
      </c>
      <c r="AG918">
        <v>140</v>
      </c>
      <c r="AH918" t="s">
        <v>2259</v>
      </c>
      <c r="AI918">
        <v>6</v>
      </c>
      <c r="AM918" t="s">
        <v>2884</v>
      </c>
      <c r="AN918" t="s">
        <v>132</v>
      </c>
      <c r="BV918">
        <v>18</v>
      </c>
      <c r="BW918">
        <v>21.6</v>
      </c>
      <c r="BX918">
        <v>25</v>
      </c>
      <c r="CE918" s="19">
        <f>SUM(Table1[[#This Row],[Low38]],Table1[[#This Row],[Low35]],Table1[[#This Row],[Low32]],Table1[[#This Row],[Low29]],Table1[[#This Row],[Low26]],Table1[[#This Row],[Low23]],Table1[[#This Row],[Low20]],Table1[[#This Row],[Low17]],Table1[[#This Row],[Low14]],Table1[[#This Row],[Low11]],Table1[[#This Row],[Low8]],Table1[[#This Row],[Low5]],Table1[[#This Row],[Low2]],Table1[[#This Row],[Low]])</f>
        <v>18</v>
      </c>
      <c r="CF918" s="19">
        <f>SUM(Table1[[#This Row],[Mid39]],Table1[[#This Row],[Mid36]],Table1[[#This Row],[Mid33]],Table1[[#This Row],[Mid30]],Table1[[#This Row],[Mid27]],Table1[[#This Row],[Mid24]],Table1[[#This Row],[Mid21]],Table1[[#This Row],[Mid18]],Table1[[#This Row],[Mid15]],Table1[[#This Row],[Mid12]],Table1[[#This Row],[Mid9]],Table1[[#This Row],[Mid6]],Table1[[#This Row],[Mid3]],Table1[[#This Row],[Mid]])</f>
        <v>21.6</v>
      </c>
      <c r="CG91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25</v>
      </c>
      <c r="CH918" t="s">
        <v>157</v>
      </c>
      <c r="CI918" t="s">
        <v>134</v>
      </c>
      <c r="CJ918" t="s">
        <v>158</v>
      </c>
      <c r="CL918" s="19">
        <f>IF(Table1[[#This Row],[Type]]="Petroleum",1,IF(ISERROR(Table1[[#This Row],[Well Density]]*Table1[[#This Row],[Single Well Discovery Area]]),"",IF(Table1[[#This Row],[Well Density]]*Table1[[#This Row],[Single Well Discovery Area]]&gt;1,1,Table1[[#This Row],[Well Density]]*Table1[[#This Row],[Single Well Discovery Area]])))</f>
        <v>0</v>
      </c>
      <c r="CN918" s="19">
        <f>Table1[[#This Row],[Mid]]</f>
        <v>0</v>
      </c>
      <c r="CO918" s="19">
        <f>Table1[[#This Row],[Mid3]]+Table1[[#This Row],[Mid6]]+Table1[[#This Row],[Mid9]]</f>
        <v>0</v>
      </c>
      <c r="CP918" s="19">
        <f>Table1[[#This Row],[Mid12]]+Table1[[#This Row],[Mid15]]+Table1[[#This Row],[Mid18]]+Table1[[#This Row],[Mid21]]+Table1[[#This Row],[Mid24]]</f>
        <v>0</v>
      </c>
      <c r="CQ918" s="19">
        <f>Table1[[#This Row],[Mid27]]+Table1[[#This Row],[Mid30]]+Table1[[#This Row],[Mid33]]+Table1[[#This Row],[Mid36]]+Table1[[#This Row],[Mid39]]</f>
        <v>21.6</v>
      </c>
      <c r="CR918" t="s">
        <v>415</v>
      </c>
      <c r="CS918" s="19" t="str">
        <f>IF(AND(Table1[[#This Row],[Low41]]=0, Table1[[#This Row],[High43]]=0),"N","Y")</f>
        <v>Y</v>
      </c>
    </row>
    <row r="919" spans="1:97" ht="19.5" customHeight="1" x14ac:dyDescent="0.25">
      <c r="A919">
        <v>10918</v>
      </c>
      <c r="B919" t="s">
        <v>2865</v>
      </c>
      <c r="C919" t="s">
        <v>2896</v>
      </c>
      <c r="D919">
        <v>42.3825</v>
      </c>
      <c r="E919">
        <v>26.53944444</v>
      </c>
      <c r="F919" t="s">
        <v>2897</v>
      </c>
      <c r="G919" t="s">
        <v>2896</v>
      </c>
      <c r="H919" t="s">
        <v>2898</v>
      </c>
      <c r="I919" t="s">
        <v>118</v>
      </c>
      <c r="J919" t="s">
        <v>119</v>
      </c>
      <c r="K919" t="s">
        <v>167</v>
      </c>
      <c r="L919" t="s">
        <v>18</v>
      </c>
      <c r="M919" t="s">
        <v>122</v>
      </c>
      <c r="N919" s="6" t="s">
        <v>2899</v>
      </c>
      <c r="O919" t="s">
        <v>2881</v>
      </c>
      <c r="P919" t="s">
        <v>1150</v>
      </c>
      <c r="Q919" t="s">
        <v>2900</v>
      </c>
      <c r="R919" t="s">
        <v>2883</v>
      </c>
      <c r="S919">
        <v>2007</v>
      </c>
      <c r="T919" t="s">
        <v>771</v>
      </c>
      <c r="U919" t="s">
        <v>2875</v>
      </c>
      <c r="V919">
        <v>180</v>
      </c>
      <c r="W919">
        <v>1500</v>
      </c>
      <c r="X919">
        <v>500</v>
      </c>
      <c r="Z919">
        <v>4</v>
      </c>
      <c r="AE919">
        <v>0</v>
      </c>
      <c r="AG919">
        <v>150</v>
      </c>
      <c r="AH919" t="s">
        <v>2259</v>
      </c>
      <c r="AI919">
        <v>5</v>
      </c>
      <c r="AM919" t="s">
        <v>2884</v>
      </c>
      <c r="AN919" t="s">
        <v>132</v>
      </c>
      <c r="BV919">
        <v>22</v>
      </c>
      <c r="BW919">
        <v>27</v>
      </c>
      <c r="BX919">
        <v>65</v>
      </c>
      <c r="CE919" s="19">
        <f>SUM(Table1[[#This Row],[Low38]],Table1[[#This Row],[Low35]],Table1[[#This Row],[Low32]],Table1[[#This Row],[Low29]],Table1[[#This Row],[Low26]],Table1[[#This Row],[Low23]],Table1[[#This Row],[Low20]],Table1[[#This Row],[Low17]],Table1[[#This Row],[Low14]],Table1[[#This Row],[Low11]],Table1[[#This Row],[Low8]],Table1[[#This Row],[Low5]],Table1[[#This Row],[Low2]],Table1[[#This Row],[Low]])</f>
        <v>22</v>
      </c>
      <c r="CF919" s="19">
        <f>SUM(Table1[[#This Row],[Mid39]],Table1[[#This Row],[Mid36]],Table1[[#This Row],[Mid33]],Table1[[#This Row],[Mid30]],Table1[[#This Row],[Mid27]],Table1[[#This Row],[Mid24]],Table1[[#This Row],[Mid21]],Table1[[#This Row],[Mid18]],Table1[[#This Row],[Mid15]],Table1[[#This Row],[Mid12]],Table1[[#This Row],[Mid9]],Table1[[#This Row],[Mid6]],Table1[[#This Row],[Mid3]],Table1[[#This Row],[Mid]])</f>
        <v>27</v>
      </c>
      <c r="CG9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65</v>
      </c>
      <c r="CH919" t="s">
        <v>157</v>
      </c>
      <c r="CI919" t="s">
        <v>134</v>
      </c>
      <c r="CJ919" t="s">
        <v>158</v>
      </c>
      <c r="CL919" s="19">
        <f>IF(Table1[[#This Row],[Type]]="Petroleum",1,IF(ISERROR(Table1[[#This Row],[Well Density]]*Table1[[#This Row],[Single Well Discovery Area]]),"",IF(Table1[[#This Row],[Well Density]]*Table1[[#This Row],[Single Well Discovery Area]]&gt;1,1,Table1[[#This Row],[Well Density]]*Table1[[#This Row],[Single Well Discovery Area]])))</f>
        <v>0</v>
      </c>
      <c r="CN919" s="19">
        <f>Table1[[#This Row],[Mid]]</f>
        <v>0</v>
      </c>
      <c r="CO919" s="19">
        <f>Table1[[#This Row],[Mid3]]+Table1[[#This Row],[Mid6]]+Table1[[#This Row],[Mid9]]</f>
        <v>0</v>
      </c>
      <c r="CP919" s="19">
        <f>Table1[[#This Row],[Mid12]]+Table1[[#This Row],[Mid15]]+Table1[[#This Row],[Mid18]]+Table1[[#This Row],[Mid21]]+Table1[[#This Row],[Mid24]]</f>
        <v>0</v>
      </c>
      <c r="CQ919" s="19">
        <f>Table1[[#This Row],[Mid27]]+Table1[[#This Row],[Mid30]]+Table1[[#This Row],[Mid33]]+Table1[[#This Row],[Mid36]]+Table1[[#This Row],[Mid39]]</f>
        <v>27</v>
      </c>
      <c r="CR919" t="s">
        <v>415</v>
      </c>
      <c r="CS919" s="19" t="str">
        <f>IF(AND(Table1[[#This Row],[Low41]]=0, Table1[[#This Row],[High43]]=0),"N","Y")</f>
        <v>Y</v>
      </c>
    </row>
    <row r="920" spans="1:97" ht="19.5" customHeight="1" x14ac:dyDescent="0.25">
      <c r="A920">
        <v>10919</v>
      </c>
      <c r="B920" t="s">
        <v>2865</v>
      </c>
      <c r="C920" t="s">
        <v>2896</v>
      </c>
      <c r="D920">
        <v>42.478999999999999</v>
      </c>
      <c r="E920">
        <v>26.992000000000001</v>
      </c>
      <c r="F920" t="s">
        <v>2901</v>
      </c>
      <c r="G920" t="s">
        <v>2896</v>
      </c>
      <c r="H920" t="s">
        <v>2898</v>
      </c>
      <c r="I920" t="s">
        <v>118</v>
      </c>
      <c r="J920" t="s">
        <v>119</v>
      </c>
      <c r="K920" t="s">
        <v>167</v>
      </c>
      <c r="L920" t="s">
        <v>18</v>
      </c>
      <c r="M920" t="s">
        <v>122</v>
      </c>
      <c r="N920" s="6" t="s">
        <v>2902</v>
      </c>
      <c r="O920" t="s">
        <v>2881</v>
      </c>
      <c r="P920" t="s">
        <v>1150</v>
      </c>
      <c r="Q920" t="s">
        <v>2900</v>
      </c>
      <c r="R920" t="s">
        <v>2883</v>
      </c>
      <c r="S920">
        <v>2007</v>
      </c>
      <c r="T920" t="s">
        <v>771</v>
      </c>
      <c r="U920" t="s">
        <v>2875</v>
      </c>
      <c r="V920">
        <v>160</v>
      </c>
      <c r="W920">
        <v>1500</v>
      </c>
      <c r="X920">
        <v>500</v>
      </c>
      <c r="Z920">
        <v>4</v>
      </c>
      <c r="AE920">
        <v>0</v>
      </c>
      <c r="AG920">
        <v>150</v>
      </c>
      <c r="AH920" t="s">
        <v>2259</v>
      </c>
      <c r="AI920">
        <v>5</v>
      </c>
      <c r="AM920" t="s">
        <v>2884</v>
      </c>
      <c r="AN920" t="s">
        <v>132</v>
      </c>
      <c r="BV920">
        <v>19</v>
      </c>
      <c r="BW920">
        <v>24</v>
      </c>
      <c r="BX920">
        <v>86</v>
      </c>
      <c r="CE920" s="19">
        <f>SUM(Table1[[#This Row],[Low38]],Table1[[#This Row],[Low35]],Table1[[#This Row],[Low32]],Table1[[#This Row],[Low29]],Table1[[#This Row],[Low26]],Table1[[#This Row],[Low23]],Table1[[#This Row],[Low20]],Table1[[#This Row],[Low17]],Table1[[#This Row],[Low14]],Table1[[#This Row],[Low11]],Table1[[#This Row],[Low8]],Table1[[#This Row],[Low5]],Table1[[#This Row],[Low2]],Table1[[#This Row],[Low]])</f>
        <v>19</v>
      </c>
      <c r="CF920" s="19">
        <f>SUM(Table1[[#This Row],[Mid39]],Table1[[#This Row],[Mid36]],Table1[[#This Row],[Mid33]],Table1[[#This Row],[Mid30]],Table1[[#This Row],[Mid27]],Table1[[#This Row],[Mid24]],Table1[[#This Row],[Mid21]],Table1[[#This Row],[Mid18]],Table1[[#This Row],[Mid15]],Table1[[#This Row],[Mid12]],Table1[[#This Row],[Mid9]],Table1[[#This Row],[Mid6]],Table1[[#This Row],[Mid3]],Table1[[#This Row],[Mid]])</f>
        <v>24</v>
      </c>
      <c r="CG9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86</v>
      </c>
      <c r="CH920" t="s">
        <v>157</v>
      </c>
      <c r="CI920" t="s">
        <v>134</v>
      </c>
      <c r="CJ920" t="s">
        <v>158</v>
      </c>
      <c r="CL920" s="19">
        <f>IF(Table1[[#This Row],[Type]]="Petroleum",1,IF(ISERROR(Table1[[#This Row],[Well Density]]*Table1[[#This Row],[Single Well Discovery Area]]),"",IF(Table1[[#This Row],[Well Density]]*Table1[[#This Row],[Single Well Discovery Area]]&gt;1,1,Table1[[#This Row],[Well Density]]*Table1[[#This Row],[Single Well Discovery Area]])))</f>
        <v>0</v>
      </c>
      <c r="CN920" s="19">
        <f>Table1[[#This Row],[Mid]]</f>
        <v>0</v>
      </c>
      <c r="CO920" s="19">
        <f>Table1[[#This Row],[Mid3]]+Table1[[#This Row],[Mid6]]+Table1[[#This Row],[Mid9]]</f>
        <v>0</v>
      </c>
      <c r="CP920" s="19">
        <f>Table1[[#This Row],[Mid12]]+Table1[[#This Row],[Mid15]]+Table1[[#This Row],[Mid18]]+Table1[[#This Row],[Mid21]]+Table1[[#This Row],[Mid24]]</f>
        <v>0</v>
      </c>
      <c r="CQ920" s="19">
        <f>Table1[[#This Row],[Mid27]]+Table1[[#This Row],[Mid30]]+Table1[[#This Row],[Mid33]]+Table1[[#This Row],[Mid36]]+Table1[[#This Row],[Mid39]]</f>
        <v>24</v>
      </c>
      <c r="CR920" t="s">
        <v>415</v>
      </c>
      <c r="CS920" s="19" t="str">
        <f>IF(AND(Table1[[#This Row],[Low41]]=0, Table1[[#This Row],[High43]]=0),"N","Y")</f>
        <v>Y</v>
      </c>
    </row>
    <row r="921" spans="1:97" ht="19.5" customHeight="1" x14ac:dyDescent="0.25">
      <c r="A921">
        <v>10920</v>
      </c>
      <c r="B921" t="s">
        <v>2865</v>
      </c>
      <c r="C921" t="s">
        <v>2868</v>
      </c>
      <c r="D921">
        <v>43.014000000000003</v>
      </c>
      <c r="E921">
        <v>27.803999999999998</v>
      </c>
      <c r="F921" t="s">
        <v>2903</v>
      </c>
      <c r="G921" t="s">
        <v>2868</v>
      </c>
      <c r="H921" t="s">
        <v>2904</v>
      </c>
      <c r="I921" t="s">
        <v>118</v>
      </c>
      <c r="J921" t="s">
        <v>119</v>
      </c>
      <c r="K921" t="s">
        <v>167</v>
      </c>
      <c r="L921" t="s">
        <v>18</v>
      </c>
      <c r="M921" t="s">
        <v>2905</v>
      </c>
      <c r="N921" s="6" t="s">
        <v>2906</v>
      </c>
      <c r="O921" t="s">
        <v>2881</v>
      </c>
      <c r="P921" t="s">
        <v>1150</v>
      </c>
      <c r="Q921" t="s">
        <v>2907</v>
      </c>
      <c r="R921" t="s">
        <v>2883</v>
      </c>
      <c r="S921">
        <v>2007</v>
      </c>
      <c r="T921" t="s">
        <v>771</v>
      </c>
      <c r="U921" t="s">
        <v>2875</v>
      </c>
      <c r="V921">
        <v>108</v>
      </c>
      <c r="W921">
        <v>1500</v>
      </c>
      <c r="X921">
        <v>600</v>
      </c>
      <c r="Z921">
        <v>15</v>
      </c>
      <c r="AE921">
        <v>0</v>
      </c>
      <c r="AG921">
        <v>155</v>
      </c>
      <c r="AH921" t="s">
        <v>2259</v>
      </c>
      <c r="AI921">
        <v>10</v>
      </c>
      <c r="AM921" t="s">
        <v>2884</v>
      </c>
      <c r="AN921" t="s">
        <v>132</v>
      </c>
      <c r="BV921">
        <v>45</v>
      </c>
      <c r="BW921">
        <v>56.16</v>
      </c>
      <c r="BX921">
        <v>65</v>
      </c>
      <c r="CE921" s="19">
        <f>SUM(Table1[[#This Row],[Low38]],Table1[[#This Row],[Low35]],Table1[[#This Row],[Low32]],Table1[[#This Row],[Low29]],Table1[[#This Row],[Low26]],Table1[[#This Row],[Low23]],Table1[[#This Row],[Low20]],Table1[[#This Row],[Low17]],Table1[[#This Row],[Low14]],Table1[[#This Row],[Low11]],Table1[[#This Row],[Low8]],Table1[[#This Row],[Low5]],Table1[[#This Row],[Low2]],Table1[[#This Row],[Low]])</f>
        <v>45</v>
      </c>
      <c r="CF921" s="19">
        <f>SUM(Table1[[#This Row],[Mid39]],Table1[[#This Row],[Mid36]],Table1[[#This Row],[Mid33]],Table1[[#This Row],[Mid30]],Table1[[#This Row],[Mid27]],Table1[[#This Row],[Mid24]],Table1[[#This Row],[Mid21]],Table1[[#This Row],[Mid18]],Table1[[#This Row],[Mid15]],Table1[[#This Row],[Mid12]],Table1[[#This Row],[Mid9]],Table1[[#This Row],[Mid6]],Table1[[#This Row],[Mid3]],Table1[[#This Row],[Mid]])</f>
        <v>56.16</v>
      </c>
      <c r="CG9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65</v>
      </c>
      <c r="CH921" t="s">
        <v>157</v>
      </c>
      <c r="CI921" t="s">
        <v>134</v>
      </c>
      <c r="CJ921" t="s">
        <v>158</v>
      </c>
      <c r="CL921" s="19">
        <f>IF(Table1[[#This Row],[Type]]="Petroleum",1,IF(ISERROR(Table1[[#This Row],[Well Density]]*Table1[[#This Row],[Single Well Discovery Area]]),"",IF(Table1[[#This Row],[Well Density]]*Table1[[#This Row],[Single Well Discovery Area]]&gt;1,1,Table1[[#This Row],[Well Density]]*Table1[[#This Row],[Single Well Discovery Area]])))</f>
        <v>0</v>
      </c>
      <c r="CN921" s="19">
        <f>Table1[[#This Row],[Mid]]</f>
        <v>0</v>
      </c>
      <c r="CO921" s="19">
        <f>Table1[[#This Row],[Mid3]]+Table1[[#This Row],[Mid6]]+Table1[[#This Row],[Mid9]]</f>
        <v>0</v>
      </c>
      <c r="CP921" s="19">
        <f>Table1[[#This Row],[Mid12]]+Table1[[#This Row],[Mid15]]+Table1[[#This Row],[Mid18]]+Table1[[#This Row],[Mid21]]+Table1[[#This Row],[Mid24]]</f>
        <v>0</v>
      </c>
      <c r="CQ921" s="19">
        <f>Table1[[#This Row],[Mid27]]+Table1[[#This Row],[Mid30]]+Table1[[#This Row],[Mid33]]+Table1[[#This Row],[Mid36]]+Table1[[#This Row],[Mid39]]</f>
        <v>56.16</v>
      </c>
      <c r="CR921" t="s">
        <v>415</v>
      </c>
      <c r="CS921" s="19" t="str">
        <f>IF(AND(Table1[[#This Row],[Low41]]=0, Table1[[#This Row],[High43]]=0),"N","Y")</f>
        <v>Y</v>
      </c>
    </row>
    <row r="922" spans="1:97" ht="19.5" customHeight="1" x14ac:dyDescent="0.25">
      <c r="A922">
        <v>10921</v>
      </c>
      <c r="B922" t="s">
        <v>2865</v>
      </c>
      <c r="C922" t="s">
        <v>2896</v>
      </c>
      <c r="D922">
        <v>42.228999999999999</v>
      </c>
      <c r="E922">
        <v>25.582999999999998</v>
      </c>
      <c r="F922" t="s">
        <v>2908</v>
      </c>
      <c r="G922" t="s">
        <v>2896</v>
      </c>
      <c r="H922" t="s">
        <v>2904</v>
      </c>
      <c r="I922" t="s">
        <v>118</v>
      </c>
      <c r="J922" t="s">
        <v>119</v>
      </c>
      <c r="K922" t="s">
        <v>167</v>
      </c>
      <c r="L922" t="s">
        <v>18</v>
      </c>
      <c r="M922" t="s">
        <v>2905</v>
      </c>
      <c r="N922" s="6" t="s">
        <v>2909</v>
      </c>
      <c r="O922" t="s">
        <v>2881</v>
      </c>
      <c r="P922" t="s">
        <v>1150</v>
      </c>
      <c r="Q922" t="s">
        <v>2910</v>
      </c>
      <c r="R922" t="s">
        <v>2883</v>
      </c>
      <c r="S922">
        <v>2007</v>
      </c>
      <c r="T922" t="s">
        <v>771</v>
      </c>
      <c r="U922" t="s">
        <v>2875</v>
      </c>
      <c r="V922">
        <v>450</v>
      </c>
      <c r="W922">
        <v>800</v>
      </c>
      <c r="X922">
        <v>300</v>
      </c>
      <c r="Z922">
        <v>5</v>
      </c>
      <c r="AE922">
        <v>0</v>
      </c>
      <c r="AG922">
        <v>100</v>
      </c>
      <c r="AH922" t="s">
        <v>2259</v>
      </c>
      <c r="AI922">
        <v>5</v>
      </c>
      <c r="AM922" t="s">
        <v>2884</v>
      </c>
      <c r="AN922" t="s">
        <v>132</v>
      </c>
      <c r="BV922">
        <v>80</v>
      </c>
      <c r="BW922">
        <v>85</v>
      </c>
      <c r="BX922">
        <v>105</v>
      </c>
      <c r="CE922" s="19">
        <f>SUM(Table1[[#This Row],[Low38]],Table1[[#This Row],[Low35]],Table1[[#This Row],[Low32]],Table1[[#This Row],[Low29]],Table1[[#This Row],[Low26]],Table1[[#This Row],[Low23]],Table1[[#This Row],[Low20]],Table1[[#This Row],[Low17]],Table1[[#This Row],[Low14]],Table1[[#This Row],[Low11]],Table1[[#This Row],[Low8]],Table1[[#This Row],[Low5]],Table1[[#This Row],[Low2]],Table1[[#This Row],[Low]])</f>
        <v>80</v>
      </c>
      <c r="CF922" s="19">
        <f>SUM(Table1[[#This Row],[Mid39]],Table1[[#This Row],[Mid36]],Table1[[#This Row],[Mid33]],Table1[[#This Row],[Mid30]],Table1[[#This Row],[Mid27]],Table1[[#This Row],[Mid24]],Table1[[#This Row],[Mid21]],Table1[[#This Row],[Mid18]],Table1[[#This Row],[Mid15]],Table1[[#This Row],[Mid12]],Table1[[#This Row],[Mid9]],Table1[[#This Row],[Mid6]],Table1[[#This Row],[Mid3]],Table1[[#This Row],[Mid]])</f>
        <v>85</v>
      </c>
      <c r="CG9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105</v>
      </c>
      <c r="CH922" t="s">
        <v>157</v>
      </c>
      <c r="CI922" t="s">
        <v>2911</v>
      </c>
      <c r="CJ922" t="s">
        <v>158</v>
      </c>
      <c r="CL922" s="19">
        <f>IF(Table1[[#This Row],[Type]]="Petroleum",1,IF(ISERROR(Table1[[#This Row],[Well Density]]*Table1[[#This Row],[Single Well Discovery Area]]),"",IF(Table1[[#This Row],[Well Density]]*Table1[[#This Row],[Single Well Discovery Area]]&gt;1,1,Table1[[#This Row],[Well Density]]*Table1[[#This Row],[Single Well Discovery Area]])))</f>
        <v>0</v>
      </c>
      <c r="CN922" s="19">
        <f>Table1[[#This Row],[Mid]]</f>
        <v>0</v>
      </c>
      <c r="CO922" s="19">
        <f>Table1[[#This Row],[Mid3]]+Table1[[#This Row],[Mid6]]+Table1[[#This Row],[Mid9]]</f>
        <v>0</v>
      </c>
      <c r="CP922" s="19">
        <f>Table1[[#This Row],[Mid12]]+Table1[[#This Row],[Mid15]]+Table1[[#This Row],[Mid18]]+Table1[[#This Row],[Mid21]]+Table1[[#This Row],[Mid24]]</f>
        <v>0</v>
      </c>
      <c r="CQ922" s="19">
        <f>Table1[[#This Row],[Mid27]]+Table1[[#This Row],[Mid30]]+Table1[[#This Row],[Mid33]]+Table1[[#This Row],[Mid36]]+Table1[[#This Row],[Mid39]]</f>
        <v>85</v>
      </c>
      <c r="CR922" t="s">
        <v>415</v>
      </c>
      <c r="CS922" s="19" t="str">
        <f>IF(AND(Table1[[#This Row],[Low41]]=0, Table1[[#This Row],[High43]]=0),"N","Y")</f>
        <v>Y</v>
      </c>
    </row>
    <row r="923" spans="1:97" ht="19.5" customHeight="1" x14ac:dyDescent="0.25">
      <c r="A923">
        <v>10922</v>
      </c>
      <c r="B923" t="s">
        <v>2865</v>
      </c>
      <c r="C923" t="s">
        <v>2912</v>
      </c>
      <c r="D923">
        <v>42.157777780000004</v>
      </c>
      <c r="E923">
        <v>25.143888889999999</v>
      </c>
      <c r="F923" t="s">
        <v>2913</v>
      </c>
      <c r="G923" t="s">
        <v>2896</v>
      </c>
      <c r="H923" t="s">
        <v>2904</v>
      </c>
      <c r="I923" t="s">
        <v>118</v>
      </c>
      <c r="J923" t="s">
        <v>119</v>
      </c>
      <c r="K923" t="s">
        <v>167</v>
      </c>
      <c r="L923" t="s">
        <v>18</v>
      </c>
      <c r="M923" t="s">
        <v>2905</v>
      </c>
      <c r="N923" s="6" t="s">
        <v>2914</v>
      </c>
      <c r="O923" s="21" t="s">
        <v>2915</v>
      </c>
      <c r="P923" t="s">
        <v>1150</v>
      </c>
      <c r="Q923" t="s">
        <v>2910</v>
      </c>
      <c r="R923" t="s">
        <v>2916</v>
      </c>
      <c r="S923">
        <v>2013</v>
      </c>
      <c r="T923" t="s">
        <v>771</v>
      </c>
      <c r="U923" t="s">
        <v>2875</v>
      </c>
      <c r="V923">
        <v>300</v>
      </c>
      <c r="W923">
        <v>800</v>
      </c>
      <c r="X923">
        <v>400</v>
      </c>
      <c r="Y923">
        <v>0</v>
      </c>
      <c r="Z923">
        <v>5</v>
      </c>
      <c r="AA923">
        <v>0</v>
      </c>
      <c r="AB923">
        <v>0</v>
      </c>
      <c r="AC923">
        <v>0</v>
      </c>
      <c r="AD923">
        <v>0</v>
      </c>
      <c r="AE923">
        <v>0</v>
      </c>
      <c r="AF923">
        <v>200</v>
      </c>
      <c r="AG923">
        <v>100</v>
      </c>
      <c r="AH923" t="s">
        <v>2259</v>
      </c>
      <c r="AI923">
        <v>5</v>
      </c>
      <c r="AJ923">
        <v>0</v>
      </c>
      <c r="AK923">
        <v>0</v>
      </c>
      <c r="AL923">
        <v>0</v>
      </c>
      <c r="AM923" t="s">
        <v>2884</v>
      </c>
      <c r="AN923" t="s">
        <v>132</v>
      </c>
      <c r="AO923">
        <v>0</v>
      </c>
      <c r="AP923">
        <v>0</v>
      </c>
      <c r="AQ923">
        <v>0</v>
      </c>
      <c r="AR923">
        <v>0</v>
      </c>
      <c r="AS923">
        <v>0</v>
      </c>
      <c r="AT923">
        <v>0</v>
      </c>
      <c r="AU923">
        <v>0</v>
      </c>
      <c r="AV923">
        <v>0</v>
      </c>
      <c r="AW923">
        <v>0</v>
      </c>
      <c r="AX923">
        <v>0</v>
      </c>
      <c r="AY923">
        <v>0</v>
      </c>
      <c r="AZ923">
        <v>0</v>
      </c>
      <c r="BA923">
        <v>0</v>
      </c>
      <c r="BB923">
        <v>0</v>
      </c>
      <c r="BC923">
        <v>0</v>
      </c>
      <c r="BD923">
        <v>0</v>
      </c>
      <c r="BE923">
        <v>0</v>
      </c>
      <c r="BF923">
        <v>0</v>
      </c>
      <c r="BG923">
        <v>0</v>
      </c>
      <c r="BH923">
        <v>0</v>
      </c>
      <c r="BI923">
        <v>0</v>
      </c>
      <c r="BJ923">
        <v>0</v>
      </c>
      <c r="BK923">
        <v>0</v>
      </c>
      <c r="BL923">
        <v>0</v>
      </c>
      <c r="BM923">
        <v>0</v>
      </c>
      <c r="BN923">
        <v>0</v>
      </c>
      <c r="BO923">
        <v>0</v>
      </c>
      <c r="BP923">
        <v>0</v>
      </c>
      <c r="BQ923">
        <v>0</v>
      </c>
      <c r="BR923">
        <v>0</v>
      </c>
      <c r="BS923">
        <v>0</v>
      </c>
      <c r="BT923">
        <v>0</v>
      </c>
      <c r="BU923">
        <v>0</v>
      </c>
      <c r="BV923">
        <v>70</v>
      </c>
      <c r="BW923">
        <v>72</v>
      </c>
      <c r="BX923">
        <v>90</v>
      </c>
      <c r="BY923">
        <v>0</v>
      </c>
      <c r="BZ923">
        <v>0</v>
      </c>
      <c r="CA923">
        <v>0</v>
      </c>
      <c r="CB923">
        <v>0</v>
      </c>
      <c r="CC923">
        <v>0</v>
      </c>
      <c r="CD923">
        <v>0</v>
      </c>
      <c r="CE923" s="19">
        <f>SUM(Table1[[#This Row],[Low38]],Table1[[#This Row],[Low35]],Table1[[#This Row],[Low32]],Table1[[#This Row],[Low29]],Table1[[#This Row],[Low26]],Table1[[#This Row],[Low23]],Table1[[#This Row],[Low20]],Table1[[#This Row],[Low17]],Table1[[#This Row],[Low14]],Table1[[#This Row],[Low11]],Table1[[#This Row],[Low8]],Table1[[#This Row],[Low5]],Table1[[#This Row],[Low2]],Table1[[#This Row],[Low]])</f>
        <v>70</v>
      </c>
      <c r="CF923" s="19">
        <f>SUM(Table1[[#This Row],[Mid39]],Table1[[#This Row],[Mid36]],Table1[[#This Row],[Mid33]],Table1[[#This Row],[Mid30]],Table1[[#This Row],[Mid27]],Table1[[#This Row],[Mid24]],Table1[[#This Row],[Mid21]],Table1[[#This Row],[Mid18]],Table1[[#This Row],[Mid15]],Table1[[#This Row],[Mid12]],Table1[[#This Row],[Mid9]],Table1[[#This Row],[Mid6]],Table1[[#This Row],[Mid3]],Table1[[#This Row],[Mid]])</f>
        <v>72</v>
      </c>
      <c r="CG9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90</v>
      </c>
      <c r="CH923" t="s">
        <v>157</v>
      </c>
      <c r="CI923" t="s">
        <v>176</v>
      </c>
      <c r="CJ923" t="s">
        <v>158</v>
      </c>
      <c r="CL923" s="19">
        <f>IF(Table1[[#This Row],[Type]]="Petroleum",1,IF(ISERROR(Table1[[#This Row],[Well Density]]*Table1[[#This Row],[Single Well Discovery Area]]),"",IF(Table1[[#This Row],[Well Density]]*Table1[[#This Row],[Single Well Discovery Area]]&gt;1,1,Table1[[#This Row],[Well Density]]*Table1[[#This Row],[Single Well Discovery Area]])))</f>
        <v>0</v>
      </c>
      <c r="CN923" s="19">
        <f>Table1[[#This Row],[Mid]]</f>
        <v>0</v>
      </c>
      <c r="CO923" s="19">
        <f>Table1[[#This Row],[Mid3]]+Table1[[#This Row],[Mid6]]+Table1[[#This Row],[Mid9]]</f>
        <v>0</v>
      </c>
      <c r="CP923" s="19">
        <f>Table1[[#This Row],[Mid12]]+Table1[[#This Row],[Mid15]]+Table1[[#This Row],[Mid18]]+Table1[[#This Row],[Mid21]]+Table1[[#This Row],[Mid24]]</f>
        <v>0</v>
      </c>
      <c r="CQ923" s="19">
        <f>Table1[[#This Row],[Mid27]]+Table1[[#This Row],[Mid30]]+Table1[[#This Row],[Mid33]]+Table1[[#This Row],[Mid36]]+Table1[[#This Row],[Mid39]]</f>
        <v>72</v>
      </c>
      <c r="CR923" t="s">
        <v>415</v>
      </c>
      <c r="CS923" s="19" t="str">
        <f>IF(AND(Table1[[#This Row],[Low41]]=0, Table1[[#This Row],[High43]]=0),"N","Y")</f>
        <v>Y</v>
      </c>
    </row>
    <row r="924" spans="1:97" ht="19.5" customHeight="1" x14ac:dyDescent="0.25">
      <c r="A924">
        <v>10923</v>
      </c>
      <c r="B924" t="s">
        <v>2917</v>
      </c>
      <c r="C924" t="s">
        <v>2917</v>
      </c>
      <c r="D924">
        <v>40.463611110000002</v>
      </c>
      <c r="E924">
        <v>-3.7597222220000002</v>
      </c>
      <c r="F924" t="s">
        <v>2918</v>
      </c>
      <c r="H924" t="s">
        <v>189</v>
      </c>
      <c r="I924" t="s">
        <v>582</v>
      </c>
      <c r="J924" t="s">
        <v>202</v>
      </c>
      <c r="K924" t="s">
        <v>203</v>
      </c>
      <c r="L924" t="s">
        <v>204</v>
      </c>
      <c r="N924" s="6" t="s">
        <v>2919</v>
      </c>
      <c r="O924" t="s">
        <v>2920</v>
      </c>
      <c r="P924" t="s">
        <v>2921</v>
      </c>
      <c r="Q924" t="s">
        <v>2922</v>
      </c>
      <c r="R924" t="s">
        <v>2923</v>
      </c>
      <c r="S924">
        <v>2010</v>
      </c>
      <c r="T924" t="s">
        <v>771</v>
      </c>
      <c r="U924" t="s">
        <v>2875</v>
      </c>
      <c r="V924">
        <v>0</v>
      </c>
      <c r="W924">
        <v>0</v>
      </c>
      <c r="X924">
        <v>0</v>
      </c>
      <c r="Y924">
        <v>0</v>
      </c>
      <c r="Z924">
        <v>0</v>
      </c>
      <c r="AA924">
        <v>0</v>
      </c>
      <c r="AB924">
        <v>0</v>
      </c>
      <c r="AC924">
        <v>0</v>
      </c>
      <c r="AD924">
        <v>0</v>
      </c>
      <c r="AF924">
        <v>200</v>
      </c>
      <c r="AG924">
        <v>0</v>
      </c>
      <c r="AH924" t="s">
        <v>2259</v>
      </c>
      <c r="AI924">
        <v>0</v>
      </c>
      <c r="AJ924">
        <v>0</v>
      </c>
      <c r="AK924">
        <v>0</v>
      </c>
      <c r="AL924">
        <v>0</v>
      </c>
      <c r="AM924" t="s">
        <v>2448</v>
      </c>
      <c r="AN924" t="s">
        <v>132</v>
      </c>
      <c r="AO924">
        <v>0</v>
      </c>
      <c r="AP924">
        <v>0</v>
      </c>
      <c r="AQ924">
        <v>0</v>
      </c>
      <c r="AR924">
        <v>0</v>
      </c>
      <c r="AS924">
        <v>0</v>
      </c>
      <c r="AT924">
        <v>0</v>
      </c>
      <c r="AU924">
        <v>0</v>
      </c>
      <c r="AV924">
        <v>0</v>
      </c>
      <c r="AW924">
        <v>0</v>
      </c>
      <c r="AX924">
        <v>0</v>
      </c>
      <c r="AY924">
        <v>0</v>
      </c>
      <c r="AZ924">
        <v>0</v>
      </c>
      <c r="BA924">
        <v>0</v>
      </c>
      <c r="BB924">
        <v>0</v>
      </c>
      <c r="BC924">
        <v>0</v>
      </c>
      <c r="BD924">
        <v>0</v>
      </c>
      <c r="BE924">
        <v>0</v>
      </c>
      <c r="BF924">
        <v>0</v>
      </c>
      <c r="BG924">
        <v>0</v>
      </c>
      <c r="BH924">
        <v>0</v>
      </c>
      <c r="BI924">
        <v>0</v>
      </c>
      <c r="BJ924">
        <v>0</v>
      </c>
      <c r="BK924">
        <v>0</v>
      </c>
      <c r="BL924">
        <v>0</v>
      </c>
      <c r="BM924">
        <v>0</v>
      </c>
      <c r="BN924">
        <v>35</v>
      </c>
      <c r="BO924">
        <v>0</v>
      </c>
      <c r="BP924">
        <v>0</v>
      </c>
      <c r="BQ924">
        <v>0</v>
      </c>
      <c r="BR924">
        <v>0</v>
      </c>
      <c r="BS924">
        <v>0</v>
      </c>
      <c r="BT924">
        <v>0</v>
      </c>
      <c r="BU924">
        <v>0</v>
      </c>
      <c r="BV924">
        <v>0</v>
      </c>
      <c r="BW924">
        <v>0</v>
      </c>
      <c r="BX924">
        <v>0</v>
      </c>
      <c r="BY924">
        <v>0</v>
      </c>
      <c r="BZ924">
        <v>0</v>
      </c>
      <c r="CA924">
        <v>0</v>
      </c>
      <c r="CB924">
        <v>0</v>
      </c>
      <c r="CC924">
        <v>0</v>
      </c>
      <c r="CD924">
        <v>0</v>
      </c>
      <c r="CE92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24" s="19">
        <f>SUM(Table1[[#This Row],[Mid39]],Table1[[#This Row],[Mid36]],Table1[[#This Row],[Mid33]],Table1[[#This Row],[Mid30]],Table1[[#This Row],[Mid27]],Table1[[#This Row],[Mid24]],Table1[[#This Row],[Mid21]],Table1[[#This Row],[Mid18]],Table1[[#This Row],[Mid15]],Table1[[#This Row],[Mid12]],Table1[[#This Row],[Mid9]],Table1[[#This Row],[Mid6]],Table1[[#This Row],[Mid3]],Table1[[#This Row],[Mid]])</f>
        <v>35</v>
      </c>
      <c r="CG9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24" t="s">
        <v>133</v>
      </c>
      <c r="CI924" t="s">
        <v>176</v>
      </c>
      <c r="CJ924" t="s">
        <v>158</v>
      </c>
      <c r="CL924" s="19">
        <f>IF(Table1[[#This Row],[Type]]="Petroleum",1,IF(ISERROR(Table1[[#This Row],[Well Density]]*Table1[[#This Row],[Single Well Discovery Area]]),"",IF(Table1[[#This Row],[Well Density]]*Table1[[#This Row],[Single Well Discovery Area]]&gt;1,1,Table1[[#This Row],[Well Density]]*Table1[[#This Row],[Single Well Discovery Area]])))</f>
        <v>1</v>
      </c>
      <c r="CN924" s="19">
        <f>Table1[[#This Row],[Mid]]</f>
        <v>0</v>
      </c>
      <c r="CO924" s="19">
        <f>Table1[[#This Row],[Mid3]]+Table1[[#This Row],[Mid6]]+Table1[[#This Row],[Mid9]]</f>
        <v>0</v>
      </c>
      <c r="CP924" s="19">
        <f>Table1[[#This Row],[Mid12]]+Table1[[#This Row],[Mid15]]+Table1[[#This Row],[Mid18]]+Table1[[#This Row],[Mid21]]+Table1[[#This Row],[Mid24]]</f>
        <v>35</v>
      </c>
      <c r="CQ924" s="19">
        <f>Table1[[#This Row],[Mid27]]+Table1[[#This Row],[Mid30]]+Table1[[#This Row],[Mid33]]+Table1[[#This Row],[Mid36]]+Table1[[#This Row],[Mid39]]</f>
        <v>0</v>
      </c>
      <c r="CR924" t="s">
        <v>415</v>
      </c>
      <c r="CS924" s="19" t="str">
        <f>IF(AND(Table1[[#This Row],[Low41]]=0, Table1[[#This Row],[High43]]=0),"N","Y")</f>
        <v>N</v>
      </c>
    </row>
    <row r="925" spans="1:97" ht="19.5" customHeight="1" x14ac:dyDescent="0.25">
      <c r="A925">
        <v>10924</v>
      </c>
      <c r="B925" t="s">
        <v>2917</v>
      </c>
      <c r="C925" t="s">
        <v>2924</v>
      </c>
      <c r="D925">
        <v>36.820555560000003</v>
      </c>
      <c r="E925">
        <v>-6.9969444440000004</v>
      </c>
      <c r="F925" t="s">
        <v>2925</v>
      </c>
      <c r="G925" t="s">
        <v>2924</v>
      </c>
      <c r="H925" t="s">
        <v>252</v>
      </c>
      <c r="I925" t="s">
        <v>118</v>
      </c>
      <c r="J925" t="s">
        <v>119</v>
      </c>
      <c r="K925" t="s">
        <v>203</v>
      </c>
      <c r="L925" t="s">
        <v>121</v>
      </c>
      <c r="M925" t="s">
        <v>139</v>
      </c>
      <c r="N925" s="6" t="s">
        <v>2926</v>
      </c>
      <c r="O925" t="s">
        <v>2927</v>
      </c>
      <c r="P925" t="s">
        <v>2928</v>
      </c>
      <c r="Q925" t="s">
        <v>2929</v>
      </c>
      <c r="R925" t="s">
        <v>2930</v>
      </c>
      <c r="S925">
        <v>2019</v>
      </c>
      <c r="T925" t="s">
        <v>771</v>
      </c>
      <c r="U925" t="s">
        <v>2875</v>
      </c>
      <c r="V925">
        <v>20</v>
      </c>
      <c r="W925">
        <v>2400</v>
      </c>
      <c r="X925">
        <v>150</v>
      </c>
      <c r="Z925">
        <v>7</v>
      </c>
      <c r="AE925">
        <v>0</v>
      </c>
      <c r="AH925" t="s">
        <v>2259</v>
      </c>
      <c r="AM925" t="s">
        <v>2931</v>
      </c>
      <c r="AN925" t="s">
        <v>132</v>
      </c>
      <c r="BT925">
        <v>60</v>
      </c>
      <c r="CE92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25" s="19">
        <f>SUM(Table1[[#This Row],[Mid39]],Table1[[#This Row],[Mid36]],Table1[[#This Row],[Mid33]],Table1[[#This Row],[Mid30]],Table1[[#This Row],[Mid27]],Table1[[#This Row],[Mid24]],Table1[[#This Row],[Mid21]],Table1[[#This Row],[Mid18]],Table1[[#This Row],[Mid15]],Table1[[#This Row],[Mid12]],Table1[[#This Row],[Mid9]],Table1[[#This Row],[Mid6]],Table1[[#This Row],[Mid3]],Table1[[#This Row],[Mid]])</f>
        <v>60</v>
      </c>
      <c r="CG9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25" t="s">
        <v>157</v>
      </c>
      <c r="CI925" t="s">
        <v>176</v>
      </c>
      <c r="CJ925" t="s">
        <v>158</v>
      </c>
      <c r="CL925" s="19">
        <f>IF(Table1[[#This Row],[Type]]="Petroleum",1,IF(ISERROR(Table1[[#This Row],[Well Density]]*Table1[[#This Row],[Single Well Discovery Area]]),"",IF(Table1[[#This Row],[Well Density]]*Table1[[#This Row],[Single Well Discovery Area]]&gt;1,1,Table1[[#This Row],[Well Density]]*Table1[[#This Row],[Single Well Discovery Area]])))</f>
        <v>0</v>
      </c>
      <c r="CN925" s="19">
        <f>Table1[[#This Row],[Mid]]</f>
        <v>0</v>
      </c>
      <c r="CO925" s="19">
        <f>Table1[[#This Row],[Mid3]]+Table1[[#This Row],[Mid6]]+Table1[[#This Row],[Mid9]]</f>
        <v>0</v>
      </c>
      <c r="CP925" s="19">
        <f>Table1[[#This Row],[Mid12]]+Table1[[#This Row],[Mid15]]+Table1[[#This Row],[Mid18]]+Table1[[#This Row],[Mid21]]+Table1[[#This Row],[Mid24]]</f>
        <v>0</v>
      </c>
      <c r="CQ925" s="19">
        <f>Table1[[#This Row],[Mid27]]+Table1[[#This Row],[Mid30]]+Table1[[#This Row],[Mid33]]+Table1[[#This Row],[Mid36]]+Table1[[#This Row],[Mid39]]</f>
        <v>60</v>
      </c>
      <c r="CR925" t="s">
        <v>415</v>
      </c>
      <c r="CS925" s="19" t="str">
        <f>IF(AND(Table1[[#This Row],[Low41]]=0, Table1[[#This Row],[High43]]=0),"N","Y")</f>
        <v>N</v>
      </c>
    </row>
    <row r="926" spans="1:97" ht="19.5" customHeight="1" x14ac:dyDescent="0.25">
      <c r="A926">
        <v>10925</v>
      </c>
      <c r="B926" t="s">
        <v>2917</v>
      </c>
      <c r="C926" t="s">
        <v>2924</v>
      </c>
      <c r="D926">
        <v>36.820555560000003</v>
      </c>
      <c r="E926">
        <v>-6.9969444440000004</v>
      </c>
      <c r="F926" t="s">
        <v>2932</v>
      </c>
      <c r="G926" t="s">
        <v>2924</v>
      </c>
      <c r="H926" t="s">
        <v>2933</v>
      </c>
      <c r="I926" t="s">
        <v>118</v>
      </c>
      <c r="J926" t="s">
        <v>119</v>
      </c>
      <c r="K926" t="s">
        <v>2934</v>
      </c>
      <c r="L926" t="s">
        <v>204</v>
      </c>
      <c r="M926" t="s">
        <v>2935</v>
      </c>
      <c r="N926" s="6" t="s">
        <v>2936</v>
      </c>
      <c r="O926" t="s">
        <v>2927</v>
      </c>
      <c r="P926" t="s">
        <v>2928</v>
      </c>
      <c r="Q926" t="s">
        <v>2929</v>
      </c>
      <c r="R926" t="s">
        <v>2930</v>
      </c>
      <c r="S926">
        <v>2019</v>
      </c>
      <c r="T926" t="s">
        <v>771</v>
      </c>
      <c r="U926" t="s">
        <v>2875</v>
      </c>
      <c r="V926">
        <v>1000</v>
      </c>
      <c r="W926">
        <v>1500</v>
      </c>
      <c r="X926">
        <v>45</v>
      </c>
      <c r="Y926">
        <v>0</v>
      </c>
      <c r="Z926">
        <v>24</v>
      </c>
      <c r="AA926">
        <v>0</v>
      </c>
      <c r="AB926">
        <v>0</v>
      </c>
      <c r="AC926">
        <v>0</v>
      </c>
      <c r="AD926">
        <v>0</v>
      </c>
      <c r="AE926">
        <v>0</v>
      </c>
      <c r="AF926">
        <v>200</v>
      </c>
      <c r="AG926">
        <v>0</v>
      </c>
      <c r="AH926" t="s">
        <v>2259</v>
      </c>
      <c r="AI926">
        <v>0</v>
      </c>
      <c r="AJ926">
        <v>0</v>
      </c>
      <c r="AK926">
        <v>0</v>
      </c>
      <c r="AL926">
        <v>0</v>
      </c>
      <c r="AM926" t="s">
        <v>2931</v>
      </c>
      <c r="AN926" t="s">
        <v>132</v>
      </c>
      <c r="AO926">
        <v>0</v>
      </c>
      <c r="AP926">
        <v>0</v>
      </c>
      <c r="AQ926">
        <v>0</v>
      </c>
      <c r="AR926">
        <v>0</v>
      </c>
      <c r="AS926">
        <v>0</v>
      </c>
      <c r="AT926">
        <v>0</v>
      </c>
      <c r="AU926">
        <v>0</v>
      </c>
      <c r="AV926">
        <v>0</v>
      </c>
      <c r="AW926">
        <v>0</v>
      </c>
      <c r="AX926">
        <v>0</v>
      </c>
      <c r="AY926">
        <v>0</v>
      </c>
      <c r="AZ926">
        <v>0</v>
      </c>
      <c r="BA926">
        <v>0</v>
      </c>
      <c r="BB926">
        <v>0</v>
      </c>
      <c r="BC926">
        <v>0</v>
      </c>
      <c r="BD926">
        <v>0</v>
      </c>
      <c r="BE926">
        <v>0</v>
      </c>
      <c r="BF926">
        <v>0</v>
      </c>
      <c r="BG926">
        <v>0</v>
      </c>
      <c r="BH926">
        <v>0</v>
      </c>
      <c r="BI926">
        <v>0</v>
      </c>
      <c r="BJ926">
        <v>0</v>
      </c>
      <c r="BK926">
        <v>0</v>
      </c>
      <c r="BL926">
        <v>0</v>
      </c>
      <c r="BM926">
        <v>0</v>
      </c>
      <c r="BN926">
        <v>0</v>
      </c>
      <c r="BO926">
        <v>0</v>
      </c>
      <c r="BP926">
        <v>0</v>
      </c>
      <c r="BQ926">
        <v>0</v>
      </c>
      <c r="BR926">
        <v>0</v>
      </c>
      <c r="BS926">
        <v>0</v>
      </c>
      <c r="BT926">
        <v>100</v>
      </c>
      <c r="BU926">
        <v>0</v>
      </c>
      <c r="BV926">
        <v>0</v>
      </c>
      <c r="BW926">
        <v>0</v>
      </c>
      <c r="BX926">
        <v>0</v>
      </c>
      <c r="BY926">
        <v>0</v>
      </c>
      <c r="BZ926">
        <v>0</v>
      </c>
      <c r="CA926">
        <v>0</v>
      </c>
      <c r="CB926">
        <v>0</v>
      </c>
      <c r="CC926">
        <v>0</v>
      </c>
      <c r="CD926">
        <v>0</v>
      </c>
      <c r="CE92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26"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9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26" t="s">
        <v>157</v>
      </c>
      <c r="CI926" t="s">
        <v>134</v>
      </c>
      <c r="CJ926" t="s">
        <v>158</v>
      </c>
      <c r="CL926" s="19">
        <f>IF(Table1[[#This Row],[Type]]="Petroleum",1,IF(ISERROR(Table1[[#This Row],[Well Density]]*Table1[[#This Row],[Single Well Discovery Area]]),"",IF(Table1[[#This Row],[Well Density]]*Table1[[#This Row],[Single Well Discovery Area]]&gt;1,1,Table1[[#This Row],[Well Density]]*Table1[[#This Row],[Single Well Discovery Area]])))</f>
        <v>0</v>
      </c>
      <c r="CN926" s="19">
        <f>Table1[[#This Row],[Mid]]</f>
        <v>0</v>
      </c>
      <c r="CO926" s="19">
        <f>Table1[[#This Row],[Mid3]]+Table1[[#This Row],[Mid6]]+Table1[[#This Row],[Mid9]]</f>
        <v>0</v>
      </c>
      <c r="CP926" s="19">
        <f>Table1[[#This Row],[Mid12]]+Table1[[#This Row],[Mid15]]+Table1[[#This Row],[Mid18]]+Table1[[#This Row],[Mid21]]+Table1[[#This Row],[Mid24]]</f>
        <v>0</v>
      </c>
      <c r="CQ926" s="19">
        <f>Table1[[#This Row],[Mid27]]+Table1[[#This Row],[Mid30]]+Table1[[#This Row],[Mid33]]+Table1[[#This Row],[Mid36]]+Table1[[#This Row],[Mid39]]</f>
        <v>100</v>
      </c>
      <c r="CR926" t="s">
        <v>415</v>
      </c>
      <c r="CS926" s="19" t="str">
        <f>IF(AND(Table1[[#This Row],[Low41]]=0, Table1[[#This Row],[High43]]=0),"N","Y")</f>
        <v>N</v>
      </c>
    </row>
    <row r="927" spans="1:97" ht="19.5" customHeight="1" x14ac:dyDescent="0.25">
      <c r="A927">
        <v>10926</v>
      </c>
      <c r="B927" t="s">
        <v>2917</v>
      </c>
      <c r="C927" t="s">
        <v>2937</v>
      </c>
      <c r="D927">
        <v>39.422222220000002</v>
      </c>
      <c r="E927">
        <v>0.24333333300000001</v>
      </c>
      <c r="F927" t="s">
        <v>2938</v>
      </c>
      <c r="G927" t="s">
        <v>2939</v>
      </c>
      <c r="H927" t="s">
        <v>252</v>
      </c>
      <c r="I927" t="s">
        <v>118</v>
      </c>
      <c r="J927" t="s">
        <v>119</v>
      </c>
      <c r="K927" t="s">
        <v>2934</v>
      </c>
      <c r="L927" t="s">
        <v>204</v>
      </c>
      <c r="M927" t="s">
        <v>1177</v>
      </c>
      <c r="N927" s="6" t="s">
        <v>2940</v>
      </c>
      <c r="O927" t="s">
        <v>2927</v>
      </c>
      <c r="P927" t="s">
        <v>2928</v>
      </c>
      <c r="Q927" t="s">
        <v>2929</v>
      </c>
      <c r="R927" t="s">
        <v>2930</v>
      </c>
      <c r="S927">
        <v>2019</v>
      </c>
      <c r="T927" t="s">
        <v>771</v>
      </c>
      <c r="U927" t="s">
        <v>2875</v>
      </c>
      <c r="V927">
        <v>240</v>
      </c>
      <c r="W927">
        <v>2000</v>
      </c>
      <c r="X927">
        <v>80</v>
      </c>
      <c r="Y927">
        <v>0</v>
      </c>
      <c r="Z927">
        <v>22</v>
      </c>
      <c r="AA927">
        <v>0</v>
      </c>
      <c r="AB927">
        <v>0</v>
      </c>
      <c r="AC927">
        <v>0</v>
      </c>
      <c r="AD927">
        <v>0</v>
      </c>
      <c r="AE927">
        <v>0</v>
      </c>
      <c r="AF927">
        <v>200</v>
      </c>
      <c r="AG927">
        <v>0</v>
      </c>
      <c r="AH927" t="s">
        <v>2259</v>
      </c>
      <c r="AI927">
        <v>0</v>
      </c>
      <c r="AJ927">
        <v>0</v>
      </c>
      <c r="AK927">
        <v>0</v>
      </c>
      <c r="AL927">
        <v>0</v>
      </c>
      <c r="AM927" t="s">
        <v>2931</v>
      </c>
      <c r="AN927" t="s">
        <v>132</v>
      </c>
      <c r="AO927">
        <v>0</v>
      </c>
      <c r="AP927">
        <v>0</v>
      </c>
      <c r="AQ927">
        <v>0</v>
      </c>
      <c r="AR927">
        <v>0</v>
      </c>
      <c r="AS927">
        <v>0</v>
      </c>
      <c r="AT927">
        <v>0</v>
      </c>
      <c r="AU927">
        <v>0</v>
      </c>
      <c r="AV927">
        <v>0</v>
      </c>
      <c r="AW927">
        <v>0</v>
      </c>
      <c r="AX927">
        <v>0</v>
      </c>
      <c r="AY927">
        <v>0</v>
      </c>
      <c r="AZ927">
        <v>0</v>
      </c>
      <c r="BA927">
        <v>0</v>
      </c>
      <c r="BB927">
        <v>0</v>
      </c>
      <c r="BC927">
        <v>0</v>
      </c>
      <c r="BD927">
        <v>0</v>
      </c>
      <c r="BE927">
        <v>0</v>
      </c>
      <c r="BF927">
        <v>0</v>
      </c>
      <c r="BG927">
        <v>0</v>
      </c>
      <c r="BH927">
        <v>0</v>
      </c>
      <c r="BI927">
        <v>0</v>
      </c>
      <c r="BJ927">
        <v>0</v>
      </c>
      <c r="BK927">
        <v>0</v>
      </c>
      <c r="BL927">
        <v>0</v>
      </c>
      <c r="BM927">
        <v>0</v>
      </c>
      <c r="BN927">
        <v>0</v>
      </c>
      <c r="BO927">
        <v>0</v>
      </c>
      <c r="BP927">
        <v>0</v>
      </c>
      <c r="BQ927">
        <v>0</v>
      </c>
      <c r="BR927">
        <v>0</v>
      </c>
      <c r="BS927">
        <v>0</v>
      </c>
      <c r="BT927">
        <v>700</v>
      </c>
      <c r="BU927">
        <v>0</v>
      </c>
      <c r="BV927">
        <v>0</v>
      </c>
      <c r="BW927">
        <v>0</v>
      </c>
      <c r="BX927">
        <v>0</v>
      </c>
      <c r="BY927">
        <v>0</v>
      </c>
      <c r="BZ927">
        <v>0</v>
      </c>
      <c r="CA927">
        <v>0</v>
      </c>
      <c r="CB927">
        <v>0</v>
      </c>
      <c r="CC927">
        <v>0</v>
      </c>
      <c r="CD927">
        <v>0</v>
      </c>
      <c r="CE92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27" s="19">
        <f>SUM(Table1[[#This Row],[Mid39]],Table1[[#This Row],[Mid36]],Table1[[#This Row],[Mid33]],Table1[[#This Row],[Mid30]],Table1[[#This Row],[Mid27]],Table1[[#This Row],[Mid24]],Table1[[#This Row],[Mid21]],Table1[[#This Row],[Mid18]],Table1[[#This Row],[Mid15]],Table1[[#This Row],[Mid12]],Table1[[#This Row],[Mid9]],Table1[[#This Row],[Mid6]],Table1[[#This Row],[Mid3]],Table1[[#This Row],[Mid]])</f>
        <v>700</v>
      </c>
      <c r="CG9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27" t="s">
        <v>157</v>
      </c>
      <c r="CI927" t="s">
        <v>176</v>
      </c>
      <c r="CJ927" t="s">
        <v>158</v>
      </c>
      <c r="CL927" s="19">
        <f>IF(Table1[[#This Row],[Type]]="Petroleum",1,IF(ISERROR(Table1[[#This Row],[Well Density]]*Table1[[#This Row],[Single Well Discovery Area]]),"",IF(Table1[[#This Row],[Well Density]]*Table1[[#This Row],[Single Well Discovery Area]]&gt;1,1,Table1[[#This Row],[Well Density]]*Table1[[#This Row],[Single Well Discovery Area]])))</f>
        <v>0</v>
      </c>
      <c r="CN927" s="19">
        <f>Table1[[#This Row],[Mid]]</f>
        <v>0</v>
      </c>
      <c r="CO927" s="19">
        <f>Table1[[#This Row],[Mid3]]+Table1[[#This Row],[Mid6]]+Table1[[#This Row],[Mid9]]</f>
        <v>0</v>
      </c>
      <c r="CP927" s="19">
        <f>Table1[[#This Row],[Mid12]]+Table1[[#This Row],[Mid15]]+Table1[[#This Row],[Mid18]]+Table1[[#This Row],[Mid21]]+Table1[[#This Row],[Mid24]]</f>
        <v>0</v>
      </c>
      <c r="CQ927" s="19">
        <f>Table1[[#This Row],[Mid27]]+Table1[[#This Row],[Mid30]]+Table1[[#This Row],[Mid33]]+Table1[[#This Row],[Mid36]]+Table1[[#This Row],[Mid39]]</f>
        <v>700</v>
      </c>
      <c r="CR927" t="s">
        <v>415</v>
      </c>
      <c r="CS927" s="19" t="str">
        <f>IF(AND(Table1[[#This Row],[Low41]]=0, Table1[[#This Row],[High43]]=0),"N","Y")</f>
        <v>N</v>
      </c>
    </row>
    <row r="928" spans="1:97" ht="19.5" customHeight="1" x14ac:dyDescent="0.25">
      <c r="A928">
        <v>10927</v>
      </c>
      <c r="B928" t="s">
        <v>2917</v>
      </c>
      <c r="C928" t="s">
        <v>2937</v>
      </c>
      <c r="D928">
        <v>41.355555559999999</v>
      </c>
      <c r="E928">
        <v>2.585277778</v>
      </c>
      <c r="F928" t="s">
        <v>2941</v>
      </c>
      <c r="G928" t="s">
        <v>2939</v>
      </c>
      <c r="H928" t="s">
        <v>252</v>
      </c>
      <c r="I928" t="s">
        <v>118</v>
      </c>
      <c r="J928" t="s">
        <v>119</v>
      </c>
      <c r="K928" t="s">
        <v>167</v>
      </c>
      <c r="L928" t="s">
        <v>121</v>
      </c>
      <c r="M928" t="s">
        <v>122</v>
      </c>
      <c r="N928" s="6" t="s">
        <v>2942</v>
      </c>
      <c r="O928" t="s">
        <v>2927</v>
      </c>
      <c r="P928" t="s">
        <v>2928</v>
      </c>
      <c r="Q928" t="s">
        <v>2929</v>
      </c>
      <c r="R928" t="s">
        <v>2930</v>
      </c>
      <c r="S928">
        <v>2019</v>
      </c>
      <c r="T928" t="s">
        <v>771</v>
      </c>
      <c r="U928" t="s">
        <v>2875</v>
      </c>
      <c r="V928">
        <v>60</v>
      </c>
      <c r="W928">
        <v>2400</v>
      </c>
      <c r="X928">
        <v>150</v>
      </c>
      <c r="Z928">
        <v>8</v>
      </c>
      <c r="AE928">
        <v>0</v>
      </c>
      <c r="AH928" t="s">
        <v>2259</v>
      </c>
      <c r="AM928" t="s">
        <v>2931</v>
      </c>
      <c r="AN928" t="s">
        <v>132</v>
      </c>
      <c r="BT928">
        <v>500</v>
      </c>
      <c r="CE92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28" s="19">
        <f>SUM(Table1[[#This Row],[Mid39]],Table1[[#This Row],[Mid36]],Table1[[#This Row],[Mid33]],Table1[[#This Row],[Mid30]],Table1[[#This Row],[Mid27]],Table1[[#This Row],[Mid24]],Table1[[#This Row],[Mid21]],Table1[[#This Row],[Mid18]],Table1[[#This Row],[Mid15]],Table1[[#This Row],[Mid12]],Table1[[#This Row],[Mid9]],Table1[[#This Row],[Mid6]],Table1[[#This Row],[Mid3]],Table1[[#This Row],[Mid]])</f>
        <v>500</v>
      </c>
      <c r="CG9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28" t="s">
        <v>157</v>
      </c>
      <c r="CJ928" t="s">
        <v>158</v>
      </c>
      <c r="CL928" s="19">
        <f>IF(Table1[[#This Row],[Type]]="Petroleum",1,IF(ISERROR(Table1[[#This Row],[Well Density]]*Table1[[#This Row],[Single Well Discovery Area]]),"",IF(Table1[[#This Row],[Well Density]]*Table1[[#This Row],[Single Well Discovery Area]]&gt;1,1,Table1[[#This Row],[Well Density]]*Table1[[#This Row],[Single Well Discovery Area]])))</f>
        <v>0</v>
      </c>
      <c r="CN928" s="19">
        <f>Table1[[#This Row],[Mid]]</f>
        <v>0</v>
      </c>
      <c r="CO928" s="19">
        <f>Table1[[#This Row],[Mid3]]+Table1[[#This Row],[Mid6]]+Table1[[#This Row],[Mid9]]</f>
        <v>0</v>
      </c>
      <c r="CP928" s="19">
        <f>Table1[[#This Row],[Mid12]]+Table1[[#This Row],[Mid15]]+Table1[[#This Row],[Mid18]]+Table1[[#This Row],[Mid21]]+Table1[[#This Row],[Mid24]]</f>
        <v>0</v>
      </c>
      <c r="CQ928" s="19">
        <f>Table1[[#This Row],[Mid27]]+Table1[[#This Row],[Mid30]]+Table1[[#This Row],[Mid33]]+Table1[[#This Row],[Mid36]]+Table1[[#This Row],[Mid39]]</f>
        <v>500</v>
      </c>
      <c r="CR928" t="s">
        <v>415</v>
      </c>
      <c r="CS928" s="19" t="str">
        <f>IF(AND(Table1[[#This Row],[Low41]]=0, Table1[[#This Row],[High43]]=0),"N","Y")</f>
        <v>N</v>
      </c>
    </row>
    <row r="929" spans="1:97" ht="19.5" customHeight="1" x14ac:dyDescent="0.25">
      <c r="A929">
        <v>10928</v>
      </c>
      <c r="B929" t="s">
        <v>2917</v>
      </c>
      <c r="C929" t="s">
        <v>2943</v>
      </c>
      <c r="D929">
        <v>43.496111110000001</v>
      </c>
      <c r="E929">
        <v>-2.2744444439999998</v>
      </c>
      <c r="F929" t="s">
        <v>2944</v>
      </c>
      <c r="G929" t="s">
        <v>2945</v>
      </c>
      <c r="H929" t="s">
        <v>2946</v>
      </c>
      <c r="I929" t="s">
        <v>118</v>
      </c>
      <c r="J929" t="s">
        <v>119</v>
      </c>
      <c r="K929" t="s">
        <v>167</v>
      </c>
      <c r="L929" t="s">
        <v>121</v>
      </c>
      <c r="M929" t="s">
        <v>122</v>
      </c>
      <c r="N929" s="6" t="s">
        <v>2947</v>
      </c>
      <c r="O929" t="s">
        <v>2927</v>
      </c>
      <c r="P929" t="s">
        <v>2928</v>
      </c>
      <c r="Q929" t="s">
        <v>2929</v>
      </c>
      <c r="R929" t="s">
        <v>2930</v>
      </c>
      <c r="S929">
        <v>2019</v>
      </c>
      <c r="T929" t="s">
        <v>771</v>
      </c>
      <c r="U929" t="s">
        <v>2875</v>
      </c>
      <c r="V929">
        <v>20</v>
      </c>
      <c r="X929">
        <v>130</v>
      </c>
      <c r="Z929">
        <v>8</v>
      </c>
      <c r="AE929">
        <v>0</v>
      </c>
      <c r="AH929" t="s">
        <v>2259</v>
      </c>
      <c r="AM929" t="s">
        <v>2931</v>
      </c>
      <c r="AN929" t="s">
        <v>132</v>
      </c>
      <c r="BT929">
        <v>250</v>
      </c>
      <c r="CE92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29" s="19">
        <f>SUM(Table1[[#This Row],[Mid39]],Table1[[#This Row],[Mid36]],Table1[[#This Row],[Mid33]],Table1[[#This Row],[Mid30]],Table1[[#This Row],[Mid27]],Table1[[#This Row],[Mid24]],Table1[[#This Row],[Mid21]],Table1[[#This Row],[Mid18]],Table1[[#This Row],[Mid15]],Table1[[#This Row],[Mid12]],Table1[[#This Row],[Mid9]],Table1[[#This Row],[Mid6]],Table1[[#This Row],[Mid3]],Table1[[#This Row],[Mid]])</f>
        <v>250</v>
      </c>
      <c r="CG9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29" t="s">
        <v>157</v>
      </c>
      <c r="CJ929" t="s">
        <v>158</v>
      </c>
      <c r="CL929" s="19">
        <f>IF(Table1[[#This Row],[Type]]="Petroleum",1,IF(ISERROR(Table1[[#This Row],[Well Density]]*Table1[[#This Row],[Single Well Discovery Area]]),"",IF(Table1[[#This Row],[Well Density]]*Table1[[#This Row],[Single Well Discovery Area]]&gt;1,1,Table1[[#This Row],[Well Density]]*Table1[[#This Row],[Single Well Discovery Area]])))</f>
        <v>0</v>
      </c>
      <c r="CN929" s="19">
        <f>Table1[[#This Row],[Mid]]</f>
        <v>0</v>
      </c>
      <c r="CO929" s="19">
        <f>Table1[[#This Row],[Mid3]]+Table1[[#This Row],[Mid6]]+Table1[[#This Row],[Mid9]]</f>
        <v>0</v>
      </c>
      <c r="CP929" s="19">
        <f>Table1[[#This Row],[Mid12]]+Table1[[#This Row],[Mid15]]+Table1[[#This Row],[Mid18]]+Table1[[#This Row],[Mid21]]+Table1[[#This Row],[Mid24]]</f>
        <v>0</v>
      </c>
      <c r="CQ929" s="19">
        <f>Table1[[#This Row],[Mid27]]+Table1[[#This Row],[Mid30]]+Table1[[#This Row],[Mid33]]+Table1[[#This Row],[Mid36]]+Table1[[#This Row],[Mid39]]</f>
        <v>250</v>
      </c>
      <c r="CR929" t="s">
        <v>415</v>
      </c>
      <c r="CS929" s="19" t="str">
        <f>IF(AND(Table1[[#This Row],[Low41]]=0, Table1[[#This Row],[High43]]=0),"N","Y")</f>
        <v>N</v>
      </c>
    </row>
    <row r="930" spans="1:97" ht="19.5" customHeight="1" x14ac:dyDescent="0.25">
      <c r="A930">
        <v>10929</v>
      </c>
      <c r="B930" t="s">
        <v>2917</v>
      </c>
      <c r="C930" t="s">
        <v>2943</v>
      </c>
      <c r="D930">
        <v>43.76055556</v>
      </c>
      <c r="E930">
        <v>-5.7105555560000001</v>
      </c>
      <c r="F930" t="s">
        <v>2948</v>
      </c>
      <c r="G930" t="s">
        <v>2945</v>
      </c>
      <c r="H930" t="s">
        <v>252</v>
      </c>
      <c r="I930" t="s">
        <v>118</v>
      </c>
      <c r="J930" t="s">
        <v>119</v>
      </c>
      <c r="K930" t="s">
        <v>167</v>
      </c>
      <c r="L930" t="s">
        <v>121</v>
      </c>
      <c r="M930" t="s">
        <v>139</v>
      </c>
      <c r="N930" s="6" t="s">
        <v>2949</v>
      </c>
      <c r="O930" t="s">
        <v>2927</v>
      </c>
      <c r="P930" t="s">
        <v>2928</v>
      </c>
      <c r="Q930" t="s">
        <v>2929</v>
      </c>
      <c r="R930" t="s">
        <v>2930</v>
      </c>
      <c r="S930">
        <v>2019</v>
      </c>
      <c r="T930" t="s">
        <v>771</v>
      </c>
      <c r="U930" t="s">
        <v>2875</v>
      </c>
      <c r="V930">
        <v>120</v>
      </c>
      <c r="W930">
        <v>1300</v>
      </c>
      <c r="X930">
        <v>140</v>
      </c>
      <c r="Z930">
        <v>12</v>
      </c>
      <c r="AE930">
        <v>0</v>
      </c>
      <c r="AH930" t="s">
        <v>2259</v>
      </c>
      <c r="AM930" t="s">
        <v>2931</v>
      </c>
      <c r="AN930" t="s">
        <v>132</v>
      </c>
      <c r="BT930">
        <v>270</v>
      </c>
      <c r="CE93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30" s="19">
        <f>SUM(Table1[[#This Row],[Mid39]],Table1[[#This Row],[Mid36]],Table1[[#This Row],[Mid33]],Table1[[#This Row],[Mid30]],Table1[[#This Row],[Mid27]],Table1[[#This Row],[Mid24]],Table1[[#This Row],[Mid21]],Table1[[#This Row],[Mid18]],Table1[[#This Row],[Mid15]],Table1[[#This Row],[Mid12]],Table1[[#This Row],[Mid9]],Table1[[#This Row],[Mid6]],Table1[[#This Row],[Mid3]],Table1[[#This Row],[Mid]])</f>
        <v>270</v>
      </c>
      <c r="CG9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30" t="s">
        <v>157</v>
      </c>
      <c r="CJ930" t="s">
        <v>158</v>
      </c>
      <c r="CL930" s="19">
        <f>IF(Table1[[#This Row],[Type]]="Petroleum",1,IF(ISERROR(Table1[[#This Row],[Well Density]]*Table1[[#This Row],[Single Well Discovery Area]]),"",IF(Table1[[#This Row],[Well Density]]*Table1[[#This Row],[Single Well Discovery Area]]&gt;1,1,Table1[[#This Row],[Well Density]]*Table1[[#This Row],[Single Well Discovery Area]])))</f>
        <v>0</v>
      </c>
      <c r="CN930" s="19">
        <f>Table1[[#This Row],[Mid]]</f>
        <v>0</v>
      </c>
      <c r="CO930" s="19">
        <f>Table1[[#This Row],[Mid3]]+Table1[[#This Row],[Mid6]]+Table1[[#This Row],[Mid9]]</f>
        <v>0</v>
      </c>
      <c r="CP930" s="19">
        <f>Table1[[#This Row],[Mid12]]+Table1[[#This Row],[Mid15]]+Table1[[#This Row],[Mid18]]+Table1[[#This Row],[Mid21]]+Table1[[#This Row],[Mid24]]</f>
        <v>0</v>
      </c>
      <c r="CQ930" s="19">
        <f>Table1[[#This Row],[Mid27]]+Table1[[#This Row],[Mid30]]+Table1[[#This Row],[Mid33]]+Table1[[#This Row],[Mid36]]+Table1[[#This Row],[Mid39]]</f>
        <v>270</v>
      </c>
      <c r="CR930" t="s">
        <v>415</v>
      </c>
      <c r="CS930" s="19" t="str">
        <f>IF(AND(Table1[[#This Row],[Low41]]=0, Table1[[#This Row],[High43]]=0),"N","Y")</f>
        <v>N</v>
      </c>
    </row>
    <row r="931" spans="1:97" ht="19.5" customHeight="1" x14ac:dyDescent="0.25">
      <c r="A931">
        <v>10930</v>
      </c>
      <c r="B931" t="s">
        <v>2917</v>
      </c>
      <c r="C931" t="s">
        <v>2943</v>
      </c>
      <c r="D931">
        <v>43.760277780000003</v>
      </c>
      <c r="E931">
        <v>-5.7105555560000001</v>
      </c>
      <c r="F931" t="s">
        <v>2950</v>
      </c>
      <c r="G931" t="s">
        <v>2945</v>
      </c>
      <c r="H931" t="s">
        <v>252</v>
      </c>
      <c r="I931" t="s">
        <v>118</v>
      </c>
      <c r="J931" t="s">
        <v>119</v>
      </c>
      <c r="K931" t="s">
        <v>167</v>
      </c>
      <c r="L931" t="s">
        <v>121</v>
      </c>
      <c r="M931" t="s">
        <v>139</v>
      </c>
      <c r="N931" s="6" t="s">
        <v>2951</v>
      </c>
      <c r="O931" t="s">
        <v>2927</v>
      </c>
      <c r="P931" t="s">
        <v>2928</v>
      </c>
      <c r="Q931" t="s">
        <v>2929</v>
      </c>
      <c r="R931" t="s">
        <v>2930</v>
      </c>
      <c r="S931">
        <v>2019</v>
      </c>
      <c r="T931" t="s">
        <v>771</v>
      </c>
      <c r="U931" t="s">
        <v>2875</v>
      </c>
      <c r="V931">
        <v>150</v>
      </c>
      <c r="X931">
        <v>140</v>
      </c>
      <c r="Z931">
        <v>5</v>
      </c>
      <c r="AE931">
        <v>0</v>
      </c>
      <c r="AH931" t="s">
        <v>2259</v>
      </c>
      <c r="AM931" t="s">
        <v>2931</v>
      </c>
      <c r="AN931" t="s">
        <v>132</v>
      </c>
      <c r="BT931">
        <v>250</v>
      </c>
      <c r="CE9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31" s="19">
        <f>SUM(Table1[[#This Row],[Mid39]],Table1[[#This Row],[Mid36]],Table1[[#This Row],[Mid33]],Table1[[#This Row],[Mid30]],Table1[[#This Row],[Mid27]],Table1[[#This Row],[Mid24]],Table1[[#This Row],[Mid21]],Table1[[#This Row],[Mid18]],Table1[[#This Row],[Mid15]],Table1[[#This Row],[Mid12]],Table1[[#This Row],[Mid9]],Table1[[#This Row],[Mid6]],Table1[[#This Row],[Mid3]],Table1[[#This Row],[Mid]])</f>
        <v>250</v>
      </c>
      <c r="CG9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31" t="s">
        <v>157</v>
      </c>
      <c r="CJ931" t="s">
        <v>158</v>
      </c>
      <c r="CL931" s="19">
        <f>IF(Table1[[#This Row],[Type]]="Petroleum",1,IF(ISERROR(Table1[[#This Row],[Well Density]]*Table1[[#This Row],[Single Well Discovery Area]]),"",IF(Table1[[#This Row],[Well Density]]*Table1[[#This Row],[Single Well Discovery Area]]&gt;1,1,Table1[[#This Row],[Well Density]]*Table1[[#This Row],[Single Well Discovery Area]])))</f>
        <v>0</v>
      </c>
      <c r="CN931" s="19">
        <f>Table1[[#This Row],[Mid]]</f>
        <v>0</v>
      </c>
      <c r="CO931" s="19">
        <f>Table1[[#This Row],[Mid3]]+Table1[[#This Row],[Mid6]]+Table1[[#This Row],[Mid9]]</f>
        <v>0</v>
      </c>
      <c r="CP931" s="19">
        <f>Table1[[#This Row],[Mid12]]+Table1[[#This Row],[Mid15]]+Table1[[#This Row],[Mid18]]+Table1[[#This Row],[Mid21]]+Table1[[#This Row],[Mid24]]</f>
        <v>0</v>
      </c>
      <c r="CQ931" s="19">
        <f>Table1[[#This Row],[Mid27]]+Table1[[#This Row],[Mid30]]+Table1[[#This Row],[Mid33]]+Table1[[#This Row],[Mid36]]+Table1[[#This Row],[Mid39]]</f>
        <v>250</v>
      </c>
      <c r="CR931" t="s">
        <v>415</v>
      </c>
      <c r="CS931" s="19" t="str">
        <f>IF(AND(Table1[[#This Row],[Low41]]=0, Table1[[#This Row],[High43]]=0),"N","Y")</f>
        <v>N</v>
      </c>
    </row>
    <row r="932" spans="1:97" ht="19.5" customHeight="1" x14ac:dyDescent="0.25">
      <c r="A932">
        <v>10931</v>
      </c>
      <c r="B932" t="s">
        <v>2917</v>
      </c>
      <c r="C932" t="s">
        <v>2952</v>
      </c>
      <c r="D932">
        <v>40.556944440000002</v>
      </c>
      <c r="E932">
        <v>0.24305555600000001</v>
      </c>
      <c r="F932" t="s">
        <v>2953</v>
      </c>
      <c r="G932" t="s">
        <v>2954</v>
      </c>
      <c r="H932" t="s">
        <v>2955</v>
      </c>
      <c r="I932" t="s">
        <v>118</v>
      </c>
      <c r="J932" t="s">
        <v>119</v>
      </c>
      <c r="K932" t="s">
        <v>203</v>
      </c>
      <c r="L932" t="s">
        <v>121</v>
      </c>
      <c r="M932" t="s">
        <v>392</v>
      </c>
      <c r="N932" s="6" t="s">
        <v>2956</v>
      </c>
      <c r="O932" t="s">
        <v>2957</v>
      </c>
      <c r="P932" t="s">
        <v>2928</v>
      </c>
      <c r="Q932" t="s">
        <v>2958</v>
      </c>
      <c r="R932" t="s">
        <v>2959</v>
      </c>
      <c r="S932">
        <v>2010</v>
      </c>
      <c r="T932" t="s">
        <v>771</v>
      </c>
      <c r="U932" t="s">
        <v>2875</v>
      </c>
      <c r="V932">
        <v>3.6</v>
      </c>
      <c r="W932">
        <v>2550</v>
      </c>
      <c r="X932">
        <v>164</v>
      </c>
      <c r="Y932">
        <v>0</v>
      </c>
      <c r="Z932">
        <v>12</v>
      </c>
      <c r="AA932">
        <v>300</v>
      </c>
      <c r="AB932">
        <v>15000</v>
      </c>
      <c r="AC932">
        <v>650</v>
      </c>
      <c r="AD932">
        <v>1</v>
      </c>
      <c r="AE932">
        <v>0.27777777799999998</v>
      </c>
      <c r="AF932">
        <v>200</v>
      </c>
      <c r="AG932">
        <v>0</v>
      </c>
      <c r="AH932" t="s">
        <v>2259</v>
      </c>
      <c r="AI932">
        <v>0.3</v>
      </c>
      <c r="AJ932">
        <v>0</v>
      </c>
      <c r="AK932">
        <v>0</v>
      </c>
      <c r="AL932">
        <v>0</v>
      </c>
      <c r="AM932" t="s">
        <v>2960</v>
      </c>
      <c r="AN932" t="s">
        <v>132</v>
      </c>
      <c r="AO932">
        <v>0</v>
      </c>
      <c r="AP932">
        <v>0</v>
      </c>
      <c r="AQ932">
        <v>0</v>
      </c>
      <c r="AR932">
        <v>0</v>
      </c>
      <c r="AS932">
        <v>0</v>
      </c>
      <c r="AT932">
        <v>0</v>
      </c>
      <c r="AU932">
        <v>0</v>
      </c>
      <c r="AV932">
        <v>0</v>
      </c>
      <c r="AW932">
        <v>0</v>
      </c>
      <c r="AX932">
        <v>0</v>
      </c>
      <c r="AY932">
        <v>0</v>
      </c>
      <c r="AZ932">
        <v>0</v>
      </c>
      <c r="BA932">
        <v>0</v>
      </c>
      <c r="BB932">
        <v>0</v>
      </c>
      <c r="BC932">
        <v>0</v>
      </c>
      <c r="BD932">
        <v>0</v>
      </c>
      <c r="BE932">
        <v>0</v>
      </c>
      <c r="BF932">
        <v>0</v>
      </c>
      <c r="BG932">
        <v>0</v>
      </c>
      <c r="BH932">
        <v>0</v>
      </c>
      <c r="BI932">
        <v>0</v>
      </c>
      <c r="BJ932">
        <v>0</v>
      </c>
      <c r="BK932">
        <v>0</v>
      </c>
      <c r="BL932">
        <v>0</v>
      </c>
      <c r="BM932">
        <v>0</v>
      </c>
      <c r="BN932">
        <v>0</v>
      </c>
      <c r="BO932">
        <v>0</v>
      </c>
      <c r="BP932">
        <v>0</v>
      </c>
      <c r="BQ932">
        <v>0</v>
      </c>
      <c r="BR932">
        <v>0</v>
      </c>
      <c r="BS932">
        <v>5.04</v>
      </c>
      <c r="BT932">
        <v>13.7</v>
      </c>
      <c r="BU932">
        <v>0</v>
      </c>
      <c r="BV932">
        <v>0</v>
      </c>
      <c r="BW932">
        <v>0</v>
      </c>
      <c r="BX932">
        <v>0</v>
      </c>
      <c r="BY932">
        <v>0</v>
      </c>
      <c r="BZ932">
        <v>0</v>
      </c>
      <c r="CA932">
        <v>0</v>
      </c>
      <c r="CB932">
        <v>0</v>
      </c>
      <c r="CC932">
        <v>0</v>
      </c>
      <c r="CD932">
        <v>0</v>
      </c>
      <c r="CE932" s="19">
        <f>SUM(Table1[[#This Row],[Low38]],Table1[[#This Row],[Low35]],Table1[[#This Row],[Low32]],Table1[[#This Row],[Low29]],Table1[[#This Row],[Low26]],Table1[[#This Row],[Low23]],Table1[[#This Row],[Low20]],Table1[[#This Row],[Low17]],Table1[[#This Row],[Low14]],Table1[[#This Row],[Low11]],Table1[[#This Row],[Low8]],Table1[[#This Row],[Low5]],Table1[[#This Row],[Low2]],Table1[[#This Row],[Low]])</f>
        <v>5.04</v>
      </c>
      <c r="CF932" s="19">
        <f>SUM(Table1[[#This Row],[Mid39]],Table1[[#This Row],[Mid36]],Table1[[#This Row],[Mid33]],Table1[[#This Row],[Mid30]],Table1[[#This Row],[Mid27]],Table1[[#This Row],[Mid24]],Table1[[#This Row],[Mid21]],Table1[[#This Row],[Mid18]],Table1[[#This Row],[Mid15]],Table1[[#This Row],[Mid12]],Table1[[#This Row],[Mid9]],Table1[[#This Row],[Mid6]],Table1[[#This Row],[Mid3]],Table1[[#This Row],[Mid]])</f>
        <v>13.7</v>
      </c>
      <c r="CG9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32" t="s">
        <v>157</v>
      </c>
      <c r="CI932" t="s">
        <v>134</v>
      </c>
      <c r="CJ932" t="s">
        <v>158</v>
      </c>
      <c r="CL932" s="19">
        <f>IF(Table1[[#This Row],[Type]]="Petroleum",1,IF(ISERROR(Table1[[#This Row],[Well Density]]*Table1[[#This Row],[Single Well Discovery Area]]),"",IF(Table1[[#This Row],[Well Density]]*Table1[[#This Row],[Single Well Discovery Area]]&gt;1,1,Table1[[#This Row],[Well Density]]*Table1[[#This Row],[Single Well Discovery Area]])))</f>
        <v>1</v>
      </c>
      <c r="CN932" s="19">
        <f>Table1[[#This Row],[Mid]]</f>
        <v>0</v>
      </c>
      <c r="CO932" s="19">
        <f>Table1[[#This Row],[Mid3]]+Table1[[#This Row],[Mid6]]+Table1[[#This Row],[Mid9]]</f>
        <v>0</v>
      </c>
      <c r="CP932" s="19">
        <f>Table1[[#This Row],[Mid12]]+Table1[[#This Row],[Mid15]]+Table1[[#This Row],[Mid18]]+Table1[[#This Row],[Mid21]]+Table1[[#This Row],[Mid24]]</f>
        <v>0</v>
      </c>
      <c r="CQ932" s="19">
        <f>Table1[[#This Row],[Mid27]]+Table1[[#This Row],[Mid30]]+Table1[[#This Row],[Mid33]]+Table1[[#This Row],[Mid36]]+Table1[[#This Row],[Mid39]]</f>
        <v>13.7</v>
      </c>
      <c r="CR932" t="s">
        <v>415</v>
      </c>
      <c r="CS932" s="19" t="str">
        <f>IF(AND(Table1[[#This Row],[Low41]]=0, Table1[[#This Row],[High43]]=0),"N","Y")</f>
        <v>Y</v>
      </c>
    </row>
    <row r="933" spans="1:97" ht="19.5" customHeight="1" x14ac:dyDescent="0.25">
      <c r="A933">
        <v>10932</v>
      </c>
      <c r="B933" t="s">
        <v>2917</v>
      </c>
      <c r="C933" t="s">
        <v>2952</v>
      </c>
      <c r="D933">
        <v>40.61444444</v>
      </c>
      <c r="E933">
        <v>-3.6883333330000001</v>
      </c>
      <c r="F933" t="s">
        <v>2961</v>
      </c>
      <c r="G933" t="s">
        <v>2962</v>
      </c>
      <c r="H933" t="s">
        <v>2963</v>
      </c>
      <c r="I933" t="s">
        <v>118</v>
      </c>
      <c r="J933" t="s">
        <v>119</v>
      </c>
      <c r="K933" t="s">
        <v>203</v>
      </c>
      <c r="L933" t="s">
        <v>18</v>
      </c>
      <c r="M933" t="s">
        <v>2964</v>
      </c>
      <c r="N933" s="6" t="s">
        <v>2956</v>
      </c>
      <c r="O933" t="s">
        <v>2957</v>
      </c>
      <c r="P933" t="s">
        <v>2928</v>
      </c>
      <c r="Q933" t="s">
        <v>2965</v>
      </c>
      <c r="R933" t="s">
        <v>2966</v>
      </c>
      <c r="S933">
        <v>2010</v>
      </c>
      <c r="T933" t="s">
        <v>771</v>
      </c>
      <c r="U933" t="s">
        <v>2875</v>
      </c>
      <c r="V933">
        <v>250</v>
      </c>
      <c r="W933">
        <v>1100</v>
      </c>
      <c r="X933">
        <v>780</v>
      </c>
      <c r="Z933">
        <v>17</v>
      </c>
      <c r="AA933">
        <v>70</v>
      </c>
      <c r="AB933" t="s">
        <v>2967</v>
      </c>
      <c r="AC933">
        <v>575</v>
      </c>
      <c r="AD933">
        <v>1</v>
      </c>
      <c r="AE933">
        <v>4.0000000000000001E-3</v>
      </c>
      <c r="AF933">
        <v>200</v>
      </c>
      <c r="AH933" t="s">
        <v>2259</v>
      </c>
      <c r="AI933">
        <v>0.3</v>
      </c>
      <c r="AM933" t="s">
        <v>2960</v>
      </c>
      <c r="AN933" t="s">
        <v>132</v>
      </c>
      <c r="BQ933">
        <v>217</v>
      </c>
      <c r="CE93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33" s="19">
        <f>SUM(Table1[[#This Row],[Mid39]],Table1[[#This Row],[Mid36]],Table1[[#This Row],[Mid33]],Table1[[#This Row],[Mid30]],Table1[[#This Row],[Mid27]],Table1[[#This Row],[Mid24]],Table1[[#This Row],[Mid21]],Table1[[#This Row],[Mid18]],Table1[[#This Row],[Mid15]],Table1[[#This Row],[Mid12]],Table1[[#This Row],[Mid9]],Table1[[#This Row],[Mid6]],Table1[[#This Row],[Mid3]],Table1[[#This Row],[Mid]])</f>
        <v>217</v>
      </c>
      <c r="CG9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33" t="s">
        <v>157</v>
      </c>
      <c r="CI933" t="s">
        <v>134</v>
      </c>
      <c r="CJ933" t="s">
        <v>158</v>
      </c>
      <c r="CL933" s="19">
        <f>IF(Table1[[#This Row],[Type]]="Petroleum",1,IF(ISERROR(Table1[[#This Row],[Well Density]]*Table1[[#This Row],[Single Well Discovery Area]]),"",IF(Table1[[#This Row],[Well Density]]*Table1[[#This Row],[Single Well Discovery Area]]&gt;1,1,Table1[[#This Row],[Well Density]]*Table1[[#This Row],[Single Well Discovery Area]])))</f>
        <v>0.8</v>
      </c>
      <c r="CN933" s="19">
        <f>Table1[[#This Row],[Mid]]</f>
        <v>0</v>
      </c>
      <c r="CO933" s="19">
        <f>Table1[[#This Row],[Mid3]]+Table1[[#This Row],[Mid6]]+Table1[[#This Row],[Mid9]]</f>
        <v>0</v>
      </c>
      <c r="CP933" s="19">
        <f>Table1[[#This Row],[Mid12]]+Table1[[#This Row],[Mid15]]+Table1[[#This Row],[Mid18]]+Table1[[#This Row],[Mid21]]+Table1[[#This Row],[Mid24]]</f>
        <v>0</v>
      </c>
      <c r="CQ933" s="19">
        <f>Table1[[#This Row],[Mid27]]+Table1[[#This Row],[Mid30]]+Table1[[#This Row],[Mid33]]+Table1[[#This Row],[Mid36]]+Table1[[#This Row],[Mid39]]</f>
        <v>217</v>
      </c>
      <c r="CR933" t="s">
        <v>415</v>
      </c>
      <c r="CS933" s="19" t="str">
        <f>IF(AND(Table1[[#This Row],[Low41]]=0, Table1[[#This Row],[High43]]=0),"N","Y")</f>
        <v>N</v>
      </c>
    </row>
    <row r="934" spans="1:97" ht="19.5" customHeight="1" x14ac:dyDescent="0.25">
      <c r="A934">
        <v>10933</v>
      </c>
      <c r="B934" t="s">
        <v>2917</v>
      </c>
      <c r="C934" t="s">
        <v>2952</v>
      </c>
      <c r="D934">
        <v>40.61444444</v>
      </c>
      <c r="E934">
        <v>-3.6880555560000001</v>
      </c>
      <c r="F934" t="s">
        <v>2968</v>
      </c>
      <c r="G934" t="s">
        <v>2962</v>
      </c>
      <c r="H934" t="s">
        <v>2963</v>
      </c>
      <c r="I934" t="s">
        <v>118</v>
      </c>
      <c r="J934" t="s">
        <v>119</v>
      </c>
      <c r="K934" t="s">
        <v>203</v>
      </c>
      <c r="L934" t="s">
        <v>121</v>
      </c>
      <c r="M934" t="s">
        <v>2964</v>
      </c>
      <c r="N934" s="6" t="s">
        <v>2956</v>
      </c>
      <c r="O934" t="s">
        <v>2957</v>
      </c>
      <c r="P934" t="s">
        <v>2928</v>
      </c>
      <c r="Q934" t="s">
        <v>2969</v>
      </c>
      <c r="R934" t="s">
        <v>2966</v>
      </c>
      <c r="S934">
        <v>2010</v>
      </c>
      <c r="T934" t="s">
        <v>771</v>
      </c>
      <c r="U934" t="s">
        <v>2875</v>
      </c>
      <c r="V934">
        <v>250</v>
      </c>
      <c r="W934">
        <v>1100</v>
      </c>
      <c r="X934">
        <v>780</v>
      </c>
      <c r="Z934">
        <v>17</v>
      </c>
      <c r="AA934">
        <v>70</v>
      </c>
      <c r="AB934" t="s">
        <v>2967</v>
      </c>
      <c r="AC934">
        <v>575</v>
      </c>
      <c r="AD934">
        <v>1</v>
      </c>
      <c r="AE934">
        <v>4.0000000000000001E-3</v>
      </c>
      <c r="AF934">
        <v>200</v>
      </c>
      <c r="AH934" t="s">
        <v>2259</v>
      </c>
      <c r="AI934">
        <v>0.3</v>
      </c>
      <c r="AM934" t="s">
        <v>2960</v>
      </c>
      <c r="AN934" t="s">
        <v>132</v>
      </c>
      <c r="BN934">
        <v>868</v>
      </c>
      <c r="CE93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34" s="19">
        <f>SUM(Table1[[#This Row],[Mid39]],Table1[[#This Row],[Mid36]],Table1[[#This Row],[Mid33]],Table1[[#This Row],[Mid30]],Table1[[#This Row],[Mid27]],Table1[[#This Row],[Mid24]],Table1[[#This Row],[Mid21]],Table1[[#This Row],[Mid18]],Table1[[#This Row],[Mid15]],Table1[[#This Row],[Mid12]],Table1[[#This Row],[Mid9]],Table1[[#This Row],[Mid6]],Table1[[#This Row],[Mid3]],Table1[[#This Row],[Mid]])</f>
        <v>868</v>
      </c>
      <c r="CG9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34" t="s">
        <v>157</v>
      </c>
      <c r="CI934" t="s">
        <v>134</v>
      </c>
      <c r="CJ934" t="s">
        <v>158</v>
      </c>
      <c r="CL934" s="19">
        <f>IF(Table1[[#This Row],[Type]]="Petroleum",1,IF(ISERROR(Table1[[#This Row],[Well Density]]*Table1[[#This Row],[Single Well Discovery Area]]),"",IF(Table1[[#This Row],[Well Density]]*Table1[[#This Row],[Single Well Discovery Area]]&gt;1,1,Table1[[#This Row],[Well Density]]*Table1[[#This Row],[Single Well Discovery Area]])))</f>
        <v>0.8</v>
      </c>
      <c r="CN934" s="19">
        <f>Table1[[#This Row],[Mid]]</f>
        <v>0</v>
      </c>
      <c r="CO934" s="19">
        <f>Table1[[#This Row],[Mid3]]+Table1[[#This Row],[Mid6]]+Table1[[#This Row],[Mid9]]</f>
        <v>0</v>
      </c>
      <c r="CP934" s="19">
        <f>Table1[[#This Row],[Mid12]]+Table1[[#This Row],[Mid15]]+Table1[[#This Row],[Mid18]]+Table1[[#This Row],[Mid21]]+Table1[[#This Row],[Mid24]]</f>
        <v>868</v>
      </c>
      <c r="CQ934" s="19">
        <f>Table1[[#This Row],[Mid27]]+Table1[[#This Row],[Mid30]]+Table1[[#This Row],[Mid33]]+Table1[[#This Row],[Mid36]]+Table1[[#This Row],[Mid39]]</f>
        <v>0</v>
      </c>
      <c r="CR934" t="s">
        <v>415</v>
      </c>
      <c r="CS934" s="19" t="str">
        <f>IF(AND(Table1[[#This Row],[Low41]]=0, Table1[[#This Row],[High43]]=0),"N","Y")</f>
        <v>N</v>
      </c>
    </row>
    <row r="935" spans="1:97" ht="19.5" customHeight="1" x14ac:dyDescent="0.25">
      <c r="A935">
        <v>10934</v>
      </c>
      <c r="B935" t="s">
        <v>2917</v>
      </c>
      <c r="C935" t="s">
        <v>2952</v>
      </c>
      <c r="D935">
        <v>40.722222219999999</v>
      </c>
      <c r="E935">
        <v>0.8</v>
      </c>
      <c r="F935" t="s">
        <v>2970</v>
      </c>
      <c r="G935" t="s">
        <v>2939</v>
      </c>
      <c r="H935" t="s">
        <v>2955</v>
      </c>
      <c r="I935" t="s">
        <v>118</v>
      </c>
      <c r="J935" t="s">
        <v>119</v>
      </c>
      <c r="K935" t="s">
        <v>203</v>
      </c>
      <c r="L935" t="s">
        <v>121</v>
      </c>
      <c r="M935" t="s">
        <v>392</v>
      </c>
      <c r="N935" s="6" t="s">
        <v>2956</v>
      </c>
      <c r="O935" t="s">
        <v>2957</v>
      </c>
      <c r="P935" t="s">
        <v>2928</v>
      </c>
      <c r="Q935" t="s">
        <v>2969</v>
      </c>
      <c r="R935" t="s">
        <v>2971</v>
      </c>
      <c r="S935">
        <v>2010</v>
      </c>
      <c r="T935" t="s">
        <v>771</v>
      </c>
      <c r="U935" t="s">
        <v>2875</v>
      </c>
      <c r="V935">
        <v>10</v>
      </c>
      <c r="W935">
        <v>1100</v>
      </c>
      <c r="X935">
        <v>120</v>
      </c>
      <c r="Z935">
        <v>12</v>
      </c>
      <c r="AA935">
        <v>300</v>
      </c>
      <c r="AB935">
        <v>15000</v>
      </c>
      <c r="AC935">
        <v>710</v>
      </c>
      <c r="AD935">
        <v>1</v>
      </c>
      <c r="AE935">
        <v>0.1</v>
      </c>
      <c r="AF935">
        <v>20</v>
      </c>
      <c r="AH935" t="s">
        <v>2259</v>
      </c>
      <c r="AI935">
        <v>0.3</v>
      </c>
      <c r="AM935" t="s">
        <v>2960</v>
      </c>
      <c r="AN935" t="s">
        <v>132</v>
      </c>
      <c r="BN935">
        <v>19.34</v>
      </c>
      <c r="BO935">
        <v>21.73</v>
      </c>
      <c r="CE93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35" s="19">
        <f>SUM(Table1[[#This Row],[Mid39]],Table1[[#This Row],[Mid36]],Table1[[#This Row],[Mid33]],Table1[[#This Row],[Mid30]],Table1[[#This Row],[Mid27]],Table1[[#This Row],[Mid24]],Table1[[#This Row],[Mid21]],Table1[[#This Row],[Mid18]],Table1[[#This Row],[Mid15]],Table1[[#This Row],[Mid12]],Table1[[#This Row],[Mid9]],Table1[[#This Row],[Mid6]],Table1[[#This Row],[Mid3]],Table1[[#This Row],[Mid]])</f>
        <v>19.34</v>
      </c>
      <c r="CG9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21.73</v>
      </c>
      <c r="CH935" t="s">
        <v>157</v>
      </c>
      <c r="CI935" t="s">
        <v>176</v>
      </c>
      <c r="CJ935" t="s">
        <v>158</v>
      </c>
      <c r="CL935" s="19">
        <f>IF(Table1[[#This Row],[Type]]="Petroleum",1,IF(ISERROR(Table1[[#This Row],[Well Density]]*Table1[[#This Row],[Single Well Discovery Area]]),"",IF(Table1[[#This Row],[Well Density]]*Table1[[#This Row],[Single Well Discovery Area]]&gt;1,1,Table1[[#This Row],[Well Density]]*Table1[[#This Row],[Single Well Discovery Area]])))</f>
        <v>1</v>
      </c>
      <c r="CN935" s="19">
        <f>Table1[[#This Row],[Mid]]</f>
        <v>0</v>
      </c>
      <c r="CO935" s="19">
        <f>Table1[[#This Row],[Mid3]]+Table1[[#This Row],[Mid6]]+Table1[[#This Row],[Mid9]]</f>
        <v>0</v>
      </c>
      <c r="CP935" s="19">
        <f>Table1[[#This Row],[Mid12]]+Table1[[#This Row],[Mid15]]+Table1[[#This Row],[Mid18]]+Table1[[#This Row],[Mid21]]+Table1[[#This Row],[Mid24]]</f>
        <v>19.34</v>
      </c>
      <c r="CQ935" s="19">
        <f>Table1[[#This Row],[Mid27]]+Table1[[#This Row],[Mid30]]+Table1[[#This Row],[Mid33]]+Table1[[#This Row],[Mid36]]+Table1[[#This Row],[Mid39]]</f>
        <v>0</v>
      </c>
      <c r="CR935" t="s">
        <v>415</v>
      </c>
      <c r="CS935" s="19" t="str">
        <f>IF(AND(Table1[[#This Row],[Low41]]=0, Table1[[#This Row],[High43]]=0),"N","Y")</f>
        <v>Y</v>
      </c>
    </row>
    <row r="936" spans="1:97" ht="19.5" customHeight="1" x14ac:dyDescent="0.25">
      <c r="A936">
        <v>10935</v>
      </c>
      <c r="B936" t="s">
        <v>2917</v>
      </c>
      <c r="C936" t="s">
        <v>2952</v>
      </c>
      <c r="D936">
        <v>41.382222220000003</v>
      </c>
      <c r="E936">
        <v>-2.4438888890000001</v>
      </c>
      <c r="F936" t="s">
        <v>2972</v>
      </c>
      <c r="G936" t="s">
        <v>2954</v>
      </c>
      <c r="H936" t="s">
        <v>2955</v>
      </c>
      <c r="I936" t="s">
        <v>118</v>
      </c>
      <c r="J936" t="s">
        <v>119</v>
      </c>
      <c r="K936" t="s">
        <v>203</v>
      </c>
      <c r="L936" t="s">
        <v>18</v>
      </c>
      <c r="M936" t="s">
        <v>392</v>
      </c>
      <c r="N936" s="6" t="s">
        <v>2956</v>
      </c>
      <c r="O936" t="s">
        <v>2957</v>
      </c>
      <c r="P936" t="s">
        <v>2928</v>
      </c>
      <c r="Q936" t="s">
        <v>2969</v>
      </c>
      <c r="R936" t="s">
        <v>2966</v>
      </c>
      <c r="S936">
        <v>2010</v>
      </c>
      <c r="T936" t="s">
        <v>771</v>
      </c>
      <c r="U936" t="s">
        <v>2875</v>
      </c>
      <c r="V936">
        <v>307.60000000000002</v>
      </c>
      <c r="W936">
        <v>1000</v>
      </c>
      <c r="X936">
        <v>46</v>
      </c>
      <c r="Z936">
        <v>7</v>
      </c>
      <c r="AA936">
        <v>70</v>
      </c>
      <c r="AB936">
        <v>19000</v>
      </c>
      <c r="AC936">
        <v>750</v>
      </c>
      <c r="AD936">
        <v>2</v>
      </c>
      <c r="AE936">
        <v>6.5019509999999997E-3</v>
      </c>
      <c r="AF936">
        <v>200</v>
      </c>
      <c r="AH936" t="s">
        <v>2259</v>
      </c>
      <c r="AI936">
        <v>0.3</v>
      </c>
      <c r="AM936" t="s">
        <v>2960</v>
      </c>
      <c r="AN936" t="s">
        <v>132</v>
      </c>
      <c r="BQ936">
        <v>28.190780230000001</v>
      </c>
      <c r="CE9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36" s="19">
        <f>SUM(Table1[[#This Row],[Mid39]],Table1[[#This Row],[Mid36]],Table1[[#This Row],[Mid33]],Table1[[#This Row],[Mid30]],Table1[[#This Row],[Mid27]],Table1[[#This Row],[Mid24]],Table1[[#This Row],[Mid21]],Table1[[#This Row],[Mid18]],Table1[[#This Row],[Mid15]],Table1[[#This Row],[Mid12]],Table1[[#This Row],[Mid9]],Table1[[#This Row],[Mid6]],Table1[[#This Row],[Mid3]],Table1[[#This Row],[Mid]])</f>
        <v>28.190780230000001</v>
      </c>
      <c r="CG9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36" t="s">
        <v>157</v>
      </c>
      <c r="CI936" t="s">
        <v>134</v>
      </c>
      <c r="CJ936" t="s">
        <v>158</v>
      </c>
      <c r="CL936" s="19">
        <f>IF(Table1[[#This Row],[Type]]="Petroleum",1,IF(ISERROR(Table1[[#This Row],[Well Density]]*Table1[[#This Row],[Single Well Discovery Area]]),"",IF(Table1[[#This Row],[Well Density]]*Table1[[#This Row],[Single Well Discovery Area]]&gt;1,1,Table1[[#This Row],[Well Density]]*Table1[[#This Row],[Single Well Discovery Area]])))</f>
        <v>1</v>
      </c>
      <c r="CN936" s="19">
        <f>Table1[[#This Row],[Mid]]</f>
        <v>0</v>
      </c>
      <c r="CO936" s="19">
        <f>Table1[[#This Row],[Mid3]]+Table1[[#This Row],[Mid6]]+Table1[[#This Row],[Mid9]]</f>
        <v>0</v>
      </c>
      <c r="CP936" s="19">
        <f>Table1[[#This Row],[Mid12]]+Table1[[#This Row],[Mid15]]+Table1[[#This Row],[Mid18]]+Table1[[#This Row],[Mid21]]+Table1[[#This Row],[Mid24]]</f>
        <v>0</v>
      </c>
      <c r="CQ936" s="19">
        <f>Table1[[#This Row],[Mid27]]+Table1[[#This Row],[Mid30]]+Table1[[#This Row],[Mid33]]+Table1[[#This Row],[Mid36]]+Table1[[#This Row],[Mid39]]</f>
        <v>28.190780230000001</v>
      </c>
      <c r="CR936" t="s">
        <v>415</v>
      </c>
      <c r="CS936" s="19" t="str">
        <f>IF(AND(Table1[[#This Row],[Low41]]=0, Table1[[#This Row],[High43]]=0),"N","Y")</f>
        <v>N</v>
      </c>
    </row>
    <row r="937" spans="1:97" ht="19.5" customHeight="1" x14ac:dyDescent="0.25">
      <c r="A937">
        <v>10936</v>
      </c>
      <c r="B937" t="s">
        <v>2917</v>
      </c>
      <c r="C937" t="s">
        <v>2952</v>
      </c>
      <c r="D937">
        <v>41.382222220000003</v>
      </c>
      <c r="E937">
        <v>-2.4436111110000001</v>
      </c>
      <c r="F937" t="s">
        <v>2973</v>
      </c>
      <c r="G937" t="s">
        <v>2954</v>
      </c>
      <c r="H937" t="s">
        <v>2955</v>
      </c>
      <c r="I937" t="s">
        <v>118</v>
      </c>
      <c r="J937" t="s">
        <v>119</v>
      </c>
      <c r="K937" t="s">
        <v>203</v>
      </c>
      <c r="L937" t="s">
        <v>121</v>
      </c>
      <c r="M937" t="s">
        <v>392</v>
      </c>
      <c r="N937" s="6" t="s">
        <v>2956</v>
      </c>
      <c r="O937" t="s">
        <v>2957</v>
      </c>
      <c r="P937" t="s">
        <v>2928</v>
      </c>
      <c r="Q937" t="s">
        <v>2969</v>
      </c>
      <c r="R937" t="s">
        <v>2966</v>
      </c>
      <c r="S937">
        <v>2010</v>
      </c>
      <c r="T937" t="s">
        <v>771</v>
      </c>
      <c r="U937" t="s">
        <v>2875</v>
      </c>
      <c r="V937">
        <v>307.60000000000002</v>
      </c>
      <c r="W937">
        <v>1000</v>
      </c>
      <c r="X937">
        <v>46</v>
      </c>
      <c r="Z937">
        <v>7</v>
      </c>
      <c r="AA937">
        <v>70</v>
      </c>
      <c r="AB937">
        <v>19000</v>
      </c>
      <c r="AC937">
        <v>750</v>
      </c>
      <c r="AD937">
        <v>2</v>
      </c>
      <c r="AE937">
        <v>6.5019509999999997E-3</v>
      </c>
      <c r="AF937">
        <v>200</v>
      </c>
      <c r="AH937" t="s">
        <v>2259</v>
      </c>
      <c r="AI937">
        <v>0.3</v>
      </c>
      <c r="AM937" t="s">
        <v>2960</v>
      </c>
      <c r="AN937" t="s">
        <v>132</v>
      </c>
      <c r="BN937">
        <v>52.399219770000002</v>
      </c>
      <c r="BO937">
        <v>127</v>
      </c>
      <c r="CE93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37" s="19">
        <f>SUM(Table1[[#This Row],[Mid39]],Table1[[#This Row],[Mid36]],Table1[[#This Row],[Mid33]],Table1[[#This Row],[Mid30]],Table1[[#This Row],[Mid27]],Table1[[#This Row],[Mid24]],Table1[[#This Row],[Mid21]],Table1[[#This Row],[Mid18]],Table1[[#This Row],[Mid15]],Table1[[#This Row],[Mid12]],Table1[[#This Row],[Mid9]],Table1[[#This Row],[Mid6]],Table1[[#This Row],[Mid3]],Table1[[#This Row],[Mid]])</f>
        <v>52.399219770000002</v>
      </c>
      <c r="CG9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127</v>
      </c>
      <c r="CH937" t="s">
        <v>157</v>
      </c>
      <c r="CI937" t="s">
        <v>134</v>
      </c>
      <c r="CJ937" t="s">
        <v>158</v>
      </c>
      <c r="CL937" s="19">
        <f>IF(Table1[[#This Row],[Type]]="Petroleum",1,IF(ISERROR(Table1[[#This Row],[Well Density]]*Table1[[#This Row],[Single Well Discovery Area]]),"",IF(Table1[[#This Row],[Well Density]]*Table1[[#This Row],[Single Well Discovery Area]]&gt;1,1,Table1[[#This Row],[Well Density]]*Table1[[#This Row],[Single Well Discovery Area]])))</f>
        <v>1</v>
      </c>
      <c r="CN937" s="19">
        <f>Table1[[#This Row],[Mid]]</f>
        <v>0</v>
      </c>
      <c r="CO937" s="19">
        <f>Table1[[#This Row],[Mid3]]+Table1[[#This Row],[Mid6]]+Table1[[#This Row],[Mid9]]</f>
        <v>0</v>
      </c>
      <c r="CP937" s="19">
        <f>Table1[[#This Row],[Mid12]]+Table1[[#This Row],[Mid15]]+Table1[[#This Row],[Mid18]]+Table1[[#This Row],[Mid21]]+Table1[[#This Row],[Mid24]]</f>
        <v>52.399219770000002</v>
      </c>
      <c r="CQ937" s="19">
        <f>Table1[[#This Row],[Mid27]]+Table1[[#This Row],[Mid30]]+Table1[[#This Row],[Mid33]]+Table1[[#This Row],[Mid36]]+Table1[[#This Row],[Mid39]]</f>
        <v>0</v>
      </c>
      <c r="CR937" t="s">
        <v>415</v>
      </c>
      <c r="CS937" s="19" t="str">
        <f>IF(AND(Table1[[#This Row],[Low41]]=0, Table1[[#This Row],[High43]]=0),"N","Y")</f>
        <v>Y</v>
      </c>
    </row>
    <row r="938" spans="1:97" ht="19.5" customHeight="1" x14ac:dyDescent="0.25">
      <c r="A938">
        <v>10937</v>
      </c>
      <c r="B938" t="s">
        <v>2917</v>
      </c>
      <c r="C938" t="s">
        <v>2952</v>
      </c>
      <c r="D938">
        <v>40.896388889999997</v>
      </c>
      <c r="E938">
        <v>-3.1522222219999998</v>
      </c>
      <c r="F938" t="s">
        <v>2974</v>
      </c>
      <c r="G938" t="s">
        <v>2962</v>
      </c>
      <c r="H938" t="s">
        <v>2975</v>
      </c>
      <c r="I938" t="s">
        <v>118</v>
      </c>
      <c r="J938" t="s">
        <v>119</v>
      </c>
      <c r="K938" t="s">
        <v>203</v>
      </c>
      <c r="L938" t="s">
        <v>121</v>
      </c>
      <c r="M938" t="s">
        <v>392</v>
      </c>
      <c r="N938" s="6" t="s">
        <v>2956</v>
      </c>
      <c r="O938" t="s">
        <v>2957</v>
      </c>
      <c r="P938" t="s">
        <v>2928</v>
      </c>
      <c r="Q938" t="s">
        <v>2969</v>
      </c>
      <c r="R938" t="s">
        <v>2976</v>
      </c>
      <c r="S938">
        <v>2010</v>
      </c>
      <c r="T938" t="s">
        <v>771</v>
      </c>
      <c r="U938" t="s">
        <v>2875</v>
      </c>
      <c r="V938">
        <v>51</v>
      </c>
      <c r="W938">
        <v>1487</v>
      </c>
      <c r="X938">
        <v>25</v>
      </c>
      <c r="Z938">
        <v>9</v>
      </c>
      <c r="AA938">
        <v>300</v>
      </c>
      <c r="AB938">
        <v>15000</v>
      </c>
      <c r="AC938">
        <v>600</v>
      </c>
      <c r="AD938">
        <v>1</v>
      </c>
      <c r="AE938">
        <v>1.9607843E-2</v>
      </c>
      <c r="AF938">
        <v>200</v>
      </c>
      <c r="AH938" t="s">
        <v>2259</v>
      </c>
      <c r="AI938">
        <v>0.3</v>
      </c>
      <c r="AM938" t="s">
        <v>2960</v>
      </c>
      <c r="AN938" t="s">
        <v>132</v>
      </c>
      <c r="BN938">
        <v>20.45</v>
      </c>
      <c r="CE93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38" s="19">
        <f>SUM(Table1[[#This Row],[Mid39]],Table1[[#This Row],[Mid36]],Table1[[#This Row],[Mid33]],Table1[[#This Row],[Mid30]],Table1[[#This Row],[Mid27]],Table1[[#This Row],[Mid24]],Table1[[#This Row],[Mid21]],Table1[[#This Row],[Mid18]],Table1[[#This Row],[Mid15]],Table1[[#This Row],[Mid12]],Table1[[#This Row],[Mid9]],Table1[[#This Row],[Mid6]],Table1[[#This Row],[Mid3]],Table1[[#This Row],[Mid]])</f>
        <v>20.45</v>
      </c>
      <c r="CG9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38" t="s">
        <v>157</v>
      </c>
      <c r="CI938" t="s">
        <v>2977</v>
      </c>
      <c r="CJ938" t="s">
        <v>158</v>
      </c>
      <c r="CL938" s="19">
        <f>IF(Table1[[#This Row],[Type]]="Petroleum",1,IF(ISERROR(Table1[[#This Row],[Well Density]]*Table1[[#This Row],[Single Well Discovery Area]]),"",IF(Table1[[#This Row],[Well Density]]*Table1[[#This Row],[Single Well Discovery Area]]&gt;1,1,Table1[[#This Row],[Well Density]]*Table1[[#This Row],[Single Well Discovery Area]])))</f>
        <v>1</v>
      </c>
      <c r="CN938" s="19">
        <f>Table1[[#This Row],[Mid]]</f>
        <v>0</v>
      </c>
      <c r="CO938" s="19">
        <f>Table1[[#This Row],[Mid3]]+Table1[[#This Row],[Mid6]]+Table1[[#This Row],[Mid9]]</f>
        <v>0</v>
      </c>
      <c r="CP938" s="19">
        <f>Table1[[#This Row],[Mid12]]+Table1[[#This Row],[Mid15]]+Table1[[#This Row],[Mid18]]+Table1[[#This Row],[Mid21]]+Table1[[#This Row],[Mid24]]</f>
        <v>20.45</v>
      </c>
      <c r="CQ938" s="19">
        <f>Table1[[#This Row],[Mid27]]+Table1[[#This Row],[Mid30]]+Table1[[#This Row],[Mid33]]+Table1[[#This Row],[Mid36]]+Table1[[#This Row],[Mid39]]</f>
        <v>0</v>
      </c>
      <c r="CR938" t="s">
        <v>415</v>
      </c>
      <c r="CS938" s="19" t="str">
        <f>IF(AND(Table1[[#This Row],[Low41]]=0, Table1[[#This Row],[High43]]=0),"N","Y")</f>
        <v>N</v>
      </c>
    </row>
    <row r="939" spans="1:97" ht="19.5" customHeight="1" x14ac:dyDescent="0.25">
      <c r="A939">
        <v>10938</v>
      </c>
      <c r="B939" t="s">
        <v>2917</v>
      </c>
      <c r="C939" t="s">
        <v>2952</v>
      </c>
      <c r="D939">
        <v>40.999444439999998</v>
      </c>
      <c r="E939">
        <v>-2.8341666669999999</v>
      </c>
      <c r="F939" t="s">
        <v>2978</v>
      </c>
      <c r="G939" t="s">
        <v>2962</v>
      </c>
      <c r="H939" t="s">
        <v>2975</v>
      </c>
      <c r="I939" t="s">
        <v>118</v>
      </c>
      <c r="J939" t="s">
        <v>119</v>
      </c>
      <c r="K939" t="s">
        <v>203</v>
      </c>
      <c r="L939" t="s">
        <v>121</v>
      </c>
      <c r="M939" t="s">
        <v>392</v>
      </c>
      <c r="N939" s="6" t="s">
        <v>2956</v>
      </c>
      <c r="O939" t="s">
        <v>2957</v>
      </c>
      <c r="P939" t="s">
        <v>2928</v>
      </c>
      <c r="Q939" t="s">
        <v>2969</v>
      </c>
      <c r="R939" t="s">
        <v>2976</v>
      </c>
      <c r="S939">
        <v>2010</v>
      </c>
      <c r="T939" t="s">
        <v>771</v>
      </c>
      <c r="U939" t="s">
        <v>2875</v>
      </c>
      <c r="V939">
        <v>54</v>
      </c>
      <c r="W939">
        <v>1364</v>
      </c>
      <c r="X939">
        <v>68</v>
      </c>
      <c r="Z939">
        <v>10</v>
      </c>
      <c r="AA939">
        <v>300</v>
      </c>
      <c r="AB939">
        <v>15000</v>
      </c>
      <c r="AC939">
        <v>600</v>
      </c>
      <c r="AD939">
        <v>1</v>
      </c>
      <c r="AE939">
        <v>1.8518519000000001E-2</v>
      </c>
      <c r="AF939">
        <v>200</v>
      </c>
      <c r="AH939" t="s">
        <v>2259</v>
      </c>
      <c r="AI939">
        <v>0.3</v>
      </c>
      <c r="AM939" t="s">
        <v>2960</v>
      </c>
      <c r="AN939" t="s">
        <v>132</v>
      </c>
      <c r="BN939">
        <v>32.799999999999997</v>
      </c>
      <c r="CE93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39" s="19">
        <f>SUM(Table1[[#This Row],[Mid39]],Table1[[#This Row],[Mid36]],Table1[[#This Row],[Mid33]],Table1[[#This Row],[Mid30]],Table1[[#This Row],[Mid27]],Table1[[#This Row],[Mid24]],Table1[[#This Row],[Mid21]],Table1[[#This Row],[Mid18]],Table1[[#This Row],[Mid15]],Table1[[#This Row],[Mid12]],Table1[[#This Row],[Mid9]],Table1[[#This Row],[Mid6]],Table1[[#This Row],[Mid3]],Table1[[#This Row],[Mid]])</f>
        <v>32.799999999999997</v>
      </c>
      <c r="CG9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39" t="s">
        <v>157</v>
      </c>
      <c r="CI939" t="s">
        <v>2977</v>
      </c>
      <c r="CJ939" t="s">
        <v>158</v>
      </c>
      <c r="CL939" s="19">
        <f>IF(Table1[[#This Row],[Type]]="Petroleum",1,IF(ISERROR(Table1[[#This Row],[Well Density]]*Table1[[#This Row],[Single Well Discovery Area]]),"",IF(Table1[[#This Row],[Well Density]]*Table1[[#This Row],[Single Well Discovery Area]]&gt;1,1,Table1[[#This Row],[Well Density]]*Table1[[#This Row],[Single Well Discovery Area]])))</f>
        <v>1</v>
      </c>
      <c r="CN939" s="19">
        <f>Table1[[#This Row],[Mid]]</f>
        <v>0</v>
      </c>
      <c r="CO939" s="19">
        <f>Table1[[#This Row],[Mid3]]+Table1[[#This Row],[Mid6]]+Table1[[#This Row],[Mid9]]</f>
        <v>0</v>
      </c>
      <c r="CP939" s="19">
        <f>Table1[[#This Row],[Mid12]]+Table1[[#This Row],[Mid15]]+Table1[[#This Row],[Mid18]]+Table1[[#This Row],[Mid21]]+Table1[[#This Row],[Mid24]]</f>
        <v>32.799999999999997</v>
      </c>
      <c r="CQ939" s="19">
        <f>Table1[[#This Row],[Mid27]]+Table1[[#This Row],[Mid30]]+Table1[[#This Row],[Mid33]]+Table1[[#This Row],[Mid36]]+Table1[[#This Row],[Mid39]]</f>
        <v>0</v>
      </c>
      <c r="CR939" t="s">
        <v>415</v>
      </c>
      <c r="CS939" s="19" t="str">
        <f>IF(AND(Table1[[#This Row],[Low41]]=0, Table1[[#This Row],[High43]]=0),"N","Y")</f>
        <v>N</v>
      </c>
    </row>
    <row r="940" spans="1:97" ht="19.5" customHeight="1" x14ac:dyDescent="0.25">
      <c r="A940">
        <v>10939</v>
      </c>
      <c r="B940" t="s">
        <v>2917</v>
      </c>
      <c r="C940" t="s">
        <v>2952</v>
      </c>
      <c r="D940">
        <v>40.411944439999999</v>
      </c>
      <c r="E940">
        <v>-0.49611111099999999</v>
      </c>
      <c r="F940" t="s">
        <v>2979</v>
      </c>
      <c r="G940" t="s">
        <v>2954</v>
      </c>
      <c r="H940" t="s">
        <v>2980</v>
      </c>
      <c r="I940" t="s">
        <v>118</v>
      </c>
      <c r="J940" t="s">
        <v>119</v>
      </c>
      <c r="K940" t="s">
        <v>203</v>
      </c>
      <c r="L940" t="s">
        <v>121</v>
      </c>
      <c r="M940" t="s">
        <v>392</v>
      </c>
      <c r="N940" s="6" t="s">
        <v>2956</v>
      </c>
      <c r="O940" t="s">
        <v>2957</v>
      </c>
      <c r="P940" t="s">
        <v>2928</v>
      </c>
      <c r="Q940" t="s">
        <v>2969</v>
      </c>
      <c r="R940" t="s">
        <v>2981</v>
      </c>
      <c r="S940">
        <v>2010</v>
      </c>
      <c r="T940" t="s">
        <v>771</v>
      </c>
      <c r="U940" t="s">
        <v>2875</v>
      </c>
      <c r="V940">
        <v>105.94</v>
      </c>
      <c r="W940">
        <v>1400</v>
      </c>
      <c r="X940">
        <v>54</v>
      </c>
      <c r="Z940">
        <v>5</v>
      </c>
      <c r="AA940">
        <v>70</v>
      </c>
      <c r="AC940">
        <v>750</v>
      </c>
      <c r="AD940">
        <v>4</v>
      </c>
      <c r="AE940">
        <v>3.7757221000000001E-2</v>
      </c>
      <c r="AF940">
        <v>20</v>
      </c>
      <c r="AH940" t="s">
        <v>2259</v>
      </c>
      <c r="AI940">
        <v>0.3</v>
      </c>
      <c r="AM940" t="s">
        <v>2960</v>
      </c>
      <c r="AN940" t="s">
        <v>132</v>
      </c>
      <c r="BN940">
        <v>17.489999999999998</v>
      </c>
      <c r="BO940">
        <v>56.81</v>
      </c>
      <c r="CE94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40" s="19">
        <f>SUM(Table1[[#This Row],[Mid39]],Table1[[#This Row],[Mid36]],Table1[[#This Row],[Mid33]],Table1[[#This Row],[Mid30]],Table1[[#This Row],[Mid27]],Table1[[#This Row],[Mid24]],Table1[[#This Row],[Mid21]],Table1[[#This Row],[Mid18]],Table1[[#This Row],[Mid15]],Table1[[#This Row],[Mid12]],Table1[[#This Row],[Mid9]],Table1[[#This Row],[Mid6]],Table1[[#This Row],[Mid3]],Table1[[#This Row],[Mid]])</f>
        <v>17.489999999999998</v>
      </c>
      <c r="CG9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56.81</v>
      </c>
      <c r="CH940" t="s">
        <v>157</v>
      </c>
      <c r="CI940" t="s">
        <v>176</v>
      </c>
      <c r="CJ940" t="s">
        <v>158</v>
      </c>
      <c r="CL940" s="19">
        <f>IF(Table1[[#This Row],[Type]]="Petroleum",1,IF(ISERROR(Table1[[#This Row],[Well Density]]*Table1[[#This Row],[Single Well Discovery Area]]),"",IF(Table1[[#This Row],[Well Density]]*Table1[[#This Row],[Single Well Discovery Area]]&gt;1,1,Table1[[#This Row],[Well Density]]*Table1[[#This Row],[Single Well Discovery Area]])))</f>
        <v>0.75514442000000004</v>
      </c>
      <c r="CN940" s="19">
        <f>Table1[[#This Row],[Mid]]</f>
        <v>0</v>
      </c>
      <c r="CO940" s="19">
        <f>Table1[[#This Row],[Mid3]]+Table1[[#This Row],[Mid6]]+Table1[[#This Row],[Mid9]]</f>
        <v>0</v>
      </c>
      <c r="CP940" s="19">
        <f>Table1[[#This Row],[Mid12]]+Table1[[#This Row],[Mid15]]+Table1[[#This Row],[Mid18]]+Table1[[#This Row],[Mid21]]+Table1[[#This Row],[Mid24]]</f>
        <v>17.489999999999998</v>
      </c>
      <c r="CQ940" s="19">
        <f>Table1[[#This Row],[Mid27]]+Table1[[#This Row],[Mid30]]+Table1[[#This Row],[Mid33]]+Table1[[#This Row],[Mid36]]+Table1[[#This Row],[Mid39]]</f>
        <v>0</v>
      </c>
      <c r="CR940" t="s">
        <v>415</v>
      </c>
      <c r="CS940" s="19" t="str">
        <f>IF(AND(Table1[[#This Row],[Low41]]=0, Table1[[#This Row],[High43]]=0),"N","Y")</f>
        <v>Y</v>
      </c>
    </row>
    <row r="941" spans="1:97" ht="19.5" customHeight="1" x14ac:dyDescent="0.25">
      <c r="A941">
        <v>10940</v>
      </c>
      <c r="B941" t="s">
        <v>2917</v>
      </c>
      <c r="C941" t="s">
        <v>2952</v>
      </c>
      <c r="D941">
        <v>40.448611110000002</v>
      </c>
      <c r="E941">
        <v>-0.4425</v>
      </c>
      <c r="F941" t="s">
        <v>2982</v>
      </c>
      <c r="G941" t="s">
        <v>2954</v>
      </c>
      <c r="H941" t="s">
        <v>2983</v>
      </c>
      <c r="I941" t="s">
        <v>118</v>
      </c>
      <c r="J941" t="s">
        <v>119</v>
      </c>
      <c r="K941" t="s">
        <v>203</v>
      </c>
      <c r="L941" t="s">
        <v>121</v>
      </c>
      <c r="M941" t="s">
        <v>392</v>
      </c>
      <c r="N941" s="6" t="s">
        <v>2956</v>
      </c>
      <c r="O941" t="s">
        <v>2957</v>
      </c>
      <c r="P941" t="s">
        <v>2928</v>
      </c>
      <c r="Q941" t="s">
        <v>2969</v>
      </c>
      <c r="R941" s="21" t="s">
        <v>2984</v>
      </c>
      <c r="S941">
        <v>2010</v>
      </c>
      <c r="T941" t="s">
        <v>771</v>
      </c>
      <c r="U941" t="s">
        <v>2875</v>
      </c>
      <c r="V941">
        <v>114.49</v>
      </c>
      <c r="W941">
        <v>1494</v>
      </c>
      <c r="X941">
        <v>137</v>
      </c>
      <c r="Z941">
        <v>7</v>
      </c>
      <c r="AA941">
        <v>100</v>
      </c>
      <c r="AB941">
        <v>100000</v>
      </c>
      <c r="AC941">
        <v>760</v>
      </c>
      <c r="AD941">
        <v>3</v>
      </c>
      <c r="AE941">
        <v>2.6203161999999999E-2</v>
      </c>
      <c r="AF941">
        <v>20</v>
      </c>
      <c r="AH941" t="s">
        <v>2259</v>
      </c>
      <c r="AI941">
        <v>0.3</v>
      </c>
      <c r="AM941" t="s">
        <v>2960</v>
      </c>
      <c r="AN941" t="s">
        <v>132</v>
      </c>
      <c r="BN941">
        <v>17.489999999999998</v>
      </c>
      <c r="BO941">
        <v>123.47</v>
      </c>
      <c r="CE94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41" s="19">
        <f>SUM(Table1[[#This Row],[Mid39]],Table1[[#This Row],[Mid36]],Table1[[#This Row],[Mid33]],Table1[[#This Row],[Mid30]],Table1[[#This Row],[Mid27]],Table1[[#This Row],[Mid24]],Table1[[#This Row],[Mid21]],Table1[[#This Row],[Mid18]],Table1[[#This Row],[Mid15]],Table1[[#This Row],[Mid12]],Table1[[#This Row],[Mid9]],Table1[[#This Row],[Mid6]],Table1[[#This Row],[Mid3]],Table1[[#This Row],[Mid]])</f>
        <v>17.489999999999998</v>
      </c>
      <c r="CG9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123.47</v>
      </c>
      <c r="CH941" t="s">
        <v>157</v>
      </c>
      <c r="CI941" t="s">
        <v>176</v>
      </c>
      <c r="CJ941" t="s">
        <v>158</v>
      </c>
      <c r="CL941" s="19">
        <f>IF(Table1[[#This Row],[Type]]="Petroleum",1,IF(ISERROR(Table1[[#This Row],[Well Density]]*Table1[[#This Row],[Single Well Discovery Area]]),"",IF(Table1[[#This Row],[Well Density]]*Table1[[#This Row],[Single Well Discovery Area]]&gt;1,1,Table1[[#This Row],[Well Density]]*Table1[[#This Row],[Single Well Discovery Area]])))</f>
        <v>0.52406323999999993</v>
      </c>
      <c r="CN941" s="19">
        <f>Table1[[#This Row],[Mid]]</f>
        <v>0</v>
      </c>
      <c r="CO941" s="19">
        <f>Table1[[#This Row],[Mid3]]+Table1[[#This Row],[Mid6]]+Table1[[#This Row],[Mid9]]</f>
        <v>0</v>
      </c>
      <c r="CP941" s="19">
        <f>Table1[[#This Row],[Mid12]]+Table1[[#This Row],[Mid15]]+Table1[[#This Row],[Mid18]]+Table1[[#This Row],[Mid21]]+Table1[[#This Row],[Mid24]]</f>
        <v>17.489999999999998</v>
      </c>
      <c r="CQ941" s="19">
        <f>Table1[[#This Row],[Mid27]]+Table1[[#This Row],[Mid30]]+Table1[[#This Row],[Mid33]]+Table1[[#This Row],[Mid36]]+Table1[[#This Row],[Mid39]]</f>
        <v>0</v>
      </c>
      <c r="CR941" t="s">
        <v>415</v>
      </c>
      <c r="CS941" s="19" t="str">
        <f>IF(AND(Table1[[#This Row],[Low41]]=0, Table1[[#This Row],[High43]]=0),"N","Y")</f>
        <v>Y</v>
      </c>
    </row>
    <row r="942" spans="1:97" ht="19.5" customHeight="1" x14ac:dyDescent="0.25">
      <c r="A942">
        <v>10941</v>
      </c>
      <c r="B942" t="s">
        <v>2917</v>
      </c>
      <c r="C942" t="s">
        <v>2952</v>
      </c>
      <c r="D942">
        <v>40.667222219999999</v>
      </c>
      <c r="E942">
        <v>-3.0913888890000001</v>
      </c>
      <c r="F942" t="s">
        <v>2985</v>
      </c>
      <c r="G942" t="s">
        <v>2962</v>
      </c>
      <c r="H942" t="s">
        <v>2955</v>
      </c>
      <c r="I942" t="s">
        <v>118</v>
      </c>
      <c r="J942" t="s">
        <v>119</v>
      </c>
      <c r="K942" t="s">
        <v>203</v>
      </c>
      <c r="L942" t="s">
        <v>121</v>
      </c>
      <c r="M942" t="s">
        <v>392</v>
      </c>
      <c r="N942" s="6" t="s">
        <v>2956</v>
      </c>
      <c r="O942" t="s">
        <v>2957</v>
      </c>
      <c r="P942" t="s">
        <v>2928</v>
      </c>
      <c r="Q942" t="s">
        <v>2969</v>
      </c>
      <c r="R942" t="s">
        <v>2976</v>
      </c>
      <c r="S942">
        <v>2010</v>
      </c>
      <c r="T942" t="s">
        <v>771</v>
      </c>
      <c r="U942" t="s">
        <v>2875</v>
      </c>
      <c r="V942">
        <v>168</v>
      </c>
      <c r="W942">
        <v>1500</v>
      </c>
      <c r="X942">
        <v>86</v>
      </c>
      <c r="Z942">
        <v>8</v>
      </c>
      <c r="AA942">
        <v>300</v>
      </c>
      <c r="AB942">
        <v>15000</v>
      </c>
      <c r="AC942">
        <v>650</v>
      </c>
      <c r="AE942">
        <v>0</v>
      </c>
      <c r="AF942">
        <v>200</v>
      </c>
      <c r="AH942" t="s">
        <v>2259</v>
      </c>
      <c r="AI942">
        <v>0.3</v>
      </c>
      <c r="AM942" t="s">
        <v>2960</v>
      </c>
      <c r="AN942" t="s">
        <v>132</v>
      </c>
      <c r="BN942">
        <v>123.96</v>
      </c>
      <c r="CE9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42" s="19">
        <f>SUM(Table1[[#This Row],[Mid39]],Table1[[#This Row],[Mid36]],Table1[[#This Row],[Mid33]],Table1[[#This Row],[Mid30]],Table1[[#This Row],[Mid27]],Table1[[#This Row],[Mid24]],Table1[[#This Row],[Mid21]],Table1[[#This Row],[Mid18]],Table1[[#This Row],[Mid15]],Table1[[#This Row],[Mid12]],Table1[[#This Row],[Mid9]],Table1[[#This Row],[Mid6]],Table1[[#This Row],[Mid3]],Table1[[#This Row],[Mid]])</f>
        <v>123.96</v>
      </c>
      <c r="CG9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42" t="s">
        <v>157</v>
      </c>
      <c r="CI942" t="s">
        <v>134</v>
      </c>
      <c r="CJ942" t="s">
        <v>158</v>
      </c>
      <c r="CL942" s="19">
        <f>IF(Table1[[#This Row],[Type]]="Petroleum",1,IF(ISERROR(Table1[[#This Row],[Well Density]]*Table1[[#This Row],[Single Well Discovery Area]]),"",IF(Table1[[#This Row],[Well Density]]*Table1[[#This Row],[Single Well Discovery Area]]&gt;1,1,Table1[[#This Row],[Well Density]]*Table1[[#This Row],[Single Well Discovery Area]])))</f>
        <v>0</v>
      </c>
      <c r="CN942" s="19">
        <f>Table1[[#This Row],[Mid]]</f>
        <v>0</v>
      </c>
      <c r="CO942" s="19">
        <f>Table1[[#This Row],[Mid3]]+Table1[[#This Row],[Mid6]]+Table1[[#This Row],[Mid9]]</f>
        <v>0</v>
      </c>
      <c r="CP942" s="19">
        <f>Table1[[#This Row],[Mid12]]+Table1[[#This Row],[Mid15]]+Table1[[#This Row],[Mid18]]+Table1[[#This Row],[Mid21]]+Table1[[#This Row],[Mid24]]</f>
        <v>123.96</v>
      </c>
      <c r="CQ942" s="19">
        <f>Table1[[#This Row],[Mid27]]+Table1[[#This Row],[Mid30]]+Table1[[#This Row],[Mid33]]+Table1[[#This Row],[Mid36]]+Table1[[#This Row],[Mid39]]</f>
        <v>0</v>
      </c>
      <c r="CR942" t="s">
        <v>415</v>
      </c>
      <c r="CS942" s="19" t="str">
        <f>IF(AND(Table1[[#This Row],[Low41]]=0, Table1[[#This Row],[High43]]=0),"N","Y")</f>
        <v>N</v>
      </c>
    </row>
    <row r="943" spans="1:97" ht="19.5" customHeight="1" x14ac:dyDescent="0.25">
      <c r="A943">
        <v>10942</v>
      </c>
      <c r="B943" t="s">
        <v>2917</v>
      </c>
      <c r="C943" t="s">
        <v>2952</v>
      </c>
      <c r="D943">
        <v>40.599722219999997</v>
      </c>
      <c r="E943">
        <v>-0.47611111099999998</v>
      </c>
      <c r="F943" t="s">
        <v>2986</v>
      </c>
      <c r="G943" t="s">
        <v>2954</v>
      </c>
      <c r="H943" t="s">
        <v>2955</v>
      </c>
      <c r="I943" t="s">
        <v>118</v>
      </c>
      <c r="J943" t="s">
        <v>119</v>
      </c>
      <c r="K943" t="s">
        <v>203</v>
      </c>
      <c r="L943" t="s">
        <v>121</v>
      </c>
      <c r="M943" t="s">
        <v>392</v>
      </c>
      <c r="N943" s="6" t="s">
        <v>2956</v>
      </c>
      <c r="O943" t="s">
        <v>2957</v>
      </c>
      <c r="P943" t="s">
        <v>2928</v>
      </c>
      <c r="Q943" t="s">
        <v>2969</v>
      </c>
      <c r="R943" t="s">
        <v>2987</v>
      </c>
      <c r="S943">
        <v>2010</v>
      </c>
      <c r="T943" t="s">
        <v>771</v>
      </c>
      <c r="U943" t="s">
        <v>2875</v>
      </c>
      <c r="V943">
        <v>171.74</v>
      </c>
      <c r="W943">
        <v>2285</v>
      </c>
      <c r="X943">
        <v>130</v>
      </c>
      <c r="Y943">
        <v>0</v>
      </c>
      <c r="Z943">
        <v>5</v>
      </c>
      <c r="AA943">
        <v>70</v>
      </c>
      <c r="AB943">
        <v>32000</v>
      </c>
      <c r="AC943">
        <v>750</v>
      </c>
      <c r="AD943">
        <v>3</v>
      </c>
      <c r="AE943">
        <v>1.7468266E-2</v>
      </c>
      <c r="AF943">
        <v>200</v>
      </c>
      <c r="AG943">
        <v>0</v>
      </c>
      <c r="AH943" t="s">
        <v>2259</v>
      </c>
      <c r="AI943">
        <v>0.3</v>
      </c>
      <c r="AJ943">
        <v>0</v>
      </c>
      <c r="AK943">
        <v>0</v>
      </c>
      <c r="AL943">
        <v>0</v>
      </c>
      <c r="AM943" t="s">
        <v>2960</v>
      </c>
      <c r="AN943" t="s">
        <v>132</v>
      </c>
      <c r="AO943">
        <v>0</v>
      </c>
      <c r="AP943">
        <v>0</v>
      </c>
      <c r="AQ943">
        <v>0</v>
      </c>
      <c r="AR943">
        <v>0</v>
      </c>
      <c r="AS943">
        <v>0</v>
      </c>
      <c r="AT943">
        <v>0</v>
      </c>
      <c r="AU943">
        <v>0</v>
      </c>
      <c r="AV943">
        <v>0</v>
      </c>
      <c r="AW943">
        <v>0</v>
      </c>
      <c r="AX943">
        <v>0</v>
      </c>
      <c r="AY943">
        <v>0</v>
      </c>
      <c r="AZ943">
        <v>0</v>
      </c>
      <c r="BA943">
        <v>0</v>
      </c>
      <c r="BB943">
        <v>0</v>
      </c>
      <c r="BC943">
        <v>0</v>
      </c>
      <c r="BD943">
        <v>0</v>
      </c>
      <c r="BE943">
        <v>0</v>
      </c>
      <c r="BF943">
        <v>0</v>
      </c>
      <c r="BG943">
        <v>0</v>
      </c>
      <c r="BH943">
        <v>0</v>
      </c>
      <c r="BI943">
        <v>0</v>
      </c>
      <c r="BJ943">
        <v>0</v>
      </c>
      <c r="BK943">
        <v>0</v>
      </c>
      <c r="BL943">
        <v>0</v>
      </c>
      <c r="BM943">
        <v>0</v>
      </c>
      <c r="BN943">
        <v>17.489999999999998</v>
      </c>
      <c r="BO943">
        <v>83.38</v>
      </c>
      <c r="BP943">
        <v>0</v>
      </c>
      <c r="BQ943">
        <v>0</v>
      </c>
      <c r="BR943">
        <v>0</v>
      </c>
      <c r="BS943">
        <v>0</v>
      </c>
      <c r="BT943">
        <v>0</v>
      </c>
      <c r="BU943">
        <v>0</v>
      </c>
      <c r="BV943">
        <v>0</v>
      </c>
      <c r="BW943">
        <v>0</v>
      </c>
      <c r="BX943">
        <v>0</v>
      </c>
      <c r="BY943">
        <v>0</v>
      </c>
      <c r="BZ943">
        <v>0</v>
      </c>
      <c r="CA943">
        <v>0</v>
      </c>
      <c r="CB943">
        <v>0</v>
      </c>
      <c r="CC943">
        <v>0</v>
      </c>
      <c r="CD943">
        <v>0</v>
      </c>
      <c r="CE94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43" s="19">
        <f>SUM(Table1[[#This Row],[Mid39]],Table1[[#This Row],[Mid36]],Table1[[#This Row],[Mid33]],Table1[[#This Row],[Mid30]],Table1[[#This Row],[Mid27]],Table1[[#This Row],[Mid24]],Table1[[#This Row],[Mid21]],Table1[[#This Row],[Mid18]],Table1[[#This Row],[Mid15]],Table1[[#This Row],[Mid12]],Table1[[#This Row],[Mid9]],Table1[[#This Row],[Mid6]],Table1[[#This Row],[Mid3]],Table1[[#This Row],[Mid]])</f>
        <v>17.489999999999998</v>
      </c>
      <c r="CG9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83.38</v>
      </c>
      <c r="CH943" t="s">
        <v>157</v>
      </c>
      <c r="CI943" t="s">
        <v>134</v>
      </c>
      <c r="CJ943" t="s">
        <v>158</v>
      </c>
      <c r="CL943" s="19">
        <f>IF(Table1[[#This Row],[Type]]="Petroleum",1,IF(ISERROR(Table1[[#This Row],[Well Density]]*Table1[[#This Row],[Single Well Discovery Area]]),"",IF(Table1[[#This Row],[Well Density]]*Table1[[#This Row],[Single Well Discovery Area]]&gt;1,1,Table1[[#This Row],[Well Density]]*Table1[[#This Row],[Single Well Discovery Area]])))</f>
        <v>1</v>
      </c>
      <c r="CN943" s="19">
        <f>Table1[[#This Row],[Mid]]</f>
        <v>0</v>
      </c>
      <c r="CO943" s="19">
        <f>Table1[[#This Row],[Mid3]]+Table1[[#This Row],[Mid6]]+Table1[[#This Row],[Mid9]]</f>
        <v>0</v>
      </c>
      <c r="CP943" s="19">
        <f>Table1[[#This Row],[Mid12]]+Table1[[#This Row],[Mid15]]+Table1[[#This Row],[Mid18]]+Table1[[#This Row],[Mid21]]+Table1[[#This Row],[Mid24]]</f>
        <v>17.489999999999998</v>
      </c>
      <c r="CQ943" s="19">
        <f>Table1[[#This Row],[Mid27]]+Table1[[#This Row],[Mid30]]+Table1[[#This Row],[Mid33]]+Table1[[#This Row],[Mid36]]+Table1[[#This Row],[Mid39]]</f>
        <v>0</v>
      </c>
      <c r="CR943" t="s">
        <v>415</v>
      </c>
      <c r="CS943" s="19" t="str">
        <f>IF(AND(Table1[[#This Row],[Low41]]=0, Table1[[#This Row],[High43]]=0),"N","Y")</f>
        <v>Y</v>
      </c>
    </row>
    <row r="944" spans="1:97" ht="19.5" customHeight="1" x14ac:dyDescent="0.25">
      <c r="A944">
        <v>10943</v>
      </c>
      <c r="B944" t="s">
        <v>2917</v>
      </c>
      <c r="C944" t="s">
        <v>2952</v>
      </c>
      <c r="D944">
        <v>40.017499999999998</v>
      </c>
      <c r="E944">
        <v>-3.091111111</v>
      </c>
      <c r="F944" t="s">
        <v>2988</v>
      </c>
      <c r="G944" t="s">
        <v>2962</v>
      </c>
      <c r="H944" t="s">
        <v>2989</v>
      </c>
      <c r="I944" t="s">
        <v>118</v>
      </c>
      <c r="J944" t="s">
        <v>119</v>
      </c>
      <c r="K944" t="s">
        <v>203</v>
      </c>
      <c r="L944" t="s">
        <v>18</v>
      </c>
      <c r="M944" t="s">
        <v>122</v>
      </c>
      <c r="N944" s="6" t="s">
        <v>2956</v>
      </c>
      <c r="O944" t="s">
        <v>2957</v>
      </c>
      <c r="P944" t="s">
        <v>2928</v>
      </c>
      <c r="Q944" t="s">
        <v>2990</v>
      </c>
      <c r="R944" t="s">
        <v>2966</v>
      </c>
      <c r="S944">
        <v>2010</v>
      </c>
      <c r="T944" t="s">
        <v>771</v>
      </c>
      <c r="U944" t="s">
        <v>2875</v>
      </c>
      <c r="V944">
        <v>555</v>
      </c>
      <c r="W944">
        <v>830</v>
      </c>
      <c r="X944">
        <v>300</v>
      </c>
      <c r="Z944">
        <v>4</v>
      </c>
      <c r="AA944">
        <v>300</v>
      </c>
      <c r="AB944">
        <v>15000</v>
      </c>
      <c r="AC944">
        <v>630</v>
      </c>
      <c r="AD944">
        <v>1</v>
      </c>
      <c r="AE944">
        <v>1.8018019999999999E-3</v>
      </c>
      <c r="AF944">
        <v>20</v>
      </c>
      <c r="AH944" t="s">
        <v>2259</v>
      </c>
      <c r="AI944">
        <v>0.3</v>
      </c>
      <c r="AM944" t="s">
        <v>2960</v>
      </c>
      <c r="AN944" t="s">
        <v>132</v>
      </c>
      <c r="BQ944">
        <v>515.68216219999999</v>
      </c>
      <c r="CE94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44" s="19">
        <f>SUM(Table1[[#This Row],[Mid39]],Table1[[#This Row],[Mid36]],Table1[[#This Row],[Mid33]],Table1[[#This Row],[Mid30]],Table1[[#This Row],[Mid27]],Table1[[#This Row],[Mid24]],Table1[[#This Row],[Mid21]],Table1[[#This Row],[Mid18]],Table1[[#This Row],[Mid15]],Table1[[#This Row],[Mid12]],Table1[[#This Row],[Mid9]],Table1[[#This Row],[Mid6]],Table1[[#This Row],[Mid3]],Table1[[#This Row],[Mid]])</f>
        <v>515.68216219999999</v>
      </c>
      <c r="CG9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44" t="s">
        <v>157</v>
      </c>
      <c r="CI944" t="s">
        <v>176</v>
      </c>
      <c r="CJ944" t="s">
        <v>158</v>
      </c>
      <c r="CL944" s="19">
        <f>IF(Table1[[#This Row],[Type]]="Petroleum",1,IF(ISERROR(Table1[[#This Row],[Well Density]]*Table1[[#This Row],[Single Well Discovery Area]]),"",IF(Table1[[#This Row],[Well Density]]*Table1[[#This Row],[Single Well Discovery Area]]&gt;1,1,Table1[[#This Row],[Well Density]]*Table1[[#This Row],[Single Well Discovery Area]])))</f>
        <v>3.6036039999999998E-2</v>
      </c>
      <c r="CN944" s="19">
        <f>Table1[[#This Row],[Mid]]</f>
        <v>0</v>
      </c>
      <c r="CO944" s="19">
        <f>Table1[[#This Row],[Mid3]]+Table1[[#This Row],[Mid6]]+Table1[[#This Row],[Mid9]]</f>
        <v>0</v>
      </c>
      <c r="CP944" s="19">
        <f>Table1[[#This Row],[Mid12]]+Table1[[#This Row],[Mid15]]+Table1[[#This Row],[Mid18]]+Table1[[#This Row],[Mid21]]+Table1[[#This Row],[Mid24]]</f>
        <v>0</v>
      </c>
      <c r="CQ944" s="19">
        <f>Table1[[#This Row],[Mid27]]+Table1[[#This Row],[Mid30]]+Table1[[#This Row],[Mid33]]+Table1[[#This Row],[Mid36]]+Table1[[#This Row],[Mid39]]</f>
        <v>515.68216219999999</v>
      </c>
      <c r="CR944" t="s">
        <v>415</v>
      </c>
      <c r="CS944" s="19" t="str">
        <f>IF(AND(Table1[[#This Row],[Low41]]=0, Table1[[#This Row],[High43]]=0),"N","Y")</f>
        <v>N</v>
      </c>
    </row>
    <row r="945" spans="1:97" ht="19.5" customHeight="1" x14ac:dyDescent="0.25">
      <c r="A945">
        <v>10944</v>
      </c>
      <c r="B945" t="s">
        <v>2917</v>
      </c>
      <c r="C945" t="s">
        <v>2952</v>
      </c>
      <c r="D945">
        <v>40.017499999999998</v>
      </c>
      <c r="E945">
        <v>-3.0913888890000001</v>
      </c>
      <c r="F945" t="s">
        <v>2991</v>
      </c>
      <c r="G945" t="s">
        <v>2962</v>
      </c>
      <c r="H945" t="s">
        <v>2989</v>
      </c>
      <c r="I945" t="s">
        <v>118</v>
      </c>
      <c r="J945" t="s">
        <v>119</v>
      </c>
      <c r="K945" t="s">
        <v>203</v>
      </c>
      <c r="L945" t="s">
        <v>121</v>
      </c>
      <c r="M945" t="s">
        <v>122</v>
      </c>
      <c r="N945" s="6" t="s">
        <v>2956</v>
      </c>
      <c r="O945" t="s">
        <v>2957</v>
      </c>
      <c r="P945" t="s">
        <v>2928</v>
      </c>
      <c r="Q945" t="s">
        <v>2990</v>
      </c>
      <c r="R945" t="s">
        <v>2966</v>
      </c>
      <c r="S945">
        <v>2010</v>
      </c>
      <c r="T945" t="s">
        <v>771</v>
      </c>
      <c r="U945" t="s">
        <v>2875</v>
      </c>
      <c r="V945">
        <v>555</v>
      </c>
      <c r="W945">
        <v>830</v>
      </c>
      <c r="X945">
        <v>300</v>
      </c>
      <c r="Z945">
        <v>4</v>
      </c>
      <c r="AA945">
        <v>300</v>
      </c>
      <c r="AB945">
        <v>15000</v>
      </c>
      <c r="AC945">
        <v>630</v>
      </c>
      <c r="AD945">
        <v>1</v>
      </c>
      <c r="AE945">
        <v>1.8018019999999999E-3</v>
      </c>
      <c r="AF945">
        <v>20</v>
      </c>
      <c r="AH945" t="s">
        <v>2259</v>
      </c>
      <c r="AI945">
        <v>0.3</v>
      </c>
      <c r="AM945" t="s">
        <v>2960</v>
      </c>
      <c r="AN945" t="s">
        <v>132</v>
      </c>
      <c r="BN945">
        <v>19.27783784</v>
      </c>
      <c r="CE94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45" s="19">
        <f>SUM(Table1[[#This Row],[Mid39]],Table1[[#This Row],[Mid36]],Table1[[#This Row],[Mid33]],Table1[[#This Row],[Mid30]],Table1[[#This Row],[Mid27]],Table1[[#This Row],[Mid24]],Table1[[#This Row],[Mid21]],Table1[[#This Row],[Mid18]],Table1[[#This Row],[Mid15]],Table1[[#This Row],[Mid12]],Table1[[#This Row],[Mid9]],Table1[[#This Row],[Mid6]],Table1[[#This Row],[Mid3]],Table1[[#This Row],[Mid]])</f>
        <v>19.27783784</v>
      </c>
      <c r="CG9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45" t="s">
        <v>157</v>
      </c>
      <c r="CI945" t="s">
        <v>176</v>
      </c>
      <c r="CJ945" t="s">
        <v>158</v>
      </c>
      <c r="CL945" s="19">
        <f>IF(Table1[[#This Row],[Type]]="Petroleum",1,IF(ISERROR(Table1[[#This Row],[Well Density]]*Table1[[#This Row],[Single Well Discovery Area]]),"",IF(Table1[[#This Row],[Well Density]]*Table1[[#This Row],[Single Well Discovery Area]]&gt;1,1,Table1[[#This Row],[Well Density]]*Table1[[#This Row],[Single Well Discovery Area]])))</f>
        <v>3.6036039999999998E-2</v>
      </c>
      <c r="CN945" s="19">
        <f>Table1[[#This Row],[Mid]]</f>
        <v>0</v>
      </c>
      <c r="CO945" s="19">
        <f>Table1[[#This Row],[Mid3]]+Table1[[#This Row],[Mid6]]+Table1[[#This Row],[Mid9]]</f>
        <v>0</v>
      </c>
      <c r="CP945" s="19">
        <f>Table1[[#This Row],[Mid12]]+Table1[[#This Row],[Mid15]]+Table1[[#This Row],[Mid18]]+Table1[[#This Row],[Mid21]]+Table1[[#This Row],[Mid24]]</f>
        <v>19.27783784</v>
      </c>
      <c r="CQ945" s="19">
        <f>Table1[[#This Row],[Mid27]]+Table1[[#This Row],[Mid30]]+Table1[[#This Row],[Mid33]]+Table1[[#This Row],[Mid36]]+Table1[[#This Row],[Mid39]]</f>
        <v>0</v>
      </c>
      <c r="CR945" t="s">
        <v>415</v>
      </c>
      <c r="CS945" s="19" t="str">
        <f>IF(AND(Table1[[#This Row],[Low41]]=0, Table1[[#This Row],[High43]]=0),"N","Y")</f>
        <v>N</v>
      </c>
    </row>
    <row r="946" spans="1:97" ht="19.5" customHeight="1" x14ac:dyDescent="0.25">
      <c r="A946">
        <v>10946</v>
      </c>
      <c r="B946" t="s">
        <v>2917</v>
      </c>
      <c r="C946" t="s">
        <v>2952</v>
      </c>
      <c r="D946">
        <v>39.957222219999998</v>
      </c>
      <c r="E946">
        <v>-2.9286111109999999</v>
      </c>
      <c r="F946" t="s">
        <v>2992</v>
      </c>
      <c r="G946" t="s">
        <v>2962</v>
      </c>
      <c r="H946" t="s">
        <v>2955</v>
      </c>
      <c r="I946" t="s">
        <v>118</v>
      </c>
      <c r="J946" t="s">
        <v>119</v>
      </c>
      <c r="K946" t="s">
        <v>203</v>
      </c>
      <c r="L946" t="s">
        <v>121</v>
      </c>
      <c r="M946" t="s">
        <v>392</v>
      </c>
      <c r="N946" s="6" t="s">
        <v>2956</v>
      </c>
      <c r="O946" t="s">
        <v>2957</v>
      </c>
      <c r="P946" t="s">
        <v>2928</v>
      </c>
      <c r="Q946" t="s">
        <v>2990</v>
      </c>
      <c r="R946" t="s">
        <v>2976</v>
      </c>
      <c r="S946">
        <v>2010</v>
      </c>
      <c r="T946" t="s">
        <v>771</v>
      </c>
      <c r="U946" t="s">
        <v>2875</v>
      </c>
      <c r="V946">
        <v>70</v>
      </c>
      <c r="W946">
        <v>1200</v>
      </c>
      <c r="X946">
        <v>86</v>
      </c>
      <c r="Z946">
        <v>8</v>
      </c>
      <c r="AA946">
        <v>300</v>
      </c>
      <c r="AB946">
        <v>15000</v>
      </c>
      <c r="AC946">
        <v>650</v>
      </c>
      <c r="AD946">
        <v>1</v>
      </c>
      <c r="AE946">
        <v>1.4285714E-2</v>
      </c>
      <c r="AF946">
        <v>200</v>
      </c>
      <c r="AH946" t="s">
        <v>2259</v>
      </c>
      <c r="AI946">
        <v>0.3</v>
      </c>
      <c r="AM946" t="s">
        <v>2960</v>
      </c>
      <c r="AN946" t="s">
        <v>132</v>
      </c>
      <c r="BN946">
        <v>51.65</v>
      </c>
      <c r="CE94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46" s="19">
        <f>SUM(Table1[[#This Row],[Mid39]],Table1[[#This Row],[Mid36]],Table1[[#This Row],[Mid33]],Table1[[#This Row],[Mid30]],Table1[[#This Row],[Mid27]],Table1[[#This Row],[Mid24]],Table1[[#This Row],[Mid21]],Table1[[#This Row],[Mid18]],Table1[[#This Row],[Mid15]],Table1[[#This Row],[Mid12]],Table1[[#This Row],[Mid9]],Table1[[#This Row],[Mid6]],Table1[[#This Row],[Mid3]],Table1[[#This Row],[Mid]])</f>
        <v>51.65</v>
      </c>
      <c r="CG9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46" t="s">
        <v>157</v>
      </c>
      <c r="CI946" t="s">
        <v>134</v>
      </c>
      <c r="CJ946" t="s">
        <v>158</v>
      </c>
      <c r="CL946" s="19">
        <f>IF(Table1[[#This Row],[Type]]="Petroleum",1,IF(ISERROR(Table1[[#This Row],[Well Density]]*Table1[[#This Row],[Single Well Discovery Area]]),"",IF(Table1[[#This Row],[Well Density]]*Table1[[#This Row],[Single Well Discovery Area]]&gt;1,1,Table1[[#This Row],[Well Density]]*Table1[[#This Row],[Single Well Discovery Area]])))</f>
        <v>1</v>
      </c>
      <c r="CN946" s="19">
        <f>Table1[[#This Row],[Mid]]</f>
        <v>0</v>
      </c>
      <c r="CO946" s="19">
        <f>Table1[[#This Row],[Mid3]]+Table1[[#This Row],[Mid6]]+Table1[[#This Row],[Mid9]]</f>
        <v>0</v>
      </c>
      <c r="CP946" s="19">
        <f>Table1[[#This Row],[Mid12]]+Table1[[#This Row],[Mid15]]+Table1[[#This Row],[Mid18]]+Table1[[#This Row],[Mid21]]+Table1[[#This Row],[Mid24]]</f>
        <v>51.65</v>
      </c>
      <c r="CQ946" s="19">
        <f>Table1[[#This Row],[Mid27]]+Table1[[#This Row],[Mid30]]+Table1[[#This Row],[Mid33]]+Table1[[#This Row],[Mid36]]+Table1[[#This Row],[Mid39]]</f>
        <v>0</v>
      </c>
      <c r="CR946" t="s">
        <v>415</v>
      </c>
      <c r="CS946" s="19" t="str">
        <f>IF(AND(Table1[[#This Row],[Low41]]=0, Table1[[#This Row],[High43]]=0),"N","Y")</f>
        <v>N</v>
      </c>
    </row>
    <row r="947" spans="1:97" ht="19.5" customHeight="1" x14ac:dyDescent="0.25">
      <c r="A947">
        <v>10947</v>
      </c>
      <c r="B947" t="s">
        <v>2917</v>
      </c>
      <c r="C947" t="s">
        <v>2952</v>
      </c>
      <c r="D947">
        <v>41.490833330000001</v>
      </c>
      <c r="E947">
        <v>-3.0419444439999999</v>
      </c>
      <c r="F947" t="s">
        <v>2993</v>
      </c>
      <c r="G947" t="s">
        <v>2994</v>
      </c>
      <c r="H947" t="s">
        <v>2955</v>
      </c>
      <c r="I947" t="s">
        <v>118</v>
      </c>
      <c r="J947" t="s">
        <v>119</v>
      </c>
      <c r="K947" t="s">
        <v>203</v>
      </c>
      <c r="L947" t="s">
        <v>121</v>
      </c>
      <c r="M947" t="s">
        <v>392</v>
      </c>
      <c r="N947" s="6" t="s">
        <v>2956</v>
      </c>
      <c r="O947" t="s">
        <v>2957</v>
      </c>
      <c r="P947" t="s">
        <v>2928</v>
      </c>
      <c r="Q947" t="s">
        <v>2990</v>
      </c>
      <c r="R947" t="s">
        <v>2976</v>
      </c>
      <c r="S947">
        <v>2010</v>
      </c>
      <c r="T947" t="s">
        <v>771</v>
      </c>
      <c r="U947" t="s">
        <v>2875</v>
      </c>
      <c r="V947">
        <v>11</v>
      </c>
      <c r="W947">
        <v>1700</v>
      </c>
      <c r="X947">
        <v>425</v>
      </c>
      <c r="Z947">
        <v>7</v>
      </c>
      <c r="AA947">
        <v>300</v>
      </c>
      <c r="AB947">
        <v>15000</v>
      </c>
      <c r="AC947">
        <v>910</v>
      </c>
      <c r="AD947">
        <v>1</v>
      </c>
      <c r="AE947">
        <v>9.0909090999999997E-2</v>
      </c>
      <c r="AF947">
        <v>200</v>
      </c>
      <c r="AH947" t="s">
        <v>2259</v>
      </c>
      <c r="AI947">
        <v>0.3</v>
      </c>
      <c r="AM947" t="s">
        <v>2960</v>
      </c>
      <c r="AN947" t="s">
        <v>132</v>
      </c>
      <c r="BN947">
        <v>37.840000000000003</v>
      </c>
      <c r="CE94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47" s="19">
        <f>SUM(Table1[[#This Row],[Mid39]],Table1[[#This Row],[Mid36]],Table1[[#This Row],[Mid33]],Table1[[#This Row],[Mid30]],Table1[[#This Row],[Mid27]],Table1[[#This Row],[Mid24]],Table1[[#This Row],[Mid21]],Table1[[#This Row],[Mid18]],Table1[[#This Row],[Mid15]],Table1[[#This Row],[Mid12]],Table1[[#This Row],[Mid9]],Table1[[#This Row],[Mid6]],Table1[[#This Row],[Mid3]],Table1[[#This Row],[Mid]])</f>
        <v>37.840000000000003</v>
      </c>
      <c r="CG9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47" t="s">
        <v>157</v>
      </c>
      <c r="CI947" t="s">
        <v>134</v>
      </c>
      <c r="CJ947" t="s">
        <v>158</v>
      </c>
      <c r="CL947" s="19">
        <f>IF(Table1[[#This Row],[Type]]="Petroleum",1,IF(ISERROR(Table1[[#This Row],[Well Density]]*Table1[[#This Row],[Single Well Discovery Area]]),"",IF(Table1[[#This Row],[Well Density]]*Table1[[#This Row],[Single Well Discovery Area]]&gt;1,1,Table1[[#This Row],[Well Density]]*Table1[[#This Row],[Single Well Discovery Area]])))</f>
        <v>1</v>
      </c>
      <c r="CN947" s="19">
        <f>Table1[[#This Row],[Mid]]</f>
        <v>0</v>
      </c>
      <c r="CO947" s="19">
        <f>Table1[[#This Row],[Mid3]]+Table1[[#This Row],[Mid6]]+Table1[[#This Row],[Mid9]]</f>
        <v>0</v>
      </c>
      <c r="CP947" s="19">
        <f>Table1[[#This Row],[Mid12]]+Table1[[#This Row],[Mid15]]+Table1[[#This Row],[Mid18]]+Table1[[#This Row],[Mid21]]+Table1[[#This Row],[Mid24]]</f>
        <v>37.840000000000003</v>
      </c>
      <c r="CQ947" s="19">
        <f>Table1[[#This Row],[Mid27]]+Table1[[#This Row],[Mid30]]+Table1[[#This Row],[Mid33]]+Table1[[#This Row],[Mid36]]+Table1[[#This Row],[Mid39]]</f>
        <v>0</v>
      </c>
      <c r="CR947" t="s">
        <v>415</v>
      </c>
      <c r="CS947" s="19" t="str">
        <f>IF(AND(Table1[[#This Row],[Low41]]=0, Table1[[#This Row],[High43]]=0),"N","Y")</f>
        <v>N</v>
      </c>
    </row>
    <row r="948" spans="1:97" ht="19.5" customHeight="1" x14ac:dyDescent="0.25">
      <c r="A948">
        <v>10948</v>
      </c>
      <c r="B948" t="s">
        <v>2917</v>
      </c>
      <c r="C948" t="s">
        <v>2952</v>
      </c>
      <c r="D948">
        <v>41.573333329999997</v>
      </c>
      <c r="E948">
        <v>-3.0533333329999999</v>
      </c>
      <c r="F948" t="s">
        <v>2995</v>
      </c>
      <c r="G948" t="s">
        <v>2994</v>
      </c>
      <c r="H948" t="s">
        <v>2975</v>
      </c>
      <c r="I948" t="s">
        <v>118</v>
      </c>
      <c r="J948" t="s">
        <v>119</v>
      </c>
      <c r="K948" t="s">
        <v>203</v>
      </c>
      <c r="L948" t="s">
        <v>121</v>
      </c>
      <c r="M948" t="s">
        <v>392</v>
      </c>
      <c r="N948" s="6" t="s">
        <v>2956</v>
      </c>
      <c r="O948" t="s">
        <v>2957</v>
      </c>
      <c r="P948" t="s">
        <v>2928</v>
      </c>
      <c r="Q948" t="s">
        <v>2990</v>
      </c>
      <c r="R948" t="s">
        <v>2976</v>
      </c>
      <c r="S948">
        <v>2010</v>
      </c>
      <c r="T948" t="s">
        <v>771</v>
      </c>
      <c r="U948" t="s">
        <v>2875</v>
      </c>
      <c r="V948">
        <v>11</v>
      </c>
      <c r="W948">
        <v>1950</v>
      </c>
      <c r="X948">
        <v>370</v>
      </c>
      <c r="Z948">
        <v>7</v>
      </c>
      <c r="AA948">
        <v>300</v>
      </c>
      <c r="AB948">
        <v>15000</v>
      </c>
      <c r="AC948">
        <v>920</v>
      </c>
      <c r="AD948">
        <v>0</v>
      </c>
      <c r="AE948">
        <v>0</v>
      </c>
      <c r="AF948">
        <v>200</v>
      </c>
      <c r="AH948" t="s">
        <v>2259</v>
      </c>
      <c r="AI948">
        <v>0.3</v>
      </c>
      <c r="AM948" t="s">
        <v>2960</v>
      </c>
      <c r="AN948" t="s">
        <v>132</v>
      </c>
      <c r="BQ948">
        <v>34.78</v>
      </c>
      <c r="CE94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48" s="19">
        <f>SUM(Table1[[#This Row],[Mid39]],Table1[[#This Row],[Mid36]],Table1[[#This Row],[Mid33]],Table1[[#This Row],[Mid30]],Table1[[#This Row],[Mid27]],Table1[[#This Row],[Mid24]],Table1[[#This Row],[Mid21]],Table1[[#This Row],[Mid18]],Table1[[#This Row],[Mid15]],Table1[[#This Row],[Mid12]],Table1[[#This Row],[Mid9]],Table1[[#This Row],[Mid6]],Table1[[#This Row],[Mid3]],Table1[[#This Row],[Mid]])</f>
        <v>34.78</v>
      </c>
      <c r="CG94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48" t="s">
        <v>157</v>
      </c>
      <c r="CI948" t="s">
        <v>2996</v>
      </c>
      <c r="CJ948" t="s">
        <v>158</v>
      </c>
      <c r="CL948" s="19">
        <f>IF(Table1[[#This Row],[Type]]="Petroleum",1,IF(ISERROR(Table1[[#This Row],[Well Density]]*Table1[[#This Row],[Single Well Discovery Area]]),"",IF(Table1[[#This Row],[Well Density]]*Table1[[#This Row],[Single Well Discovery Area]]&gt;1,1,Table1[[#This Row],[Well Density]]*Table1[[#This Row],[Single Well Discovery Area]])))</f>
        <v>0</v>
      </c>
      <c r="CN948" s="19">
        <f>Table1[[#This Row],[Mid]]</f>
        <v>0</v>
      </c>
      <c r="CO948" s="19">
        <f>Table1[[#This Row],[Mid3]]+Table1[[#This Row],[Mid6]]+Table1[[#This Row],[Mid9]]</f>
        <v>0</v>
      </c>
      <c r="CP948" s="19">
        <f>Table1[[#This Row],[Mid12]]+Table1[[#This Row],[Mid15]]+Table1[[#This Row],[Mid18]]+Table1[[#This Row],[Mid21]]+Table1[[#This Row],[Mid24]]</f>
        <v>0</v>
      </c>
      <c r="CQ948" s="19">
        <f>Table1[[#This Row],[Mid27]]+Table1[[#This Row],[Mid30]]+Table1[[#This Row],[Mid33]]+Table1[[#This Row],[Mid36]]+Table1[[#This Row],[Mid39]]</f>
        <v>34.78</v>
      </c>
      <c r="CR948" t="s">
        <v>415</v>
      </c>
      <c r="CS948" s="19" t="str">
        <f>IF(AND(Table1[[#This Row],[Low41]]=0, Table1[[#This Row],[High43]]=0),"N","Y")</f>
        <v>N</v>
      </c>
    </row>
    <row r="949" spans="1:97" ht="19.5" customHeight="1" x14ac:dyDescent="0.25">
      <c r="A949">
        <v>10949</v>
      </c>
      <c r="B949" t="s">
        <v>2917</v>
      </c>
      <c r="C949" t="s">
        <v>2952</v>
      </c>
      <c r="D949">
        <v>39.900277780000003</v>
      </c>
      <c r="E949">
        <v>-2.201944444</v>
      </c>
      <c r="F949" t="s">
        <v>2997</v>
      </c>
      <c r="G949" t="s">
        <v>2962</v>
      </c>
      <c r="H949" t="s">
        <v>2975</v>
      </c>
      <c r="I949" t="s">
        <v>118</v>
      </c>
      <c r="J949" t="s">
        <v>119</v>
      </c>
      <c r="K949" t="s">
        <v>203</v>
      </c>
      <c r="L949" t="s">
        <v>121</v>
      </c>
      <c r="M949" t="s">
        <v>392</v>
      </c>
      <c r="N949" s="6" t="s">
        <v>2956</v>
      </c>
      <c r="O949" t="s">
        <v>2957</v>
      </c>
      <c r="P949" t="s">
        <v>2928</v>
      </c>
      <c r="Q949" t="s">
        <v>2990</v>
      </c>
      <c r="R949" t="s">
        <v>2976</v>
      </c>
      <c r="S949">
        <v>2010</v>
      </c>
      <c r="T949" t="s">
        <v>771</v>
      </c>
      <c r="U949" t="s">
        <v>2875</v>
      </c>
      <c r="V949">
        <v>68</v>
      </c>
      <c r="W949">
        <v>3200</v>
      </c>
      <c r="X949">
        <v>200</v>
      </c>
      <c r="Z949">
        <v>7</v>
      </c>
      <c r="AA949">
        <v>300</v>
      </c>
      <c r="AB949">
        <v>15000</v>
      </c>
      <c r="AC949">
        <v>900</v>
      </c>
      <c r="AD949">
        <v>1</v>
      </c>
      <c r="AE949">
        <v>1.4705882E-2</v>
      </c>
      <c r="AF949">
        <v>200</v>
      </c>
      <c r="AH949" t="s">
        <v>2259</v>
      </c>
      <c r="AI949">
        <v>0.3</v>
      </c>
      <c r="AM949" t="s">
        <v>2960</v>
      </c>
      <c r="AN949" t="s">
        <v>132</v>
      </c>
      <c r="BN949">
        <v>164.93</v>
      </c>
      <c r="CE94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49" s="19">
        <f>SUM(Table1[[#This Row],[Mid39]],Table1[[#This Row],[Mid36]],Table1[[#This Row],[Mid33]],Table1[[#This Row],[Mid30]],Table1[[#This Row],[Mid27]],Table1[[#This Row],[Mid24]],Table1[[#This Row],[Mid21]],Table1[[#This Row],[Mid18]],Table1[[#This Row],[Mid15]],Table1[[#This Row],[Mid12]],Table1[[#This Row],[Mid9]],Table1[[#This Row],[Mid6]],Table1[[#This Row],[Mid3]],Table1[[#This Row],[Mid]])</f>
        <v>164.93</v>
      </c>
      <c r="CG9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49" t="s">
        <v>157</v>
      </c>
      <c r="CI949" t="s">
        <v>134</v>
      </c>
      <c r="CJ949" t="s">
        <v>158</v>
      </c>
      <c r="CL949" s="19">
        <f>IF(Table1[[#This Row],[Type]]="Petroleum",1,IF(ISERROR(Table1[[#This Row],[Well Density]]*Table1[[#This Row],[Single Well Discovery Area]]),"",IF(Table1[[#This Row],[Well Density]]*Table1[[#This Row],[Single Well Discovery Area]]&gt;1,1,Table1[[#This Row],[Well Density]]*Table1[[#This Row],[Single Well Discovery Area]])))</f>
        <v>1</v>
      </c>
      <c r="CN949" s="19">
        <f>Table1[[#This Row],[Mid]]</f>
        <v>0</v>
      </c>
      <c r="CO949" s="19">
        <f>Table1[[#This Row],[Mid3]]+Table1[[#This Row],[Mid6]]+Table1[[#This Row],[Mid9]]</f>
        <v>0</v>
      </c>
      <c r="CP949" s="19">
        <f>Table1[[#This Row],[Mid12]]+Table1[[#This Row],[Mid15]]+Table1[[#This Row],[Mid18]]+Table1[[#This Row],[Mid21]]+Table1[[#This Row],[Mid24]]</f>
        <v>164.93</v>
      </c>
      <c r="CQ949" s="19">
        <f>Table1[[#This Row],[Mid27]]+Table1[[#This Row],[Mid30]]+Table1[[#This Row],[Mid33]]+Table1[[#This Row],[Mid36]]+Table1[[#This Row],[Mid39]]</f>
        <v>0</v>
      </c>
      <c r="CR949" t="s">
        <v>415</v>
      </c>
      <c r="CS949" s="19" t="str">
        <f>IF(AND(Table1[[#This Row],[Low41]]=0, Table1[[#This Row],[High43]]=0),"N","Y")</f>
        <v>N</v>
      </c>
    </row>
    <row r="950" spans="1:97" ht="19.5" customHeight="1" x14ac:dyDescent="0.25">
      <c r="A950">
        <v>10950</v>
      </c>
      <c r="B950" t="s">
        <v>2917</v>
      </c>
      <c r="C950" t="s">
        <v>2952</v>
      </c>
      <c r="D950">
        <v>39.868333329999999</v>
      </c>
      <c r="E950">
        <v>-2.3622222220000002</v>
      </c>
      <c r="F950" t="s">
        <v>2998</v>
      </c>
      <c r="G950" t="s">
        <v>2962</v>
      </c>
      <c r="H950" t="s">
        <v>2975</v>
      </c>
      <c r="I950" t="s">
        <v>118</v>
      </c>
      <c r="J950" t="s">
        <v>119</v>
      </c>
      <c r="K950" t="s">
        <v>203</v>
      </c>
      <c r="L950" t="s">
        <v>121</v>
      </c>
      <c r="M950" t="s">
        <v>392</v>
      </c>
      <c r="N950" s="6" t="s">
        <v>2956</v>
      </c>
      <c r="O950" t="s">
        <v>2957</v>
      </c>
      <c r="P950" t="s">
        <v>2928</v>
      </c>
      <c r="Q950" t="s">
        <v>2990</v>
      </c>
      <c r="R950" t="s">
        <v>2976</v>
      </c>
      <c r="S950">
        <v>2010</v>
      </c>
      <c r="T950" t="s">
        <v>771</v>
      </c>
      <c r="U950" t="s">
        <v>2875</v>
      </c>
      <c r="V950">
        <v>16</v>
      </c>
      <c r="W950">
        <v>2990</v>
      </c>
      <c r="X950">
        <v>200</v>
      </c>
      <c r="Z950">
        <v>7</v>
      </c>
      <c r="AA950">
        <v>300</v>
      </c>
      <c r="AB950">
        <v>15000</v>
      </c>
      <c r="AC950">
        <v>900</v>
      </c>
      <c r="AD950">
        <v>1</v>
      </c>
      <c r="AE950">
        <v>6.25E-2</v>
      </c>
      <c r="AF950">
        <v>200</v>
      </c>
      <c r="AH950" t="s">
        <v>2259</v>
      </c>
      <c r="AI950">
        <v>0.3</v>
      </c>
      <c r="AM950" t="s">
        <v>2960</v>
      </c>
      <c r="AN950" t="s">
        <v>132</v>
      </c>
      <c r="BN950">
        <v>38.81</v>
      </c>
      <c r="CE95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50" s="19">
        <f>SUM(Table1[[#This Row],[Mid39]],Table1[[#This Row],[Mid36]],Table1[[#This Row],[Mid33]],Table1[[#This Row],[Mid30]],Table1[[#This Row],[Mid27]],Table1[[#This Row],[Mid24]],Table1[[#This Row],[Mid21]],Table1[[#This Row],[Mid18]],Table1[[#This Row],[Mid15]],Table1[[#This Row],[Mid12]],Table1[[#This Row],[Mid9]],Table1[[#This Row],[Mid6]],Table1[[#This Row],[Mid3]],Table1[[#This Row],[Mid]])</f>
        <v>38.81</v>
      </c>
      <c r="CG9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50" t="s">
        <v>157</v>
      </c>
      <c r="CI950" t="s">
        <v>134</v>
      </c>
      <c r="CJ950" t="s">
        <v>158</v>
      </c>
      <c r="CL950" s="19">
        <f>IF(Table1[[#This Row],[Type]]="Petroleum",1,IF(ISERROR(Table1[[#This Row],[Well Density]]*Table1[[#This Row],[Single Well Discovery Area]]),"",IF(Table1[[#This Row],[Well Density]]*Table1[[#This Row],[Single Well Discovery Area]]&gt;1,1,Table1[[#This Row],[Well Density]]*Table1[[#This Row],[Single Well Discovery Area]])))</f>
        <v>1</v>
      </c>
      <c r="CN950" s="19">
        <f>Table1[[#This Row],[Mid]]</f>
        <v>0</v>
      </c>
      <c r="CO950" s="19">
        <f>Table1[[#This Row],[Mid3]]+Table1[[#This Row],[Mid6]]+Table1[[#This Row],[Mid9]]</f>
        <v>0</v>
      </c>
      <c r="CP950" s="19">
        <f>Table1[[#This Row],[Mid12]]+Table1[[#This Row],[Mid15]]+Table1[[#This Row],[Mid18]]+Table1[[#This Row],[Mid21]]+Table1[[#This Row],[Mid24]]</f>
        <v>38.81</v>
      </c>
      <c r="CQ950" s="19">
        <f>Table1[[#This Row],[Mid27]]+Table1[[#This Row],[Mid30]]+Table1[[#This Row],[Mid33]]+Table1[[#This Row],[Mid36]]+Table1[[#This Row],[Mid39]]</f>
        <v>0</v>
      </c>
      <c r="CR950" t="s">
        <v>415</v>
      </c>
      <c r="CS950" s="19" t="str">
        <f>IF(AND(Table1[[#This Row],[Low41]]=0, Table1[[#This Row],[High43]]=0),"N","Y")</f>
        <v>N</v>
      </c>
    </row>
    <row r="951" spans="1:97" ht="19.5" customHeight="1" x14ac:dyDescent="0.25">
      <c r="A951">
        <v>10951</v>
      </c>
      <c r="B951" t="s">
        <v>2917</v>
      </c>
      <c r="C951" t="s">
        <v>2952</v>
      </c>
      <c r="D951">
        <v>39.636111110000002</v>
      </c>
      <c r="E951">
        <v>-1.9483333329999999</v>
      </c>
      <c r="F951" t="s">
        <v>2999</v>
      </c>
      <c r="G951" t="s">
        <v>2954</v>
      </c>
      <c r="H951" t="s">
        <v>2975</v>
      </c>
      <c r="I951" t="s">
        <v>118</v>
      </c>
      <c r="J951" t="s">
        <v>119</v>
      </c>
      <c r="K951" t="s">
        <v>203</v>
      </c>
      <c r="L951" t="s">
        <v>121</v>
      </c>
      <c r="M951" t="s">
        <v>392</v>
      </c>
      <c r="N951" s="6" t="s">
        <v>2956</v>
      </c>
      <c r="O951" t="s">
        <v>2957</v>
      </c>
      <c r="P951" t="s">
        <v>2928</v>
      </c>
      <c r="Q951" t="s">
        <v>2990</v>
      </c>
      <c r="R951" t="s">
        <v>2976</v>
      </c>
      <c r="S951">
        <v>2010</v>
      </c>
      <c r="T951" t="s">
        <v>771</v>
      </c>
      <c r="U951" t="s">
        <v>2875</v>
      </c>
      <c r="V951">
        <v>98</v>
      </c>
      <c r="W951">
        <v>3275</v>
      </c>
      <c r="X951">
        <v>236</v>
      </c>
      <c r="Z951">
        <v>7</v>
      </c>
      <c r="AA951">
        <v>300</v>
      </c>
      <c r="AB951">
        <v>15000</v>
      </c>
      <c r="AC951">
        <v>900</v>
      </c>
      <c r="AD951">
        <v>1</v>
      </c>
      <c r="AE951">
        <v>1.0204082E-2</v>
      </c>
      <c r="AF951">
        <v>200</v>
      </c>
      <c r="AH951" t="s">
        <v>2259</v>
      </c>
      <c r="AI951">
        <v>0.3</v>
      </c>
      <c r="AM951" t="s">
        <v>2960</v>
      </c>
      <c r="AN951" t="s">
        <v>132</v>
      </c>
      <c r="BN951">
        <v>375.92</v>
      </c>
      <c r="CE9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51" s="19">
        <f>SUM(Table1[[#This Row],[Mid39]],Table1[[#This Row],[Mid36]],Table1[[#This Row],[Mid33]],Table1[[#This Row],[Mid30]],Table1[[#This Row],[Mid27]],Table1[[#This Row],[Mid24]],Table1[[#This Row],[Mid21]],Table1[[#This Row],[Mid18]],Table1[[#This Row],[Mid15]],Table1[[#This Row],[Mid12]],Table1[[#This Row],[Mid9]],Table1[[#This Row],[Mid6]],Table1[[#This Row],[Mid3]],Table1[[#This Row],[Mid]])</f>
        <v>375.92</v>
      </c>
      <c r="CG9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51" t="s">
        <v>157</v>
      </c>
      <c r="CI951" t="s">
        <v>134</v>
      </c>
      <c r="CJ951" t="s">
        <v>158</v>
      </c>
      <c r="CL951" s="19">
        <f>IF(Table1[[#This Row],[Type]]="Petroleum",1,IF(ISERROR(Table1[[#This Row],[Well Density]]*Table1[[#This Row],[Single Well Discovery Area]]),"",IF(Table1[[#This Row],[Well Density]]*Table1[[#This Row],[Single Well Discovery Area]]&gt;1,1,Table1[[#This Row],[Well Density]]*Table1[[#This Row],[Single Well Discovery Area]])))</f>
        <v>1</v>
      </c>
      <c r="CN951" s="19">
        <f>Table1[[#This Row],[Mid]]</f>
        <v>0</v>
      </c>
      <c r="CO951" s="19">
        <f>Table1[[#This Row],[Mid3]]+Table1[[#This Row],[Mid6]]+Table1[[#This Row],[Mid9]]</f>
        <v>0</v>
      </c>
      <c r="CP951" s="19">
        <f>Table1[[#This Row],[Mid12]]+Table1[[#This Row],[Mid15]]+Table1[[#This Row],[Mid18]]+Table1[[#This Row],[Mid21]]+Table1[[#This Row],[Mid24]]</f>
        <v>375.92</v>
      </c>
      <c r="CQ951" s="19">
        <f>Table1[[#This Row],[Mid27]]+Table1[[#This Row],[Mid30]]+Table1[[#This Row],[Mid33]]+Table1[[#This Row],[Mid36]]+Table1[[#This Row],[Mid39]]</f>
        <v>0</v>
      </c>
      <c r="CR951" t="s">
        <v>415</v>
      </c>
      <c r="CS951" s="19" t="str">
        <f>IF(AND(Table1[[#This Row],[Low41]]=0, Table1[[#This Row],[High43]]=0),"N","Y")</f>
        <v>N</v>
      </c>
    </row>
    <row r="952" spans="1:97" ht="19.5" customHeight="1" x14ac:dyDescent="0.25">
      <c r="A952">
        <v>10952</v>
      </c>
      <c r="B952" t="s">
        <v>2917</v>
      </c>
      <c r="C952" t="s">
        <v>2952</v>
      </c>
      <c r="D952">
        <v>39.916111110000003</v>
      </c>
      <c r="E952">
        <v>-2.6033333330000001</v>
      </c>
      <c r="F952" t="s">
        <v>3000</v>
      </c>
      <c r="G952" t="s">
        <v>2962</v>
      </c>
      <c r="H952" t="s">
        <v>2975</v>
      </c>
      <c r="I952" t="s">
        <v>118</v>
      </c>
      <c r="J952" t="s">
        <v>119</v>
      </c>
      <c r="K952" t="s">
        <v>203</v>
      </c>
      <c r="L952" t="s">
        <v>121</v>
      </c>
      <c r="M952" t="s">
        <v>392</v>
      </c>
      <c r="N952" s="6" t="s">
        <v>2956</v>
      </c>
      <c r="O952" t="s">
        <v>2957</v>
      </c>
      <c r="P952" t="s">
        <v>2928</v>
      </c>
      <c r="Q952" t="s">
        <v>2990</v>
      </c>
      <c r="R952" t="s">
        <v>2976</v>
      </c>
      <c r="S952">
        <v>2010</v>
      </c>
      <c r="T952" t="s">
        <v>771</v>
      </c>
      <c r="U952" t="s">
        <v>2875</v>
      </c>
      <c r="V952">
        <v>90</v>
      </c>
      <c r="W952">
        <v>2103</v>
      </c>
      <c r="X952">
        <v>180</v>
      </c>
      <c r="Z952">
        <v>6</v>
      </c>
      <c r="AA952">
        <v>300</v>
      </c>
      <c r="AB952">
        <v>15000</v>
      </c>
      <c r="AC952">
        <v>930</v>
      </c>
      <c r="AD952">
        <v>3</v>
      </c>
      <c r="AE952">
        <v>3.3333333E-2</v>
      </c>
      <c r="AF952">
        <v>200</v>
      </c>
      <c r="AH952" t="s">
        <v>2259</v>
      </c>
      <c r="AI952">
        <v>0.3</v>
      </c>
      <c r="AM952" t="s">
        <v>2960</v>
      </c>
      <c r="AN952" t="s">
        <v>132</v>
      </c>
      <c r="BN952">
        <v>90.4</v>
      </c>
      <c r="CE9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52" s="19">
        <f>SUM(Table1[[#This Row],[Mid39]],Table1[[#This Row],[Mid36]],Table1[[#This Row],[Mid33]],Table1[[#This Row],[Mid30]],Table1[[#This Row],[Mid27]],Table1[[#This Row],[Mid24]],Table1[[#This Row],[Mid21]],Table1[[#This Row],[Mid18]],Table1[[#This Row],[Mid15]],Table1[[#This Row],[Mid12]],Table1[[#This Row],[Mid9]],Table1[[#This Row],[Mid6]],Table1[[#This Row],[Mid3]],Table1[[#This Row],[Mid]])</f>
        <v>90.4</v>
      </c>
      <c r="CG9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52" t="s">
        <v>157</v>
      </c>
      <c r="CI952" t="s">
        <v>134</v>
      </c>
      <c r="CJ952" t="s">
        <v>158</v>
      </c>
      <c r="CL952" s="19">
        <f>IF(Table1[[#This Row],[Type]]="Petroleum",1,IF(ISERROR(Table1[[#This Row],[Well Density]]*Table1[[#This Row],[Single Well Discovery Area]]),"",IF(Table1[[#This Row],[Well Density]]*Table1[[#This Row],[Single Well Discovery Area]]&gt;1,1,Table1[[#This Row],[Well Density]]*Table1[[#This Row],[Single Well Discovery Area]])))</f>
        <v>1</v>
      </c>
      <c r="CN952" s="19">
        <f>Table1[[#This Row],[Mid]]</f>
        <v>0</v>
      </c>
      <c r="CO952" s="19">
        <f>Table1[[#This Row],[Mid3]]+Table1[[#This Row],[Mid6]]+Table1[[#This Row],[Mid9]]</f>
        <v>0</v>
      </c>
      <c r="CP952" s="19">
        <f>Table1[[#This Row],[Mid12]]+Table1[[#This Row],[Mid15]]+Table1[[#This Row],[Mid18]]+Table1[[#This Row],[Mid21]]+Table1[[#This Row],[Mid24]]</f>
        <v>90.4</v>
      </c>
      <c r="CQ952" s="19">
        <f>Table1[[#This Row],[Mid27]]+Table1[[#This Row],[Mid30]]+Table1[[#This Row],[Mid33]]+Table1[[#This Row],[Mid36]]+Table1[[#This Row],[Mid39]]</f>
        <v>0</v>
      </c>
      <c r="CR952" t="s">
        <v>415</v>
      </c>
      <c r="CS952" s="19" t="str">
        <f>IF(AND(Table1[[#This Row],[Low41]]=0, Table1[[#This Row],[High43]]=0),"N","Y")</f>
        <v>N</v>
      </c>
    </row>
    <row r="953" spans="1:97" ht="19.5" customHeight="1" x14ac:dyDescent="0.25">
      <c r="A953">
        <v>10953</v>
      </c>
      <c r="B953" t="s">
        <v>2917</v>
      </c>
      <c r="C953" t="s">
        <v>2952</v>
      </c>
      <c r="D953">
        <v>39.779166670000002</v>
      </c>
      <c r="E953">
        <v>-2.4597222219999999</v>
      </c>
      <c r="F953" t="s">
        <v>3001</v>
      </c>
      <c r="G953" t="s">
        <v>2962</v>
      </c>
      <c r="H953" t="s">
        <v>2975</v>
      </c>
      <c r="I953" t="s">
        <v>118</v>
      </c>
      <c r="J953" t="s">
        <v>119</v>
      </c>
      <c r="K953" t="s">
        <v>203</v>
      </c>
      <c r="L953" t="s">
        <v>121</v>
      </c>
      <c r="M953" t="s">
        <v>392</v>
      </c>
      <c r="N953" s="6" t="s">
        <v>2956</v>
      </c>
      <c r="O953" t="s">
        <v>2957</v>
      </c>
      <c r="P953" t="s">
        <v>2928</v>
      </c>
      <c r="Q953" t="s">
        <v>2990</v>
      </c>
      <c r="R953" t="s">
        <v>2976</v>
      </c>
      <c r="S953">
        <v>2010</v>
      </c>
      <c r="T953" t="s">
        <v>771</v>
      </c>
      <c r="U953" t="s">
        <v>2875</v>
      </c>
      <c r="V953">
        <v>50</v>
      </c>
      <c r="W953">
        <v>2550</v>
      </c>
      <c r="X953">
        <v>215</v>
      </c>
      <c r="Z953">
        <v>6</v>
      </c>
      <c r="AA953">
        <v>300</v>
      </c>
      <c r="AB953">
        <v>15000</v>
      </c>
      <c r="AC953">
        <v>950</v>
      </c>
      <c r="AD953">
        <v>3</v>
      </c>
      <c r="AE953">
        <v>0.06</v>
      </c>
      <c r="AF953">
        <v>200</v>
      </c>
      <c r="AH953" t="s">
        <v>2259</v>
      </c>
      <c r="AI953">
        <v>0.3</v>
      </c>
      <c r="AM953" t="s">
        <v>2960</v>
      </c>
      <c r="AN953" t="s">
        <v>132</v>
      </c>
      <c r="BN953">
        <v>61.28</v>
      </c>
      <c r="CE9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53" s="19">
        <f>SUM(Table1[[#This Row],[Mid39]],Table1[[#This Row],[Mid36]],Table1[[#This Row],[Mid33]],Table1[[#This Row],[Mid30]],Table1[[#This Row],[Mid27]],Table1[[#This Row],[Mid24]],Table1[[#This Row],[Mid21]],Table1[[#This Row],[Mid18]],Table1[[#This Row],[Mid15]],Table1[[#This Row],[Mid12]],Table1[[#This Row],[Mid9]],Table1[[#This Row],[Mid6]],Table1[[#This Row],[Mid3]],Table1[[#This Row],[Mid]])</f>
        <v>61.28</v>
      </c>
      <c r="CG9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53" t="s">
        <v>157</v>
      </c>
      <c r="CI953" t="s">
        <v>134</v>
      </c>
      <c r="CJ953" t="s">
        <v>158</v>
      </c>
      <c r="CL953" s="19">
        <f>IF(Table1[[#This Row],[Type]]="Petroleum",1,IF(ISERROR(Table1[[#This Row],[Well Density]]*Table1[[#This Row],[Single Well Discovery Area]]),"",IF(Table1[[#This Row],[Well Density]]*Table1[[#This Row],[Single Well Discovery Area]]&gt;1,1,Table1[[#This Row],[Well Density]]*Table1[[#This Row],[Single Well Discovery Area]])))</f>
        <v>1</v>
      </c>
      <c r="CN953" s="19">
        <f>Table1[[#This Row],[Mid]]</f>
        <v>0</v>
      </c>
      <c r="CO953" s="19">
        <f>Table1[[#This Row],[Mid3]]+Table1[[#This Row],[Mid6]]+Table1[[#This Row],[Mid9]]</f>
        <v>0</v>
      </c>
      <c r="CP953" s="19">
        <f>Table1[[#This Row],[Mid12]]+Table1[[#This Row],[Mid15]]+Table1[[#This Row],[Mid18]]+Table1[[#This Row],[Mid21]]+Table1[[#This Row],[Mid24]]</f>
        <v>61.28</v>
      </c>
      <c r="CQ953" s="19">
        <f>Table1[[#This Row],[Mid27]]+Table1[[#This Row],[Mid30]]+Table1[[#This Row],[Mid33]]+Table1[[#This Row],[Mid36]]+Table1[[#This Row],[Mid39]]</f>
        <v>0</v>
      </c>
      <c r="CR953" t="s">
        <v>415</v>
      </c>
      <c r="CS953" s="19" t="str">
        <f>IF(AND(Table1[[#This Row],[Low41]]=0, Table1[[#This Row],[High43]]=0),"N","Y")</f>
        <v>N</v>
      </c>
    </row>
    <row r="954" spans="1:97" ht="19.5" customHeight="1" x14ac:dyDescent="0.25">
      <c r="A954">
        <v>10954</v>
      </c>
      <c r="B954" t="s">
        <v>2917</v>
      </c>
      <c r="C954" t="s">
        <v>3002</v>
      </c>
      <c r="D954">
        <v>43.100555559999997</v>
      </c>
      <c r="E954">
        <v>-3.9041666670000001</v>
      </c>
      <c r="F954" t="s">
        <v>3003</v>
      </c>
      <c r="G954" t="s">
        <v>2945</v>
      </c>
      <c r="H954" t="s">
        <v>2955</v>
      </c>
      <c r="I954" t="s">
        <v>118</v>
      </c>
      <c r="J954" t="s">
        <v>119</v>
      </c>
      <c r="K954" t="s">
        <v>203</v>
      </c>
      <c r="L954" t="s">
        <v>121</v>
      </c>
      <c r="M954" t="s">
        <v>3004</v>
      </c>
      <c r="N954" s="6" t="s">
        <v>2956</v>
      </c>
      <c r="O954" t="s">
        <v>2957</v>
      </c>
      <c r="P954" t="s">
        <v>2928</v>
      </c>
      <c r="Q954" t="s">
        <v>2990</v>
      </c>
      <c r="R954" t="s">
        <v>2976</v>
      </c>
      <c r="S954">
        <v>2010</v>
      </c>
      <c r="T954" t="s">
        <v>771</v>
      </c>
      <c r="U954" t="s">
        <v>2875</v>
      </c>
      <c r="V954">
        <v>9.5</v>
      </c>
      <c r="W954">
        <v>1300</v>
      </c>
      <c r="X954">
        <v>300</v>
      </c>
      <c r="Z954">
        <v>15</v>
      </c>
      <c r="AA954">
        <v>50</v>
      </c>
      <c r="AB954">
        <v>15000</v>
      </c>
      <c r="AC954">
        <v>600</v>
      </c>
      <c r="AD954">
        <v>0</v>
      </c>
      <c r="AE954">
        <v>0</v>
      </c>
      <c r="AF954">
        <v>200</v>
      </c>
      <c r="AH954" t="s">
        <v>2259</v>
      </c>
      <c r="AI954">
        <v>0.3</v>
      </c>
      <c r="AM954" t="s">
        <v>2960</v>
      </c>
      <c r="AN954" t="s">
        <v>132</v>
      </c>
      <c r="BQ954">
        <v>47.25</v>
      </c>
      <c r="CE95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54" s="19">
        <f>SUM(Table1[[#This Row],[Mid39]],Table1[[#This Row],[Mid36]],Table1[[#This Row],[Mid33]],Table1[[#This Row],[Mid30]],Table1[[#This Row],[Mid27]],Table1[[#This Row],[Mid24]],Table1[[#This Row],[Mid21]],Table1[[#This Row],[Mid18]],Table1[[#This Row],[Mid15]],Table1[[#This Row],[Mid12]],Table1[[#This Row],[Mid9]],Table1[[#This Row],[Mid6]],Table1[[#This Row],[Mid3]],Table1[[#This Row],[Mid]])</f>
        <v>47.25</v>
      </c>
      <c r="CG95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54" t="s">
        <v>157</v>
      </c>
      <c r="CI954" t="s">
        <v>134</v>
      </c>
      <c r="CJ954" t="s">
        <v>158</v>
      </c>
      <c r="CL954" s="19">
        <f>IF(Table1[[#This Row],[Type]]="Petroleum",1,IF(ISERROR(Table1[[#This Row],[Well Density]]*Table1[[#This Row],[Single Well Discovery Area]]),"",IF(Table1[[#This Row],[Well Density]]*Table1[[#This Row],[Single Well Discovery Area]]&gt;1,1,Table1[[#This Row],[Well Density]]*Table1[[#This Row],[Single Well Discovery Area]])))</f>
        <v>0</v>
      </c>
      <c r="CN954" s="19">
        <f>Table1[[#This Row],[Mid]]</f>
        <v>0</v>
      </c>
      <c r="CO954" s="19">
        <f>Table1[[#This Row],[Mid3]]+Table1[[#This Row],[Mid6]]+Table1[[#This Row],[Mid9]]</f>
        <v>0</v>
      </c>
      <c r="CP954" s="19">
        <f>Table1[[#This Row],[Mid12]]+Table1[[#This Row],[Mid15]]+Table1[[#This Row],[Mid18]]+Table1[[#This Row],[Mid21]]+Table1[[#This Row],[Mid24]]</f>
        <v>0</v>
      </c>
      <c r="CQ954" s="19">
        <f>Table1[[#This Row],[Mid27]]+Table1[[#This Row],[Mid30]]+Table1[[#This Row],[Mid33]]+Table1[[#This Row],[Mid36]]+Table1[[#This Row],[Mid39]]</f>
        <v>47.25</v>
      </c>
      <c r="CR954" t="s">
        <v>415</v>
      </c>
      <c r="CS954" s="19" t="str">
        <f>IF(AND(Table1[[#This Row],[Low41]]=0, Table1[[#This Row],[High43]]=0),"N","Y")</f>
        <v>N</v>
      </c>
    </row>
    <row r="955" spans="1:97" ht="19.5" customHeight="1" x14ac:dyDescent="0.25">
      <c r="A955">
        <v>10955</v>
      </c>
      <c r="B955" t="s">
        <v>2917</v>
      </c>
      <c r="C955" t="s">
        <v>3002</v>
      </c>
      <c r="D955">
        <v>42.809722219999998</v>
      </c>
      <c r="E955">
        <v>-3.9975000000000001</v>
      </c>
      <c r="F955" t="s">
        <v>3005</v>
      </c>
      <c r="G955" t="s">
        <v>2945</v>
      </c>
      <c r="H955" t="s">
        <v>3006</v>
      </c>
      <c r="I955" t="s">
        <v>118</v>
      </c>
      <c r="J955" t="s">
        <v>119</v>
      </c>
      <c r="K955" t="s">
        <v>203</v>
      </c>
      <c r="L955" t="s">
        <v>121</v>
      </c>
      <c r="M955" t="s">
        <v>139</v>
      </c>
      <c r="N955" s="6" t="s">
        <v>2956</v>
      </c>
      <c r="O955" t="s">
        <v>2957</v>
      </c>
      <c r="P955" t="s">
        <v>2928</v>
      </c>
      <c r="Q955" t="s">
        <v>2990</v>
      </c>
      <c r="R955" t="s">
        <v>2976</v>
      </c>
      <c r="S955">
        <v>2010</v>
      </c>
      <c r="T955" t="s">
        <v>771</v>
      </c>
      <c r="U955" t="s">
        <v>2875</v>
      </c>
      <c r="V955">
        <v>11</v>
      </c>
      <c r="W955">
        <v>2200</v>
      </c>
      <c r="X955">
        <v>100</v>
      </c>
      <c r="Z955">
        <v>11</v>
      </c>
      <c r="AA955">
        <v>20</v>
      </c>
      <c r="AC955">
        <v>680</v>
      </c>
      <c r="AD955">
        <v>1</v>
      </c>
      <c r="AE955">
        <v>9.0909090999999997E-2</v>
      </c>
      <c r="AF955">
        <v>20</v>
      </c>
      <c r="AH955" t="s">
        <v>2259</v>
      </c>
      <c r="AI955">
        <v>0.3</v>
      </c>
      <c r="AM955" t="s">
        <v>2960</v>
      </c>
      <c r="AN955" t="s">
        <v>132</v>
      </c>
      <c r="BN955">
        <v>12.85</v>
      </c>
      <c r="CE95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55" s="19">
        <f>SUM(Table1[[#This Row],[Mid39]],Table1[[#This Row],[Mid36]],Table1[[#This Row],[Mid33]],Table1[[#This Row],[Mid30]],Table1[[#This Row],[Mid27]],Table1[[#This Row],[Mid24]],Table1[[#This Row],[Mid21]],Table1[[#This Row],[Mid18]],Table1[[#This Row],[Mid15]],Table1[[#This Row],[Mid12]],Table1[[#This Row],[Mid9]],Table1[[#This Row],[Mid6]],Table1[[#This Row],[Mid3]],Table1[[#This Row],[Mid]])</f>
        <v>12.85</v>
      </c>
      <c r="CG95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55" t="s">
        <v>157</v>
      </c>
      <c r="CI955" t="s">
        <v>176</v>
      </c>
      <c r="CJ955" t="s">
        <v>158</v>
      </c>
      <c r="CL955" s="19">
        <f>IF(Table1[[#This Row],[Type]]="Petroleum",1,IF(ISERROR(Table1[[#This Row],[Well Density]]*Table1[[#This Row],[Single Well Discovery Area]]),"",IF(Table1[[#This Row],[Well Density]]*Table1[[#This Row],[Single Well Discovery Area]]&gt;1,1,Table1[[#This Row],[Well Density]]*Table1[[#This Row],[Single Well Discovery Area]])))</f>
        <v>1</v>
      </c>
      <c r="CN955" s="19">
        <f>Table1[[#This Row],[Mid]]</f>
        <v>0</v>
      </c>
      <c r="CO955" s="19">
        <f>Table1[[#This Row],[Mid3]]+Table1[[#This Row],[Mid6]]+Table1[[#This Row],[Mid9]]</f>
        <v>0</v>
      </c>
      <c r="CP955" s="19">
        <f>Table1[[#This Row],[Mid12]]+Table1[[#This Row],[Mid15]]+Table1[[#This Row],[Mid18]]+Table1[[#This Row],[Mid21]]+Table1[[#This Row],[Mid24]]</f>
        <v>12.85</v>
      </c>
      <c r="CQ955" s="19">
        <f>Table1[[#This Row],[Mid27]]+Table1[[#This Row],[Mid30]]+Table1[[#This Row],[Mid33]]+Table1[[#This Row],[Mid36]]+Table1[[#This Row],[Mid39]]</f>
        <v>0</v>
      </c>
      <c r="CR955" t="s">
        <v>415</v>
      </c>
      <c r="CS955" s="19" t="str">
        <f>IF(AND(Table1[[#This Row],[Low41]]=0, Table1[[#This Row],[High43]]=0),"N","Y")</f>
        <v>N</v>
      </c>
    </row>
    <row r="956" spans="1:97" ht="19.5" customHeight="1" x14ac:dyDescent="0.25">
      <c r="A956">
        <v>10956</v>
      </c>
      <c r="B956" t="s">
        <v>2917</v>
      </c>
      <c r="C956" t="s">
        <v>3002</v>
      </c>
      <c r="D956">
        <v>42.80944444</v>
      </c>
      <c r="E956">
        <v>-3.9975000000000001</v>
      </c>
      <c r="F956" t="s">
        <v>3007</v>
      </c>
      <c r="G956" t="s">
        <v>2945</v>
      </c>
      <c r="H956" t="s">
        <v>2955</v>
      </c>
      <c r="I956" t="s">
        <v>118</v>
      </c>
      <c r="J956" t="s">
        <v>119</v>
      </c>
      <c r="K956" t="s">
        <v>203</v>
      </c>
      <c r="L956" t="s">
        <v>121</v>
      </c>
      <c r="M956" t="s">
        <v>3004</v>
      </c>
      <c r="N956" s="6" t="s">
        <v>2956</v>
      </c>
      <c r="O956" t="s">
        <v>2957</v>
      </c>
      <c r="P956" t="s">
        <v>2928</v>
      </c>
      <c r="Q956" t="s">
        <v>2990</v>
      </c>
      <c r="R956" t="s">
        <v>2976</v>
      </c>
      <c r="S956">
        <v>2010</v>
      </c>
      <c r="T956" t="s">
        <v>771</v>
      </c>
      <c r="U956" t="s">
        <v>2875</v>
      </c>
      <c r="V956">
        <v>11</v>
      </c>
      <c r="W956">
        <v>2750</v>
      </c>
      <c r="X956">
        <v>300</v>
      </c>
      <c r="Z956">
        <v>15</v>
      </c>
      <c r="AA956">
        <v>20</v>
      </c>
      <c r="AC956">
        <v>750</v>
      </c>
      <c r="AD956">
        <v>1</v>
      </c>
      <c r="AE956">
        <v>9.0909090999999997E-2</v>
      </c>
      <c r="AF956">
        <v>200</v>
      </c>
      <c r="AH956" t="s">
        <v>2259</v>
      </c>
      <c r="AI956">
        <v>0.3</v>
      </c>
      <c r="AM956" t="s">
        <v>2960</v>
      </c>
      <c r="AN956" t="s">
        <v>132</v>
      </c>
      <c r="BN956">
        <v>35.44</v>
      </c>
      <c r="CE95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56" s="19">
        <f>SUM(Table1[[#This Row],[Mid39]],Table1[[#This Row],[Mid36]],Table1[[#This Row],[Mid33]],Table1[[#This Row],[Mid30]],Table1[[#This Row],[Mid27]],Table1[[#This Row],[Mid24]],Table1[[#This Row],[Mid21]],Table1[[#This Row],[Mid18]],Table1[[#This Row],[Mid15]],Table1[[#This Row],[Mid12]],Table1[[#This Row],[Mid9]],Table1[[#This Row],[Mid6]],Table1[[#This Row],[Mid3]],Table1[[#This Row],[Mid]])</f>
        <v>35.44</v>
      </c>
      <c r="CG95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56" t="s">
        <v>157</v>
      </c>
      <c r="CI956" t="s">
        <v>134</v>
      </c>
      <c r="CJ956" t="s">
        <v>158</v>
      </c>
      <c r="CL956" s="19">
        <f>IF(Table1[[#This Row],[Type]]="Petroleum",1,IF(ISERROR(Table1[[#This Row],[Well Density]]*Table1[[#This Row],[Single Well Discovery Area]]),"",IF(Table1[[#This Row],[Well Density]]*Table1[[#This Row],[Single Well Discovery Area]]&gt;1,1,Table1[[#This Row],[Well Density]]*Table1[[#This Row],[Single Well Discovery Area]])))</f>
        <v>1</v>
      </c>
      <c r="CN956" s="19">
        <f>Table1[[#This Row],[Mid]]</f>
        <v>0</v>
      </c>
      <c r="CO956" s="19">
        <f>Table1[[#This Row],[Mid3]]+Table1[[#This Row],[Mid6]]+Table1[[#This Row],[Mid9]]</f>
        <v>0</v>
      </c>
      <c r="CP956" s="19">
        <f>Table1[[#This Row],[Mid12]]+Table1[[#This Row],[Mid15]]+Table1[[#This Row],[Mid18]]+Table1[[#This Row],[Mid21]]+Table1[[#This Row],[Mid24]]</f>
        <v>35.44</v>
      </c>
      <c r="CQ956" s="19">
        <f>Table1[[#This Row],[Mid27]]+Table1[[#This Row],[Mid30]]+Table1[[#This Row],[Mid33]]+Table1[[#This Row],[Mid36]]+Table1[[#This Row],[Mid39]]</f>
        <v>0</v>
      </c>
      <c r="CR956" t="s">
        <v>415</v>
      </c>
      <c r="CS956" s="19" t="str">
        <f>IF(AND(Table1[[#This Row],[Low41]]=0, Table1[[#This Row],[High43]]=0),"N","Y")</f>
        <v>N</v>
      </c>
    </row>
    <row r="957" spans="1:97" ht="19.5" customHeight="1" x14ac:dyDescent="0.25">
      <c r="A957">
        <v>10957</v>
      </c>
      <c r="B957" t="s">
        <v>2917</v>
      </c>
      <c r="C957" t="s">
        <v>3002</v>
      </c>
      <c r="D957">
        <v>42.698333329999997</v>
      </c>
      <c r="E957">
        <v>-2.3938888889999999</v>
      </c>
      <c r="F957" t="s">
        <v>3008</v>
      </c>
      <c r="G957" t="s">
        <v>3009</v>
      </c>
      <c r="H957" t="s">
        <v>252</v>
      </c>
      <c r="I957" t="s">
        <v>118</v>
      </c>
      <c r="J957" t="s">
        <v>119</v>
      </c>
      <c r="K957" t="s">
        <v>203</v>
      </c>
      <c r="L957" t="s">
        <v>18</v>
      </c>
      <c r="M957" t="s">
        <v>122</v>
      </c>
      <c r="N957" s="6" t="s">
        <v>2956</v>
      </c>
      <c r="O957" t="s">
        <v>2957</v>
      </c>
      <c r="P957" t="s">
        <v>2928</v>
      </c>
      <c r="Q957" t="s">
        <v>2990</v>
      </c>
      <c r="R957" t="s">
        <v>2966</v>
      </c>
      <c r="S957">
        <v>2010</v>
      </c>
      <c r="T957" t="s">
        <v>771</v>
      </c>
      <c r="U957" t="s">
        <v>2875</v>
      </c>
      <c r="V957">
        <v>1428</v>
      </c>
      <c r="W957">
        <v>3540</v>
      </c>
      <c r="X957">
        <v>1700</v>
      </c>
      <c r="Z957">
        <v>17</v>
      </c>
      <c r="AA957">
        <v>70</v>
      </c>
      <c r="AB957">
        <v>15000</v>
      </c>
      <c r="AC957">
        <v>670</v>
      </c>
      <c r="AD957">
        <v>1</v>
      </c>
      <c r="AE957">
        <v>7.0027999999999996E-4</v>
      </c>
      <c r="AF957">
        <v>20</v>
      </c>
      <c r="AH957" t="s">
        <v>2259</v>
      </c>
      <c r="AI957">
        <v>0.3</v>
      </c>
      <c r="AM957" t="s">
        <v>2960</v>
      </c>
      <c r="AN957" t="s">
        <v>132</v>
      </c>
      <c r="BQ957">
        <v>3816.8336129999998</v>
      </c>
      <c r="CE95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57" s="19">
        <f>SUM(Table1[[#This Row],[Mid39]],Table1[[#This Row],[Mid36]],Table1[[#This Row],[Mid33]],Table1[[#This Row],[Mid30]],Table1[[#This Row],[Mid27]],Table1[[#This Row],[Mid24]],Table1[[#This Row],[Mid21]],Table1[[#This Row],[Mid18]],Table1[[#This Row],[Mid15]],Table1[[#This Row],[Mid12]],Table1[[#This Row],[Mid9]],Table1[[#This Row],[Mid6]],Table1[[#This Row],[Mid3]],Table1[[#This Row],[Mid]])</f>
        <v>3816.8336129999998</v>
      </c>
      <c r="CG95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57" t="s">
        <v>157</v>
      </c>
      <c r="CI957" t="s">
        <v>176</v>
      </c>
      <c r="CJ957" t="s">
        <v>158</v>
      </c>
      <c r="CL957" s="19">
        <f>IF(Table1[[#This Row],[Type]]="Petroleum",1,IF(ISERROR(Table1[[#This Row],[Well Density]]*Table1[[#This Row],[Single Well Discovery Area]]),"",IF(Table1[[#This Row],[Well Density]]*Table1[[#This Row],[Single Well Discovery Area]]&gt;1,1,Table1[[#This Row],[Well Density]]*Table1[[#This Row],[Single Well Discovery Area]])))</f>
        <v>1.40056E-2</v>
      </c>
      <c r="CN957" s="19">
        <f>Table1[[#This Row],[Mid]]</f>
        <v>0</v>
      </c>
      <c r="CO957" s="19">
        <f>Table1[[#This Row],[Mid3]]+Table1[[#This Row],[Mid6]]+Table1[[#This Row],[Mid9]]</f>
        <v>0</v>
      </c>
      <c r="CP957" s="19">
        <f>Table1[[#This Row],[Mid12]]+Table1[[#This Row],[Mid15]]+Table1[[#This Row],[Mid18]]+Table1[[#This Row],[Mid21]]+Table1[[#This Row],[Mid24]]</f>
        <v>0</v>
      </c>
      <c r="CQ957" s="19">
        <f>Table1[[#This Row],[Mid27]]+Table1[[#This Row],[Mid30]]+Table1[[#This Row],[Mid33]]+Table1[[#This Row],[Mid36]]+Table1[[#This Row],[Mid39]]</f>
        <v>3816.8336129999998</v>
      </c>
      <c r="CR957" t="s">
        <v>415</v>
      </c>
      <c r="CS957" s="19" t="str">
        <f>IF(AND(Table1[[#This Row],[Low41]]=0, Table1[[#This Row],[High43]]=0),"N","Y")</f>
        <v>N</v>
      </c>
    </row>
    <row r="958" spans="1:97" ht="19.5" customHeight="1" x14ac:dyDescent="0.25">
      <c r="A958">
        <v>10958</v>
      </c>
      <c r="B958" t="s">
        <v>2917</v>
      </c>
      <c r="C958" t="s">
        <v>3002</v>
      </c>
      <c r="D958">
        <v>42.698333329999997</v>
      </c>
      <c r="E958">
        <v>-2.3936111109999998</v>
      </c>
      <c r="F958" t="s">
        <v>3010</v>
      </c>
      <c r="G958" t="s">
        <v>3009</v>
      </c>
      <c r="H958" t="s">
        <v>252</v>
      </c>
      <c r="I958" t="s">
        <v>118</v>
      </c>
      <c r="J958" t="s">
        <v>119</v>
      </c>
      <c r="K958" t="s">
        <v>203</v>
      </c>
      <c r="L958" t="s">
        <v>121</v>
      </c>
      <c r="M958" t="s">
        <v>122</v>
      </c>
      <c r="N958" s="6" t="s">
        <v>2956</v>
      </c>
      <c r="O958" t="s">
        <v>2957</v>
      </c>
      <c r="P958" t="s">
        <v>2928</v>
      </c>
      <c r="Q958" t="s">
        <v>2990</v>
      </c>
      <c r="R958" t="s">
        <v>2966</v>
      </c>
      <c r="S958">
        <v>2010</v>
      </c>
      <c r="T958" t="s">
        <v>771</v>
      </c>
      <c r="U958" t="s">
        <v>2875</v>
      </c>
      <c r="V958">
        <v>1428</v>
      </c>
      <c r="W958">
        <v>3540</v>
      </c>
      <c r="X958">
        <v>1700</v>
      </c>
      <c r="Z958">
        <v>17</v>
      </c>
      <c r="AA958">
        <v>70</v>
      </c>
      <c r="AB958">
        <v>15000</v>
      </c>
      <c r="AC958">
        <v>670</v>
      </c>
      <c r="AD958">
        <v>1</v>
      </c>
      <c r="AE958">
        <v>7.0027999999999996E-4</v>
      </c>
      <c r="AF958">
        <v>20</v>
      </c>
      <c r="AH958" t="s">
        <v>2259</v>
      </c>
      <c r="AI958">
        <v>0.3</v>
      </c>
      <c r="AM958" t="s">
        <v>2960</v>
      </c>
      <c r="AN958" t="s">
        <v>132</v>
      </c>
      <c r="BN958">
        <v>54.216386550000003</v>
      </c>
      <c r="CE95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58" s="19">
        <f>SUM(Table1[[#This Row],[Mid39]],Table1[[#This Row],[Mid36]],Table1[[#This Row],[Mid33]],Table1[[#This Row],[Mid30]],Table1[[#This Row],[Mid27]],Table1[[#This Row],[Mid24]],Table1[[#This Row],[Mid21]],Table1[[#This Row],[Mid18]],Table1[[#This Row],[Mid15]],Table1[[#This Row],[Mid12]],Table1[[#This Row],[Mid9]],Table1[[#This Row],[Mid6]],Table1[[#This Row],[Mid3]],Table1[[#This Row],[Mid]])</f>
        <v>54.216386550000003</v>
      </c>
      <c r="CG95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58" t="s">
        <v>157</v>
      </c>
      <c r="CI958" t="s">
        <v>176</v>
      </c>
      <c r="CJ958" t="s">
        <v>158</v>
      </c>
      <c r="CL958" s="19">
        <f>IF(Table1[[#This Row],[Type]]="Petroleum",1,IF(ISERROR(Table1[[#This Row],[Well Density]]*Table1[[#This Row],[Single Well Discovery Area]]),"",IF(Table1[[#This Row],[Well Density]]*Table1[[#This Row],[Single Well Discovery Area]]&gt;1,1,Table1[[#This Row],[Well Density]]*Table1[[#This Row],[Single Well Discovery Area]])))</f>
        <v>1.40056E-2</v>
      </c>
      <c r="CN958" s="19">
        <f>Table1[[#This Row],[Mid]]</f>
        <v>0</v>
      </c>
      <c r="CO958" s="19">
        <f>Table1[[#This Row],[Mid3]]+Table1[[#This Row],[Mid6]]+Table1[[#This Row],[Mid9]]</f>
        <v>0</v>
      </c>
      <c r="CP958" s="19">
        <f>Table1[[#This Row],[Mid12]]+Table1[[#This Row],[Mid15]]+Table1[[#This Row],[Mid18]]+Table1[[#This Row],[Mid21]]+Table1[[#This Row],[Mid24]]</f>
        <v>54.216386550000003</v>
      </c>
      <c r="CQ958" s="19">
        <f>Table1[[#This Row],[Mid27]]+Table1[[#This Row],[Mid30]]+Table1[[#This Row],[Mid33]]+Table1[[#This Row],[Mid36]]+Table1[[#This Row],[Mid39]]</f>
        <v>0</v>
      </c>
      <c r="CR958" t="s">
        <v>415</v>
      </c>
      <c r="CS958" s="19" t="str">
        <f>IF(AND(Table1[[#This Row],[Low41]]=0, Table1[[#This Row],[High43]]=0),"N","Y")</f>
        <v>N</v>
      </c>
    </row>
    <row r="959" spans="1:97" ht="19.5" customHeight="1" x14ac:dyDescent="0.25">
      <c r="A959">
        <v>10959</v>
      </c>
      <c r="B959" t="s">
        <v>2917</v>
      </c>
      <c r="C959" t="s">
        <v>3002</v>
      </c>
      <c r="D959">
        <v>42.330555560000001</v>
      </c>
      <c r="E959">
        <v>-2.8424999999999998</v>
      </c>
      <c r="F959" t="s">
        <v>3011</v>
      </c>
      <c r="G959" t="s">
        <v>2954</v>
      </c>
      <c r="H959" t="s">
        <v>2717</v>
      </c>
      <c r="I959" t="s">
        <v>118</v>
      </c>
      <c r="J959" t="s">
        <v>119</v>
      </c>
      <c r="K959" t="s">
        <v>203</v>
      </c>
      <c r="L959" t="s">
        <v>18</v>
      </c>
      <c r="M959" t="s">
        <v>122</v>
      </c>
      <c r="N959" s="6" t="s">
        <v>2956</v>
      </c>
      <c r="O959" t="s">
        <v>2957</v>
      </c>
      <c r="P959" t="s">
        <v>2928</v>
      </c>
      <c r="Q959" t="s">
        <v>2990</v>
      </c>
      <c r="R959" t="s">
        <v>2966</v>
      </c>
      <c r="S959">
        <v>2010</v>
      </c>
      <c r="T959" t="s">
        <v>771</v>
      </c>
      <c r="U959" t="s">
        <v>2875</v>
      </c>
      <c r="V959">
        <v>341</v>
      </c>
      <c r="W959">
        <v>3000</v>
      </c>
      <c r="X959">
        <v>65</v>
      </c>
      <c r="Z959">
        <v>15</v>
      </c>
      <c r="AA959">
        <v>70</v>
      </c>
      <c r="AB959">
        <v>15000</v>
      </c>
      <c r="AC959">
        <v>660</v>
      </c>
      <c r="AD959">
        <v>5</v>
      </c>
      <c r="AE959">
        <v>1.4662757E-2</v>
      </c>
      <c r="AF959">
        <v>20</v>
      </c>
      <c r="AH959" t="s">
        <v>2259</v>
      </c>
      <c r="AI959">
        <v>0.3</v>
      </c>
      <c r="AM959" t="s">
        <v>2960</v>
      </c>
      <c r="AN959" t="s">
        <v>132</v>
      </c>
      <c r="BQ959">
        <v>165.25381229999999</v>
      </c>
      <c r="CE95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59" s="19">
        <f>SUM(Table1[[#This Row],[Mid39]],Table1[[#This Row],[Mid36]],Table1[[#This Row],[Mid33]],Table1[[#This Row],[Mid30]],Table1[[#This Row],[Mid27]],Table1[[#This Row],[Mid24]],Table1[[#This Row],[Mid21]],Table1[[#This Row],[Mid18]],Table1[[#This Row],[Mid15]],Table1[[#This Row],[Mid12]],Table1[[#This Row],[Mid9]],Table1[[#This Row],[Mid6]],Table1[[#This Row],[Mid3]],Table1[[#This Row],[Mid]])</f>
        <v>165.25381229999999</v>
      </c>
      <c r="CG95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59" t="s">
        <v>157</v>
      </c>
      <c r="CI959" t="s">
        <v>176</v>
      </c>
      <c r="CJ959" t="s">
        <v>158</v>
      </c>
      <c r="CL959" s="19">
        <f>IF(Table1[[#This Row],[Type]]="Petroleum",1,IF(ISERROR(Table1[[#This Row],[Well Density]]*Table1[[#This Row],[Single Well Discovery Area]]),"",IF(Table1[[#This Row],[Well Density]]*Table1[[#This Row],[Single Well Discovery Area]]&gt;1,1,Table1[[#This Row],[Well Density]]*Table1[[#This Row],[Single Well Discovery Area]])))</f>
        <v>0.29325514000000003</v>
      </c>
      <c r="CN959" s="19">
        <f>Table1[[#This Row],[Mid]]</f>
        <v>0</v>
      </c>
      <c r="CO959" s="19">
        <f>Table1[[#This Row],[Mid3]]+Table1[[#This Row],[Mid6]]+Table1[[#This Row],[Mid9]]</f>
        <v>0</v>
      </c>
      <c r="CP959" s="19">
        <f>Table1[[#This Row],[Mid12]]+Table1[[#This Row],[Mid15]]+Table1[[#This Row],[Mid18]]+Table1[[#This Row],[Mid21]]+Table1[[#This Row],[Mid24]]</f>
        <v>0</v>
      </c>
      <c r="CQ959" s="19">
        <f>Table1[[#This Row],[Mid27]]+Table1[[#This Row],[Mid30]]+Table1[[#This Row],[Mid33]]+Table1[[#This Row],[Mid36]]+Table1[[#This Row],[Mid39]]</f>
        <v>165.25381229999999</v>
      </c>
      <c r="CR959" t="s">
        <v>415</v>
      </c>
      <c r="CS959" s="19" t="str">
        <f>IF(AND(Table1[[#This Row],[Low41]]=0, Table1[[#This Row],[High43]]=0),"N","Y")</f>
        <v>N</v>
      </c>
    </row>
    <row r="960" spans="1:97" ht="19.5" customHeight="1" x14ac:dyDescent="0.25">
      <c r="A960">
        <v>10960</v>
      </c>
      <c r="B960" t="s">
        <v>2917</v>
      </c>
      <c r="C960" t="s">
        <v>3002</v>
      </c>
      <c r="D960">
        <v>42.330555560000001</v>
      </c>
      <c r="E960">
        <v>-2.8422222220000002</v>
      </c>
      <c r="F960" t="s">
        <v>3012</v>
      </c>
      <c r="G960" t="s">
        <v>2954</v>
      </c>
      <c r="H960" t="s">
        <v>2717</v>
      </c>
      <c r="I960" t="s">
        <v>118</v>
      </c>
      <c r="J960" t="s">
        <v>119</v>
      </c>
      <c r="K960" t="s">
        <v>203</v>
      </c>
      <c r="L960" t="s">
        <v>121</v>
      </c>
      <c r="M960" t="s">
        <v>122</v>
      </c>
      <c r="N960" s="6" t="s">
        <v>2956</v>
      </c>
      <c r="O960" t="s">
        <v>2957</v>
      </c>
      <c r="P960" t="s">
        <v>2928</v>
      </c>
      <c r="Q960" t="s">
        <v>2990</v>
      </c>
      <c r="R960" t="s">
        <v>2966</v>
      </c>
      <c r="S960">
        <v>2010</v>
      </c>
      <c r="T960" t="s">
        <v>771</v>
      </c>
      <c r="U960" t="s">
        <v>2875</v>
      </c>
      <c r="V960">
        <v>341</v>
      </c>
      <c r="W960">
        <v>3000</v>
      </c>
      <c r="X960">
        <v>65</v>
      </c>
      <c r="Z960">
        <v>15</v>
      </c>
      <c r="AA960">
        <v>70</v>
      </c>
      <c r="AB960">
        <v>15000</v>
      </c>
      <c r="AC960">
        <v>660</v>
      </c>
      <c r="AD960">
        <v>5</v>
      </c>
      <c r="AE960">
        <v>1.4662757E-2</v>
      </c>
      <c r="AF960">
        <v>20</v>
      </c>
      <c r="AH960" t="s">
        <v>2259</v>
      </c>
      <c r="AI960">
        <v>0.3</v>
      </c>
      <c r="AM960" t="s">
        <v>2960</v>
      </c>
      <c r="AN960" t="s">
        <v>132</v>
      </c>
      <c r="BN960">
        <v>10.296187679999999</v>
      </c>
      <c r="CE96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60" s="19">
        <f>SUM(Table1[[#This Row],[Mid39]],Table1[[#This Row],[Mid36]],Table1[[#This Row],[Mid33]],Table1[[#This Row],[Mid30]],Table1[[#This Row],[Mid27]],Table1[[#This Row],[Mid24]],Table1[[#This Row],[Mid21]],Table1[[#This Row],[Mid18]],Table1[[#This Row],[Mid15]],Table1[[#This Row],[Mid12]],Table1[[#This Row],[Mid9]],Table1[[#This Row],[Mid6]],Table1[[#This Row],[Mid3]],Table1[[#This Row],[Mid]])</f>
        <v>10.296187679999999</v>
      </c>
      <c r="CG96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60" t="s">
        <v>157</v>
      </c>
      <c r="CI960" t="s">
        <v>176</v>
      </c>
      <c r="CJ960" t="s">
        <v>158</v>
      </c>
      <c r="CL960" s="19">
        <f>IF(Table1[[#This Row],[Type]]="Petroleum",1,IF(ISERROR(Table1[[#This Row],[Well Density]]*Table1[[#This Row],[Single Well Discovery Area]]),"",IF(Table1[[#This Row],[Well Density]]*Table1[[#This Row],[Single Well Discovery Area]]&gt;1,1,Table1[[#This Row],[Well Density]]*Table1[[#This Row],[Single Well Discovery Area]])))</f>
        <v>0.29325514000000003</v>
      </c>
      <c r="CN960" s="19">
        <f>Table1[[#This Row],[Mid]]</f>
        <v>0</v>
      </c>
      <c r="CO960" s="19">
        <f>Table1[[#This Row],[Mid3]]+Table1[[#This Row],[Mid6]]+Table1[[#This Row],[Mid9]]</f>
        <v>0</v>
      </c>
      <c r="CP960" s="19">
        <f>Table1[[#This Row],[Mid12]]+Table1[[#This Row],[Mid15]]+Table1[[#This Row],[Mid18]]+Table1[[#This Row],[Mid21]]+Table1[[#This Row],[Mid24]]</f>
        <v>10.296187679999999</v>
      </c>
      <c r="CQ960" s="19">
        <f>Table1[[#This Row],[Mid27]]+Table1[[#This Row],[Mid30]]+Table1[[#This Row],[Mid33]]+Table1[[#This Row],[Mid36]]+Table1[[#This Row],[Mid39]]</f>
        <v>0</v>
      </c>
      <c r="CR960" t="s">
        <v>415</v>
      </c>
      <c r="CS960" s="19" t="str">
        <f>IF(AND(Table1[[#This Row],[Low41]]=0, Table1[[#This Row],[High43]]=0),"N","Y")</f>
        <v>N</v>
      </c>
    </row>
    <row r="961" spans="1:97" ht="19.5" customHeight="1" x14ac:dyDescent="0.25">
      <c r="A961">
        <v>10961</v>
      </c>
      <c r="B961" t="s">
        <v>2917</v>
      </c>
      <c r="C961" t="s">
        <v>3002</v>
      </c>
      <c r="D961">
        <v>42.318888889999997</v>
      </c>
      <c r="E961">
        <v>-3.994722222</v>
      </c>
      <c r="F961" t="s">
        <v>3013</v>
      </c>
      <c r="G961" t="s">
        <v>2994</v>
      </c>
      <c r="H961" t="s">
        <v>2717</v>
      </c>
      <c r="I961" t="s">
        <v>118</v>
      </c>
      <c r="J961" t="s">
        <v>119</v>
      </c>
      <c r="K961" t="s">
        <v>203</v>
      </c>
      <c r="L961" t="s">
        <v>18</v>
      </c>
      <c r="M961" t="s">
        <v>122</v>
      </c>
      <c r="N961" s="6" t="s">
        <v>2956</v>
      </c>
      <c r="O961" t="s">
        <v>2957</v>
      </c>
      <c r="P961" t="s">
        <v>2928</v>
      </c>
      <c r="Q961" t="s">
        <v>2990</v>
      </c>
      <c r="R961" t="s">
        <v>2966</v>
      </c>
      <c r="S961">
        <v>2010</v>
      </c>
      <c r="T961" t="s">
        <v>771</v>
      </c>
      <c r="U961" t="s">
        <v>2875</v>
      </c>
      <c r="V961">
        <v>207</v>
      </c>
      <c r="W961">
        <v>1500</v>
      </c>
      <c r="X961">
        <v>250</v>
      </c>
      <c r="Z961">
        <v>15</v>
      </c>
      <c r="AA961">
        <v>70</v>
      </c>
      <c r="AB961">
        <v>15000</v>
      </c>
      <c r="AC961">
        <v>600</v>
      </c>
      <c r="AD961">
        <v>6</v>
      </c>
      <c r="AE961">
        <v>2.8985507000000001E-2</v>
      </c>
      <c r="AF961">
        <v>20</v>
      </c>
      <c r="AH961" t="s">
        <v>2259</v>
      </c>
      <c r="AI961">
        <v>0.3</v>
      </c>
      <c r="AM961" t="s">
        <v>2960</v>
      </c>
      <c r="AN961" t="s">
        <v>132</v>
      </c>
      <c r="BQ961">
        <v>473.34487919999998</v>
      </c>
      <c r="CE96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61" s="19">
        <f>SUM(Table1[[#This Row],[Mid39]],Table1[[#This Row],[Mid36]],Table1[[#This Row],[Mid33]],Table1[[#This Row],[Mid30]],Table1[[#This Row],[Mid27]],Table1[[#This Row],[Mid24]],Table1[[#This Row],[Mid21]],Table1[[#This Row],[Mid18]],Table1[[#This Row],[Mid15]],Table1[[#This Row],[Mid12]],Table1[[#This Row],[Mid9]],Table1[[#This Row],[Mid6]],Table1[[#This Row],[Mid3]],Table1[[#This Row],[Mid]])</f>
        <v>473.34487919999998</v>
      </c>
      <c r="CG96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61" t="s">
        <v>157</v>
      </c>
      <c r="CI961" t="s">
        <v>176</v>
      </c>
      <c r="CJ961" t="s">
        <v>158</v>
      </c>
      <c r="CL961" s="19">
        <f>IF(Table1[[#This Row],[Type]]="Petroleum",1,IF(ISERROR(Table1[[#This Row],[Well Density]]*Table1[[#This Row],[Single Well Discovery Area]]),"",IF(Table1[[#This Row],[Well Density]]*Table1[[#This Row],[Single Well Discovery Area]]&gt;1,1,Table1[[#This Row],[Well Density]]*Table1[[#This Row],[Single Well Discovery Area]])))</f>
        <v>0.57971013999999998</v>
      </c>
      <c r="CN961" s="19">
        <f>Table1[[#This Row],[Mid]]</f>
        <v>0</v>
      </c>
      <c r="CO961" s="19">
        <f>Table1[[#This Row],[Mid3]]+Table1[[#This Row],[Mid6]]+Table1[[#This Row],[Mid9]]</f>
        <v>0</v>
      </c>
      <c r="CP961" s="19">
        <f>Table1[[#This Row],[Mid12]]+Table1[[#This Row],[Mid15]]+Table1[[#This Row],[Mid18]]+Table1[[#This Row],[Mid21]]+Table1[[#This Row],[Mid24]]</f>
        <v>0</v>
      </c>
      <c r="CQ961" s="19">
        <f>Table1[[#This Row],[Mid27]]+Table1[[#This Row],[Mid30]]+Table1[[#This Row],[Mid33]]+Table1[[#This Row],[Mid36]]+Table1[[#This Row],[Mid39]]</f>
        <v>473.34487919999998</v>
      </c>
      <c r="CR961" t="s">
        <v>415</v>
      </c>
      <c r="CS961" s="19" t="str">
        <f>IF(AND(Table1[[#This Row],[Low41]]=0, Table1[[#This Row],[High43]]=0),"N","Y")</f>
        <v>N</v>
      </c>
    </row>
    <row r="962" spans="1:97" ht="19.5" customHeight="1" x14ac:dyDescent="0.25">
      <c r="A962">
        <v>10962</v>
      </c>
      <c r="B962" t="s">
        <v>2917</v>
      </c>
      <c r="C962" t="s">
        <v>3002</v>
      </c>
      <c r="D962">
        <v>42.318888889999997</v>
      </c>
      <c r="E962">
        <v>-3.994444444</v>
      </c>
      <c r="F962" t="s">
        <v>3014</v>
      </c>
      <c r="G962" t="s">
        <v>2994</v>
      </c>
      <c r="H962" t="s">
        <v>2717</v>
      </c>
      <c r="I962" t="s">
        <v>118</v>
      </c>
      <c r="J962" t="s">
        <v>119</v>
      </c>
      <c r="K962" t="s">
        <v>203</v>
      </c>
      <c r="L962" t="s">
        <v>121</v>
      </c>
      <c r="M962" t="s">
        <v>122</v>
      </c>
      <c r="N962" s="6" t="s">
        <v>2956</v>
      </c>
      <c r="O962" t="s">
        <v>2957</v>
      </c>
      <c r="P962" t="s">
        <v>2928</v>
      </c>
      <c r="Q962" t="s">
        <v>2990</v>
      </c>
      <c r="R962" t="s">
        <v>2966</v>
      </c>
      <c r="S962">
        <v>2010</v>
      </c>
      <c r="T962" t="s">
        <v>771</v>
      </c>
      <c r="U962" t="s">
        <v>2875</v>
      </c>
      <c r="V962">
        <v>207</v>
      </c>
      <c r="W962">
        <v>1500</v>
      </c>
      <c r="X962">
        <v>250</v>
      </c>
      <c r="Z962">
        <v>15</v>
      </c>
      <c r="AA962">
        <v>70</v>
      </c>
      <c r="AB962">
        <v>15000</v>
      </c>
      <c r="AC962">
        <v>600</v>
      </c>
      <c r="AD962">
        <v>6</v>
      </c>
      <c r="AE962">
        <v>2.8985507000000001E-2</v>
      </c>
      <c r="AF962">
        <v>20</v>
      </c>
      <c r="AH962" t="s">
        <v>2259</v>
      </c>
      <c r="AI962">
        <v>0.3</v>
      </c>
      <c r="AM962" t="s">
        <v>2960</v>
      </c>
      <c r="AN962" t="s">
        <v>132</v>
      </c>
      <c r="BN962">
        <v>50.625120770000002</v>
      </c>
      <c r="CE96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62" s="19">
        <f>SUM(Table1[[#This Row],[Mid39]],Table1[[#This Row],[Mid36]],Table1[[#This Row],[Mid33]],Table1[[#This Row],[Mid30]],Table1[[#This Row],[Mid27]],Table1[[#This Row],[Mid24]],Table1[[#This Row],[Mid21]],Table1[[#This Row],[Mid18]],Table1[[#This Row],[Mid15]],Table1[[#This Row],[Mid12]],Table1[[#This Row],[Mid9]],Table1[[#This Row],[Mid6]],Table1[[#This Row],[Mid3]],Table1[[#This Row],[Mid]])</f>
        <v>50.625120770000002</v>
      </c>
      <c r="CG96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62" t="s">
        <v>157</v>
      </c>
      <c r="CI962" t="s">
        <v>176</v>
      </c>
      <c r="CJ962" t="s">
        <v>158</v>
      </c>
      <c r="CL962" s="19">
        <f>IF(Table1[[#This Row],[Type]]="Petroleum",1,IF(ISERROR(Table1[[#This Row],[Well Density]]*Table1[[#This Row],[Single Well Discovery Area]]),"",IF(Table1[[#This Row],[Well Density]]*Table1[[#This Row],[Single Well Discovery Area]]&gt;1,1,Table1[[#This Row],[Well Density]]*Table1[[#This Row],[Single Well Discovery Area]])))</f>
        <v>0.57971013999999998</v>
      </c>
      <c r="CN962" s="19">
        <f>Table1[[#This Row],[Mid]]</f>
        <v>0</v>
      </c>
      <c r="CO962" s="19">
        <f>Table1[[#This Row],[Mid3]]+Table1[[#This Row],[Mid6]]+Table1[[#This Row],[Mid9]]</f>
        <v>0</v>
      </c>
      <c r="CP962" s="19">
        <f>Table1[[#This Row],[Mid12]]+Table1[[#This Row],[Mid15]]+Table1[[#This Row],[Mid18]]+Table1[[#This Row],[Mid21]]+Table1[[#This Row],[Mid24]]</f>
        <v>50.625120770000002</v>
      </c>
      <c r="CQ962" s="19">
        <f>Table1[[#This Row],[Mid27]]+Table1[[#This Row],[Mid30]]+Table1[[#This Row],[Mid33]]+Table1[[#This Row],[Mid36]]+Table1[[#This Row],[Mid39]]</f>
        <v>0</v>
      </c>
      <c r="CR962" t="s">
        <v>415</v>
      </c>
      <c r="CS962" s="19" t="str">
        <f>IF(AND(Table1[[#This Row],[Low41]]=0, Table1[[#This Row],[High43]]=0),"N","Y")</f>
        <v>N</v>
      </c>
    </row>
    <row r="963" spans="1:97" ht="19.5" customHeight="1" x14ac:dyDescent="0.25">
      <c r="A963">
        <v>10963</v>
      </c>
      <c r="B963" t="s">
        <v>2917</v>
      </c>
      <c r="C963" t="s">
        <v>3002</v>
      </c>
      <c r="D963">
        <v>42.318333330000002</v>
      </c>
      <c r="E963">
        <v>-3.994166667</v>
      </c>
      <c r="F963" t="s">
        <v>3015</v>
      </c>
      <c r="G963" t="s">
        <v>2994</v>
      </c>
      <c r="H963" t="s">
        <v>3016</v>
      </c>
      <c r="I963" t="s">
        <v>118</v>
      </c>
      <c r="J963" t="s">
        <v>119</v>
      </c>
      <c r="K963" t="s">
        <v>203</v>
      </c>
      <c r="L963" t="s">
        <v>121</v>
      </c>
      <c r="M963" t="s">
        <v>122</v>
      </c>
      <c r="N963" s="6" t="s">
        <v>2956</v>
      </c>
      <c r="O963" t="s">
        <v>2957</v>
      </c>
      <c r="P963" t="s">
        <v>2928</v>
      </c>
      <c r="Q963" t="s">
        <v>2990</v>
      </c>
      <c r="R963" t="s">
        <v>2976</v>
      </c>
      <c r="S963">
        <v>2010</v>
      </c>
      <c r="T963" t="s">
        <v>771</v>
      </c>
      <c r="U963" t="s">
        <v>2875</v>
      </c>
      <c r="V963">
        <v>190</v>
      </c>
      <c r="W963">
        <v>1750</v>
      </c>
      <c r="X963">
        <v>190</v>
      </c>
      <c r="Z963">
        <v>15</v>
      </c>
      <c r="AA963">
        <v>70</v>
      </c>
      <c r="AB963">
        <v>15000</v>
      </c>
      <c r="AC963">
        <v>358.2</v>
      </c>
      <c r="AD963">
        <v>6</v>
      </c>
      <c r="AE963">
        <v>3.1578947000000003E-2</v>
      </c>
      <c r="AF963">
        <v>200</v>
      </c>
      <c r="AH963" t="s">
        <v>2259</v>
      </c>
      <c r="AI963">
        <v>0.3</v>
      </c>
      <c r="AM963" t="s">
        <v>2960</v>
      </c>
      <c r="AN963" t="s">
        <v>132</v>
      </c>
      <c r="BN963">
        <v>358.2</v>
      </c>
      <c r="CE96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63" s="19">
        <f>SUM(Table1[[#This Row],[Mid39]],Table1[[#This Row],[Mid36]],Table1[[#This Row],[Mid33]],Table1[[#This Row],[Mid30]],Table1[[#This Row],[Mid27]],Table1[[#This Row],[Mid24]],Table1[[#This Row],[Mid21]],Table1[[#This Row],[Mid18]],Table1[[#This Row],[Mid15]],Table1[[#This Row],[Mid12]],Table1[[#This Row],[Mid9]],Table1[[#This Row],[Mid6]],Table1[[#This Row],[Mid3]],Table1[[#This Row],[Mid]])</f>
        <v>358.2</v>
      </c>
      <c r="CG96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63" t="s">
        <v>157</v>
      </c>
      <c r="CI963" t="s">
        <v>134</v>
      </c>
      <c r="CJ963" t="s">
        <v>158</v>
      </c>
      <c r="CL963" s="19">
        <f>IF(Table1[[#This Row],[Type]]="Petroleum",1,IF(ISERROR(Table1[[#This Row],[Well Density]]*Table1[[#This Row],[Single Well Discovery Area]]),"",IF(Table1[[#This Row],[Well Density]]*Table1[[#This Row],[Single Well Discovery Area]]&gt;1,1,Table1[[#This Row],[Well Density]]*Table1[[#This Row],[Single Well Discovery Area]])))</f>
        <v>1</v>
      </c>
      <c r="CN963" s="19">
        <f>Table1[[#This Row],[Mid]]</f>
        <v>0</v>
      </c>
      <c r="CO963" s="19">
        <f>Table1[[#This Row],[Mid3]]+Table1[[#This Row],[Mid6]]+Table1[[#This Row],[Mid9]]</f>
        <v>0</v>
      </c>
      <c r="CP963" s="19">
        <f>Table1[[#This Row],[Mid12]]+Table1[[#This Row],[Mid15]]+Table1[[#This Row],[Mid18]]+Table1[[#This Row],[Mid21]]+Table1[[#This Row],[Mid24]]</f>
        <v>358.2</v>
      </c>
      <c r="CQ963" s="19">
        <f>Table1[[#This Row],[Mid27]]+Table1[[#This Row],[Mid30]]+Table1[[#This Row],[Mid33]]+Table1[[#This Row],[Mid36]]+Table1[[#This Row],[Mid39]]</f>
        <v>0</v>
      </c>
      <c r="CR963" t="s">
        <v>415</v>
      </c>
      <c r="CS963" s="19" t="str">
        <f>IF(AND(Table1[[#This Row],[Low41]]=0, Table1[[#This Row],[High43]]=0),"N","Y")</f>
        <v>N</v>
      </c>
    </row>
    <row r="964" spans="1:97" ht="19.5" customHeight="1" x14ac:dyDescent="0.25">
      <c r="A964">
        <v>10964</v>
      </c>
      <c r="B964" t="s">
        <v>2917</v>
      </c>
      <c r="C964" t="s">
        <v>3002</v>
      </c>
      <c r="D964">
        <v>42.301666670000003</v>
      </c>
      <c r="E964">
        <v>-3.9591666669999999</v>
      </c>
      <c r="F964" t="s">
        <v>3017</v>
      </c>
      <c r="G964" t="s">
        <v>2994</v>
      </c>
      <c r="H964" t="s">
        <v>3016</v>
      </c>
      <c r="I964" t="s">
        <v>118</v>
      </c>
      <c r="J964" t="s">
        <v>119</v>
      </c>
      <c r="K964" t="s">
        <v>203</v>
      </c>
      <c r="L964" t="s">
        <v>121</v>
      </c>
      <c r="M964" t="s">
        <v>122</v>
      </c>
      <c r="N964" s="6" t="s">
        <v>2956</v>
      </c>
      <c r="O964" t="s">
        <v>2957</v>
      </c>
      <c r="P964" t="s">
        <v>2928</v>
      </c>
      <c r="Q964" t="s">
        <v>2990</v>
      </c>
      <c r="R964" t="s">
        <v>2976</v>
      </c>
      <c r="S964">
        <v>2010</v>
      </c>
      <c r="T964" t="s">
        <v>771</v>
      </c>
      <c r="U964" t="s">
        <v>2875</v>
      </c>
      <c r="V964">
        <v>103</v>
      </c>
      <c r="W964">
        <v>1950</v>
      </c>
      <c r="X964">
        <v>15</v>
      </c>
      <c r="Z964">
        <v>24</v>
      </c>
      <c r="AA964">
        <v>70</v>
      </c>
      <c r="AB964">
        <v>15000</v>
      </c>
      <c r="AC964">
        <v>640</v>
      </c>
      <c r="AD964">
        <v>6</v>
      </c>
      <c r="AE964">
        <v>5.8252427000000002E-2</v>
      </c>
      <c r="AF964">
        <v>20</v>
      </c>
      <c r="AH964" t="s">
        <v>2259</v>
      </c>
      <c r="AI964">
        <v>0.3</v>
      </c>
      <c r="AM964" t="s">
        <v>2960</v>
      </c>
      <c r="AN964" t="s">
        <v>132</v>
      </c>
      <c r="BN964">
        <v>32.04</v>
      </c>
      <c r="CE96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64" s="19">
        <f>SUM(Table1[[#This Row],[Mid39]],Table1[[#This Row],[Mid36]],Table1[[#This Row],[Mid33]],Table1[[#This Row],[Mid30]],Table1[[#This Row],[Mid27]],Table1[[#This Row],[Mid24]],Table1[[#This Row],[Mid21]],Table1[[#This Row],[Mid18]],Table1[[#This Row],[Mid15]],Table1[[#This Row],[Mid12]],Table1[[#This Row],[Mid9]],Table1[[#This Row],[Mid6]],Table1[[#This Row],[Mid3]],Table1[[#This Row],[Mid]])</f>
        <v>32.04</v>
      </c>
      <c r="CG96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64" t="s">
        <v>157</v>
      </c>
      <c r="CI964" t="s">
        <v>176</v>
      </c>
      <c r="CJ964" t="s">
        <v>158</v>
      </c>
      <c r="CL964" s="19">
        <f>IF(Table1[[#This Row],[Type]]="Petroleum",1,IF(ISERROR(Table1[[#This Row],[Well Density]]*Table1[[#This Row],[Single Well Discovery Area]]),"",IF(Table1[[#This Row],[Well Density]]*Table1[[#This Row],[Single Well Discovery Area]]&gt;1,1,Table1[[#This Row],[Well Density]]*Table1[[#This Row],[Single Well Discovery Area]])))</f>
        <v>1</v>
      </c>
      <c r="CN964" s="19">
        <f>Table1[[#This Row],[Mid]]</f>
        <v>0</v>
      </c>
      <c r="CO964" s="19">
        <f>Table1[[#This Row],[Mid3]]+Table1[[#This Row],[Mid6]]+Table1[[#This Row],[Mid9]]</f>
        <v>0</v>
      </c>
      <c r="CP964" s="19">
        <f>Table1[[#This Row],[Mid12]]+Table1[[#This Row],[Mid15]]+Table1[[#This Row],[Mid18]]+Table1[[#This Row],[Mid21]]+Table1[[#This Row],[Mid24]]</f>
        <v>32.04</v>
      </c>
      <c r="CQ964" s="19">
        <f>Table1[[#This Row],[Mid27]]+Table1[[#This Row],[Mid30]]+Table1[[#This Row],[Mid33]]+Table1[[#This Row],[Mid36]]+Table1[[#This Row],[Mid39]]</f>
        <v>0</v>
      </c>
      <c r="CR964" t="s">
        <v>415</v>
      </c>
      <c r="CS964" s="19" t="str">
        <f>IF(AND(Table1[[#This Row],[Low41]]=0, Table1[[#This Row],[High43]]=0),"N","Y")</f>
        <v>N</v>
      </c>
    </row>
    <row r="965" spans="1:97" ht="19.5" customHeight="1" x14ac:dyDescent="0.25">
      <c r="A965">
        <v>10965</v>
      </c>
      <c r="B965" t="s">
        <v>2917</v>
      </c>
      <c r="C965" t="s">
        <v>3002</v>
      </c>
      <c r="D965">
        <v>42.318333330000002</v>
      </c>
      <c r="E965">
        <v>-3.994444444</v>
      </c>
      <c r="F965" t="s">
        <v>3018</v>
      </c>
      <c r="G965" t="s">
        <v>2994</v>
      </c>
      <c r="H965" t="s">
        <v>2955</v>
      </c>
      <c r="I965" t="s">
        <v>118</v>
      </c>
      <c r="J965" t="s">
        <v>119</v>
      </c>
      <c r="K965" t="s">
        <v>203</v>
      </c>
      <c r="L965" t="s">
        <v>121</v>
      </c>
      <c r="M965" t="s">
        <v>3004</v>
      </c>
      <c r="N965" s="6" t="s">
        <v>2956</v>
      </c>
      <c r="O965" t="s">
        <v>2957</v>
      </c>
      <c r="P965" t="s">
        <v>2928</v>
      </c>
      <c r="Q965" t="s">
        <v>2990</v>
      </c>
      <c r="R965" t="s">
        <v>2976</v>
      </c>
      <c r="S965">
        <v>2010</v>
      </c>
      <c r="T965" t="s">
        <v>771</v>
      </c>
      <c r="U965" t="s">
        <v>2875</v>
      </c>
      <c r="V965">
        <v>171</v>
      </c>
      <c r="W965">
        <v>1965</v>
      </c>
      <c r="X965">
        <v>230</v>
      </c>
      <c r="Z965">
        <v>18</v>
      </c>
      <c r="AA965">
        <v>10</v>
      </c>
      <c r="AB965">
        <v>15000</v>
      </c>
      <c r="AC965">
        <v>650</v>
      </c>
      <c r="AD965">
        <v>6</v>
      </c>
      <c r="AE965">
        <v>3.5087719000000003E-2</v>
      </c>
      <c r="AF965">
        <v>200</v>
      </c>
      <c r="AH965" t="s">
        <v>2259</v>
      </c>
      <c r="AI965">
        <v>0.3</v>
      </c>
      <c r="AM965" t="s">
        <v>2960</v>
      </c>
      <c r="AN965" t="s">
        <v>132</v>
      </c>
      <c r="BN965">
        <v>242.97</v>
      </c>
      <c r="CE96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65" s="19">
        <f>SUM(Table1[[#This Row],[Mid39]],Table1[[#This Row],[Mid36]],Table1[[#This Row],[Mid33]],Table1[[#This Row],[Mid30]],Table1[[#This Row],[Mid27]],Table1[[#This Row],[Mid24]],Table1[[#This Row],[Mid21]],Table1[[#This Row],[Mid18]],Table1[[#This Row],[Mid15]],Table1[[#This Row],[Mid12]],Table1[[#This Row],[Mid9]],Table1[[#This Row],[Mid6]],Table1[[#This Row],[Mid3]],Table1[[#This Row],[Mid]])</f>
        <v>242.97</v>
      </c>
      <c r="CG96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65" t="s">
        <v>157</v>
      </c>
      <c r="CI965" t="s">
        <v>134</v>
      </c>
      <c r="CJ965" t="s">
        <v>158</v>
      </c>
      <c r="CL965" s="19">
        <f>IF(Table1[[#This Row],[Type]]="Petroleum",1,IF(ISERROR(Table1[[#This Row],[Well Density]]*Table1[[#This Row],[Single Well Discovery Area]]),"",IF(Table1[[#This Row],[Well Density]]*Table1[[#This Row],[Single Well Discovery Area]]&gt;1,1,Table1[[#This Row],[Well Density]]*Table1[[#This Row],[Single Well Discovery Area]])))</f>
        <v>1</v>
      </c>
      <c r="CN965" s="19">
        <f>Table1[[#This Row],[Mid]]</f>
        <v>0</v>
      </c>
      <c r="CO965" s="19">
        <f>Table1[[#This Row],[Mid3]]+Table1[[#This Row],[Mid6]]+Table1[[#This Row],[Mid9]]</f>
        <v>0</v>
      </c>
      <c r="CP965" s="19">
        <f>Table1[[#This Row],[Mid12]]+Table1[[#This Row],[Mid15]]+Table1[[#This Row],[Mid18]]+Table1[[#This Row],[Mid21]]+Table1[[#This Row],[Mid24]]</f>
        <v>242.97</v>
      </c>
      <c r="CQ965" s="19">
        <f>Table1[[#This Row],[Mid27]]+Table1[[#This Row],[Mid30]]+Table1[[#This Row],[Mid33]]+Table1[[#This Row],[Mid36]]+Table1[[#This Row],[Mid39]]</f>
        <v>0</v>
      </c>
      <c r="CR965" t="s">
        <v>415</v>
      </c>
      <c r="CS965" s="19" t="str">
        <f>IF(AND(Table1[[#This Row],[Low41]]=0, Table1[[#This Row],[High43]]=0),"N","Y")</f>
        <v>N</v>
      </c>
    </row>
    <row r="966" spans="1:97" ht="19.5" customHeight="1" x14ac:dyDescent="0.25">
      <c r="A966">
        <v>10966</v>
      </c>
      <c r="B966" t="s">
        <v>2917</v>
      </c>
      <c r="C966" t="s">
        <v>3002</v>
      </c>
      <c r="D966">
        <v>41.683333330000004</v>
      </c>
      <c r="E966">
        <v>-4.7402777780000003</v>
      </c>
      <c r="F966" t="s">
        <v>3019</v>
      </c>
      <c r="G966" t="s">
        <v>2994</v>
      </c>
      <c r="H966" t="s">
        <v>191</v>
      </c>
      <c r="I966" t="s">
        <v>118</v>
      </c>
      <c r="J966" t="s">
        <v>119</v>
      </c>
      <c r="K966" t="s">
        <v>203</v>
      </c>
      <c r="L966" t="s">
        <v>18</v>
      </c>
      <c r="M966" t="s">
        <v>122</v>
      </c>
      <c r="N966" s="6" t="s">
        <v>2956</v>
      </c>
      <c r="O966" t="s">
        <v>2957</v>
      </c>
      <c r="P966" t="s">
        <v>2928</v>
      </c>
      <c r="Q966" t="s">
        <v>2990</v>
      </c>
      <c r="R966" t="s">
        <v>2966</v>
      </c>
      <c r="S966">
        <v>2010</v>
      </c>
      <c r="T966" t="s">
        <v>771</v>
      </c>
      <c r="U966" t="s">
        <v>2875</v>
      </c>
      <c r="V966">
        <v>1158</v>
      </c>
      <c r="W966">
        <v>1050</v>
      </c>
      <c r="X966">
        <v>120</v>
      </c>
      <c r="Z966">
        <v>21</v>
      </c>
      <c r="AA966">
        <v>70</v>
      </c>
      <c r="AB966">
        <v>15000</v>
      </c>
      <c r="AC966">
        <v>560</v>
      </c>
      <c r="AD966">
        <v>1</v>
      </c>
      <c r="AE966">
        <v>8.6355799999999995E-4</v>
      </c>
      <c r="AF966">
        <v>20</v>
      </c>
      <c r="AH966" t="s">
        <v>2259</v>
      </c>
      <c r="AI966">
        <v>0.3</v>
      </c>
      <c r="AM966" t="s">
        <v>2960</v>
      </c>
      <c r="AN966" t="s">
        <v>132</v>
      </c>
      <c r="BQ966">
        <v>2569.5116229999999</v>
      </c>
      <c r="CE96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66" s="19">
        <f>SUM(Table1[[#This Row],[Mid39]],Table1[[#This Row],[Mid36]],Table1[[#This Row],[Mid33]],Table1[[#This Row],[Mid30]],Table1[[#This Row],[Mid27]],Table1[[#This Row],[Mid24]],Table1[[#This Row],[Mid21]],Table1[[#This Row],[Mid18]],Table1[[#This Row],[Mid15]],Table1[[#This Row],[Mid12]],Table1[[#This Row],[Mid9]],Table1[[#This Row],[Mid6]],Table1[[#This Row],[Mid3]],Table1[[#This Row],[Mid]])</f>
        <v>2569.5116229999999</v>
      </c>
      <c r="CG96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66" t="s">
        <v>157</v>
      </c>
      <c r="CI966" t="s">
        <v>176</v>
      </c>
      <c r="CJ966" t="s">
        <v>158</v>
      </c>
      <c r="CL966" s="19">
        <f>IF(Table1[[#This Row],[Type]]="Petroleum",1,IF(ISERROR(Table1[[#This Row],[Well Density]]*Table1[[#This Row],[Single Well Discovery Area]]),"",IF(Table1[[#This Row],[Well Density]]*Table1[[#This Row],[Single Well Discovery Area]]&gt;1,1,Table1[[#This Row],[Well Density]]*Table1[[#This Row],[Single Well Discovery Area]])))</f>
        <v>1.7271160000000001E-2</v>
      </c>
      <c r="CN966" s="19">
        <f>Table1[[#This Row],[Mid]]</f>
        <v>0</v>
      </c>
      <c r="CO966" s="19">
        <f>Table1[[#This Row],[Mid3]]+Table1[[#This Row],[Mid6]]+Table1[[#This Row],[Mid9]]</f>
        <v>0</v>
      </c>
      <c r="CP966" s="19">
        <f>Table1[[#This Row],[Mid12]]+Table1[[#This Row],[Mid15]]+Table1[[#This Row],[Mid18]]+Table1[[#This Row],[Mid21]]+Table1[[#This Row],[Mid24]]</f>
        <v>0</v>
      </c>
      <c r="CQ966" s="19">
        <f>Table1[[#This Row],[Mid27]]+Table1[[#This Row],[Mid30]]+Table1[[#This Row],[Mid33]]+Table1[[#This Row],[Mid36]]+Table1[[#This Row],[Mid39]]</f>
        <v>2569.5116229999999</v>
      </c>
      <c r="CR966" t="s">
        <v>415</v>
      </c>
      <c r="CS966" s="19" t="str">
        <f>IF(AND(Table1[[#This Row],[Low41]]=0, Table1[[#This Row],[High43]]=0),"N","Y")</f>
        <v>N</v>
      </c>
    </row>
    <row r="967" spans="1:97" ht="19.5" customHeight="1" x14ac:dyDescent="0.25">
      <c r="A967">
        <v>10967</v>
      </c>
      <c r="B967" t="s">
        <v>2917</v>
      </c>
      <c r="C967" t="s">
        <v>3002</v>
      </c>
      <c r="D967">
        <v>41.683333330000004</v>
      </c>
      <c r="E967">
        <v>-4.74</v>
      </c>
      <c r="F967" t="s">
        <v>3020</v>
      </c>
      <c r="G967" t="s">
        <v>2994</v>
      </c>
      <c r="H967" t="s">
        <v>191</v>
      </c>
      <c r="I967" t="s">
        <v>118</v>
      </c>
      <c r="J967" t="s">
        <v>119</v>
      </c>
      <c r="K967" t="s">
        <v>203</v>
      </c>
      <c r="L967" t="s">
        <v>121</v>
      </c>
      <c r="M967" t="s">
        <v>122</v>
      </c>
      <c r="N967" s="6" t="s">
        <v>2956</v>
      </c>
      <c r="O967" t="s">
        <v>2957</v>
      </c>
      <c r="P967" t="s">
        <v>2928</v>
      </c>
      <c r="Q967" t="s">
        <v>2990</v>
      </c>
      <c r="R967" t="s">
        <v>2966</v>
      </c>
      <c r="S967">
        <v>2010</v>
      </c>
      <c r="T967" t="s">
        <v>771</v>
      </c>
      <c r="U967" t="s">
        <v>2875</v>
      </c>
      <c r="V967">
        <v>1158</v>
      </c>
      <c r="W967">
        <v>1050</v>
      </c>
      <c r="X967">
        <v>120</v>
      </c>
      <c r="Z967">
        <v>21</v>
      </c>
      <c r="AA967">
        <v>70</v>
      </c>
      <c r="AB967">
        <v>15000</v>
      </c>
      <c r="AC967">
        <v>560</v>
      </c>
      <c r="AD967">
        <v>1</v>
      </c>
      <c r="AE967">
        <v>8.6355799999999995E-4</v>
      </c>
      <c r="AF967">
        <v>20</v>
      </c>
      <c r="AH967" t="s">
        <v>2259</v>
      </c>
      <c r="AI967">
        <v>0.3</v>
      </c>
      <c r="AM967" t="s">
        <v>2960</v>
      </c>
      <c r="AN967" t="s">
        <v>132</v>
      </c>
      <c r="BN967">
        <v>45.158376509999997</v>
      </c>
      <c r="CE96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67" s="19">
        <f>SUM(Table1[[#This Row],[Mid39]],Table1[[#This Row],[Mid36]],Table1[[#This Row],[Mid33]],Table1[[#This Row],[Mid30]],Table1[[#This Row],[Mid27]],Table1[[#This Row],[Mid24]],Table1[[#This Row],[Mid21]],Table1[[#This Row],[Mid18]],Table1[[#This Row],[Mid15]],Table1[[#This Row],[Mid12]],Table1[[#This Row],[Mid9]],Table1[[#This Row],[Mid6]],Table1[[#This Row],[Mid3]],Table1[[#This Row],[Mid]])</f>
        <v>45.158376509999997</v>
      </c>
      <c r="CG96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67" t="s">
        <v>157</v>
      </c>
      <c r="CI967" t="s">
        <v>176</v>
      </c>
      <c r="CJ967" t="s">
        <v>158</v>
      </c>
      <c r="CL967" s="19">
        <f>IF(Table1[[#This Row],[Type]]="Petroleum",1,IF(ISERROR(Table1[[#This Row],[Well Density]]*Table1[[#This Row],[Single Well Discovery Area]]),"",IF(Table1[[#This Row],[Well Density]]*Table1[[#This Row],[Single Well Discovery Area]]&gt;1,1,Table1[[#This Row],[Well Density]]*Table1[[#This Row],[Single Well Discovery Area]])))</f>
        <v>1.7271160000000001E-2</v>
      </c>
      <c r="CN967" s="19">
        <f>Table1[[#This Row],[Mid]]</f>
        <v>0</v>
      </c>
      <c r="CO967" s="19">
        <f>Table1[[#This Row],[Mid3]]+Table1[[#This Row],[Mid6]]+Table1[[#This Row],[Mid9]]</f>
        <v>0</v>
      </c>
      <c r="CP967" s="19">
        <f>Table1[[#This Row],[Mid12]]+Table1[[#This Row],[Mid15]]+Table1[[#This Row],[Mid18]]+Table1[[#This Row],[Mid21]]+Table1[[#This Row],[Mid24]]</f>
        <v>45.158376509999997</v>
      </c>
      <c r="CQ967" s="19">
        <f>Table1[[#This Row],[Mid27]]+Table1[[#This Row],[Mid30]]+Table1[[#This Row],[Mid33]]+Table1[[#This Row],[Mid36]]+Table1[[#This Row],[Mid39]]</f>
        <v>0</v>
      </c>
      <c r="CR967" t="s">
        <v>415</v>
      </c>
      <c r="CS967" s="19" t="str">
        <f>IF(AND(Table1[[#This Row],[Low41]]=0, Table1[[#This Row],[High43]]=0),"N","Y")</f>
        <v>N</v>
      </c>
    </row>
    <row r="968" spans="1:97" ht="19.5" customHeight="1" x14ac:dyDescent="0.25">
      <c r="A968">
        <v>10968</v>
      </c>
      <c r="B968" t="s">
        <v>2917</v>
      </c>
      <c r="C968" t="s">
        <v>3002</v>
      </c>
      <c r="D968">
        <v>41.683888889999999</v>
      </c>
      <c r="E968">
        <v>-4.7408333330000003</v>
      </c>
      <c r="F968" t="s">
        <v>3021</v>
      </c>
      <c r="G968" t="s">
        <v>2994</v>
      </c>
      <c r="H968" t="s">
        <v>3016</v>
      </c>
      <c r="I968" t="s">
        <v>118</v>
      </c>
      <c r="J968" t="s">
        <v>119</v>
      </c>
      <c r="K968" t="s">
        <v>203</v>
      </c>
      <c r="L968" t="s">
        <v>18</v>
      </c>
      <c r="M968" t="s">
        <v>122</v>
      </c>
      <c r="N968" s="6" t="s">
        <v>2956</v>
      </c>
      <c r="O968" t="s">
        <v>2957</v>
      </c>
      <c r="P968" t="s">
        <v>2928</v>
      </c>
      <c r="Q968" t="s">
        <v>2990</v>
      </c>
      <c r="R968" t="s">
        <v>2966</v>
      </c>
      <c r="S968">
        <v>2010</v>
      </c>
      <c r="T968" t="s">
        <v>771</v>
      </c>
      <c r="U968" t="s">
        <v>2875</v>
      </c>
      <c r="V968">
        <v>1089</v>
      </c>
      <c r="W968">
        <v>1170</v>
      </c>
      <c r="X968">
        <v>40</v>
      </c>
      <c r="Z968">
        <v>22</v>
      </c>
      <c r="AA968">
        <v>70</v>
      </c>
      <c r="AB968">
        <v>15000</v>
      </c>
      <c r="AC968">
        <v>570</v>
      </c>
      <c r="AD968">
        <v>1</v>
      </c>
      <c r="AE968">
        <v>9.1827399999999996E-4</v>
      </c>
      <c r="AF968">
        <v>200</v>
      </c>
      <c r="AH968" t="s">
        <v>2259</v>
      </c>
      <c r="AI968">
        <v>0.3</v>
      </c>
      <c r="AM968" t="s">
        <v>2960</v>
      </c>
      <c r="AN968" t="s">
        <v>132</v>
      </c>
      <c r="BQ968">
        <v>713.47760330000006</v>
      </c>
      <c r="CE96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68" s="19">
        <f>SUM(Table1[[#This Row],[Mid39]],Table1[[#This Row],[Mid36]],Table1[[#This Row],[Mid33]],Table1[[#This Row],[Mid30]],Table1[[#This Row],[Mid27]],Table1[[#This Row],[Mid24]],Table1[[#This Row],[Mid21]],Table1[[#This Row],[Mid18]],Table1[[#This Row],[Mid15]],Table1[[#This Row],[Mid12]],Table1[[#This Row],[Mid9]],Table1[[#This Row],[Mid6]],Table1[[#This Row],[Mid3]],Table1[[#This Row],[Mid]])</f>
        <v>713.47760330000006</v>
      </c>
      <c r="CG96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68" t="s">
        <v>157</v>
      </c>
      <c r="CI968" t="s">
        <v>134</v>
      </c>
      <c r="CJ968" t="s">
        <v>158</v>
      </c>
      <c r="CL968" s="19">
        <f>IF(Table1[[#This Row],[Type]]="Petroleum",1,IF(ISERROR(Table1[[#This Row],[Well Density]]*Table1[[#This Row],[Single Well Discovery Area]]),"",IF(Table1[[#This Row],[Well Density]]*Table1[[#This Row],[Single Well Discovery Area]]&gt;1,1,Table1[[#This Row],[Well Density]]*Table1[[#This Row],[Single Well Discovery Area]])))</f>
        <v>0.18365479999999998</v>
      </c>
      <c r="CN968" s="19">
        <f>Table1[[#This Row],[Mid]]</f>
        <v>0</v>
      </c>
      <c r="CO968" s="19">
        <f>Table1[[#This Row],[Mid3]]+Table1[[#This Row],[Mid6]]+Table1[[#This Row],[Mid9]]</f>
        <v>0</v>
      </c>
      <c r="CP968" s="19">
        <f>Table1[[#This Row],[Mid12]]+Table1[[#This Row],[Mid15]]+Table1[[#This Row],[Mid18]]+Table1[[#This Row],[Mid21]]+Table1[[#This Row],[Mid24]]</f>
        <v>0</v>
      </c>
      <c r="CQ968" s="19">
        <f>Table1[[#This Row],[Mid27]]+Table1[[#This Row],[Mid30]]+Table1[[#This Row],[Mid33]]+Table1[[#This Row],[Mid36]]+Table1[[#This Row],[Mid39]]</f>
        <v>713.47760330000006</v>
      </c>
      <c r="CR968" t="s">
        <v>415</v>
      </c>
      <c r="CS968" s="19" t="str">
        <f>IF(AND(Table1[[#This Row],[Low41]]=0, Table1[[#This Row],[High43]]=0),"N","Y")</f>
        <v>N</v>
      </c>
    </row>
    <row r="969" spans="1:97" ht="19.5" customHeight="1" x14ac:dyDescent="0.25">
      <c r="A969">
        <v>10969</v>
      </c>
      <c r="B969" t="s">
        <v>2917</v>
      </c>
      <c r="C969" t="s">
        <v>3002</v>
      </c>
      <c r="D969">
        <v>41.683888889999999</v>
      </c>
      <c r="E969">
        <v>-4.7405555560000003</v>
      </c>
      <c r="F969" t="s">
        <v>3022</v>
      </c>
      <c r="G969" t="s">
        <v>2994</v>
      </c>
      <c r="H969" t="s">
        <v>3016</v>
      </c>
      <c r="I969" t="s">
        <v>118</v>
      </c>
      <c r="J969" t="s">
        <v>119</v>
      </c>
      <c r="K969" t="s">
        <v>203</v>
      </c>
      <c r="L969" t="s">
        <v>121</v>
      </c>
      <c r="M969" t="s">
        <v>122</v>
      </c>
      <c r="N969" s="6" t="s">
        <v>2956</v>
      </c>
      <c r="O969" t="s">
        <v>2957</v>
      </c>
      <c r="P969" t="s">
        <v>2928</v>
      </c>
      <c r="Q969" t="s">
        <v>2990</v>
      </c>
      <c r="R969" t="s">
        <v>2966</v>
      </c>
      <c r="S969">
        <v>2010</v>
      </c>
      <c r="T969" t="s">
        <v>771</v>
      </c>
      <c r="U969" t="s">
        <v>2875</v>
      </c>
      <c r="V969">
        <v>1089</v>
      </c>
      <c r="W969">
        <v>1170</v>
      </c>
      <c r="X969">
        <v>40</v>
      </c>
      <c r="Z969">
        <v>22</v>
      </c>
      <c r="AA969">
        <v>70</v>
      </c>
      <c r="AB969">
        <v>15000</v>
      </c>
      <c r="AC969">
        <v>570</v>
      </c>
      <c r="AD969">
        <v>1</v>
      </c>
      <c r="AE969">
        <v>9.1827399999999996E-4</v>
      </c>
      <c r="AF969">
        <v>200</v>
      </c>
      <c r="AH969" t="s">
        <v>2259</v>
      </c>
      <c r="AI969">
        <v>0.3</v>
      </c>
      <c r="AM969" t="s">
        <v>2960</v>
      </c>
      <c r="AN969" t="s">
        <v>132</v>
      </c>
      <c r="BN969">
        <v>160.51239670000001</v>
      </c>
      <c r="CE96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69" s="19">
        <f>SUM(Table1[[#This Row],[Mid39]],Table1[[#This Row],[Mid36]],Table1[[#This Row],[Mid33]],Table1[[#This Row],[Mid30]],Table1[[#This Row],[Mid27]],Table1[[#This Row],[Mid24]],Table1[[#This Row],[Mid21]],Table1[[#This Row],[Mid18]],Table1[[#This Row],[Mid15]],Table1[[#This Row],[Mid12]],Table1[[#This Row],[Mid9]],Table1[[#This Row],[Mid6]],Table1[[#This Row],[Mid3]],Table1[[#This Row],[Mid]])</f>
        <v>160.51239670000001</v>
      </c>
      <c r="CG96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69" t="s">
        <v>157</v>
      </c>
      <c r="CI969" t="s">
        <v>134</v>
      </c>
      <c r="CJ969" t="s">
        <v>158</v>
      </c>
      <c r="CL969" s="19">
        <f>IF(Table1[[#This Row],[Type]]="Petroleum",1,IF(ISERROR(Table1[[#This Row],[Well Density]]*Table1[[#This Row],[Single Well Discovery Area]]),"",IF(Table1[[#This Row],[Well Density]]*Table1[[#This Row],[Single Well Discovery Area]]&gt;1,1,Table1[[#This Row],[Well Density]]*Table1[[#This Row],[Single Well Discovery Area]])))</f>
        <v>0.18365479999999998</v>
      </c>
      <c r="CN969" s="19">
        <f>Table1[[#This Row],[Mid]]</f>
        <v>0</v>
      </c>
      <c r="CO969" s="19">
        <f>Table1[[#This Row],[Mid3]]+Table1[[#This Row],[Mid6]]+Table1[[#This Row],[Mid9]]</f>
        <v>0</v>
      </c>
      <c r="CP969" s="19">
        <f>Table1[[#This Row],[Mid12]]+Table1[[#This Row],[Mid15]]+Table1[[#This Row],[Mid18]]+Table1[[#This Row],[Mid21]]+Table1[[#This Row],[Mid24]]</f>
        <v>160.51239670000001</v>
      </c>
      <c r="CQ969" s="19">
        <f>Table1[[#This Row],[Mid27]]+Table1[[#This Row],[Mid30]]+Table1[[#This Row],[Mid33]]+Table1[[#This Row],[Mid36]]+Table1[[#This Row],[Mid39]]</f>
        <v>0</v>
      </c>
      <c r="CR969" t="s">
        <v>415</v>
      </c>
      <c r="CS969" s="19" t="str">
        <f>IF(AND(Table1[[#This Row],[Low41]]=0, Table1[[#This Row],[High43]]=0),"N","Y")</f>
        <v>N</v>
      </c>
    </row>
    <row r="970" spans="1:97" ht="19.5" customHeight="1" x14ac:dyDescent="0.25">
      <c r="A970">
        <v>10970</v>
      </c>
      <c r="B970" t="s">
        <v>2917</v>
      </c>
      <c r="C970" t="s">
        <v>3002</v>
      </c>
      <c r="D970">
        <v>41.630833330000002</v>
      </c>
      <c r="E970">
        <v>-3.3849999999999998</v>
      </c>
      <c r="F970" t="s">
        <v>3023</v>
      </c>
      <c r="G970" t="s">
        <v>2994</v>
      </c>
      <c r="H970" t="s">
        <v>2717</v>
      </c>
      <c r="I970" t="s">
        <v>118</v>
      </c>
      <c r="J970" t="s">
        <v>119</v>
      </c>
      <c r="K970" t="s">
        <v>203</v>
      </c>
      <c r="L970" t="s">
        <v>121</v>
      </c>
      <c r="M970" t="s">
        <v>122</v>
      </c>
      <c r="N970" s="6" t="s">
        <v>2956</v>
      </c>
      <c r="O970" t="s">
        <v>2957</v>
      </c>
      <c r="P970" t="s">
        <v>2928</v>
      </c>
      <c r="Q970" t="s">
        <v>2990</v>
      </c>
      <c r="R970" t="s">
        <v>2976</v>
      </c>
      <c r="S970">
        <v>2010</v>
      </c>
      <c r="T970" t="s">
        <v>771</v>
      </c>
      <c r="U970" t="s">
        <v>2875</v>
      </c>
      <c r="V970">
        <v>39</v>
      </c>
      <c r="W970">
        <v>900</v>
      </c>
      <c r="X970">
        <v>350</v>
      </c>
      <c r="Z970">
        <v>21</v>
      </c>
      <c r="AA970">
        <v>70</v>
      </c>
      <c r="AB970">
        <v>15000</v>
      </c>
      <c r="AC970">
        <v>350</v>
      </c>
      <c r="AD970">
        <v>1</v>
      </c>
      <c r="AE970">
        <v>2.5641026000000001E-2</v>
      </c>
      <c r="AF970">
        <v>20</v>
      </c>
      <c r="AH970" t="s">
        <v>2259</v>
      </c>
      <c r="AI970">
        <v>0.3</v>
      </c>
      <c r="AM970" t="s">
        <v>2960</v>
      </c>
      <c r="AN970" t="s">
        <v>132</v>
      </c>
      <c r="BN970">
        <v>127.92</v>
      </c>
      <c r="CE97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70" s="19">
        <f>SUM(Table1[[#This Row],[Mid39]],Table1[[#This Row],[Mid36]],Table1[[#This Row],[Mid33]],Table1[[#This Row],[Mid30]],Table1[[#This Row],[Mid27]],Table1[[#This Row],[Mid24]],Table1[[#This Row],[Mid21]],Table1[[#This Row],[Mid18]],Table1[[#This Row],[Mid15]],Table1[[#This Row],[Mid12]],Table1[[#This Row],[Mid9]],Table1[[#This Row],[Mid6]],Table1[[#This Row],[Mid3]],Table1[[#This Row],[Mid]])</f>
        <v>127.92</v>
      </c>
      <c r="CG97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70" t="s">
        <v>157</v>
      </c>
      <c r="CI970" t="s">
        <v>176</v>
      </c>
      <c r="CJ970" t="s">
        <v>158</v>
      </c>
      <c r="CL970" s="19">
        <f>IF(Table1[[#This Row],[Type]]="Petroleum",1,IF(ISERROR(Table1[[#This Row],[Well Density]]*Table1[[#This Row],[Single Well Discovery Area]]),"",IF(Table1[[#This Row],[Well Density]]*Table1[[#This Row],[Single Well Discovery Area]]&gt;1,1,Table1[[#This Row],[Well Density]]*Table1[[#This Row],[Single Well Discovery Area]])))</f>
        <v>0.51282052</v>
      </c>
      <c r="CN970" s="19">
        <f>Table1[[#This Row],[Mid]]</f>
        <v>0</v>
      </c>
      <c r="CO970" s="19">
        <f>Table1[[#This Row],[Mid3]]+Table1[[#This Row],[Mid6]]+Table1[[#This Row],[Mid9]]</f>
        <v>0</v>
      </c>
      <c r="CP970" s="19">
        <f>Table1[[#This Row],[Mid12]]+Table1[[#This Row],[Mid15]]+Table1[[#This Row],[Mid18]]+Table1[[#This Row],[Mid21]]+Table1[[#This Row],[Mid24]]</f>
        <v>127.92</v>
      </c>
      <c r="CQ970" s="19">
        <f>Table1[[#This Row],[Mid27]]+Table1[[#This Row],[Mid30]]+Table1[[#This Row],[Mid33]]+Table1[[#This Row],[Mid36]]+Table1[[#This Row],[Mid39]]</f>
        <v>0</v>
      </c>
      <c r="CR970" t="s">
        <v>415</v>
      </c>
      <c r="CS970" s="19" t="str">
        <f>IF(AND(Table1[[#This Row],[Low41]]=0, Table1[[#This Row],[High43]]=0),"N","Y")</f>
        <v>N</v>
      </c>
    </row>
    <row r="971" spans="1:97" ht="19.5" customHeight="1" x14ac:dyDescent="0.25">
      <c r="A971">
        <v>10971</v>
      </c>
      <c r="B971" t="s">
        <v>2917</v>
      </c>
      <c r="C971" t="s">
        <v>3002</v>
      </c>
      <c r="D971">
        <v>41.630833330000002</v>
      </c>
      <c r="E971">
        <v>-3.3841666670000001</v>
      </c>
      <c r="F971" t="s">
        <v>3024</v>
      </c>
      <c r="G971" t="s">
        <v>2994</v>
      </c>
      <c r="H971" t="s">
        <v>3016</v>
      </c>
      <c r="I971" t="s">
        <v>118</v>
      </c>
      <c r="J971" t="s">
        <v>119</v>
      </c>
      <c r="K971" t="s">
        <v>203</v>
      </c>
      <c r="L971" t="s">
        <v>121</v>
      </c>
      <c r="M971" t="s">
        <v>122</v>
      </c>
      <c r="N971" s="6" t="s">
        <v>2956</v>
      </c>
      <c r="O971" t="s">
        <v>2957</v>
      </c>
      <c r="P971" t="s">
        <v>2928</v>
      </c>
      <c r="Q971" t="s">
        <v>2990</v>
      </c>
      <c r="R971" t="s">
        <v>2976</v>
      </c>
      <c r="S971">
        <v>2010</v>
      </c>
      <c r="T971" t="s">
        <v>771</v>
      </c>
      <c r="U971" t="s">
        <v>2875</v>
      </c>
      <c r="V971">
        <v>37</v>
      </c>
      <c r="W971">
        <v>1250</v>
      </c>
      <c r="X971">
        <v>150</v>
      </c>
      <c r="Z971">
        <v>43</v>
      </c>
      <c r="AA971">
        <v>70</v>
      </c>
      <c r="AB971">
        <v>15000</v>
      </c>
      <c r="AC971">
        <v>570</v>
      </c>
      <c r="AD971">
        <v>1</v>
      </c>
      <c r="AE971">
        <v>2.7027026999999999E-2</v>
      </c>
      <c r="AF971">
        <v>200</v>
      </c>
      <c r="AH971" t="s">
        <v>2259</v>
      </c>
      <c r="AI971">
        <v>0.3</v>
      </c>
      <c r="AM971" t="s">
        <v>2960</v>
      </c>
      <c r="AN971" t="s">
        <v>132</v>
      </c>
      <c r="BN971">
        <v>177.52</v>
      </c>
      <c r="CE97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71" s="19">
        <f>SUM(Table1[[#This Row],[Mid39]],Table1[[#This Row],[Mid36]],Table1[[#This Row],[Mid33]],Table1[[#This Row],[Mid30]],Table1[[#This Row],[Mid27]],Table1[[#This Row],[Mid24]],Table1[[#This Row],[Mid21]],Table1[[#This Row],[Mid18]],Table1[[#This Row],[Mid15]],Table1[[#This Row],[Mid12]],Table1[[#This Row],[Mid9]],Table1[[#This Row],[Mid6]],Table1[[#This Row],[Mid3]],Table1[[#This Row],[Mid]])</f>
        <v>177.52</v>
      </c>
      <c r="CG97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71" t="s">
        <v>157</v>
      </c>
      <c r="CI971" t="s">
        <v>134</v>
      </c>
      <c r="CJ971" t="s">
        <v>158</v>
      </c>
      <c r="CL971" s="19">
        <f>IF(Table1[[#This Row],[Type]]="Petroleum",1,IF(ISERROR(Table1[[#This Row],[Well Density]]*Table1[[#This Row],[Single Well Discovery Area]]),"",IF(Table1[[#This Row],[Well Density]]*Table1[[#This Row],[Single Well Discovery Area]]&gt;1,1,Table1[[#This Row],[Well Density]]*Table1[[#This Row],[Single Well Discovery Area]])))</f>
        <v>1</v>
      </c>
      <c r="CN971" s="19">
        <f>Table1[[#This Row],[Mid]]</f>
        <v>0</v>
      </c>
      <c r="CO971" s="19">
        <f>Table1[[#This Row],[Mid3]]+Table1[[#This Row],[Mid6]]+Table1[[#This Row],[Mid9]]</f>
        <v>0</v>
      </c>
      <c r="CP971" s="19">
        <f>Table1[[#This Row],[Mid12]]+Table1[[#This Row],[Mid15]]+Table1[[#This Row],[Mid18]]+Table1[[#This Row],[Mid21]]+Table1[[#This Row],[Mid24]]</f>
        <v>177.52</v>
      </c>
      <c r="CQ971" s="19">
        <f>Table1[[#This Row],[Mid27]]+Table1[[#This Row],[Mid30]]+Table1[[#This Row],[Mid33]]+Table1[[#This Row],[Mid36]]+Table1[[#This Row],[Mid39]]</f>
        <v>0</v>
      </c>
      <c r="CR971" t="s">
        <v>415</v>
      </c>
      <c r="CS971" s="19" t="str">
        <f>IF(AND(Table1[[#This Row],[Low41]]=0, Table1[[#This Row],[High43]]=0),"N","Y")</f>
        <v>N</v>
      </c>
    </row>
    <row r="972" spans="1:97" ht="19.5" customHeight="1" x14ac:dyDescent="0.25">
      <c r="A972">
        <v>10972</v>
      </c>
      <c r="B972" t="s">
        <v>2917</v>
      </c>
      <c r="C972" t="s">
        <v>3002</v>
      </c>
      <c r="D972">
        <v>41.630833330000002</v>
      </c>
      <c r="E972">
        <v>-3.3833333329999999</v>
      </c>
      <c r="F972" t="s">
        <v>3025</v>
      </c>
      <c r="G972" t="s">
        <v>2994</v>
      </c>
      <c r="H972" t="s">
        <v>252</v>
      </c>
      <c r="I972" t="s">
        <v>118</v>
      </c>
      <c r="J972" t="s">
        <v>119</v>
      </c>
      <c r="K972" t="s">
        <v>203</v>
      </c>
      <c r="L972" t="s">
        <v>121</v>
      </c>
      <c r="M972" t="s">
        <v>139</v>
      </c>
      <c r="N972" s="6" t="s">
        <v>2956</v>
      </c>
      <c r="O972" t="s">
        <v>2957</v>
      </c>
      <c r="P972" t="s">
        <v>2928</v>
      </c>
      <c r="Q972" t="s">
        <v>2990</v>
      </c>
      <c r="R972" t="s">
        <v>2976</v>
      </c>
      <c r="S972">
        <v>2010</v>
      </c>
      <c r="T972" t="s">
        <v>771</v>
      </c>
      <c r="U972" t="s">
        <v>2875</v>
      </c>
      <c r="V972">
        <v>35</v>
      </c>
      <c r="W972">
        <v>1400</v>
      </c>
      <c r="X972">
        <v>315</v>
      </c>
      <c r="Z972">
        <v>15</v>
      </c>
      <c r="AA972">
        <v>70</v>
      </c>
      <c r="AB972">
        <v>15000</v>
      </c>
      <c r="AC972">
        <v>580</v>
      </c>
      <c r="AD972">
        <v>1</v>
      </c>
      <c r="AE972">
        <v>2.8571428999999999E-2</v>
      </c>
      <c r="AF972">
        <v>20</v>
      </c>
      <c r="AH972" t="s">
        <v>2259</v>
      </c>
      <c r="AI972">
        <v>0.3</v>
      </c>
      <c r="AM972" t="s">
        <v>2960</v>
      </c>
      <c r="AN972" t="s">
        <v>132</v>
      </c>
      <c r="BN972">
        <v>115.1</v>
      </c>
      <c r="CE97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72" s="19">
        <f>SUM(Table1[[#This Row],[Mid39]],Table1[[#This Row],[Mid36]],Table1[[#This Row],[Mid33]],Table1[[#This Row],[Mid30]],Table1[[#This Row],[Mid27]],Table1[[#This Row],[Mid24]],Table1[[#This Row],[Mid21]],Table1[[#This Row],[Mid18]],Table1[[#This Row],[Mid15]],Table1[[#This Row],[Mid12]],Table1[[#This Row],[Mid9]],Table1[[#This Row],[Mid6]],Table1[[#This Row],[Mid3]],Table1[[#This Row],[Mid]])</f>
        <v>115.1</v>
      </c>
      <c r="CG97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72" t="s">
        <v>157</v>
      </c>
      <c r="CI972" t="s">
        <v>176</v>
      </c>
      <c r="CJ972" t="s">
        <v>158</v>
      </c>
      <c r="CL972" s="19">
        <f>IF(Table1[[#This Row],[Type]]="Petroleum",1,IF(ISERROR(Table1[[#This Row],[Well Density]]*Table1[[#This Row],[Single Well Discovery Area]]),"",IF(Table1[[#This Row],[Well Density]]*Table1[[#This Row],[Single Well Discovery Area]]&gt;1,1,Table1[[#This Row],[Well Density]]*Table1[[#This Row],[Single Well Discovery Area]])))</f>
        <v>0.57142857999999996</v>
      </c>
      <c r="CN972" s="19">
        <f>Table1[[#This Row],[Mid]]</f>
        <v>0</v>
      </c>
      <c r="CO972" s="19">
        <f>Table1[[#This Row],[Mid3]]+Table1[[#This Row],[Mid6]]+Table1[[#This Row],[Mid9]]</f>
        <v>0</v>
      </c>
      <c r="CP972" s="19">
        <f>Table1[[#This Row],[Mid12]]+Table1[[#This Row],[Mid15]]+Table1[[#This Row],[Mid18]]+Table1[[#This Row],[Mid21]]+Table1[[#This Row],[Mid24]]</f>
        <v>115.1</v>
      </c>
      <c r="CQ972" s="19">
        <f>Table1[[#This Row],[Mid27]]+Table1[[#This Row],[Mid30]]+Table1[[#This Row],[Mid33]]+Table1[[#This Row],[Mid36]]+Table1[[#This Row],[Mid39]]</f>
        <v>0</v>
      </c>
      <c r="CR972" t="s">
        <v>415</v>
      </c>
      <c r="CS972" s="19" t="str">
        <f>IF(AND(Table1[[#This Row],[Low41]]=0, Table1[[#This Row],[High43]]=0),"N","Y")</f>
        <v>N</v>
      </c>
    </row>
    <row r="973" spans="1:97" ht="19.5" customHeight="1" x14ac:dyDescent="0.25">
      <c r="A973">
        <v>10973</v>
      </c>
      <c r="B973" t="s">
        <v>2917</v>
      </c>
      <c r="C973" t="s">
        <v>3002</v>
      </c>
      <c r="D973">
        <v>41.630833330000002</v>
      </c>
      <c r="E973">
        <v>-3.3824999999999998</v>
      </c>
      <c r="F973" t="s">
        <v>3026</v>
      </c>
      <c r="G973" t="s">
        <v>2994</v>
      </c>
      <c r="H973" t="s">
        <v>2955</v>
      </c>
      <c r="I973" t="s">
        <v>118</v>
      </c>
      <c r="J973" t="s">
        <v>119</v>
      </c>
      <c r="K973" t="s">
        <v>203</v>
      </c>
      <c r="L973" t="s">
        <v>121</v>
      </c>
      <c r="M973" t="s">
        <v>392</v>
      </c>
      <c r="N973" s="6" t="s">
        <v>2956</v>
      </c>
      <c r="O973" t="s">
        <v>2957</v>
      </c>
      <c r="P973" t="s">
        <v>2928</v>
      </c>
      <c r="Q973" t="s">
        <v>2990</v>
      </c>
      <c r="R973" t="s">
        <v>2976</v>
      </c>
      <c r="S973">
        <v>2010</v>
      </c>
      <c r="T973" t="s">
        <v>771</v>
      </c>
      <c r="U973" t="s">
        <v>2875</v>
      </c>
      <c r="V973">
        <v>33</v>
      </c>
      <c r="W973">
        <v>1950</v>
      </c>
      <c r="X973">
        <v>275</v>
      </c>
      <c r="Z973">
        <v>18</v>
      </c>
      <c r="AA973">
        <v>10</v>
      </c>
      <c r="AB973">
        <v>15000</v>
      </c>
      <c r="AC973">
        <v>640</v>
      </c>
      <c r="AD973">
        <v>1</v>
      </c>
      <c r="AE973">
        <v>3.0303030000000002E-2</v>
      </c>
      <c r="AF973">
        <v>200</v>
      </c>
      <c r="AH973" t="s">
        <v>2259</v>
      </c>
      <c r="AI973">
        <v>0.3</v>
      </c>
      <c r="AM973" t="s">
        <v>2960</v>
      </c>
      <c r="AN973" t="s">
        <v>132</v>
      </c>
      <c r="BN973">
        <v>75.27</v>
      </c>
      <c r="CE97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73" s="19">
        <f>SUM(Table1[[#This Row],[Mid39]],Table1[[#This Row],[Mid36]],Table1[[#This Row],[Mid33]],Table1[[#This Row],[Mid30]],Table1[[#This Row],[Mid27]],Table1[[#This Row],[Mid24]],Table1[[#This Row],[Mid21]],Table1[[#This Row],[Mid18]],Table1[[#This Row],[Mid15]],Table1[[#This Row],[Mid12]],Table1[[#This Row],[Mid9]],Table1[[#This Row],[Mid6]],Table1[[#This Row],[Mid3]],Table1[[#This Row],[Mid]])</f>
        <v>75.27</v>
      </c>
      <c r="CG97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73" t="s">
        <v>157</v>
      </c>
      <c r="CI973" t="s">
        <v>134</v>
      </c>
      <c r="CJ973" t="s">
        <v>158</v>
      </c>
      <c r="CL973" s="19">
        <f>IF(Table1[[#This Row],[Type]]="Petroleum",1,IF(ISERROR(Table1[[#This Row],[Well Density]]*Table1[[#This Row],[Single Well Discovery Area]]),"",IF(Table1[[#This Row],[Well Density]]*Table1[[#This Row],[Single Well Discovery Area]]&gt;1,1,Table1[[#This Row],[Well Density]]*Table1[[#This Row],[Single Well Discovery Area]])))</f>
        <v>1</v>
      </c>
      <c r="CN973" s="19">
        <f>Table1[[#This Row],[Mid]]</f>
        <v>0</v>
      </c>
      <c r="CO973" s="19">
        <f>Table1[[#This Row],[Mid3]]+Table1[[#This Row],[Mid6]]+Table1[[#This Row],[Mid9]]</f>
        <v>0</v>
      </c>
      <c r="CP973" s="19">
        <f>Table1[[#This Row],[Mid12]]+Table1[[#This Row],[Mid15]]+Table1[[#This Row],[Mid18]]+Table1[[#This Row],[Mid21]]+Table1[[#This Row],[Mid24]]</f>
        <v>75.27</v>
      </c>
      <c r="CQ973" s="19">
        <f>Table1[[#This Row],[Mid27]]+Table1[[#This Row],[Mid30]]+Table1[[#This Row],[Mid33]]+Table1[[#This Row],[Mid36]]+Table1[[#This Row],[Mid39]]</f>
        <v>0</v>
      </c>
      <c r="CR973" t="s">
        <v>415</v>
      </c>
      <c r="CS973" s="19" t="str">
        <f>IF(AND(Table1[[#This Row],[Low41]]=0, Table1[[#This Row],[High43]]=0),"N","Y")</f>
        <v>N</v>
      </c>
    </row>
    <row r="974" spans="1:97" ht="19.5" customHeight="1" x14ac:dyDescent="0.25">
      <c r="A974">
        <v>10974</v>
      </c>
      <c r="B974" t="s">
        <v>2917</v>
      </c>
      <c r="C974" t="s">
        <v>3002</v>
      </c>
      <c r="D974">
        <v>41.806944440000002</v>
      </c>
      <c r="E974">
        <v>-4.0983333330000002</v>
      </c>
      <c r="F974" t="s">
        <v>3027</v>
      </c>
      <c r="G974" t="s">
        <v>2994</v>
      </c>
      <c r="H974" t="s">
        <v>2717</v>
      </c>
      <c r="I974" t="s">
        <v>118</v>
      </c>
      <c r="J974" t="s">
        <v>119</v>
      </c>
      <c r="K974" t="s">
        <v>203</v>
      </c>
      <c r="L974" t="s">
        <v>121</v>
      </c>
      <c r="M974" t="s">
        <v>122</v>
      </c>
      <c r="N974" s="6" t="s">
        <v>2956</v>
      </c>
      <c r="O974" t="s">
        <v>2957</v>
      </c>
      <c r="P974" t="s">
        <v>2928</v>
      </c>
      <c r="Q974" t="s">
        <v>2990</v>
      </c>
      <c r="R974" t="s">
        <v>2976</v>
      </c>
      <c r="S974">
        <v>2010</v>
      </c>
      <c r="T974" t="s">
        <v>771</v>
      </c>
      <c r="U974" t="s">
        <v>2875</v>
      </c>
      <c r="V974">
        <v>86</v>
      </c>
      <c r="W974">
        <v>1000</v>
      </c>
      <c r="X974">
        <v>300</v>
      </c>
      <c r="Z974">
        <v>21</v>
      </c>
      <c r="AA974">
        <v>70</v>
      </c>
      <c r="AB974">
        <v>15000</v>
      </c>
      <c r="AC974">
        <v>550</v>
      </c>
      <c r="AD974">
        <v>1</v>
      </c>
      <c r="AE974">
        <v>1.1627907E-2</v>
      </c>
      <c r="AF974">
        <v>20</v>
      </c>
      <c r="AH974" t="s">
        <v>2259</v>
      </c>
      <c r="AI974">
        <v>0.3</v>
      </c>
      <c r="AM974" t="s">
        <v>2960</v>
      </c>
      <c r="AN974" t="s">
        <v>132</v>
      </c>
      <c r="BN974">
        <v>371</v>
      </c>
      <c r="CE97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74" s="19">
        <f>SUM(Table1[[#This Row],[Mid39]],Table1[[#This Row],[Mid36]],Table1[[#This Row],[Mid33]],Table1[[#This Row],[Mid30]],Table1[[#This Row],[Mid27]],Table1[[#This Row],[Mid24]],Table1[[#This Row],[Mid21]],Table1[[#This Row],[Mid18]],Table1[[#This Row],[Mid15]],Table1[[#This Row],[Mid12]],Table1[[#This Row],[Mid9]],Table1[[#This Row],[Mid6]],Table1[[#This Row],[Mid3]],Table1[[#This Row],[Mid]])</f>
        <v>371</v>
      </c>
      <c r="CG97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74" t="s">
        <v>157</v>
      </c>
      <c r="CI974" t="s">
        <v>176</v>
      </c>
      <c r="CJ974" t="s">
        <v>158</v>
      </c>
      <c r="CL974" s="19">
        <f>IF(Table1[[#This Row],[Type]]="Petroleum",1,IF(ISERROR(Table1[[#This Row],[Well Density]]*Table1[[#This Row],[Single Well Discovery Area]]),"",IF(Table1[[#This Row],[Well Density]]*Table1[[#This Row],[Single Well Discovery Area]]&gt;1,1,Table1[[#This Row],[Well Density]]*Table1[[#This Row],[Single Well Discovery Area]])))</f>
        <v>0.23255814</v>
      </c>
      <c r="CN974" s="19">
        <f>Table1[[#This Row],[Mid]]</f>
        <v>0</v>
      </c>
      <c r="CO974" s="19">
        <f>Table1[[#This Row],[Mid3]]+Table1[[#This Row],[Mid6]]+Table1[[#This Row],[Mid9]]</f>
        <v>0</v>
      </c>
      <c r="CP974" s="19">
        <f>Table1[[#This Row],[Mid12]]+Table1[[#This Row],[Mid15]]+Table1[[#This Row],[Mid18]]+Table1[[#This Row],[Mid21]]+Table1[[#This Row],[Mid24]]</f>
        <v>371</v>
      </c>
      <c r="CQ974" s="19">
        <f>Table1[[#This Row],[Mid27]]+Table1[[#This Row],[Mid30]]+Table1[[#This Row],[Mid33]]+Table1[[#This Row],[Mid36]]+Table1[[#This Row],[Mid39]]</f>
        <v>0</v>
      </c>
      <c r="CR974" t="s">
        <v>415</v>
      </c>
      <c r="CS974" s="19" t="str">
        <f>IF(AND(Table1[[#This Row],[Low41]]=0, Table1[[#This Row],[High43]]=0),"N","Y")</f>
        <v>N</v>
      </c>
    </row>
    <row r="975" spans="1:97" ht="19.5" customHeight="1" x14ac:dyDescent="0.25">
      <c r="A975">
        <v>10975</v>
      </c>
      <c r="B975" t="s">
        <v>2917</v>
      </c>
      <c r="C975" t="s">
        <v>3002</v>
      </c>
      <c r="D975">
        <v>41.80722222</v>
      </c>
      <c r="E975">
        <v>-4.0983333330000002</v>
      </c>
      <c r="F975" t="s">
        <v>3028</v>
      </c>
      <c r="G975" t="s">
        <v>2994</v>
      </c>
      <c r="H975" t="s">
        <v>3016</v>
      </c>
      <c r="I975" t="s">
        <v>118</v>
      </c>
      <c r="J975" t="s">
        <v>119</v>
      </c>
      <c r="K975" t="s">
        <v>203</v>
      </c>
      <c r="L975" t="s">
        <v>121</v>
      </c>
      <c r="M975" t="s">
        <v>122</v>
      </c>
      <c r="N975" s="6" t="s">
        <v>2956</v>
      </c>
      <c r="O975" t="s">
        <v>2957</v>
      </c>
      <c r="P975" t="s">
        <v>2928</v>
      </c>
      <c r="Q975" t="s">
        <v>2990</v>
      </c>
      <c r="R975" t="s">
        <v>2976</v>
      </c>
      <c r="S975">
        <v>2010</v>
      </c>
      <c r="T975" t="s">
        <v>771</v>
      </c>
      <c r="U975" t="s">
        <v>2875</v>
      </c>
      <c r="V975">
        <v>83</v>
      </c>
      <c r="W975">
        <v>1300</v>
      </c>
      <c r="X975">
        <v>140</v>
      </c>
      <c r="Z975">
        <v>22</v>
      </c>
      <c r="AA975">
        <v>70</v>
      </c>
      <c r="AB975">
        <v>15000</v>
      </c>
      <c r="AC975">
        <v>570</v>
      </c>
      <c r="AD975">
        <v>1</v>
      </c>
      <c r="AE975">
        <v>1.2048193E-2</v>
      </c>
      <c r="AF975">
        <v>200</v>
      </c>
      <c r="AH975" t="s">
        <v>2259</v>
      </c>
      <c r="AI975">
        <v>0.3</v>
      </c>
      <c r="AM975" t="s">
        <v>2960</v>
      </c>
      <c r="AN975" t="s">
        <v>132</v>
      </c>
      <c r="BN975">
        <v>174.86</v>
      </c>
      <c r="CE97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75" s="19">
        <f>SUM(Table1[[#This Row],[Mid39]],Table1[[#This Row],[Mid36]],Table1[[#This Row],[Mid33]],Table1[[#This Row],[Mid30]],Table1[[#This Row],[Mid27]],Table1[[#This Row],[Mid24]],Table1[[#This Row],[Mid21]],Table1[[#This Row],[Mid18]],Table1[[#This Row],[Mid15]],Table1[[#This Row],[Mid12]],Table1[[#This Row],[Mid9]],Table1[[#This Row],[Mid6]],Table1[[#This Row],[Mid3]],Table1[[#This Row],[Mid]])</f>
        <v>174.86</v>
      </c>
      <c r="CG97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75" t="s">
        <v>157</v>
      </c>
      <c r="CI975" t="s">
        <v>134</v>
      </c>
      <c r="CJ975" t="s">
        <v>158</v>
      </c>
      <c r="CL975" s="19">
        <f>IF(Table1[[#This Row],[Type]]="Petroleum",1,IF(ISERROR(Table1[[#This Row],[Well Density]]*Table1[[#This Row],[Single Well Discovery Area]]),"",IF(Table1[[#This Row],[Well Density]]*Table1[[#This Row],[Single Well Discovery Area]]&gt;1,1,Table1[[#This Row],[Well Density]]*Table1[[#This Row],[Single Well Discovery Area]])))</f>
        <v>1</v>
      </c>
      <c r="CN975" s="19">
        <f>Table1[[#This Row],[Mid]]</f>
        <v>0</v>
      </c>
      <c r="CO975" s="19">
        <f>Table1[[#This Row],[Mid3]]+Table1[[#This Row],[Mid6]]+Table1[[#This Row],[Mid9]]</f>
        <v>0</v>
      </c>
      <c r="CP975" s="19">
        <f>Table1[[#This Row],[Mid12]]+Table1[[#This Row],[Mid15]]+Table1[[#This Row],[Mid18]]+Table1[[#This Row],[Mid21]]+Table1[[#This Row],[Mid24]]</f>
        <v>174.86</v>
      </c>
      <c r="CQ975" s="19">
        <f>Table1[[#This Row],[Mid27]]+Table1[[#This Row],[Mid30]]+Table1[[#This Row],[Mid33]]+Table1[[#This Row],[Mid36]]+Table1[[#This Row],[Mid39]]</f>
        <v>0</v>
      </c>
      <c r="CR975" t="s">
        <v>415</v>
      </c>
      <c r="CS975" s="19" t="str">
        <f>IF(AND(Table1[[#This Row],[Low41]]=0, Table1[[#This Row],[High43]]=0),"N","Y")</f>
        <v>N</v>
      </c>
    </row>
    <row r="976" spans="1:97" ht="19.5" customHeight="1" x14ac:dyDescent="0.25">
      <c r="A976">
        <v>10976</v>
      </c>
      <c r="B976" t="s">
        <v>2917</v>
      </c>
      <c r="C976" t="s">
        <v>3002</v>
      </c>
      <c r="D976">
        <v>41.268055560000001</v>
      </c>
      <c r="E976">
        <v>-4.2655555559999998</v>
      </c>
      <c r="F976" t="s">
        <v>3029</v>
      </c>
      <c r="G976" t="s">
        <v>2962</v>
      </c>
      <c r="H976" t="s">
        <v>2717</v>
      </c>
      <c r="I976" t="s">
        <v>118</v>
      </c>
      <c r="J976" t="s">
        <v>119</v>
      </c>
      <c r="K976" t="s">
        <v>203</v>
      </c>
      <c r="L976" t="s">
        <v>121</v>
      </c>
      <c r="M976" t="s">
        <v>2717</v>
      </c>
      <c r="N976" s="6" t="s">
        <v>2956</v>
      </c>
      <c r="O976" t="s">
        <v>2957</v>
      </c>
      <c r="P976" t="s">
        <v>2928</v>
      </c>
      <c r="Q976" t="s">
        <v>2990</v>
      </c>
      <c r="R976" t="s">
        <v>2976</v>
      </c>
      <c r="S976">
        <v>2010</v>
      </c>
      <c r="T976" t="s">
        <v>771</v>
      </c>
      <c r="U976" t="s">
        <v>2875</v>
      </c>
      <c r="V976">
        <v>173</v>
      </c>
      <c r="W976">
        <v>800</v>
      </c>
      <c r="X976">
        <v>125</v>
      </c>
      <c r="Z976">
        <v>21</v>
      </c>
      <c r="AA976">
        <v>70</v>
      </c>
      <c r="AB976">
        <v>15000</v>
      </c>
      <c r="AC976">
        <v>350</v>
      </c>
      <c r="AD976">
        <v>0</v>
      </c>
      <c r="AE976">
        <v>0</v>
      </c>
      <c r="AF976">
        <v>20</v>
      </c>
      <c r="AH976" t="s">
        <v>2259</v>
      </c>
      <c r="AI976">
        <v>0.3</v>
      </c>
      <c r="AM976" t="s">
        <v>2960</v>
      </c>
      <c r="AN976" t="s">
        <v>132</v>
      </c>
      <c r="BQ976">
        <v>190.73</v>
      </c>
      <c r="CE97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76" s="19">
        <f>SUM(Table1[[#This Row],[Mid39]],Table1[[#This Row],[Mid36]],Table1[[#This Row],[Mid33]],Table1[[#This Row],[Mid30]],Table1[[#This Row],[Mid27]],Table1[[#This Row],[Mid24]],Table1[[#This Row],[Mid21]],Table1[[#This Row],[Mid18]],Table1[[#This Row],[Mid15]],Table1[[#This Row],[Mid12]],Table1[[#This Row],[Mid9]],Table1[[#This Row],[Mid6]],Table1[[#This Row],[Mid3]],Table1[[#This Row],[Mid]])</f>
        <v>190.73</v>
      </c>
      <c r="CG97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76" t="s">
        <v>157</v>
      </c>
      <c r="CI976" t="s">
        <v>176</v>
      </c>
      <c r="CJ976" t="s">
        <v>158</v>
      </c>
      <c r="CL976" s="19">
        <f>IF(Table1[[#This Row],[Type]]="Petroleum",1,IF(ISERROR(Table1[[#This Row],[Well Density]]*Table1[[#This Row],[Single Well Discovery Area]]),"",IF(Table1[[#This Row],[Well Density]]*Table1[[#This Row],[Single Well Discovery Area]]&gt;1,1,Table1[[#This Row],[Well Density]]*Table1[[#This Row],[Single Well Discovery Area]])))</f>
        <v>0</v>
      </c>
      <c r="CN976" s="19">
        <f>Table1[[#This Row],[Mid]]</f>
        <v>0</v>
      </c>
      <c r="CO976" s="19">
        <f>Table1[[#This Row],[Mid3]]+Table1[[#This Row],[Mid6]]+Table1[[#This Row],[Mid9]]</f>
        <v>0</v>
      </c>
      <c r="CP976" s="19">
        <f>Table1[[#This Row],[Mid12]]+Table1[[#This Row],[Mid15]]+Table1[[#This Row],[Mid18]]+Table1[[#This Row],[Mid21]]+Table1[[#This Row],[Mid24]]</f>
        <v>0</v>
      </c>
      <c r="CQ976" s="19">
        <f>Table1[[#This Row],[Mid27]]+Table1[[#This Row],[Mid30]]+Table1[[#This Row],[Mid33]]+Table1[[#This Row],[Mid36]]+Table1[[#This Row],[Mid39]]</f>
        <v>190.73</v>
      </c>
      <c r="CR976" t="s">
        <v>415</v>
      </c>
      <c r="CS976" s="19" t="str">
        <f>IF(AND(Table1[[#This Row],[Low41]]=0, Table1[[#This Row],[High43]]=0),"N","Y")</f>
        <v>N</v>
      </c>
    </row>
    <row r="977" spans="1:97" ht="19.5" customHeight="1" x14ac:dyDescent="0.25">
      <c r="A977">
        <v>10977</v>
      </c>
      <c r="B977" t="s">
        <v>2917</v>
      </c>
      <c r="C977" t="s">
        <v>3002</v>
      </c>
      <c r="D977">
        <v>41.267777780000003</v>
      </c>
      <c r="E977">
        <v>-4.2655555559999998</v>
      </c>
      <c r="F977" t="s">
        <v>3030</v>
      </c>
      <c r="G977" t="s">
        <v>2962</v>
      </c>
      <c r="H977" t="s">
        <v>3016</v>
      </c>
      <c r="I977" t="s">
        <v>118</v>
      </c>
      <c r="J977" t="s">
        <v>119</v>
      </c>
      <c r="K977" t="s">
        <v>203</v>
      </c>
      <c r="L977" t="s">
        <v>121</v>
      </c>
      <c r="M977" t="s">
        <v>122</v>
      </c>
      <c r="N977" s="6" t="s">
        <v>2956</v>
      </c>
      <c r="O977" t="s">
        <v>2957</v>
      </c>
      <c r="P977" t="s">
        <v>2928</v>
      </c>
      <c r="Q977" t="s">
        <v>2990</v>
      </c>
      <c r="R977" t="s">
        <v>2976</v>
      </c>
      <c r="S977">
        <v>2010</v>
      </c>
      <c r="T977" t="s">
        <v>771</v>
      </c>
      <c r="U977" t="s">
        <v>2875</v>
      </c>
      <c r="V977">
        <v>166</v>
      </c>
      <c r="W977">
        <v>950</v>
      </c>
      <c r="X977">
        <v>50</v>
      </c>
      <c r="Z977">
        <v>22</v>
      </c>
      <c r="AA977">
        <v>70</v>
      </c>
      <c r="AB977">
        <v>15000</v>
      </c>
      <c r="AC977">
        <v>350</v>
      </c>
      <c r="AD977">
        <v>0</v>
      </c>
      <c r="AE977">
        <v>0</v>
      </c>
      <c r="AF977">
        <v>200</v>
      </c>
      <c r="AH977" t="s">
        <v>2259</v>
      </c>
      <c r="AI977">
        <v>0.3</v>
      </c>
      <c r="AM977" t="s">
        <v>2960</v>
      </c>
      <c r="AN977" t="s">
        <v>132</v>
      </c>
      <c r="BQ977">
        <v>76.900000000000006</v>
      </c>
      <c r="CE97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77" s="19">
        <f>SUM(Table1[[#This Row],[Mid39]],Table1[[#This Row],[Mid36]],Table1[[#This Row],[Mid33]],Table1[[#This Row],[Mid30]],Table1[[#This Row],[Mid27]],Table1[[#This Row],[Mid24]],Table1[[#This Row],[Mid21]],Table1[[#This Row],[Mid18]],Table1[[#This Row],[Mid15]],Table1[[#This Row],[Mid12]],Table1[[#This Row],[Mid9]],Table1[[#This Row],[Mid6]],Table1[[#This Row],[Mid3]],Table1[[#This Row],[Mid]])</f>
        <v>76.900000000000006</v>
      </c>
      <c r="CG97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77" t="s">
        <v>157</v>
      </c>
      <c r="CI977" t="s">
        <v>134</v>
      </c>
      <c r="CJ977" t="s">
        <v>158</v>
      </c>
      <c r="CL977" s="19">
        <f>IF(Table1[[#This Row],[Type]]="Petroleum",1,IF(ISERROR(Table1[[#This Row],[Well Density]]*Table1[[#This Row],[Single Well Discovery Area]]),"",IF(Table1[[#This Row],[Well Density]]*Table1[[#This Row],[Single Well Discovery Area]]&gt;1,1,Table1[[#This Row],[Well Density]]*Table1[[#This Row],[Single Well Discovery Area]])))</f>
        <v>0</v>
      </c>
      <c r="CN977" s="19">
        <f>Table1[[#This Row],[Mid]]</f>
        <v>0</v>
      </c>
      <c r="CO977" s="19">
        <f>Table1[[#This Row],[Mid3]]+Table1[[#This Row],[Mid6]]+Table1[[#This Row],[Mid9]]</f>
        <v>0</v>
      </c>
      <c r="CP977" s="19">
        <f>Table1[[#This Row],[Mid12]]+Table1[[#This Row],[Mid15]]+Table1[[#This Row],[Mid18]]+Table1[[#This Row],[Mid21]]+Table1[[#This Row],[Mid24]]</f>
        <v>0</v>
      </c>
      <c r="CQ977" s="19">
        <f>Table1[[#This Row],[Mid27]]+Table1[[#This Row],[Mid30]]+Table1[[#This Row],[Mid33]]+Table1[[#This Row],[Mid36]]+Table1[[#This Row],[Mid39]]</f>
        <v>76.900000000000006</v>
      </c>
      <c r="CR977" t="s">
        <v>415</v>
      </c>
      <c r="CS977" s="19" t="str">
        <f>IF(AND(Table1[[#This Row],[Low41]]=0, Table1[[#This Row],[High43]]=0),"N","Y")</f>
        <v>N</v>
      </c>
    </row>
    <row r="978" spans="1:97" ht="19.5" customHeight="1" x14ac:dyDescent="0.25">
      <c r="A978">
        <v>10978</v>
      </c>
      <c r="B978" t="s">
        <v>2917</v>
      </c>
      <c r="C978" t="s">
        <v>3002</v>
      </c>
      <c r="D978">
        <v>42.574722219999998</v>
      </c>
      <c r="E978">
        <v>-4.0238888890000002</v>
      </c>
      <c r="F978" t="s">
        <v>3031</v>
      </c>
      <c r="G978" t="s">
        <v>2994</v>
      </c>
      <c r="H978" t="s">
        <v>3016</v>
      </c>
      <c r="I978" t="s">
        <v>118</v>
      </c>
      <c r="J978" t="s">
        <v>119</v>
      </c>
      <c r="K978" t="s">
        <v>203</v>
      </c>
      <c r="L978" t="s">
        <v>121</v>
      </c>
      <c r="M978" t="s">
        <v>122</v>
      </c>
      <c r="N978" s="6" t="s">
        <v>2956</v>
      </c>
      <c r="O978" t="s">
        <v>2957</v>
      </c>
      <c r="P978" t="s">
        <v>2928</v>
      </c>
      <c r="Q978" t="s">
        <v>2990</v>
      </c>
      <c r="R978" t="s">
        <v>2976</v>
      </c>
      <c r="S978">
        <v>2010</v>
      </c>
      <c r="T978" t="s">
        <v>771</v>
      </c>
      <c r="U978" t="s">
        <v>2875</v>
      </c>
      <c r="V978">
        <v>40.29</v>
      </c>
      <c r="W978">
        <v>1350</v>
      </c>
      <c r="X978">
        <v>230</v>
      </c>
      <c r="Z978">
        <v>20</v>
      </c>
      <c r="AA978">
        <v>70</v>
      </c>
      <c r="AB978">
        <v>40000</v>
      </c>
      <c r="AC978">
        <v>450</v>
      </c>
      <c r="AD978">
        <v>5</v>
      </c>
      <c r="AE978">
        <v>0.124100273</v>
      </c>
      <c r="AF978">
        <v>200</v>
      </c>
      <c r="AH978" t="s">
        <v>2259</v>
      </c>
      <c r="AI978">
        <v>0.3</v>
      </c>
      <c r="AM978" t="s">
        <v>2960</v>
      </c>
      <c r="AN978" t="s">
        <v>132</v>
      </c>
      <c r="BN978">
        <v>74.52</v>
      </c>
      <c r="CE97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78" s="19">
        <f>SUM(Table1[[#This Row],[Mid39]],Table1[[#This Row],[Mid36]],Table1[[#This Row],[Mid33]],Table1[[#This Row],[Mid30]],Table1[[#This Row],[Mid27]],Table1[[#This Row],[Mid24]],Table1[[#This Row],[Mid21]],Table1[[#This Row],[Mid18]],Table1[[#This Row],[Mid15]],Table1[[#This Row],[Mid12]],Table1[[#This Row],[Mid9]],Table1[[#This Row],[Mid6]],Table1[[#This Row],[Mid3]],Table1[[#This Row],[Mid]])</f>
        <v>74.52</v>
      </c>
      <c r="CG97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78" t="s">
        <v>157</v>
      </c>
      <c r="CI978" t="s">
        <v>134</v>
      </c>
      <c r="CJ978" t="s">
        <v>158</v>
      </c>
      <c r="CL978" s="19">
        <f>IF(Table1[[#This Row],[Type]]="Petroleum",1,IF(ISERROR(Table1[[#This Row],[Well Density]]*Table1[[#This Row],[Single Well Discovery Area]]),"",IF(Table1[[#This Row],[Well Density]]*Table1[[#This Row],[Single Well Discovery Area]]&gt;1,1,Table1[[#This Row],[Well Density]]*Table1[[#This Row],[Single Well Discovery Area]])))</f>
        <v>1</v>
      </c>
      <c r="CN978" s="19">
        <f>Table1[[#This Row],[Mid]]</f>
        <v>0</v>
      </c>
      <c r="CO978" s="19">
        <f>Table1[[#This Row],[Mid3]]+Table1[[#This Row],[Mid6]]+Table1[[#This Row],[Mid9]]</f>
        <v>0</v>
      </c>
      <c r="CP978" s="19">
        <f>Table1[[#This Row],[Mid12]]+Table1[[#This Row],[Mid15]]+Table1[[#This Row],[Mid18]]+Table1[[#This Row],[Mid21]]+Table1[[#This Row],[Mid24]]</f>
        <v>74.52</v>
      </c>
      <c r="CQ978" s="19">
        <f>Table1[[#This Row],[Mid27]]+Table1[[#This Row],[Mid30]]+Table1[[#This Row],[Mid33]]+Table1[[#This Row],[Mid36]]+Table1[[#This Row],[Mid39]]</f>
        <v>0</v>
      </c>
      <c r="CR978" t="s">
        <v>415</v>
      </c>
      <c r="CS978" s="19" t="str">
        <f>IF(AND(Table1[[#This Row],[Low41]]=0, Table1[[#This Row],[High43]]=0),"N","Y")</f>
        <v>N</v>
      </c>
    </row>
    <row r="979" spans="1:97" ht="19.5" customHeight="1" x14ac:dyDescent="0.25">
      <c r="A979">
        <v>10979</v>
      </c>
      <c r="B979" t="s">
        <v>2917</v>
      </c>
      <c r="C979" t="s">
        <v>3002</v>
      </c>
      <c r="D979">
        <v>42.684722219999998</v>
      </c>
      <c r="E979">
        <v>-4.7136111109999996</v>
      </c>
      <c r="F979" t="s">
        <v>3032</v>
      </c>
      <c r="G979" t="s">
        <v>2994</v>
      </c>
      <c r="H979" t="s">
        <v>3016</v>
      </c>
      <c r="I979" t="s">
        <v>118</v>
      </c>
      <c r="J979" t="s">
        <v>119</v>
      </c>
      <c r="K979" t="s">
        <v>203</v>
      </c>
      <c r="L979" t="s">
        <v>121</v>
      </c>
      <c r="M979" t="s">
        <v>122</v>
      </c>
      <c r="N979" s="6" t="s">
        <v>2956</v>
      </c>
      <c r="O979" t="s">
        <v>2957</v>
      </c>
      <c r="P979" t="s">
        <v>2928</v>
      </c>
      <c r="Q979" t="s">
        <v>2990</v>
      </c>
      <c r="R979" t="s">
        <v>2976</v>
      </c>
      <c r="S979">
        <v>2010</v>
      </c>
      <c r="T979" t="s">
        <v>771</v>
      </c>
      <c r="U979" t="s">
        <v>2875</v>
      </c>
      <c r="V979">
        <v>67.94</v>
      </c>
      <c r="W979">
        <v>2750</v>
      </c>
      <c r="X979">
        <v>151</v>
      </c>
      <c r="Z979">
        <v>16</v>
      </c>
      <c r="AA979">
        <v>70</v>
      </c>
      <c r="AB979">
        <v>4500</v>
      </c>
      <c r="AC979">
        <v>600</v>
      </c>
      <c r="AD979">
        <v>3</v>
      </c>
      <c r="AE979">
        <v>4.4156608999999999E-2</v>
      </c>
      <c r="AF979">
        <v>200</v>
      </c>
      <c r="AH979" t="s">
        <v>2259</v>
      </c>
      <c r="AI979">
        <v>0.3</v>
      </c>
      <c r="AM979" t="s">
        <v>2960</v>
      </c>
      <c r="AN979" t="s">
        <v>132</v>
      </c>
      <c r="BN979">
        <v>132.19</v>
      </c>
      <c r="CE97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79" s="19">
        <f>SUM(Table1[[#This Row],[Mid39]],Table1[[#This Row],[Mid36]],Table1[[#This Row],[Mid33]],Table1[[#This Row],[Mid30]],Table1[[#This Row],[Mid27]],Table1[[#This Row],[Mid24]],Table1[[#This Row],[Mid21]],Table1[[#This Row],[Mid18]],Table1[[#This Row],[Mid15]],Table1[[#This Row],[Mid12]],Table1[[#This Row],[Mid9]],Table1[[#This Row],[Mid6]],Table1[[#This Row],[Mid3]],Table1[[#This Row],[Mid]])</f>
        <v>132.19</v>
      </c>
      <c r="CG97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79" t="s">
        <v>157</v>
      </c>
      <c r="CI979" t="s">
        <v>134</v>
      </c>
      <c r="CJ979" t="s">
        <v>158</v>
      </c>
      <c r="CL979" s="19">
        <f>IF(Table1[[#This Row],[Type]]="Petroleum",1,IF(ISERROR(Table1[[#This Row],[Well Density]]*Table1[[#This Row],[Single Well Discovery Area]]),"",IF(Table1[[#This Row],[Well Density]]*Table1[[#This Row],[Single Well Discovery Area]]&gt;1,1,Table1[[#This Row],[Well Density]]*Table1[[#This Row],[Single Well Discovery Area]])))</f>
        <v>1</v>
      </c>
      <c r="CN979" s="19">
        <f>Table1[[#This Row],[Mid]]</f>
        <v>0</v>
      </c>
      <c r="CO979" s="19">
        <f>Table1[[#This Row],[Mid3]]+Table1[[#This Row],[Mid6]]+Table1[[#This Row],[Mid9]]</f>
        <v>0</v>
      </c>
      <c r="CP979" s="19">
        <f>Table1[[#This Row],[Mid12]]+Table1[[#This Row],[Mid15]]+Table1[[#This Row],[Mid18]]+Table1[[#This Row],[Mid21]]+Table1[[#This Row],[Mid24]]</f>
        <v>132.19</v>
      </c>
      <c r="CQ979" s="19">
        <f>Table1[[#This Row],[Mid27]]+Table1[[#This Row],[Mid30]]+Table1[[#This Row],[Mid33]]+Table1[[#This Row],[Mid36]]+Table1[[#This Row],[Mid39]]</f>
        <v>0</v>
      </c>
      <c r="CR979" t="s">
        <v>415</v>
      </c>
      <c r="CS979" s="19" t="str">
        <f>IF(AND(Table1[[#This Row],[Low41]]=0, Table1[[#This Row],[High43]]=0),"N","Y")</f>
        <v>N</v>
      </c>
    </row>
    <row r="980" spans="1:97" ht="19.5" customHeight="1" x14ac:dyDescent="0.25">
      <c r="A980">
        <v>10980</v>
      </c>
      <c r="B980" t="s">
        <v>2917</v>
      </c>
      <c r="C980" t="s">
        <v>3002</v>
      </c>
      <c r="D980">
        <v>42.80277778</v>
      </c>
      <c r="E980">
        <v>-5.4419444439999998</v>
      </c>
      <c r="F980" t="s">
        <v>3033</v>
      </c>
      <c r="G980" t="s">
        <v>2945</v>
      </c>
      <c r="H980" t="s">
        <v>3016</v>
      </c>
      <c r="I980" t="s">
        <v>118</v>
      </c>
      <c r="J980" t="s">
        <v>119</v>
      </c>
      <c r="K980" t="s">
        <v>203</v>
      </c>
      <c r="L980" t="s">
        <v>121</v>
      </c>
      <c r="M980" t="s">
        <v>122</v>
      </c>
      <c r="N980" s="6" t="s">
        <v>2956</v>
      </c>
      <c r="O980" t="s">
        <v>2957</v>
      </c>
      <c r="P980" t="s">
        <v>2928</v>
      </c>
      <c r="Q980" t="s">
        <v>2990</v>
      </c>
      <c r="R980" t="s">
        <v>2976</v>
      </c>
      <c r="S980">
        <v>2010</v>
      </c>
      <c r="T980" t="s">
        <v>771</v>
      </c>
      <c r="U980" t="s">
        <v>2875</v>
      </c>
      <c r="V980">
        <v>72.14</v>
      </c>
      <c r="W980">
        <v>850</v>
      </c>
      <c r="X980">
        <v>151</v>
      </c>
      <c r="Z980">
        <v>16</v>
      </c>
      <c r="AA980">
        <v>70</v>
      </c>
      <c r="AB980">
        <v>60000</v>
      </c>
      <c r="AC980">
        <v>600</v>
      </c>
      <c r="AD980">
        <v>0</v>
      </c>
      <c r="AE980">
        <v>0</v>
      </c>
      <c r="AF980">
        <v>200</v>
      </c>
      <c r="AH980" t="s">
        <v>2259</v>
      </c>
      <c r="AI980">
        <v>0.3</v>
      </c>
      <c r="AM980" t="s">
        <v>2960</v>
      </c>
      <c r="AN980" t="s">
        <v>132</v>
      </c>
      <c r="BQ980">
        <v>139.97</v>
      </c>
      <c r="CE98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80" s="19">
        <f>SUM(Table1[[#This Row],[Mid39]],Table1[[#This Row],[Mid36]],Table1[[#This Row],[Mid33]],Table1[[#This Row],[Mid30]],Table1[[#This Row],[Mid27]],Table1[[#This Row],[Mid24]],Table1[[#This Row],[Mid21]],Table1[[#This Row],[Mid18]],Table1[[#This Row],[Mid15]],Table1[[#This Row],[Mid12]],Table1[[#This Row],[Mid9]],Table1[[#This Row],[Mid6]],Table1[[#This Row],[Mid3]],Table1[[#This Row],[Mid]])</f>
        <v>139.97</v>
      </c>
      <c r="CG98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80" t="s">
        <v>157</v>
      </c>
      <c r="CI980" t="s">
        <v>134</v>
      </c>
      <c r="CJ980" t="s">
        <v>158</v>
      </c>
      <c r="CL980" s="19">
        <f>IF(Table1[[#This Row],[Type]]="Petroleum",1,IF(ISERROR(Table1[[#This Row],[Well Density]]*Table1[[#This Row],[Single Well Discovery Area]]),"",IF(Table1[[#This Row],[Well Density]]*Table1[[#This Row],[Single Well Discovery Area]]&gt;1,1,Table1[[#This Row],[Well Density]]*Table1[[#This Row],[Single Well Discovery Area]])))</f>
        <v>0</v>
      </c>
      <c r="CN980" s="19">
        <f>Table1[[#This Row],[Mid]]</f>
        <v>0</v>
      </c>
      <c r="CO980" s="19">
        <f>Table1[[#This Row],[Mid3]]+Table1[[#This Row],[Mid6]]+Table1[[#This Row],[Mid9]]</f>
        <v>0</v>
      </c>
      <c r="CP980" s="19">
        <f>Table1[[#This Row],[Mid12]]+Table1[[#This Row],[Mid15]]+Table1[[#This Row],[Mid18]]+Table1[[#This Row],[Mid21]]+Table1[[#This Row],[Mid24]]</f>
        <v>0</v>
      </c>
      <c r="CQ980" s="19">
        <f>Table1[[#This Row],[Mid27]]+Table1[[#This Row],[Mid30]]+Table1[[#This Row],[Mid33]]+Table1[[#This Row],[Mid36]]+Table1[[#This Row],[Mid39]]</f>
        <v>139.97</v>
      </c>
      <c r="CR980" t="s">
        <v>415</v>
      </c>
      <c r="CS980" s="19" t="str">
        <f>IF(AND(Table1[[#This Row],[Low41]]=0, Table1[[#This Row],[High43]]=0),"N","Y")</f>
        <v>N</v>
      </c>
    </row>
    <row r="981" spans="1:97" ht="19.5" customHeight="1" x14ac:dyDescent="0.25">
      <c r="A981">
        <v>10980</v>
      </c>
      <c r="B981" t="s">
        <v>2917</v>
      </c>
      <c r="C981" t="s">
        <v>3002</v>
      </c>
      <c r="D981">
        <v>42.80277778</v>
      </c>
      <c r="E981">
        <v>-5.4419444439999998</v>
      </c>
      <c r="F981" t="s">
        <v>3033</v>
      </c>
      <c r="G981" t="s">
        <v>2945</v>
      </c>
      <c r="H981" t="s">
        <v>3016</v>
      </c>
      <c r="I981" t="s">
        <v>118</v>
      </c>
      <c r="J981" t="s">
        <v>119</v>
      </c>
      <c r="K981" t="s">
        <v>203</v>
      </c>
      <c r="L981" t="s">
        <v>121</v>
      </c>
      <c r="M981" t="s">
        <v>122</v>
      </c>
      <c r="N981" s="6" t="s">
        <v>2956</v>
      </c>
      <c r="O981" t="s">
        <v>2957</v>
      </c>
      <c r="P981" t="s">
        <v>2928</v>
      </c>
      <c r="Q981" t="s">
        <v>2990</v>
      </c>
      <c r="R981" t="s">
        <v>2976</v>
      </c>
      <c r="S981">
        <v>2010</v>
      </c>
      <c r="T981" t="s">
        <v>771</v>
      </c>
      <c r="U981" t="s">
        <v>2875</v>
      </c>
      <c r="V981">
        <v>72.14</v>
      </c>
      <c r="W981">
        <v>850</v>
      </c>
      <c r="X981">
        <v>151</v>
      </c>
      <c r="Z981">
        <v>16</v>
      </c>
      <c r="AA981">
        <v>70</v>
      </c>
      <c r="AB981">
        <v>60000</v>
      </c>
      <c r="AC981">
        <v>600</v>
      </c>
      <c r="AD981">
        <v>0</v>
      </c>
      <c r="AE981">
        <v>0</v>
      </c>
      <c r="AF981">
        <v>200</v>
      </c>
      <c r="AH981" t="s">
        <v>2259</v>
      </c>
      <c r="AI981">
        <v>0.3</v>
      </c>
      <c r="AM981" t="s">
        <v>2960</v>
      </c>
      <c r="AN981" t="s">
        <v>132</v>
      </c>
      <c r="BQ981">
        <v>139.97</v>
      </c>
      <c r="CE98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81" s="19">
        <f>SUM(Table1[[#This Row],[Mid39]],Table1[[#This Row],[Mid36]],Table1[[#This Row],[Mid33]],Table1[[#This Row],[Mid30]],Table1[[#This Row],[Mid27]],Table1[[#This Row],[Mid24]],Table1[[#This Row],[Mid21]],Table1[[#This Row],[Mid18]],Table1[[#This Row],[Mid15]],Table1[[#This Row],[Mid12]],Table1[[#This Row],[Mid9]],Table1[[#This Row],[Mid6]],Table1[[#This Row],[Mid3]],Table1[[#This Row],[Mid]])</f>
        <v>139.97</v>
      </c>
      <c r="CG98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81" t="s">
        <v>157</v>
      </c>
      <c r="CI981" t="s">
        <v>134</v>
      </c>
      <c r="CJ981" t="s">
        <v>158</v>
      </c>
      <c r="CL981" s="19">
        <f>IF(Table1[[#This Row],[Type]]="Petroleum",1,IF(ISERROR(Table1[[#This Row],[Well Density]]*Table1[[#This Row],[Single Well Discovery Area]]),"",IF(Table1[[#This Row],[Well Density]]*Table1[[#This Row],[Single Well Discovery Area]]&gt;1,1,Table1[[#This Row],[Well Density]]*Table1[[#This Row],[Single Well Discovery Area]])))</f>
        <v>0</v>
      </c>
      <c r="CN981" s="19">
        <f>Table1[[#This Row],[Mid]]</f>
        <v>0</v>
      </c>
      <c r="CO981" s="19">
        <f>Table1[[#This Row],[Mid3]]+Table1[[#This Row],[Mid6]]+Table1[[#This Row],[Mid9]]</f>
        <v>0</v>
      </c>
      <c r="CP981" s="19">
        <f>Table1[[#This Row],[Mid12]]+Table1[[#This Row],[Mid15]]+Table1[[#This Row],[Mid18]]+Table1[[#This Row],[Mid21]]+Table1[[#This Row],[Mid24]]</f>
        <v>0</v>
      </c>
      <c r="CQ981" s="19">
        <f>Table1[[#This Row],[Mid27]]+Table1[[#This Row],[Mid30]]+Table1[[#This Row],[Mid33]]+Table1[[#This Row],[Mid36]]+Table1[[#This Row],[Mid39]]</f>
        <v>139.97</v>
      </c>
      <c r="CR981" t="s">
        <v>415</v>
      </c>
      <c r="CS981" s="19" t="str">
        <f>IF(AND(Table1[[#This Row],[Low41]]=0, Table1[[#This Row],[High43]]=0),"N","Y")</f>
        <v>N</v>
      </c>
    </row>
    <row r="982" spans="1:97" ht="19.5" customHeight="1" x14ac:dyDescent="0.25">
      <c r="A982">
        <v>10981</v>
      </c>
      <c r="B982" t="s">
        <v>2917</v>
      </c>
      <c r="C982" t="s">
        <v>3002</v>
      </c>
      <c r="D982">
        <v>42.484444439999997</v>
      </c>
      <c r="E982">
        <v>-4.6341666669999997</v>
      </c>
      <c r="F982" t="s">
        <v>3034</v>
      </c>
      <c r="G982" t="s">
        <v>2994</v>
      </c>
      <c r="H982" t="s">
        <v>3016</v>
      </c>
      <c r="I982" t="s">
        <v>118</v>
      </c>
      <c r="J982" t="s">
        <v>119</v>
      </c>
      <c r="K982" t="s">
        <v>203</v>
      </c>
      <c r="L982" t="s">
        <v>121</v>
      </c>
      <c r="M982" t="s">
        <v>122</v>
      </c>
      <c r="N982" s="6" t="s">
        <v>2956</v>
      </c>
      <c r="O982" t="s">
        <v>2957</v>
      </c>
      <c r="P982" t="s">
        <v>2928</v>
      </c>
      <c r="Q982" t="s">
        <v>2990</v>
      </c>
      <c r="R982" t="s">
        <v>2976</v>
      </c>
      <c r="S982">
        <v>2010</v>
      </c>
      <c r="T982" t="s">
        <v>771</v>
      </c>
      <c r="U982" t="s">
        <v>2875</v>
      </c>
      <c r="V982">
        <v>105.27</v>
      </c>
      <c r="W982">
        <v>2360</v>
      </c>
      <c r="X982">
        <v>151</v>
      </c>
      <c r="Z982">
        <v>14</v>
      </c>
      <c r="AA982">
        <v>70</v>
      </c>
      <c r="AB982">
        <v>60000</v>
      </c>
      <c r="AC982">
        <v>600</v>
      </c>
      <c r="AD982">
        <v>1</v>
      </c>
      <c r="AE982">
        <v>9.4993830000000001E-3</v>
      </c>
      <c r="AF982">
        <v>200</v>
      </c>
      <c r="AH982" t="s">
        <v>2259</v>
      </c>
      <c r="AI982">
        <v>0.3</v>
      </c>
      <c r="AM982" t="s">
        <v>2960</v>
      </c>
      <c r="AN982" t="s">
        <v>132</v>
      </c>
      <c r="BN982">
        <v>198.45</v>
      </c>
      <c r="CE98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82" s="19">
        <f>SUM(Table1[[#This Row],[Mid39]],Table1[[#This Row],[Mid36]],Table1[[#This Row],[Mid33]],Table1[[#This Row],[Mid30]],Table1[[#This Row],[Mid27]],Table1[[#This Row],[Mid24]],Table1[[#This Row],[Mid21]],Table1[[#This Row],[Mid18]],Table1[[#This Row],[Mid15]],Table1[[#This Row],[Mid12]],Table1[[#This Row],[Mid9]],Table1[[#This Row],[Mid6]],Table1[[#This Row],[Mid3]],Table1[[#This Row],[Mid]])</f>
        <v>198.45</v>
      </c>
      <c r="CG98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82" t="s">
        <v>157</v>
      </c>
      <c r="CI982" t="s">
        <v>134</v>
      </c>
      <c r="CJ982" t="s">
        <v>158</v>
      </c>
      <c r="CL982" s="19">
        <f>IF(Table1[[#This Row],[Type]]="Petroleum",1,IF(ISERROR(Table1[[#This Row],[Well Density]]*Table1[[#This Row],[Single Well Discovery Area]]),"",IF(Table1[[#This Row],[Well Density]]*Table1[[#This Row],[Single Well Discovery Area]]&gt;1,1,Table1[[#This Row],[Well Density]]*Table1[[#This Row],[Single Well Discovery Area]])))</f>
        <v>1</v>
      </c>
      <c r="CN982" s="19">
        <f>Table1[[#This Row],[Mid]]</f>
        <v>0</v>
      </c>
      <c r="CO982" s="19">
        <f>Table1[[#This Row],[Mid3]]+Table1[[#This Row],[Mid6]]+Table1[[#This Row],[Mid9]]</f>
        <v>0</v>
      </c>
      <c r="CP982" s="19">
        <f>Table1[[#This Row],[Mid12]]+Table1[[#This Row],[Mid15]]+Table1[[#This Row],[Mid18]]+Table1[[#This Row],[Mid21]]+Table1[[#This Row],[Mid24]]</f>
        <v>198.45</v>
      </c>
      <c r="CQ982" s="19">
        <f>Table1[[#This Row],[Mid27]]+Table1[[#This Row],[Mid30]]+Table1[[#This Row],[Mid33]]+Table1[[#This Row],[Mid36]]+Table1[[#This Row],[Mid39]]</f>
        <v>0</v>
      </c>
      <c r="CR982" t="s">
        <v>415</v>
      </c>
      <c r="CS982" s="19" t="str">
        <f>IF(AND(Table1[[#This Row],[Low41]]=0, Table1[[#This Row],[High43]]=0),"N","Y")</f>
        <v>N</v>
      </c>
    </row>
    <row r="983" spans="1:97" ht="19.5" customHeight="1" x14ac:dyDescent="0.25">
      <c r="A983">
        <v>10982</v>
      </c>
      <c r="B983" t="s">
        <v>2917</v>
      </c>
      <c r="C983" t="s">
        <v>3002</v>
      </c>
      <c r="D983">
        <v>42.584444439999999</v>
      </c>
      <c r="E983">
        <v>-3.6486111110000001</v>
      </c>
      <c r="F983" t="s">
        <v>3035</v>
      </c>
      <c r="G983" t="s">
        <v>2945</v>
      </c>
      <c r="H983" t="s">
        <v>3006</v>
      </c>
      <c r="I983" t="s">
        <v>118</v>
      </c>
      <c r="J983" t="s">
        <v>119</v>
      </c>
      <c r="K983" t="s">
        <v>203</v>
      </c>
      <c r="L983" t="s">
        <v>121</v>
      </c>
      <c r="M983" t="s">
        <v>139</v>
      </c>
      <c r="N983" s="6" t="s">
        <v>2956</v>
      </c>
      <c r="O983" t="s">
        <v>2957</v>
      </c>
      <c r="P983" t="s">
        <v>2928</v>
      </c>
      <c r="Q983" t="s">
        <v>2990</v>
      </c>
      <c r="R983" t="s">
        <v>2976</v>
      </c>
      <c r="S983">
        <v>2021</v>
      </c>
      <c r="T983" t="s">
        <v>771</v>
      </c>
      <c r="U983" t="s">
        <v>2875</v>
      </c>
      <c r="V983">
        <v>13.02</v>
      </c>
      <c r="W983">
        <v>1156</v>
      </c>
      <c r="X983">
        <v>133</v>
      </c>
      <c r="Z983">
        <v>8</v>
      </c>
      <c r="AA983">
        <v>70</v>
      </c>
      <c r="AB983">
        <v>100000</v>
      </c>
      <c r="AC983">
        <v>660</v>
      </c>
      <c r="AD983">
        <v>3</v>
      </c>
      <c r="AE983">
        <v>0.230414747</v>
      </c>
      <c r="AF983">
        <v>20</v>
      </c>
      <c r="AH983" t="s">
        <v>2259</v>
      </c>
      <c r="AI983">
        <v>0.3</v>
      </c>
      <c r="AM983" t="s">
        <v>2960</v>
      </c>
      <c r="AN983" t="s">
        <v>132</v>
      </c>
      <c r="BN983">
        <v>14</v>
      </c>
      <c r="CE98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83" s="19">
        <f>SUM(Table1[[#This Row],[Mid39]],Table1[[#This Row],[Mid36]],Table1[[#This Row],[Mid33]],Table1[[#This Row],[Mid30]],Table1[[#This Row],[Mid27]],Table1[[#This Row],[Mid24]],Table1[[#This Row],[Mid21]],Table1[[#This Row],[Mid18]],Table1[[#This Row],[Mid15]],Table1[[#This Row],[Mid12]],Table1[[#This Row],[Mid9]],Table1[[#This Row],[Mid6]],Table1[[#This Row],[Mid3]],Table1[[#This Row],[Mid]])</f>
        <v>14</v>
      </c>
      <c r="CG98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83" t="s">
        <v>157</v>
      </c>
      <c r="CI983" t="s">
        <v>176</v>
      </c>
      <c r="CJ983" t="s">
        <v>158</v>
      </c>
      <c r="CL983" s="19">
        <f>IF(Table1[[#This Row],[Type]]="Petroleum",1,IF(ISERROR(Table1[[#This Row],[Well Density]]*Table1[[#This Row],[Single Well Discovery Area]]),"",IF(Table1[[#This Row],[Well Density]]*Table1[[#This Row],[Single Well Discovery Area]]&gt;1,1,Table1[[#This Row],[Well Density]]*Table1[[#This Row],[Single Well Discovery Area]])))</f>
        <v>1</v>
      </c>
      <c r="CN983" s="19">
        <f>Table1[[#This Row],[Mid]]</f>
        <v>0</v>
      </c>
      <c r="CO983" s="19">
        <f>Table1[[#This Row],[Mid3]]+Table1[[#This Row],[Mid6]]+Table1[[#This Row],[Mid9]]</f>
        <v>0</v>
      </c>
      <c r="CP983" s="19">
        <f>Table1[[#This Row],[Mid12]]+Table1[[#This Row],[Mid15]]+Table1[[#This Row],[Mid18]]+Table1[[#This Row],[Mid21]]+Table1[[#This Row],[Mid24]]</f>
        <v>14</v>
      </c>
      <c r="CQ983" s="19">
        <f>Table1[[#This Row],[Mid27]]+Table1[[#This Row],[Mid30]]+Table1[[#This Row],[Mid33]]+Table1[[#This Row],[Mid36]]+Table1[[#This Row],[Mid39]]</f>
        <v>0</v>
      </c>
      <c r="CR983" t="s">
        <v>415</v>
      </c>
      <c r="CS983" s="19" t="str">
        <f>IF(AND(Table1[[#This Row],[Low41]]=0, Table1[[#This Row],[High43]]=0),"N","Y")</f>
        <v>N</v>
      </c>
    </row>
    <row r="984" spans="1:97" ht="19.5" customHeight="1" x14ac:dyDescent="0.25">
      <c r="A984">
        <v>10983</v>
      </c>
      <c r="B984" t="s">
        <v>2917</v>
      </c>
      <c r="C984" t="s">
        <v>3002</v>
      </c>
      <c r="D984">
        <v>43.028888889999998</v>
      </c>
      <c r="E984">
        <v>-3.4969444439999999</v>
      </c>
      <c r="F984" t="s">
        <v>3036</v>
      </c>
      <c r="G984" t="s">
        <v>2994</v>
      </c>
      <c r="H984" t="s">
        <v>3006</v>
      </c>
      <c r="I984" t="s">
        <v>118</v>
      </c>
      <c r="J984" t="s">
        <v>119</v>
      </c>
      <c r="K984" t="s">
        <v>203</v>
      </c>
      <c r="L984" t="s">
        <v>121</v>
      </c>
      <c r="M984" t="s">
        <v>139</v>
      </c>
      <c r="N984" s="6" t="s">
        <v>2956</v>
      </c>
      <c r="O984" t="s">
        <v>2957</v>
      </c>
      <c r="P984" t="s">
        <v>2928</v>
      </c>
      <c r="Q984" t="s">
        <v>2990</v>
      </c>
      <c r="R984" t="s">
        <v>2976</v>
      </c>
      <c r="S984">
        <v>2010</v>
      </c>
      <c r="T984" t="s">
        <v>771</v>
      </c>
      <c r="U984" t="s">
        <v>2875</v>
      </c>
      <c r="V984">
        <v>39</v>
      </c>
      <c r="W984">
        <v>1000</v>
      </c>
      <c r="X984">
        <v>140</v>
      </c>
      <c r="Z984">
        <v>5</v>
      </c>
      <c r="AA984">
        <v>10</v>
      </c>
      <c r="AB984">
        <v>15000</v>
      </c>
      <c r="AC984">
        <v>650</v>
      </c>
      <c r="AD984">
        <v>6</v>
      </c>
      <c r="AE984">
        <v>0.15384615400000001</v>
      </c>
      <c r="AF984">
        <v>20</v>
      </c>
      <c r="AH984" t="s">
        <v>2259</v>
      </c>
      <c r="AI984">
        <v>0.3</v>
      </c>
      <c r="AM984" t="s">
        <v>2960</v>
      </c>
      <c r="AN984" t="s">
        <v>132</v>
      </c>
      <c r="BN984">
        <v>23.07</v>
      </c>
      <c r="CE98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84" s="19">
        <f>SUM(Table1[[#This Row],[Mid39]],Table1[[#This Row],[Mid36]],Table1[[#This Row],[Mid33]],Table1[[#This Row],[Mid30]],Table1[[#This Row],[Mid27]],Table1[[#This Row],[Mid24]],Table1[[#This Row],[Mid21]],Table1[[#This Row],[Mid18]],Table1[[#This Row],[Mid15]],Table1[[#This Row],[Mid12]],Table1[[#This Row],[Mid9]],Table1[[#This Row],[Mid6]],Table1[[#This Row],[Mid3]],Table1[[#This Row],[Mid]])</f>
        <v>23.07</v>
      </c>
      <c r="CG98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84" t="s">
        <v>157</v>
      </c>
      <c r="CI984" t="s">
        <v>176</v>
      </c>
      <c r="CJ984" t="s">
        <v>158</v>
      </c>
      <c r="CL984" s="19">
        <f>IF(Table1[[#This Row],[Type]]="Petroleum",1,IF(ISERROR(Table1[[#This Row],[Well Density]]*Table1[[#This Row],[Single Well Discovery Area]]),"",IF(Table1[[#This Row],[Well Density]]*Table1[[#This Row],[Single Well Discovery Area]]&gt;1,1,Table1[[#This Row],[Well Density]]*Table1[[#This Row],[Single Well Discovery Area]])))</f>
        <v>1</v>
      </c>
      <c r="CN984" s="19">
        <f>Table1[[#This Row],[Mid]]</f>
        <v>0</v>
      </c>
      <c r="CO984" s="19">
        <f>Table1[[#This Row],[Mid3]]+Table1[[#This Row],[Mid6]]+Table1[[#This Row],[Mid9]]</f>
        <v>0</v>
      </c>
      <c r="CP984" s="19">
        <f>Table1[[#This Row],[Mid12]]+Table1[[#This Row],[Mid15]]+Table1[[#This Row],[Mid18]]+Table1[[#This Row],[Mid21]]+Table1[[#This Row],[Mid24]]</f>
        <v>23.07</v>
      </c>
      <c r="CQ984" s="19">
        <f>Table1[[#This Row],[Mid27]]+Table1[[#This Row],[Mid30]]+Table1[[#This Row],[Mid33]]+Table1[[#This Row],[Mid36]]+Table1[[#This Row],[Mid39]]</f>
        <v>0</v>
      </c>
      <c r="CR984" t="s">
        <v>415</v>
      </c>
      <c r="CS984" s="19" t="str">
        <f>IF(AND(Table1[[#This Row],[Low41]]=0, Table1[[#This Row],[High43]]=0),"N","Y")</f>
        <v>N</v>
      </c>
    </row>
    <row r="985" spans="1:97" ht="19.5" customHeight="1" x14ac:dyDescent="0.25">
      <c r="A985">
        <v>10984</v>
      </c>
      <c r="B985" t="s">
        <v>2917</v>
      </c>
      <c r="C985" t="s">
        <v>3037</v>
      </c>
      <c r="D985">
        <v>37.24777778</v>
      </c>
      <c r="E985">
        <v>-6.4977777779999997</v>
      </c>
      <c r="F985" t="s">
        <v>3038</v>
      </c>
      <c r="G985" t="s">
        <v>3039</v>
      </c>
      <c r="H985" t="s">
        <v>3040</v>
      </c>
      <c r="I985" t="s">
        <v>118</v>
      </c>
      <c r="J985" t="s">
        <v>119</v>
      </c>
      <c r="K985" t="s">
        <v>1435</v>
      </c>
      <c r="L985" t="s">
        <v>121</v>
      </c>
      <c r="M985" t="s">
        <v>3041</v>
      </c>
      <c r="N985" s="6" t="s">
        <v>2956</v>
      </c>
      <c r="O985" t="s">
        <v>2957</v>
      </c>
      <c r="P985" t="s">
        <v>2928</v>
      </c>
      <c r="Q985" t="s">
        <v>2990</v>
      </c>
      <c r="R985" t="s">
        <v>2966</v>
      </c>
      <c r="S985">
        <v>2010</v>
      </c>
      <c r="T985" t="s">
        <v>771</v>
      </c>
      <c r="U985" t="s">
        <v>2875</v>
      </c>
      <c r="V985"/>
      <c r="W985">
        <v>600</v>
      </c>
      <c r="Z985">
        <v>29</v>
      </c>
      <c r="AA985">
        <v>70</v>
      </c>
      <c r="AB985">
        <v>16000</v>
      </c>
      <c r="AC985">
        <v>260</v>
      </c>
      <c r="AD985">
        <v>1</v>
      </c>
      <c r="AF985">
        <v>200</v>
      </c>
      <c r="AH985" t="s">
        <v>2259</v>
      </c>
      <c r="AI985">
        <v>0.3</v>
      </c>
      <c r="AM985" t="s">
        <v>2960</v>
      </c>
      <c r="AN985" t="s">
        <v>132</v>
      </c>
      <c r="BN985">
        <v>73.3</v>
      </c>
      <c r="BO985">
        <v>216.81</v>
      </c>
      <c r="CE98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85" s="19">
        <f>SUM(Table1[[#This Row],[Mid39]],Table1[[#This Row],[Mid36]],Table1[[#This Row],[Mid33]],Table1[[#This Row],[Mid30]],Table1[[#This Row],[Mid27]],Table1[[#This Row],[Mid24]],Table1[[#This Row],[Mid21]],Table1[[#This Row],[Mid18]],Table1[[#This Row],[Mid15]],Table1[[#This Row],[Mid12]],Table1[[#This Row],[Mid9]],Table1[[#This Row],[Mid6]],Table1[[#This Row],[Mid3]],Table1[[#This Row],[Mid]])</f>
        <v>73.3</v>
      </c>
      <c r="CG98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216.81</v>
      </c>
      <c r="CH985" t="s">
        <v>157</v>
      </c>
      <c r="CI985" t="s">
        <v>134</v>
      </c>
      <c r="CJ985" t="s">
        <v>158</v>
      </c>
      <c r="CL985" s="19">
        <f>IF(Table1[[#This Row],[Type]]="Petroleum",1,IF(ISERROR(Table1[[#This Row],[Well Density]]*Table1[[#This Row],[Single Well Discovery Area]]),"",IF(Table1[[#This Row],[Well Density]]*Table1[[#This Row],[Single Well Discovery Area]]&gt;1,1,Table1[[#This Row],[Well Density]]*Table1[[#This Row],[Single Well Discovery Area]])))</f>
        <v>0</v>
      </c>
      <c r="CN985" s="19">
        <f>Table1[[#This Row],[Mid]]</f>
        <v>0</v>
      </c>
      <c r="CO985" s="19">
        <f>Table1[[#This Row],[Mid3]]+Table1[[#This Row],[Mid6]]+Table1[[#This Row],[Mid9]]</f>
        <v>0</v>
      </c>
      <c r="CP985" s="19">
        <f>Table1[[#This Row],[Mid12]]+Table1[[#This Row],[Mid15]]+Table1[[#This Row],[Mid18]]+Table1[[#This Row],[Mid21]]+Table1[[#This Row],[Mid24]]</f>
        <v>73.3</v>
      </c>
      <c r="CQ985" s="19">
        <f>Table1[[#This Row],[Mid27]]+Table1[[#This Row],[Mid30]]+Table1[[#This Row],[Mid33]]+Table1[[#This Row],[Mid36]]+Table1[[#This Row],[Mid39]]</f>
        <v>0</v>
      </c>
      <c r="CR985" t="s">
        <v>415</v>
      </c>
      <c r="CS985" s="19" t="str">
        <f>IF(AND(Table1[[#This Row],[Low41]]=0, Table1[[#This Row],[High43]]=0),"N","Y")</f>
        <v>Y</v>
      </c>
    </row>
    <row r="986" spans="1:97" ht="19.5" customHeight="1" x14ac:dyDescent="0.25">
      <c r="A986">
        <v>10985</v>
      </c>
      <c r="B986" t="s">
        <v>2917</v>
      </c>
      <c r="C986" t="s">
        <v>3037</v>
      </c>
      <c r="D986">
        <v>37.727499999999999</v>
      </c>
      <c r="E986">
        <v>-4.8355555560000001</v>
      </c>
      <c r="F986" t="s">
        <v>3042</v>
      </c>
      <c r="G986" t="s">
        <v>3039</v>
      </c>
      <c r="H986" t="s">
        <v>3043</v>
      </c>
      <c r="I986" t="s">
        <v>118</v>
      </c>
      <c r="J986" t="s">
        <v>119</v>
      </c>
      <c r="K986" t="s">
        <v>167</v>
      </c>
      <c r="L986" t="s">
        <v>121</v>
      </c>
      <c r="M986" t="s">
        <v>2964</v>
      </c>
      <c r="N986" s="6" t="s">
        <v>2956</v>
      </c>
      <c r="O986" t="s">
        <v>2957</v>
      </c>
      <c r="P986" t="s">
        <v>2928</v>
      </c>
      <c r="Q986" t="s">
        <v>2990</v>
      </c>
      <c r="R986" t="s">
        <v>2976</v>
      </c>
      <c r="S986">
        <v>2010</v>
      </c>
      <c r="T986" t="s">
        <v>771</v>
      </c>
      <c r="U986" t="s">
        <v>2875</v>
      </c>
      <c r="V986">
        <v>10</v>
      </c>
      <c r="W986">
        <v>1000</v>
      </c>
      <c r="Z986">
        <v>20</v>
      </c>
      <c r="AA986">
        <v>300</v>
      </c>
      <c r="AB986">
        <v>15000</v>
      </c>
      <c r="AC986">
        <v>640</v>
      </c>
      <c r="AD986">
        <v>1</v>
      </c>
      <c r="AE986">
        <v>0.1</v>
      </c>
      <c r="AF986">
        <v>200</v>
      </c>
      <c r="AH986" t="s">
        <v>2259</v>
      </c>
      <c r="AI986">
        <v>0.3</v>
      </c>
      <c r="AM986" t="s">
        <v>2960</v>
      </c>
      <c r="AN986" t="s">
        <v>132</v>
      </c>
      <c r="BN986">
        <v>11.4</v>
      </c>
      <c r="CE98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86" s="19">
        <f>SUM(Table1[[#This Row],[Mid39]],Table1[[#This Row],[Mid36]],Table1[[#This Row],[Mid33]],Table1[[#This Row],[Mid30]],Table1[[#This Row],[Mid27]],Table1[[#This Row],[Mid24]],Table1[[#This Row],[Mid21]],Table1[[#This Row],[Mid18]],Table1[[#This Row],[Mid15]],Table1[[#This Row],[Mid12]],Table1[[#This Row],[Mid9]],Table1[[#This Row],[Mid6]],Table1[[#This Row],[Mid3]],Table1[[#This Row],[Mid]])</f>
        <v>11.4</v>
      </c>
      <c r="CG98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86" t="s">
        <v>157</v>
      </c>
      <c r="CI986" t="s">
        <v>665</v>
      </c>
      <c r="CJ986" t="s">
        <v>158</v>
      </c>
      <c r="CL986" s="19">
        <f>IF(Table1[[#This Row],[Type]]="Petroleum",1,IF(ISERROR(Table1[[#This Row],[Well Density]]*Table1[[#This Row],[Single Well Discovery Area]]),"",IF(Table1[[#This Row],[Well Density]]*Table1[[#This Row],[Single Well Discovery Area]]&gt;1,1,Table1[[#This Row],[Well Density]]*Table1[[#This Row],[Single Well Discovery Area]])))</f>
        <v>1</v>
      </c>
      <c r="CN986" s="19">
        <f>Table1[[#This Row],[Mid]]</f>
        <v>0</v>
      </c>
      <c r="CO986" s="19">
        <f>Table1[[#This Row],[Mid3]]+Table1[[#This Row],[Mid6]]+Table1[[#This Row],[Mid9]]</f>
        <v>0</v>
      </c>
      <c r="CP986" s="19">
        <f>Table1[[#This Row],[Mid12]]+Table1[[#This Row],[Mid15]]+Table1[[#This Row],[Mid18]]+Table1[[#This Row],[Mid21]]+Table1[[#This Row],[Mid24]]</f>
        <v>11.4</v>
      </c>
      <c r="CQ986" s="19">
        <f>Table1[[#This Row],[Mid27]]+Table1[[#This Row],[Mid30]]+Table1[[#This Row],[Mid33]]+Table1[[#This Row],[Mid36]]+Table1[[#This Row],[Mid39]]</f>
        <v>0</v>
      </c>
      <c r="CR986" t="s">
        <v>415</v>
      </c>
      <c r="CS986" s="19" t="str">
        <f>IF(AND(Table1[[#This Row],[Low41]]=0, Table1[[#This Row],[High43]]=0),"N","Y")</f>
        <v>N</v>
      </c>
    </row>
    <row r="987" spans="1:97" ht="19.5" customHeight="1" x14ac:dyDescent="0.25">
      <c r="A987">
        <v>10986</v>
      </c>
      <c r="B987" t="s">
        <v>2917</v>
      </c>
      <c r="C987" t="s">
        <v>3037</v>
      </c>
      <c r="D987">
        <v>37.869166669999998</v>
      </c>
      <c r="E987">
        <v>-3.5422222219999999</v>
      </c>
      <c r="F987" t="s">
        <v>3044</v>
      </c>
      <c r="G987" t="s">
        <v>3039</v>
      </c>
      <c r="H987" t="s">
        <v>3045</v>
      </c>
      <c r="I987" t="s">
        <v>118</v>
      </c>
      <c r="J987" t="s">
        <v>119</v>
      </c>
      <c r="K987" t="s">
        <v>120</v>
      </c>
      <c r="L987" t="s">
        <v>121</v>
      </c>
      <c r="M987" t="s">
        <v>3046</v>
      </c>
      <c r="N987" s="6" t="s">
        <v>2956</v>
      </c>
      <c r="O987" t="s">
        <v>2957</v>
      </c>
      <c r="P987" t="s">
        <v>2928</v>
      </c>
      <c r="Q987" t="s">
        <v>2990</v>
      </c>
      <c r="R987" t="s">
        <v>2976</v>
      </c>
      <c r="S987">
        <v>2010</v>
      </c>
      <c r="T987" t="s">
        <v>771</v>
      </c>
      <c r="U987" t="s">
        <v>2875</v>
      </c>
      <c r="V987">
        <v>48</v>
      </c>
      <c r="W987">
        <v>800</v>
      </c>
      <c r="Z987">
        <v>7</v>
      </c>
      <c r="AA987">
        <v>300</v>
      </c>
      <c r="AB987">
        <v>15000</v>
      </c>
      <c r="AC987">
        <v>600</v>
      </c>
      <c r="AD987">
        <v>1</v>
      </c>
      <c r="AE987">
        <v>2.0833332999999999E-2</v>
      </c>
      <c r="AF987">
        <v>200</v>
      </c>
      <c r="AH987" t="s">
        <v>2259</v>
      </c>
      <c r="AI987">
        <v>0.3</v>
      </c>
      <c r="AM987" t="s">
        <v>2960</v>
      </c>
      <c r="AN987" t="s">
        <v>132</v>
      </c>
      <c r="BN987">
        <v>338.69</v>
      </c>
      <c r="CE98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87" s="19">
        <f>SUM(Table1[[#This Row],[Mid39]],Table1[[#This Row],[Mid36]],Table1[[#This Row],[Mid33]],Table1[[#This Row],[Mid30]],Table1[[#This Row],[Mid27]],Table1[[#This Row],[Mid24]],Table1[[#This Row],[Mid21]],Table1[[#This Row],[Mid18]],Table1[[#This Row],[Mid15]],Table1[[#This Row],[Mid12]],Table1[[#This Row],[Mid9]],Table1[[#This Row],[Mid6]],Table1[[#This Row],[Mid3]],Table1[[#This Row],[Mid]])</f>
        <v>338.69</v>
      </c>
      <c r="CG98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87" t="s">
        <v>157</v>
      </c>
      <c r="CI987" t="s">
        <v>2996</v>
      </c>
      <c r="CJ987" t="s">
        <v>158</v>
      </c>
      <c r="CL987" s="19">
        <f>IF(Table1[[#This Row],[Type]]="Petroleum",1,IF(ISERROR(Table1[[#This Row],[Well Density]]*Table1[[#This Row],[Single Well Discovery Area]]),"",IF(Table1[[#This Row],[Well Density]]*Table1[[#This Row],[Single Well Discovery Area]]&gt;1,1,Table1[[#This Row],[Well Density]]*Table1[[#This Row],[Single Well Discovery Area]])))</f>
        <v>1</v>
      </c>
      <c r="CN987" s="19">
        <f>Table1[[#This Row],[Mid]]</f>
        <v>0</v>
      </c>
      <c r="CO987" s="19">
        <f>Table1[[#This Row],[Mid3]]+Table1[[#This Row],[Mid6]]+Table1[[#This Row],[Mid9]]</f>
        <v>0</v>
      </c>
      <c r="CP987" s="19">
        <f>Table1[[#This Row],[Mid12]]+Table1[[#This Row],[Mid15]]+Table1[[#This Row],[Mid18]]+Table1[[#This Row],[Mid21]]+Table1[[#This Row],[Mid24]]</f>
        <v>338.69</v>
      </c>
      <c r="CQ987" s="19">
        <f>Table1[[#This Row],[Mid27]]+Table1[[#This Row],[Mid30]]+Table1[[#This Row],[Mid33]]+Table1[[#This Row],[Mid36]]+Table1[[#This Row],[Mid39]]</f>
        <v>0</v>
      </c>
      <c r="CR987" t="s">
        <v>415</v>
      </c>
      <c r="CS987" s="19" t="str">
        <f>IF(AND(Table1[[#This Row],[Low41]]=0, Table1[[#This Row],[High43]]=0),"N","Y")</f>
        <v>N</v>
      </c>
    </row>
    <row r="988" spans="1:97" ht="19.5" customHeight="1" x14ac:dyDescent="0.25">
      <c r="A988">
        <v>10987</v>
      </c>
      <c r="B988" t="s">
        <v>2917</v>
      </c>
      <c r="C988" t="s">
        <v>3037</v>
      </c>
      <c r="D988">
        <v>36.400833329999998</v>
      </c>
      <c r="E988">
        <v>-5.3494444440000004</v>
      </c>
      <c r="F988" t="s">
        <v>3047</v>
      </c>
      <c r="G988" t="s">
        <v>3048</v>
      </c>
      <c r="H988" t="s">
        <v>252</v>
      </c>
      <c r="I988" t="s">
        <v>118</v>
      </c>
      <c r="J988" t="s">
        <v>119</v>
      </c>
      <c r="K988" t="s">
        <v>120</v>
      </c>
      <c r="L988" t="s">
        <v>121</v>
      </c>
      <c r="M988" t="s">
        <v>3046</v>
      </c>
      <c r="N988" s="6" t="s">
        <v>2956</v>
      </c>
      <c r="O988" t="s">
        <v>2957</v>
      </c>
      <c r="P988" t="s">
        <v>2928</v>
      </c>
      <c r="Q988" t="s">
        <v>2990</v>
      </c>
      <c r="R988" t="s">
        <v>2976</v>
      </c>
      <c r="S988">
        <v>2010</v>
      </c>
      <c r="T988" t="s">
        <v>771</v>
      </c>
      <c r="U988" t="s">
        <v>2875</v>
      </c>
      <c r="V988">
        <v>7.92</v>
      </c>
      <c r="W988">
        <v>730</v>
      </c>
      <c r="X988">
        <v>114</v>
      </c>
      <c r="Z988">
        <v>9</v>
      </c>
      <c r="AA988">
        <v>70</v>
      </c>
      <c r="AB988">
        <v>15000</v>
      </c>
      <c r="AC988">
        <v>350</v>
      </c>
      <c r="AD988">
        <v>1</v>
      </c>
      <c r="AE988">
        <v>0.12626262599999999</v>
      </c>
      <c r="AF988">
        <v>20</v>
      </c>
      <c r="AH988" t="s">
        <v>2259</v>
      </c>
      <c r="AI988">
        <v>0.3</v>
      </c>
      <c r="AM988" t="s">
        <v>2960</v>
      </c>
      <c r="AN988" t="s">
        <v>132</v>
      </c>
      <c r="BN988">
        <v>11.91</v>
      </c>
      <c r="CE98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88" s="19">
        <f>SUM(Table1[[#This Row],[Mid39]],Table1[[#This Row],[Mid36]],Table1[[#This Row],[Mid33]],Table1[[#This Row],[Mid30]],Table1[[#This Row],[Mid27]],Table1[[#This Row],[Mid24]],Table1[[#This Row],[Mid21]],Table1[[#This Row],[Mid18]],Table1[[#This Row],[Mid15]],Table1[[#This Row],[Mid12]],Table1[[#This Row],[Mid9]],Table1[[#This Row],[Mid6]],Table1[[#This Row],[Mid3]],Table1[[#This Row],[Mid]])</f>
        <v>11.91</v>
      </c>
      <c r="CG98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88" t="s">
        <v>157</v>
      </c>
      <c r="CI988" t="s">
        <v>176</v>
      </c>
      <c r="CJ988" t="s">
        <v>158</v>
      </c>
      <c r="CL988" s="19">
        <f>IF(Table1[[#This Row],[Type]]="Petroleum",1,IF(ISERROR(Table1[[#This Row],[Well Density]]*Table1[[#This Row],[Single Well Discovery Area]]),"",IF(Table1[[#This Row],[Well Density]]*Table1[[#This Row],[Single Well Discovery Area]]&gt;1,1,Table1[[#This Row],[Well Density]]*Table1[[#This Row],[Single Well Discovery Area]])))</f>
        <v>1</v>
      </c>
      <c r="CN988" s="19">
        <f>Table1[[#This Row],[Mid]]</f>
        <v>0</v>
      </c>
      <c r="CO988" s="19">
        <f>Table1[[#This Row],[Mid3]]+Table1[[#This Row],[Mid6]]+Table1[[#This Row],[Mid9]]</f>
        <v>0</v>
      </c>
      <c r="CP988" s="19">
        <f>Table1[[#This Row],[Mid12]]+Table1[[#This Row],[Mid15]]+Table1[[#This Row],[Mid18]]+Table1[[#This Row],[Mid21]]+Table1[[#This Row],[Mid24]]</f>
        <v>11.91</v>
      </c>
      <c r="CQ988" s="19">
        <f>Table1[[#This Row],[Mid27]]+Table1[[#This Row],[Mid30]]+Table1[[#This Row],[Mid33]]+Table1[[#This Row],[Mid36]]+Table1[[#This Row],[Mid39]]</f>
        <v>0</v>
      </c>
      <c r="CR988" t="s">
        <v>415</v>
      </c>
      <c r="CS988" s="19" t="str">
        <f>IF(AND(Table1[[#This Row],[Low41]]=0, Table1[[#This Row],[High43]]=0),"N","Y")</f>
        <v>N</v>
      </c>
    </row>
    <row r="989" spans="1:97" ht="19.5" customHeight="1" x14ac:dyDescent="0.25">
      <c r="A989">
        <v>10988</v>
      </c>
      <c r="B989" t="s">
        <v>2917</v>
      </c>
      <c r="C989" t="s">
        <v>3037</v>
      </c>
      <c r="D989">
        <v>37.88027778</v>
      </c>
      <c r="E989">
        <v>-3.0972222220000001</v>
      </c>
      <c r="F989" t="s">
        <v>3049</v>
      </c>
      <c r="G989" t="s">
        <v>3048</v>
      </c>
      <c r="H989" t="s">
        <v>252</v>
      </c>
      <c r="I989" t="s">
        <v>118</v>
      </c>
      <c r="J989" t="s">
        <v>119</v>
      </c>
      <c r="K989" t="s">
        <v>120</v>
      </c>
      <c r="L989" t="s">
        <v>121</v>
      </c>
      <c r="M989" t="s">
        <v>3046</v>
      </c>
      <c r="N989" s="6" t="s">
        <v>2956</v>
      </c>
      <c r="O989" t="s">
        <v>2957</v>
      </c>
      <c r="P989" t="s">
        <v>2928</v>
      </c>
      <c r="Q989" t="s">
        <v>2990</v>
      </c>
      <c r="R989" t="s">
        <v>2976</v>
      </c>
      <c r="S989">
        <v>2010</v>
      </c>
      <c r="T989" t="s">
        <v>771</v>
      </c>
      <c r="U989" t="s">
        <v>2875</v>
      </c>
      <c r="V989">
        <v>37</v>
      </c>
      <c r="W989">
        <v>1600</v>
      </c>
      <c r="X989">
        <v>1000</v>
      </c>
      <c r="Z989">
        <v>7</v>
      </c>
      <c r="AA989">
        <v>300</v>
      </c>
      <c r="AB989">
        <v>15000</v>
      </c>
      <c r="AC989">
        <v>660</v>
      </c>
      <c r="AE989">
        <v>0</v>
      </c>
      <c r="AF989">
        <v>200</v>
      </c>
      <c r="AH989" t="s">
        <v>2259</v>
      </c>
      <c r="AI989">
        <v>0.3</v>
      </c>
      <c r="AM989" t="s">
        <v>2960</v>
      </c>
      <c r="AN989" t="s">
        <v>132</v>
      </c>
      <c r="BN989">
        <v>256</v>
      </c>
      <c r="CE98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89" s="19">
        <f>SUM(Table1[[#This Row],[Mid39]],Table1[[#This Row],[Mid36]],Table1[[#This Row],[Mid33]],Table1[[#This Row],[Mid30]],Table1[[#This Row],[Mid27]],Table1[[#This Row],[Mid24]],Table1[[#This Row],[Mid21]],Table1[[#This Row],[Mid18]],Table1[[#This Row],[Mid15]],Table1[[#This Row],[Mid12]],Table1[[#This Row],[Mid9]],Table1[[#This Row],[Mid6]],Table1[[#This Row],[Mid3]],Table1[[#This Row],[Mid]])</f>
        <v>256</v>
      </c>
      <c r="CG98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89" t="s">
        <v>157</v>
      </c>
      <c r="CI989" t="s">
        <v>2996</v>
      </c>
      <c r="CJ989" t="s">
        <v>158</v>
      </c>
      <c r="CL989" s="19">
        <f>IF(Table1[[#This Row],[Type]]="Petroleum",1,IF(ISERROR(Table1[[#This Row],[Well Density]]*Table1[[#This Row],[Single Well Discovery Area]]),"",IF(Table1[[#This Row],[Well Density]]*Table1[[#This Row],[Single Well Discovery Area]]&gt;1,1,Table1[[#This Row],[Well Density]]*Table1[[#This Row],[Single Well Discovery Area]])))</f>
        <v>0</v>
      </c>
      <c r="CN989" s="19">
        <f>Table1[[#This Row],[Mid]]</f>
        <v>0</v>
      </c>
      <c r="CO989" s="19">
        <f>Table1[[#This Row],[Mid3]]+Table1[[#This Row],[Mid6]]+Table1[[#This Row],[Mid9]]</f>
        <v>0</v>
      </c>
      <c r="CP989" s="19">
        <f>Table1[[#This Row],[Mid12]]+Table1[[#This Row],[Mid15]]+Table1[[#This Row],[Mid18]]+Table1[[#This Row],[Mid21]]+Table1[[#This Row],[Mid24]]</f>
        <v>256</v>
      </c>
      <c r="CQ989" s="19">
        <f>Table1[[#This Row],[Mid27]]+Table1[[#This Row],[Mid30]]+Table1[[#This Row],[Mid33]]+Table1[[#This Row],[Mid36]]+Table1[[#This Row],[Mid39]]</f>
        <v>0</v>
      </c>
      <c r="CR989" t="s">
        <v>415</v>
      </c>
      <c r="CS989" s="19" t="str">
        <f>IF(AND(Table1[[#This Row],[Low41]]=0, Table1[[#This Row],[High43]]=0),"N","Y")</f>
        <v>N</v>
      </c>
    </row>
    <row r="990" spans="1:97" ht="19.5" customHeight="1" x14ac:dyDescent="0.25">
      <c r="A990">
        <v>10989</v>
      </c>
      <c r="B990" t="s">
        <v>2917</v>
      </c>
      <c r="C990" t="s">
        <v>3037</v>
      </c>
      <c r="D990">
        <v>38.840000000000003</v>
      </c>
      <c r="E990">
        <v>-1.385</v>
      </c>
      <c r="F990" t="s">
        <v>3050</v>
      </c>
      <c r="G990" t="s">
        <v>3039</v>
      </c>
      <c r="H990" t="s">
        <v>3051</v>
      </c>
      <c r="I990" t="s">
        <v>118</v>
      </c>
      <c r="J990" t="s">
        <v>119</v>
      </c>
      <c r="K990" t="s">
        <v>3052</v>
      </c>
      <c r="L990" t="s">
        <v>121</v>
      </c>
      <c r="M990" t="s">
        <v>392</v>
      </c>
      <c r="N990" s="6" t="s">
        <v>2956</v>
      </c>
      <c r="O990" t="s">
        <v>2957</v>
      </c>
      <c r="P990" t="s">
        <v>2928</v>
      </c>
      <c r="Q990" t="s">
        <v>2990</v>
      </c>
      <c r="R990" t="s">
        <v>2966</v>
      </c>
      <c r="S990">
        <v>2010</v>
      </c>
      <c r="T990" t="s">
        <v>771</v>
      </c>
      <c r="U990" t="s">
        <v>2875</v>
      </c>
      <c r="V990">
        <v>200</v>
      </c>
      <c r="W990">
        <v>1800</v>
      </c>
      <c r="X990">
        <v>130</v>
      </c>
      <c r="Z990">
        <v>18</v>
      </c>
      <c r="AA990">
        <v>300</v>
      </c>
      <c r="AB990">
        <v>15000</v>
      </c>
      <c r="AC990">
        <v>680</v>
      </c>
      <c r="AD990">
        <v>2</v>
      </c>
      <c r="AE990">
        <v>0.01</v>
      </c>
      <c r="AF990">
        <v>200</v>
      </c>
      <c r="AH990" t="s">
        <v>2259</v>
      </c>
      <c r="AI990">
        <v>0.3</v>
      </c>
      <c r="AM990" t="s">
        <v>2960</v>
      </c>
      <c r="AN990" t="s">
        <v>132</v>
      </c>
      <c r="BN990">
        <v>222.77</v>
      </c>
      <c r="CE99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90" s="19">
        <f>SUM(Table1[[#This Row],[Mid39]],Table1[[#This Row],[Mid36]],Table1[[#This Row],[Mid33]],Table1[[#This Row],[Mid30]],Table1[[#This Row],[Mid27]],Table1[[#This Row],[Mid24]],Table1[[#This Row],[Mid21]],Table1[[#This Row],[Mid18]],Table1[[#This Row],[Mid15]],Table1[[#This Row],[Mid12]],Table1[[#This Row],[Mid9]],Table1[[#This Row],[Mid6]],Table1[[#This Row],[Mid3]],Table1[[#This Row],[Mid]])</f>
        <v>222.77</v>
      </c>
      <c r="CG99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90" t="s">
        <v>157</v>
      </c>
      <c r="CI990" t="s">
        <v>134</v>
      </c>
      <c r="CJ990" t="s">
        <v>158</v>
      </c>
      <c r="CL990" s="19">
        <f>IF(Table1[[#This Row],[Type]]="Petroleum",1,IF(ISERROR(Table1[[#This Row],[Well Density]]*Table1[[#This Row],[Single Well Discovery Area]]),"",IF(Table1[[#This Row],[Well Density]]*Table1[[#This Row],[Single Well Discovery Area]]&gt;1,1,Table1[[#This Row],[Well Density]]*Table1[[#This Row],[Single Well Discovery Area]])))</f>
        <v>1</v>
      </c>
      <c r="CN990" s="19">
        <f>Table1[[#This Row],[Mid]]</f>
        <v>0</v>
      </c>
      <c r="CO990" s="19">
        <f>Table1[[#This Row],[Mid3]]+Table1[[#This Row],[Mid6]]+Table1[[#This Row],[Mid9]]</f>
        <v>0</v>
      </c>
      <c r="CP990" s="19">
        <f>Table1[[#This Row],[Mid12]]+Table1[[#This Row],[Mid15]]+Table1[[#This Row],[Mid18]]+Table1[[#This Row],[Mid21]]+Table1[[#This Row],[Mid24]]</f>
        <v>222.77</v>
      </c>
      <c r="CQ990" s="19">
        <f>Table1[[#This Row],[Mid27]]+Table1[[#This Row],[Mid30]]+Table1[[#This Row],[Mid33]]+Table1[[#This Row],[Mid36]]+Table1[[#This Row],[Mid39]]</f>
        <v>0</v>
      </c>
      <c r="CR990" t="s">
        <v>415</v>
      </c>
      <c r="CS990" s="19" t="str">
        <f>IF(AND(Table1[[#This Row],[Low41]]=0, Table1[[#This Row],[High43]]=0),"N","Y")</f>
        <v>N</v>
      </c>
    </row>
    <row r="991" spans="1:97" ht="19.5" customHeight="1" x14ac:dyDescent="0.25">
      <c r="A991">
        <v>10990</v>
      </c>
      <c r="B991" t="s">
        <v>2917</v>
      </c>
      <c r="C991" t="s">
        <v>3037</v>
      </c>
      <c r="D991">
        <v>37.515000000000001</v>
      </c>
      <c r="E991">
        <v>-4.33</v>
      </c>
      <c r="F991" t="s">
        <v>3053</v>
      </c>
      <c r="G991" t="s">
        <v>3039</v>
      </c>
      <c r="H991" t="s">
        <v>3006</v>
      </c>
      <c r="I991" t="s">
        <v>118</v>
      </c>
      <c r="J991" t="s">
        <v>119</v>
      </c>
      <c r="K991" t="s">
        <v>203</v>
      </c>
      <c r="L991" t="s">
        <v>121</v>
      </c>
      <c r="M991" t="s">
        <v>139</v>
      </c>
      <c r="N991" s="6" t="s">
        <v>2956</v>
      </c>
      <c r="O991" t="s">
        <v>2957</v>
      </c>
      <c r="P991" t="s">
        <v>2928</v>
      </c>
      <c r="Q991" t="s">
        <v>2990</v>
      </c>
      <c r="R991" t="s">
        <v>2976</v>
      </c>
      <c r="S991">
        <v>2010</v>
      </c>
      <c r="T991" t="s">
        <v>771</v>
      </c>
      <c r="U991" t="s">
        <v>2875</v>
      </c>
      <c r="V991">
        <v>39.299999999999997</v>
      </c>
      <c r="W991">
        <v>1200</v>
      </c>
      <c r="X991">
        <v>403</v>
      </c>
      <c r="Z991">
        <v>7</v>
      </c>
      <c r="AA991">
        <v>300</v>
      </c>
      <c r="AB991">
        <v>15000</v>
      </c>
      <c r="AC991">
        <v>540</v>
      </c>
      <c r="AD991">
        <v>1</v>
      </c>
      <c r="AE991">
        <v>2.5445293000000001E-2</v>
      </c>
      <c r="AF991">
        <v>20</v>
      </c>
      <c r="AH991" t="s">
        <v>2259</v>
      </c>
      <c r="AI991">
        <v>0.3</v>
      </c>
      <c r="AM991" t="s">
        <v>2960</v>
      </c>
      <c r="AN991" t="s">
        <v>132</v>
      </c>
      <c r="BN991">
        <v>20.64</v>
      </c>
      <c r="CE99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91" s="19">
        <f>SUM(Table1[[#This Row],[Mid39]],Table1[[#This Row],[Mid36]],Table1[[#This Row],[Mid33]],Table1[[#This Row],[Mid30]],Table1[[#This Row],[Mid27]],Table1[[#This Row],[Mid24]],Table1[[#This Row],[Mid21]],Table1[[#This Row],[Mid18]],Table1[[#This Row],[Mid15]],Table1[[#This Row],[Mid12]],Table1[[#This Row],[Mid9]],Table1[[#This Row],[Mid6]],Table1[[#This Row],[Mid3]],Table1[[#This Row],[Mid]])</f>
        <v>20.64</v>
      </c>
      <c r="CG99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91" t="s">
        <v>157</v>
      </c>
      <c r="CI991" t="s">
        <v>176</v>
      </c>
      <c r="CJ991" t="s">
        <v>158</v>
      </c>
      <c r="CL991" s="19">
        <f>IF(Table1[[#This Row],[Type]]="Petroleum",1,IF(ISERROR(Table1[[#This Row],[Well Density]]*Table1[[#This Row],[Single Well Discovery Area]]),"",IF(Table1[[#This Row],[Well Density]]*Table1[[#This Row],[Single Well Discovery Area]]&gt;1,1,Table1[[#This Row],[Well Density]]*Table1[[#This Row],[Single Well Discovery Area]])))</f>
        <v>0.50890586000000004</v>
      </c>
      <c r="CN991" s="19">
        <f>Table1[[#This Row],[Mid]]</f>
        <v>0</v>
      </c>
      <c r="CO991" s="19">
        <f>Table1[[#This Row],[Mid3]]+Table1[[#This Row],[Mid6]]+Table1[[#This Row],[Mid9]]</f>
        <v>0</v>
      </c>
      <c r="CP991" s="19">
        <f>Table1[[#This Row],[Mid12]]+Table1[[#This Row],[Mid15]]+Table1[[#This Row],[Mid18]]+Table1[[#This Row],[Mid21]]+Table1[[#This Row],[Mid24]]</f>
        <v>20.64</v>
      </c>
      <c r="CQ991" s="19">
        <f>Table1[[#This Row],[Mid27]]+Table1[[#This Row],[Mid30]]+Table1[[#This Row],[Mid33]]+Table1[[#This Row],[Mid36]]+Table1[[#This Row],[Mid39]]</f>
        <v>0</v>
      </c>
      <c r="CR991" t="s">
        <v>415</v>
      </c>
      <c r="CS991" s="19" t="str">
        <f>IF(AND(Table1[[#This Row],[Low41]]=0, Table1[[#This Row],[High43]]=0),"N","Y")</f>
        <v>N</v>
      </c>
    </row>
    <row r="992" spans="1:97" ht="19.5" customHeight="1" x14ac:dyDescent="0.25">
      <c r="A992">
        <v>10991</v>
      </c>
      <c r="B992" t="s">
        <v>2917</v>
      </c>
      <c r="C992" t="s">
        <v>3037</v>
      </c>
      <c r="D992">
        <v>38.734999999999999</v>
      </c>
      <c r="E992">
        <v>-0.76555555600000003</v>
      </c>
      <c r="F992" t="s">
        <v>3054</v>
      </c>
      <c r="G992" t="s">
        <v>3039</v>
      </c>
      <c r="H992" t="s">
        <v>3051</v>
      </c>
      <c r="I992" t="s">
        <v>118</v>
      </c>
      <c r="J992" t="s">
        <v>119</v>
      </c>
      <c r="K992" t="s">
        <v>203</v>
      </c>
      <c r="L992" t="s">
        <v>121</v>
      </c>
      <c r="M992" t="s">
        <v>392</v>
      </c>
      <c r="N992" s="6" t="s">
        <v>2956</v>
      </c>
      <c r="O992" t="s">
        <v>2957</v>
      </c>
      <c r="P992" t="s">
        <v>2928</v>
      </c>
      <c r="Q992" t="s">
        <v>2990</v>
      </c>
      <c r="R992" t="s">
        <v>2976</v>
      </c>
      <c r="S992">
        <v>2010</v>
      </c>
      <c r="T992" t="s">
        <v>771</v>
      </c>
      <c r="U992" t="s">
        <v>2875</v>
      </c>
      <c r="V992">
        <v>130</v>
      </c>
      <c r="W992">
        <v>1500</v>
      </c>
      <c r="X992">
        <v>60</v>
      </c>
      <c r="Z992">
        <v>14</v>
      </c>
      <c r="AA992">
        <v>300</v>
      </c>
      <c r="AB992">
        <v>15000</v>
      </c>
      <c r="AC992">
        <v>650</v>
      </c>
      <c r="AD992">
        <v>0</v>
      </c>
      <c r="AE992">
        <v>0</v>
      </c>
      <c r="AF992">
        <v>200</v>
      </c>
      <c r="AH992" t="s">
        <v>2259</v>
      </c>
      <c r="AI992">
        <v>0.3</v>
      </c>
      <c r="AM992" t="s">
        <v>2960</v>
      </c>
      <c r="AN992" t="s">
        <v>132</v>
      </c>
      <c r="BQ992">
        <v>88.73</v>
      </c>
      <c r="CE99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92" s="19">
        <f>SUM(Table1[[#This Row],[Mid39]],Table1[[#This Row],[Mid36]],Table1[[#This Row],[Mid33]],Table1[[#This Row],[Mid30]],Table1[[#This Row],[Mid27]],Table1[[#This Row],[Mid24]],Table1[[#This Row],[Mid21]],Table1[[#This Row],[Mid18]],Table1[[#This Row],[Mid15]],Table1[[#This Row],[Mid12]],Table1[[#This Row],[Mid9]],Table1[[#This Row],[Mid6]],Table1[[#This Row],[Mid3]],Table1[[#This Row],[Mid]])</f>
        <v>88.73</v>
      </c>
      <c r="CG99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92" t="s">
        <v>157</v>
      </c>
      <c r="CI992" t="s">
        <v>134</v>
      </c>
      <c r="CJ992" t="s">
        <v>158</v>
      </c>
      <c r="CL992" s="19">
        <f>IF(Table1[[#This Row],[Type]]="Petroleum",1,IF(ISERROR(Table1[[#This Row],[Well Density]]*Table1[[#This Row],[Single Well Discovery Area]]),"",IF(Table1[[#This Row],[Well Density]]*Table1[[#This Row],[Single Well Discovery Area]]&gt;1,1,Table1[[#This Row],[Well Density]]*Table1[[#This Row],[Single Well Discovery Area]])))</f>
        <v>0</v>
      </c>
      <c r="CN992" s="19">
        <f>Table1[[#This Row],[Mid]]</f>
        <v>0</v>
      </c>
      <c r="CO992" s="19">
        <f>Table1[[#This Row],[Mid3]]+Table1[[#This Row],[Mid6]]+Table1[[#This Row],[Mid9]]</f>
        <v>0</v>
      </c>
      <c r="CP992" s="19">
        <f>Table1[[#This Row],[Mid12]]+Table1[[#This Row],[Mid15]]+Table1[[#This Row],[Mid18]]+Table1[[#This Row],[Mid21]]+Table1[[#This Row],[Mid24]]</f>
        <v>0</v>
      </c>
      <c r="CQ992" s="19">
        <f>Table1[[#This Row],[Mid27]]+Table1[[#This Row],[Mid30]]+Table1[[#This Row],[Mid33]]+Table1[[#This Row],[Mid36]]+Table1[[#This Row],[Mid39]]</f>
        <v>88.73</v>
      </c>
      <c r="CR992" t="s">
        <v>415</v>
      </c>
      <c r="CS992" s="19" t="str">
        <f>IF(AND(Table1[[#This Row],[Low41]]=0, Table1[[#This Row],[High43]]=0),"N","Y")</f>
        <v>N</v>
      </c>
    </row>
    <row r="993" spans="1:97" ht="19.5" customHeight="1" x14ac:dyDescent="0.25">
      <c r="A993">
        <v>10992</v>
      </c>
      <c r="B993" t="s">
        <v>2917</v>
      </c>
      <c r="C993" t="s">
        <v>3037</v>
      </c>
      <c r="D993">
        <v>38.743055560000002</v>
      </c>
      <c r="E993">
        <v>-0.75638888900000001</v>
      </c>
      <c r="F993" t="s">
        <v>3055</v>
      </c>
      <c r="G993" t="s">
        <v>3039</v>
      </c>
      <c r="H993" t="s">
        <v>3045</v>
      </c>
      <c r="I993" t="s">
        <v>118</v>
      </c>
      <c r="J993" t="s">
        <v>119</v>
      </c>
      <c r="K993" t="s">
        <v>203</v>
      </c>
      <c r="L993" t="s">
        <v>121</v>
      </c>
      <c r="M993" t="s">
        <v>139</v>
      </c>
      <c r="N993" s="6" t="s">
        <v>2956</v>
      </c>
      <c r="O993" t="s">
        <v>2957</v>
      </c>
      <c r="P993" t="s">
        <v>2928</v>
      </c>
      <c r="Q993" t="s">
        <v>2990</v>
      </c>
      <c r="R993" t="s">
        <v>2976</v>
      </c>
      <c r="S993">
        <v>2010</v>
      </c>
      <c r="T993" t="s">
        <v>771</v>
      </c>
      <c r="U993" t="s">
        <v>2875</v>
      </c>
      <c r="V993">
        <v>140</v>
      </c>
      <c r="W993">
        <v>1100</v>
      </c>
      <c r="X993">
        <v>250</v>
      </c>
      <c r="Z993">
        <v>7</v>
      </c>
      <c r="AA993">
        <v>300</v>
      </c>
      <c r="AB993">
        <v>15000</v>
      </c>
      <c r="AC993">
        <v>650</v>
      </c>
      <c r="AD993">
        <v>0</v>
      </c>
      <c r="AE993">
        <v>0</v>
      </c>
      <c r="AF993">
        <v>20</v>
      </c>
      <c r="AH993" t="s">
        <v>2259</v>
      </c>
      <c r="AI993">
        <v>0.3</v>
      </c>
      <c r="AM993" t="s">
        <v>2960</v>
      </c>
      <c r="AN993" t="s">
        <v>132</v>
      </c>
      <c r="BQ993">
        <v>191.1</v>
      </c>
      <c r="CE99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93" s="19">
        <f>SUM(Table1[[#This Row],[Mid39]],Table1[[#This Row],[Mid36]],Table1[[#This Row],[Mid33]],Table1[[#This Row],[Mid30]],Table1[[#This Row],[Mid27]],Table1[[#This Row],[Mid24]],Table1[[#This Row],[Mid21]],Table1[[#This Row],[Mid18]],Table1[[#This Row],[Mid15]],Table1[[#This Row],[Mid12]],Table1[[#This Row],[Mid9]],Table1[[#This Row],[Mid6]],Table1[[#This Row],[Mid3]],Table1[[#This Row],[Mid]])</f>
        <v>191.1</v>
      </c>
      <c r="CG99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93" t="s">
        <v>157</v>
      </c>
      <c r="CI993" t="s">
        <v>176</v>
      </c>
      <c r="CJ993" t="s">
        <v>158</v>
      </c>
      <c r="CL993" s="19">
        <f>IF(Table1[[#This Row],[Type]]="Petroleum",1,IF(ISERROR(Table1[[#This Row],[Well Density]]*Table1[[#This Row],[Single Well Discovery Area]]),"",IF(Table1[[#This Row],[Well Density]]*Table1[[#This Row],[Single Well Discovery Area]]&gt;1,1,Table1[[#This Row],[Well Density]]*Table1[[#This Row],[Single Well Discovery Area]])))</f>
        <v>0</v>
      </c>
      <c r="CN993" s="19">
        <f>Table1[[#This Row],[Mid]]</f>
        <v>0</v>
      </c>
      <c r="CO993" s="19">
        <f>Table1[[#This Row],[Mid3]]+Table1[[#This Row],[Mid6]]+Table1[[#This Row],[Mid9]]</f>
        <v>0</v>
      </c>
      <c r="CP993" s="19">
        <f>Table1[[#This Row],[Mid12]]+Table1[[#This Row],[Mid15]]+Table1[[#This Row],[Mid18]]+Table1[[#This Row],[Mid21]]+Table1[[#This Row],[Mid24]]</f>
        <v>0</v>
      </c>
      <c r="CQ993" s="19">
        <f>Table1[[#This Row],[Mid27]]+Table1[[#This Row],[Mid30]]+Table1[[#This Row],[Mid33]]+Table1[[#This Row],[Mid36]]+Table1[[#This Row],[Mid39]]</f>
        <v>191.1</v>
      </c>
      <c r="CR993" t="s">
        <v>415</v>
      </c>
      <c r="CS993" s="19" t="str">
        <f>IF(AND(Table1[[#This Row],[Low41]]=0, Table1[[#This Row],[High43]]=0),"N","Y")</f>
        <v>N</v>
      </c>
    </row>
    <row r="994" spans="1:97" ht="19.5" customHeight="1" x14ac:dyDescent="0.25">
      <c r="A994">
        <v>10993</v>
      </c>
      <c r="B994" t="s">
        <v>2917</v>
      </c>
      <c r="C994" t="s">
        <v>3037</v>
      </c>
      <c r="D994">
        <v>38.511388889999999</v>
      </c>
      <c r="E994">
        <v>-0.99722222199999999</v>
      </c>
      <c r="F994" t="s">
        <v>3056</v>
      </c>
      <c r="G994" t="s">
        <v>3048</v>
      </c>
      <c r="H994" t="s">
        <v>3057</v>
      </c>
      <c r="I994" t="s">
        <v>118</v>
      </c>
      <c r="J994" t="s">
        <v>119</v>
      </c>
      <c r="K994" t="s">
        <v>203</v>
      </c>
      <c r="L994" t="s">
        <v>121</v>
      </c>
      <c r="M994" t="s">
        <v>139</v>
      </c>
      <c r="N994" s="6" t="s">
        <v>2956</v>
      </c>
      <c r="O994" t="s">
        <v>2957</v>
      </c>
      <c r="P994" t="s">
        <v>2928</v>
      </c>
      <c r="Q994" t="s">
        <v>2990</v>
      </c>
      <c r="R994" t="s">
        <v>2976</v>
      </c>
      <c r="S994">
        <v>2010</v>
      </c>
      <c r="T994" t="s">
        <v>771</v>
      </c>
      <c r="U994" t="s">
        <v>2875</v>
      </c>
      <c r="V994">
        <v>75</v>
      </c>
      <c r="W994">
        <v>1500</v>
      </c>
      <c r="X994">
        <v>360</v>
      </c>
      <c r="Z994">
        <v>7</v>
      </c>
      <c r="AA994">
        <v>300</v>
      </c>
      <c r="AB994">
        <v>15000</v>
      </c>
      <c r="AC994">
        <v>680</v>
      </c>
      <c r="AD994">
        <v>0</v>
      </c>
      <c r="AE994">
        <v>0</v>
      </c>
      <c r="AF994">
        <v>20</v>
      </c>
      <c r="AH994" t="s">
        <v>2259</v>
      </c>
      <c r="AI994">
        <v>0.3</v>
      </c>
      <c r="AM994" t="s">
        <v>2960</v>
      </c>
      <c r="AN994" t="s">
        <v>132</v>
      </c>
      <c r="BQ994">
        <v>180</v>
      </c>
      <c r="CE99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94" s="19">
        <f>SUM(Table1[[#This Row],[Mid39]],Table1[[#This Row],[Mid36]],Table1[[#This Row],[Mid33]],Table1[[#This Row],[Mid30]],Table1[[#This Row],[Mid27]],Table1[[#This Row],[Mid24]],Table1[[#This Row],[Mid21]],Table1[[#This Row],[Mid18]],Table1[[#This Row],[Mid15]],Table1[[#This Row],[Mid12]],Table1[[#This Row],[Mid9]],Table1[[#This Row],[Mid6]],Table1[[#This Row],[Mid3]],Table1[[#This Row],[Mid]])</f>
        <v>180</v>
      </c>
      <c r="CG99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94" t="s">
        <v>157</v>
      </c>
      <c r="CI994" t="s">
        <v>176</v>
      </c>
      <c r="CJ994" t="s">
        <v>158</v>
      </c>
      <c r="CL994" s="19">
        <f>IF(Table1[[#This Row],[Type]]="Petroleum",1,IF(ISERROR(Table1[[#This Row],[Well Density]]*Table1[[#This Row],[Single Well Discovery Area]]),"",IF(Table1[[#This Row],[Well Density]]*Table1[[#This Row],[Single Well Discovery Area]]&gt;1,1,Table1[[#This Row],[Well Density]]*Table1[[#This Row],[Single Well Discovery Area]])))</f>
        <v>0</v>
      </c>
      <c r="CN994" s="19">
        <f>Table1[[#This Row],[Mid]]</f>
        <v>0</v>
      </c>
      <c r="CO994" s="19">
        <f>Table1[[#This Row],[Mid3]]+Table1[[#This Row],[Mid6]]+Table1[[#This Row],[Mid9]]</f>
        <v>0</v>
      </c>
      <c r="CP994" s="19">
        <f>Table1[[#This Row],[Mid12]]+Table1[[#This Row],[Mid15]]+Table1[[#This Row],[Mid18]]+Table1[[#This Row],[Mid21]]+Table1[[#This Row],[Mid24]]</f>
        <v>0</v>
      </c>
      <c r="CQ994" s="19">
        <f>Table1[[#This Row],[Mid27]]+Table1[[#This Row],[Mid30]]+Table1[[#This Row],[Mid33]]+Table1[[#This Row],[Mid36]]+Table1[[#This Row],[Mid39]]</f>
        <v>180</v>
      </c>
      <c r="CR994" t="s">
        <v>415</v>
      </c>
      <c r="CS994" s="19" t="str">
        <f>IF(AND(Table1[[#This Row],[Low41]]=0, Table1[[#This Row],[High43]]=0),"N","Y")</f>
        <v>N</v>
      </c>
    </row>
    <row r="995" spans="1:97" ht="19.5" customHeight="1" x14ac:dyDescent="0.25">
      <c r="A995">
        <v>10994</v>
      </c>
      <c r="B995" t="s">
        <v>2917</v>
      </c>
      <c r="C995" t="s">
        <v>3037</v>
      </c>
      <c r="D995">
        <v>38.511388889999999</v>
      </c>
      <c r="E995">
        <v>-0.99722222199999999</v>
      </c>
      <c r="F995" t="s">
        <v>3058</v>
      </c>
      <c r="G995" t="s">
        <v>3048</v>
      </c>
      <c r="H995" t="s">
        <v>3059</v>
      </c>
      <c r="I995" t="s">
        <v>118</v>
      </c>
      <c r="J995" t="s">
        <v>119</v>
      </c>
      <c r="K995" t="s">
        <v>203</v>
      </c>
      <c r="L995" t="s">
        <v>121</v>
      </c>
      <c r="M995" t="s">
        <v>139</v>
      </c>
      <c r="N995" s="6" t="s">
        <v>2956</v>
      </c>
      <c r="O995" t="s">
        <v>2957</v>
      </c>
      <c r="P995" t="s">
        <v>2928</v>
      </c>
      <c r="Q995" t="s">
        <v>2990</v>
      </c>
      <c r="R995" t="s">
        <v>2976</v>
      </c>
      <c r="S995">
        <v>2010</v>
      </c>
      <c r="T995" t="s">
        <v>771</v>
      </c>
      <c r="U995" t="s">
        <v>2875</v>
      </c>
      <c r="V995">
        <v>85</v>
      </c>
      <c r="W995">
        <v>1100</v>
      </c>
      <c r="X995">
        <v>340</v>
      </c>
      <c r="Z995">
        <v>7</v>
      </c>
      <c r="AA995">
        <v>300</v>
      </c>
      <c r="AB995">
        <v>15000</v>
      </c>
      <c r="AC995">
        <v>680</v>
      </c>
      <c r="AD995">
        <v>0</v>
      </c>
      <c r="AE995">
        <v>0</v>
      </c>
      <c r="AF995">
        <v>20</v>
      </c>
      <c r="AH995" t="s">
        <v>2259</v>
      </c>
      <c r="AI995">
        <v>0.3</v>
      </c>
      <c r="AM995" t="s">
        <v>2960</v>
      </c>
      <c r="AN995" t="s">
        <v>132</v>
      </c>
      <c r="BQ995">
        <v>51.59</v>
      </c>
      <c r="CE99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95" s="19">
        <f>SUM(Table1[[#This Row],[Mid39]],Table1[[#This Row],[Mid36]],Table1[[#This Row],[Mid33]],Table1[[#This Row],[Mid30]],Table1[[#This Row],[Mid27]],Table1[[#This Row],[Mid24]],Table1[[#This Row],[Mid21]],Table1[[#This Row],[Mid18]],Table1[[#This Row],[Mid15]],Table1[[#This Row],[Mid12]],Table1[[#This Row],[Mid9]],Table1[[#This Row],[Mid6]],Table1[[#This Row],[Mid3]],Table1[[#This Row],[Mid]])</f>
        <v>51.59</v>
      </c>
      <c r="CG99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95" t="s">
        <v>157</v>
      </c>
      <c r="CI995" t="s">
        <v>176</v>
      </c>
      <c r="CJ995" t="s">
        <v>158</v>
      </c>
      <c r="CL995" s="19">
        <f>IF(Table1[[#This Row],[Type]]="Petroleum",1,IF(ISERROR(Table1[[#This Row],[Well Density]]*Table1[[#This Row],[Single Well Discovery Area]]),"",IF(Table1[[#This Row],[Well Density]]*Table1[[#This Row],[Single Well Discovery Area]]&gt;1,1,Table1[[#This Row],[Well Density]]*Table1[[#This Row],[Single Well Discovery Area]])))</f>
        <v>0</v>
      </c>
      <c r="CN995" s="19">
        <f>Table1[[#This Row],[Mid]]</f>
        <v>0</v>
      </c>
      <c r="CO995" s="19">
        <f>Table1[[#This Row],[Mid3]]+Table1[[#This Row],[Mid6]]+Table1[[#This Row],[Mid9]]</f>
        <v>0</v>
      </c>
      <c r="CP995" s="19">
        <f>Table1[[#This Row],[Mid12]]+Table1[[#This Row],[Mid15]]+Table1[[#This Row],[Mid18]]+Table1[[#This Row],[Mid21]]+Table1[[#This Row],[Mid24]]</f>
        <v>0</v>
      </c>
      <c r="CQ995" s="19">
        <f>Table1[[#This Row],[Mid27]]+Table1[[#This Row],[Mid30]]+Table1[[#This Row],[Mid33]]+Table1[[#This Row],[Mid36]]+Table1[[#This Row],[Mid39]]</f>
        <v>51.59</v>
      </c>
      <c r="CR995" t="s">
        <v>415</v>
      </c>
      <c r="CS995" s="19" t="str">
        <f>IF(AND(Table1[[#This Row],[Low41]]=0, Table1[[#This Row],[High43]]=0),"N","Y")</f>
        <v>N</v>
      </c>
    </row>
    <row r="996" spans="1:97" ht="19.5" customHeight="1" x14ac:dyDescent="0.25">
      <c r="A996">
        <v>10995</v>
      </c>
      <c r="B996" t="s">
        <v>2917</v>
      </c>
      <c r="C996" t="s">
        <v>3037</v>
      </c>
      <c r="D996">
        <v>38.55194444</v>
      </c>
      <c r="E996">
        <v>-0.30138888899999999</v>
      </c>
      <c r="F996" t="s">
        <v>3060</v>
      </c>
      <c r="G996" t="s">
        <v>3048</v>
      </c>
      <c r="H996" t="s">
        <v>252</v>
      </c>
      <c r="I996" t="s">
        <v>118</v>
      </c>
      <c r="J996" t="s">
        <v>119</v>
      </c>
      <c r="K996" t="s">
        <v>203</v>
      </c>
      <c r="L996" t="s">
        <v>121</v>
      </c>
      <c r="M996" t="s">
        <v>139</v>
      </c>
      <c r="N996" s="6" t="s">
        <v>2956</v>
      </c>
      <c r="O996" t="s">
        <v>2957</v>
      </c>
      <c r="P996" t="s">
        <v>2928</v>
      </c>
      <c r="Q996" t="s">
        <v>2990</v>
      </c>
      <c r="R996" t="s">
        <v>2976</v>
      </c>
      <c r="S996">
        <v>2010</v>
      </c>
      <c r="T996" t="s">
        <v>771</v>
      </c>
      <c r="U996" t="s">
        <v>2875</v>
      </c>
      <c r="V996">
        <v>80</v>
      </c>
      <c r="W996">
        <v>1500</v>
      </c>
      <c r="X996">
        <v>400</v>
      </c>
      <c r="Z996">
        <v>7</v>
      </c>
      <c r="AA996">
        <v>300</v>
      </c>
      <c r="AB996">
        <v>15000</v>
      </c>
      <c r="AC996">
        <v>670</v>
      </c>
      <c r="AD996">
        <v>1</v>
      </c>
      <c r="AE996">
        <v>1.2500000000000001E-2</v>
      </c>
      <c r="AF996">
        <v>20</v>
      </c>
      <c r="AH996" t="s">
        <v>2259</v>
      </c>
      <c r="AI996">
        <v>0.3</v>
      </c>
      <c r="AM996" t="s">
        <v>2960</v>
      </c>
      <c r="AN996" t="s">
        <v>132</v>
      </c>
      <c r="BN996">
        <v>225.12</v>
      </c>
      <c r="CE99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96" s="19">
        <f>SUM(Table1[[#This Row],[Mid39]],Table1[[#This Row],[Mid36]],Table1[[#This Row],[Mid33]],Table1[[#This Row],[Mid30]],Table1[[#This Row],[Mid27]],Table1[[#This Row],[Mid24]],Table1[[#This Row],[Mid21]],Table1[[#This Row],[Mid18]],Table1[[#This Row],[Mid15]],Table1[[#This Row],[Mid12]],Table1[[#This Row],[Mid9]],Table1[[#This Row],[Mid6]],Table1[[#This Row],[Mid3]],Table1[[#This Row],[Mid]])</f>
        <v>225.12</v>
      </c>
      <c r="CG99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96" t="s">
        <v>157</v>
      </c>
      <c r="CI996" t="s">
        <v>176</v>
      </c>
      <c r="CJ996" t="s">
        <v>158</v>
      </c>
      <c r="CL996" s="19">
        <f>IF(Table1[[#This Row],[Type]]="Petroleum",1,IF(ISERROR(Table1[[#This Row],[Well Density]]*Table1[[#This Row],[Single Well Discovery Area]]),"",IF(Table1[[#This Row],[Well Density]]*Table1[[#This Row],[Single Well Discovery Area]]&gt;1,1,Table1[[#This Row],[Well Density]]*Table1[[#This Row],[Single Well Discovery Area]])))</f>
        <v>0.25</v>
      </c>
      <c r="CN996" s="19">
        <f>Table1[[#This Row],[Mid]]</f>
        <v>0</v>
      </c>
      <c r="CO996" s="19">
        <f>Table1[[#This Row],[Mid3]]+Table1[[#This Row],[Mid6]]+Table1[[#This Row],[Mid9]]</f>
        <v>0</v>
      </c>
      <c r="CP996" s="19">
        <f>Table1[[#This Row],[Mid12]]+Table1[[#This Row],[Mid15]]+Table1[[#This Row],[Mid18]]+Table1[[#This Row],[Mid21]]+Table1[[#This Row],[Mid24]]</f>
        <v>225.12</v>
      </c>
      <c r="CQ996" s="19">
        <f>Table1[[#This Row],[Mid27]]+Table1[[#This Row],[Mid30]]+Table1[[#This Row],[Mid33]]+Table1[[#This Row],[Mid36]]+Table1[[#This Row],[Mid39]]</f>
        <v>0</v>
      </c>
      <c r="CR996" t="s">
        <v>415</v>
      </c>
      <c r="CS996" s="19" t="str">
        <f>IF(AND(Table1[[#This Row],[Low41]]=0, Table1[[#This Row],[High43]]=0),"N","Y")</f>
        <v>N</v>
      </c>
    </row>
    <row r="997" spans="1:97" ht="19.5" customHeight="1" x14ac:dyDescent="0.25">
      <c r="A997">
        <v>10996</v>
      </c>
      <c r="B997" t="s">
        <v>2917</v>
      </c>
      <c r="C997" t="s">
        <v>3037</v>
      </c>
      <c r="D997">
        <v>38.172222220000002</v>
      </c>
      <c r="E997">
        <v>-1.785833333</v>
      </c>
      <c r="F997" t="s">
        <v>3061</v>
      </c>
      <c r="G997" t="s">
        <v>3048</v>
      </c>
      <c r="H997" t="s">
        <v>252</v>
      </c>
      <c r="I997" t="s">
        <v>118</v>
      </c>
      <c r="J997" t="s">
        <v>119</v>
      </c>
      <c r="K997" t="s">
        <v>203</v>
      </c>
      <c r="L997" t="s">
        <v>121</v>
      </c>
      <c r="M997" t="s">
        <v>139</v>
      </c>
      <c r="N997" s="6" t="s">
        <v>2956</v>
      </c>
      <c r="O997" t="s">
        <v>2957</v>
      </c>
      <c r="P997" t="s">
        <v>2928</v>
      </c>
      <c r="Q997" t="s">
        <v>2990</v>
      </c>
      <c r="R997" t="s">
        <v>2976</v>
      </c>
      <c r="S997">
        <v>2010</v>
      </c>
      <c r="T997" t="s">
        <v>771</v>
      </c>
      <c r="U997" t="s">
        <v>2875</v>
      </c>
      <c r="V997">
        <v>46.5</v>
      </c>
      <c r="W997">
        <v>850</v>
      </c>
      <c r="X997" t="s">
        <v>3062</v>
      </c>
      <c r="Z997">
        <v>5</v>
      </c>
      <c r="AA997">
        <v>300</v>
      </c>
      <c r="AB997">
        <v>15000</v>
      </c>
      <c r="AC997">
        <v>720</v>
      </c>
      <c r="AD997">
        <v>0</v>
      </c>
      <c r="AE997">
        <v>0</v>
      </c>
      <c r="AF997">
        <v>200</v>
      </c>
      <c r="AH997" t="s">
        <v>2259</v>
      </c>
      <c r="AI997">
        <v>0.3</v>
      </c>
      <c r="AM997" t="s">
        <v>2960</v>
      </c>
      <c r="AN997" t="s">
        <v>132</v>
      </c>
      <c r="BQ997">
        <v>413.48</v>
      </c>
      <c r="CE99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97" s="19">
        <f>SUM(Table1[[#This Row],[Mid39]],Table1[[#This Row],[Mid36]],Table1[[#This Row],[Mid33]],Table1[[#This Row],[Mid30]],Table1[[#This Row],[Mid27]],Table1[[#This Row],[Mid24]],Table1[[#This Row],[Mid21]],Table1[[#This Row],[Mid18]],Table1[[#This Row],[Mid15]],Table1[[#This Row],[Mid12]],Table1[[#This Row],[Mid9]],Table1[[#This Row],[Mid6]],Table1[[#This Row],[Mid3]],Table1[[#This Row],[Mid]])</f>
        <v>413.48</v>
      </c>
      <c r="CG99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97" t="s">
        <v>157</v>
      </c>
      <c r="CI997" t="s">
        <v>2996</v>
      </c>
      <c r="CJ997" t="s">
        <v>158</v>
      </c>
      <c r="CL997" s="19">
        <f>IF(Table1[[#This Row],[Type]]="Petroleum",1,IF(ISERROR(Table1[[#This Row],[Well Density]]*Table1[[#This Row],[Single Well Discovery Area]]),"",IF(Table1[[#This Row],[Well Density]]*Table1[[#This Row],[Single Well Discovery Area]]&gt;1,1,Table1[[#This Row],[Well Density]]*Table1[[#This Row],[Single Well Discovery Area]])))</f>
        <v>0</v>
      </c>
      <c r="CN997" s="19">
        <f>Table1[[#This Row],[Mid]]</f>
        <v>0</v>
      </c>
      <c r="CO997" s="19">
        <f>Table1[[#This Row],[Mid3]]+Table1[[#This Row],[Mid6]]+Table1[[#This Row],[Mid9]]</f>
        <v>0</v>
      </c>
      <c r="CP997" s="19">
        <f>Table1[[#This Row],[Mid12]]+Table1[[#This Row],[Mid15]]+Table1[[#This Row],[Mid18]]+Table1[[#This Row],[Mid21]]+Table1[[#This Row],[Mid24]]</f>
        <v>0</v>
      </c>
      <c r="CQ997" s="19">
        <f>Table1[[#This Row],[Mid27]]+Table1[[#This Row],[Mid30]]+Table1[[#This Row],[Mid33]]+Table1[[#This Row],[Mid36]]+Table1[[#This Row],[Mid39]]</f>
        <v>413.48</v>
      </c>
      <c r="CR997" t="s">
        <v>415</v>
      </c>
      <c r="CS997" s="19" t="str">
        <f>IF(AND(Table1[[#This Row],[Low41]]=0, Table1[[#This Row],[High43]]=0),"N","Y")</f>
        <v>N</v>
      </c>
    </row>
    <row r="998" spans="1:97" ht="19.5" customHeight="1" x14ac:dyDescent="0.25">
      <c r="A998">
        <v>10997</v>
      </c>
      <c r="B998" t="s">
        <v>2917</v>
      </c>
      <c r="C998" t="s">
        <v>3037</v>
      </c>
      <c r="D998">
        <v>37.910555559999999</v>
      </c>
      <c r="E998">
        <v>-2.678888889</v>
      </c>
      <c r="F998" t="s">
        <v>3063</v>
      </c>
      <c r="G998" t="s">
        <v>3048</v>
      </c>
      <c r="H998" t="s">
        <v>3045</v>
      </c>
      <c r="I998" t="s">
        <v>118</v>
      </c>
      <c r="J998" t="s">
        <v>119</v>
      </c>
      <c r="K998" t="s">
        <v>203</v>
      </c>
      <c r="L998" t="s">
        <v>121</v>
      </c>
      <c r="M998" t="s">
        <v>3046</v>
      </c>
      <c r="N998" s="6" t="s">
        <v>2956</v>
      </c>
      <c r="O998" t="s">
        <v>2957</v>
      </c>
      <c r="P998" t="s">
        <v>2928</v>
      </c>
      <c r="Q998" t="s">
        <v>2990</v>
      </c>
      <c r="R998" t="s">
        <v>2976</v>
      </c>
      <c r="S998">
        <v>2010</v>
      </c>
      <c r="T998" t="s">
        <v>771</v>
      </c>
      <c r="U998" t="s">
        <v>2875</v>
      </c>
      <c r="V998">
        <v>150</v>
      </c>
      <c r="W998">
        <v>700</v>
      </c>
      <c r="X998">
        <v>1000</v>
      </c>
      <c r="Z998">
        <v>7</v>
      </c>
      <c r="AA998">
        <v>300</v>
      </c>
      <c r="AB998">
        <v>15000</v>
      </c>
      <c r="AC998">
        <v>580</v>
      </c>
      <c r="AD998">
        <v>0</v>
      </c>
      <c r="AE998">
        <v>0</v>
      </c>
      <c r="AF998">
        <v>20</v>
      </c>
      <c r="AH998" t="s">
        <v>2259</v>
      </c>
      <c r="AI998">
        <v>0.3</v>
      </c>
      <c r="AM998" t="s">
        <v>2960</v>
      </c>
      <c r="AN998" t="s">
        <v>132</v>
      </c>
      <c r="BQ998">
        <v>487.2</v>
      </c>
      <c r="CE99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98" s="19">
        <f>SUM(Table1[[#This Row],[Mid39]],Table1[[#This Row],[Mid36]],Table1[[#This Row],[Mid33]],Table1[[#This Row],[Mid30]],Table1[[#This Row],[Mid27]],Table1[[#This Row],[Mid24]],Table1[[#This Row],[Mid21]],Table1[[#This Row],[Mid18]],Table1[[#This Row],[Mid15]],Table1[[#This Row],[Mid12]],Table1[[#This Row],[Mid9]],Table1[[#This Row],[Mid6]],Table1[[#This Row],[Mid3]],Table1[[#This Row],[Mid]])</f>
        <v>487.2</v>
      </c>
      <c r="CG99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98" t="s">
        <v>157</v>
      </c>
      <c r="CI998" t="s">
        <v>176</v>
      </c>
      <c r="CJ998" t="s">
        <v>158</v>
      </c>
      <c r="CL998" s="19">
        <f>IF(Table1[[#This Row],[Type]]="Petroleum",1,IF(ISERROR(Table1[[#This Row],[Well Density]]*Table1[[#This Row],[Single Well Discovery Area]]),"",IF(Table1[[#This Row],[Well Density]]*Table1[[#This Row],[Single Well Discovery Area]]&gt;1,1,Table1[[#This Row],[Well Density]]*Table1[[#This Row],[Single Well Discovery Area]])))</f>
        <v>0</v>
      </c>
      <c r="CN998" s="19">
        <f>Table1[[#This Row],[Mid]]</f>
        <v>0</v>
      </c>
      <c r="CO998" s="19">
        <f>Table1[[#This Row],[Mid3]]+Table1[[#This Row],[Mid6]]+Table1[[#This Row],[Mid9]]</f>
        <v>0</v>
      </c>
      <c r="CP998" s="19">
        <f>Table1[[#This Row],[Mid12]]+Table1[[#This Row],[Mid15]]+Table1[[#This Row],[Mid18]]+Table1[[#This Row],[Mid21]]+Table1[[#This Row],[Mid24]]</f>
        <v>0</v>
      </c>
      <c r="CQ998" s="19">
        <f>Table1[[#This Row],[Mid27]]+Table1[[#This Row],[Mid30]]+Table1[[#This Row],[Mid33]]+Table1[[#This Row],[Mid36]]+Table1[[#This Row],[Mid39]]</f>
        <v>487.2</v>
      </c>
      <c r="CR998" t="s">
        <v>415</v>
      </c>
      <c r="CS998" s="19" t="str">
        <f>IF(AND(Table1[[#This Row],[Low41]]=0, Table1[[#This Row],[High43]]=0),"N","Y")</f>
        <v>N</v>
      </c>
    </row>
    <row r="999" spans="1:97" ht="19.5" customHeight="1" x14ac:dyDescent="0.25">
      <c r="A999">
        <v>10998</v>
      </c>
      <c r="B999" t="s">
        <v>2917</v>
      </c>
      <c r="C999" t="s">
        <v>3037</v>
      </c>
      <c r="D999">
        <v>39.103333329999998</v>
      </c>
      <c r="E999">
        <v>-2.3672222220000001</v>
      </c>
      <c r="F999" t="s">
        <v>3064</v>
      </c>
      <c r="G999" t="s">
        <v>3048</v>
      </c>
      <c r="H999" t="s">
        <v>2955</v>
      </c>
      <c r="I999" t="s">
        <v>118</v>
      </c>
      <c r="J999" t="s">
        <v>119</v>
      </c>
      <c r="K999" t="s">
        <v>203</v>
      </c>
      <c r="L999" t="s">
        <v>121</v>
      </c>
      <c r="M999" t="s">
        <v>392</v>
      </c>
      <c r="N999" s="6" t="s">
        <v>2956</v>
      </c>
      <c r="O999" t="s">
        <v>2957</v>
      </c>
      <c r="P999" t="s">
        <v>2928</v>
      </c>
      <c r="Q999" t="s">
        <v>2990</v>
      </c>
      <c r="R999" t="s">
        <v>2966</v>
      </c>
      <c r="S999">
        <v>2010</v>
      </c>
      <c r="T999" t="s">
        <v>771</v>
      </c>
      <c r="U999" t="s">
        <v>2875</v>
      </c>
      <c r="V999">
        <v>1200</v>
      </c>
      <c r="W999">
        <v>800</v>
      </c>
      <c r="X999">
        <v>100</v>
      </c>
      <c r="Z999">
        <v>15</v>
      </c>
      <c r="AA999">
        <v>70</v>
      </c>
      <c r="AB999">
        <v>15000</v>
      </c>
      <c r="AC999">
        <v>600</v>
      </c>
      <c r="AD999">
        <v>0</v>
      </c>
      <c r="AE999">
        <v>0</v>
      </c>
      <c r="AF999">
        <v>200</v>
      </c>
      <c r="AH999" t="s">
        <v>2259</v>
      </c>
      <c r="AI999">
        <v>0.3</v>
      </c>
      <c r="AM999" t="s">
        <v>2960</v>
      </c>
      <c r="AN999" t="s">
        <v>132</v>
      </c>
      <c r="BQ999">
        <v>64.8</v>
      </c>
      <c r="CE99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999" s="19">
        <f>SUM(Table1[[#This Row],[Mid39]],Table1[[#This Row],[Mid36]],Table1[[#This Row],[Mid33]],Table1[[#This Row],[Mid30]],Table1[[#This Row],[Mid27]],Table1[[#This Row],[Mid24]],Table1[[#This Row],[Mid21]],Table1[[#This Row],[Mid18]],Table1[[#This Row],[Mid15]],Table1[[#This Row],[Mid12]],Table1[[#This Row],[Mid9]],Table1[[#This Row],[Mid6]],Table1[[#This Row],[Mid3]],Table1[[#This Row],[Mid]])</f>
        <v>64.8</v>
      </c>
      <c r="CG99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999" t="s">
        <v>157</v>
      </c>
      <c r="CI999" t="s">
        <v>134</v>
      </c>
      <c r="CJ999" t="s">
        <v>158</v>
      </c>
      <c r="CL999" s="19">
        <f>IF(Table1[[#This Row],[Type]]="Petroleum",1,IF(ISERROR(Table1[[#This Row],[Well Density]]*Table1[[#This Row],[Single Well Discovery Area]]),"",IF(Table1[[#This Row],[Well Density]]*Table1[[#This Row],[Single Well Discovery Area]]&gt;1,1,Table1[[#This Row],[Well Density]]*Table1[[#This Row],[Single Well Discovery Area]])))</f>
        <v>0</v>
      </c>
      <c r="CN999" s="19">
        <f>Table1[[#This Row],[Mid]]</f>
        <v>0</v>
      </c>
      <c r="CO999" s="19">
        <f>Table1[[#This Row],[Mid3]]+Table1[[#This Row],[Mid6]]+Table1[[#This Row],[Mid9]]</f>
        <v>0</v>
      </c>
      <c r="CP999" s="19">
        <f>Table1[[#This Row],[Mid12]]+Table1[[#This Row],[Mid15]]+Table1[[#This Row],[Mid18]]+Table1[[#This Row],[Mid21]]+Table1[[#This Row],[Mid24]]</f>
        <v>0</v>
      </c>
      <c r="CQ999" s="19">
        <f>Table1[[#This Row],[Mid27]]+Table1[[#This Row],[Mid30]]+Table1[[#This Row],[Mid33]]+Table1[[#This Row],[Mid36]]+Table1[[#This Row],[Mid39]]</f>
        <v>64.8</v>
      </c>
      <c r="CR999" t="s">
        <v>415</v>
      </c>
      <c r="CS999" s="19" t="str">
        <f>IF(AND(Table1[[#This Row],[Low41]]=0, Table1[[#This Row],[High43]]=0),"N","Y")</f>
        <v>N</v>
      </c>
    </row>
    <row r="1000" spans="1:97" ht="19.5" customHeight="1" x14ac:dyDescent="0.25">
      <c r="A1000">
        <v>10999</v>
      </c>
      <c r="B1000" t="s">
        <v>2917</v>
      </c>
      <c r="C1000" t="s">
        <v>3065</v>
      </c>
      <c r="D1000">
        <v>41.853333329999998</v>
      </c>
      <c r="E1000">
        <v>-0.821944444</v>
      </c>
      <c r="F1000" t="s">
        <v>3066</v>
      </c>
      <c r="G1000" t="s">
        <v>3009</v>
      </c>
      <c r="H1000" t="s">
        <v>2983</v>
      </c>
      <c r="I1000" t="s">
        <v>118</v>
      </c>
      <c r="J1000" t="s">
        <v>119</v>
      </c>
      <c r="K1000" t="s">
        <v>203</v>
      </c>
      <c r="L1000" t="s">
        <v>121</v>
      </c>
      <c r="M1000" t="s">
        <v>392</v>
      </c>
      <c r="N1000" s="6" t="s">
        <v>2956</v>
      </c>
      <c r="O1000" t="s">
        <v>2957</v>
      </c>
      <c r="P1000" t="s">
        <v>2928</v>
      </c>
      <c r="Q1000" t="s">
        <v>2990</v>
      </c>
      <c r="R1000" t="s">
        <v>2976</v>
      </c>
      <c r="S1000">
        <v>2010</v>
      </c>
      <c r="T1000" t="s">
        <v>771</v>
      </c>
      <c r="U1000" t="s">
        <v>2875</v>
      </c>
      <c r="V1000">
        <v>35.72</v>
      </c>
      <c r="W1000">
        <v>2850</v>
      </c>
      <c r="X1000">
        <v>107</v>
      </c>
      <c r="Z1000">
        <v>7</v>
      </c>
      <c r="AA1000">
        <v>70</v>
      </c>
      <c r="AB1000">
        <v>15000</v>
      </c>
      <c r="AC1000">
        <v>600</v>
      </c>
      <c r="AD1000">
        <v>2</v>
      </c>
      <c r="AE1000">
        <v>5.5991040999999998E-2</v>
      </c>
      <c r="AF1000">
        <v>20</v>
      </c>
      <c r="AH1000" t="s">
        <v>2259</v>
      </c>
      <c r="AI1000">
        <v>0.3</v>
      </c>
      <c r="AM1000" t="s">
        <v>2960</v>
      </c>
      <c r="AN1000" t="s">
        <v>132</v>
      </c>
      <c r="BN1000">
        <v>21.7</v>
      </c>
      <c r="CE100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00" s="19">
        <f>SUM(Table1[[#This Row],[Mid39]],Table1[[#This Row],[Mid36]],Table1[[#This Row],[Mid33]],Table1[[#This Row],[Mid30]],Table1[[#This Row],[Mid27]],Table1[[#This Row],[Mid24]],Table1[[#This Row],[Mid21]],Table1[[#This Row],[Mid18]],Table1[[#This Row],[Mid15]],Table1[[#This Row],[Mid12]],Table1[[#This Row],[Mid9]],Table1[[#This Row],[Mid6]],Table1[[#This Row],[Mid3]],Table1[[#This Row],[Mid]])</f>
        <v>21.7</v>
      </c>
      <c r="CG100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00" t="s">
        <v>157</v>
      </c>
      <c r="CI1000" t="s">
        <v>176</v>
      </c>
      <c r="CJ1000" t="s">
        <v>158</v>
      </c>
      <c r="CL1000" s="19">
        <f>IF(Table1[[#This Row],[Type]]="Petroleum",1,IF(ISERROR(Table1[[#This Row],[Well Density]]*Table1[[#This Row],[Single Well Discovery Area]]),"",IF(Table1[[#This Row],[Well Density]]*Table1[[#This Row],[Single Well Discovery Area]]&gt;1,1,Table1[[#This Row],[Well Density]]*Table1[[#This Row],[Single Well Discovery Area]])))</f>
        <v>1</v>
      </c>
      <c r="CN1000" s="19">
        <f>Table1[[#This Row],[Mid]]</f>
        <v>0</v>
      </c>
      <c r="CO1000" s="19">
        <f>Table1[[#This Row],[Mid3]]+Table1[[#This Row],[Mid6]]+Table1[[#This Row],[Mid9]]</f>
        <v>0</v>
      </c>
      <c r="CP1000" s="19">
        <f>Table1[[#This Row],[Mid12]]+Table1[[#This Row],[Mid15]]+Table1[[#This Row],[Mid18]]+Table1[[#This Row],[Mid21]]+Table1[[#This Row],[Mid24]]</f>
        <v>21.7</v>
      </c>
      <c r="CQ1000" s="19">
        <f>Table1[[#This Row],[Mid27]]+Table1[[#This Row],[Mid30]]+Table1[[#This Row],[Mid33]]+Table1[[#This Row],[Mid36]]+Table1[[#This Row],[Mid39]]</f>
        <v>0</v>
      </c>
      <c r="CR1000" t="s">
        <v>415</v>
      </c>
      <c r="CS1000" s="19" t="str">
        <f>IF(AND(Table1[[#This Row],[Low41]]=0, Table1[[#This Row],[High43]]=0),"N","Y")</f>
        <v>N</v>
      </c>
    </row>
    <row r="1001" spans="1:97" ht="19.5" customHeight="1" x14ac:dyDescent="0.25">
      <c r="A1001">
        <v>11000</v>
      </c>
      <c r="B1001" t="s">
        <v>2917</v>
      </c>
      <c r="C1001" t="s">
        <v>3065</v>
      </c>
      <c r="D1001">
        <v>42.173611110000003</v>
      </c>
      <c r="E1001">
        <v>-2.045833333</v>
      </c>
      <c r="F1001" t="s">
        <v>3067</v>
      </c>
      <c r="G1001" t="s">
        <v>2954</v>
      </c>
      <c r="H1001" t="s">
        <v>2955</v>
      </c>
      <c r="I1001" t="s">
        <v>118</v>
      </c>
      <c r="J1001" t="s">
        <v>119</v>
      </c>
      <c r="K1001" t="s">
        <v>203</v>
      </c>
      <c r="L1001" t="s">
        <v>121</v>
      </c>
      <c r="M1001" t="s">
        <v>392</v>
      </c>
      <c r="N1001" s="6" t="s">
        <v>2956</v>
      </c>
      <c r="O1001" t="s">
        <v>2957</v>
      </c>
      <c r="P1001" t="s">
        <v>2928</v>
      </c>
      <c r="Q1001" t="s">
        <v>2990</v>
      </c>
      <c r="R1001" t="s">
        <v>2976</v>
      </c>
      <c r="S1001">
        <v>2010</v>
      </c>
      <c r="T1001" t="s">
        <v>771</v>
      </c>
      <c r="U1001" t="s">
        <v>2875</v>
      </c>
      <c r="V1001">
        <v>115</v>
      </c>
      <c r="W1001">
        <v>975</v>
      </c>
      <c r="X1001">
        <v>185</v>
      </c>
      <c r="Z1001">
        <v>8</v>
      </c>
      <c r="AA1001">
        <v>300</v>
      </c>
      <c r="AB1001">
        <v>40000</v>
      </c>
      <c r="AC1001">
        <v>450</v>
      </c>
      <c r="AD1001">
        <v>1</v>
      </c>
      <c r="AE1001">
        <v>8.6956519999999999E-3</v>
      </c>
      <c r="AF1001">
        <v>200</v>
      </c>
      <c r="AH1001" t="s">
        <v>2259</v>
      </c>
      <c r="AI1001">
        <v>0.3</v>
      </c>
      <c r="AM1001" t="s">
        <v>2960</v>
      </c>
      <c r="AN1001" t="s">
        <v>132</v>
      </c>
      <c r="BN1001">
        <v>68.930000000000007</v>
      </c>
      <c r="CE100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01" s="19">
        <f>SUM(Table1[[#This Row],[Mid39]],Table1[[#This Row],[Mid36]],Table1[[#This Row],[Mid33]],Table1[[#This Row],[Mid30]],Table1[[#This Row],[Mid27]],Table1[[#This Row],[Mid24]],Table1[[#This Row],[Mid21]],Table1[[#This Row],[Mid18]],Table1[[#This Row],[Mid15]],Table1[[#This Row],[Mid12]],Table1[[#This Row],[Mid9]],Table1[[#This Row],[Mid6]],Table1[[#This Row],[Mid3]],Table1[[#This Row],[Mid]])</f>
        <v>68.930000000000007</v>
      </c>
      <c r="CG100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01" t="s">
        <v>157</v>
      </c>
      <c r="CI1001" t="s">
        <v>134</v>
      </c>
      <c r="CJ1001" t="s">
        <v>158</v>
      </c>
      <c r="CL1001" s="19">
        <f>IF(Table1[[#This Row],[Type]]="Petroleum",1,IF(ISERROR(Table1[[#This Row],[Well Density]]*Table1[[#This Row],[Single Well Discovery Area]]),"",IF(Table1[[#This Row],[Well Density]]*Table1[[#This Row],[Single Well Discovery Area]]&gt;1,1,Table1[[#This Row],[Well Density]]*Table1[[#This Row],[Single Well Discovery Area]])))</f>
        <v>1</v>
      </c>
      <c r="CN1001" s="19">
        <f>Table1[[#This Row],[Mid]]</f>
        <v>0</v>
      </c>
      <c r="CO1001" s="19">
        <f>Table1[[#This Row],[Mid3]]+Table1[[#This Row],[Mid6]]+Table1[[#This Row],[Mid9]]</f>
        <v>0</v>
      </c>
      <c r="CP1001" s="19">
        <f>Table1[[#This Row],[Mid12]]+Table1[[#This Row],[Mid15]]+Table1[[#This Row],[Mid18]]+Table1[[#This Row],[Mid21]]+Table1[[#This Row],[Mid24]]</f>
        <v>68.930000000000007</v>
      </c>
      <c r="CQ1001" s="19">
        <f>Table1[[#This Row],[Mid27]]+Table1[[#This Row],[Mid30]]+Table1[[#This Row],[Mid33]]+Table1[[#This Row],[Mid36]]+Table1[[#This Row],[Mid39]]</f>
        <v>0</v>
      </c>
      <c r="CR1001" t="s">
        <v>415</v>
      </c>
      <c r="CS1001" s="19" t="str">
        <f>IF(AND(Table1[[#This Row],[Low41]]=0, Table1[[#This Row],[High43]]=0),"N","Y")</f>
        <v>N</v>
      </c>
    </row>
    <row r="1002" spans="1:97" ht="19.5" customHeight="1" x14ac:dyDescent="0.25">
      <c r="A1002">
        <v>11001</v>
      </c>
      <c r="B1002" t="s">
        <v>2917</v>
      </c>
      <c r="C1002" t="s">
        <v>3065</v>
      </c>
      <c r="D1002">
        <v>41.866111109999999</v>
      </c>
      <c r="E1002">
        <v>-1.6297222220000001</v>
      </c>
      <c r="F1002" t="s">
        <v>3068</v>
      </c>
      <c r="G1002" t="s">
        <v>3009</v>
      </c>
      <c r="H1002" t="s">
        <v>2955</v>
      </c>
      <c r="I1002" t="s">
        <v>118</v>
      </c>
      <c r="J1002" t="s">
        <v>119</v>
      </c>
      <c r="K1002" t="s">
        <v>203</v>
      </c>
      <c r="L1002" t="s">
        <v>121</v>
      </c>
      <c r="M1002" t="s">
        <v>392</v>
      </c>
      <c r="N1002" s="6" t="s">
        <v>2956</v>
      </c>
      <c r="O1002" t="s">
        <v>2957</v>
      </c>
      <c r="P1002" t="s">
        <v>2928</v>
      </c>
      <c r="Q1002" t="s">
        <v>2990</v>
      </c>
      <c r="R1002" t="s">
        <v>2976</v>
      </c>
      <c r="S1002">
        <v>2010</v>
      </c>
      <c r="T1002" t="s">
        <v>771</v>
      </c>
      <c r="U1002" t="s">
        <v>2875</v>
      </c>
      <c r="V1002">
        <v>36</v>
      </c>
      <c r="W1002">
        <v>1040</v>
      </c>
      <c r="X1002">
        <v>100</v>
      </c>
      <c r="Z1002">
        <v>5</v>
      </c>
      <c r="AA1002">
        <v>300</v>
      </c>
      <c r="AB1002">
        <v>15000</v>
      </c>
      <c r="AC1002">
        <v>550</v>
      </c>
      <c r="AD1002">
        <v>0</v>
      </c>
      <c r="AE1002">
        <v>0</v>
      </c>
      <c r="AF1002">
        <v>200</v>
      </c>
      <c r="AH1002" t="s">
        <v>2259</v>
      </c>
      <c r="AI1002">
        <v>0.3</v>
      </c>
      <c r="AM1002" t="s">
        <v>2960</v>
      </c>
      <c r="AN1002" t="s">
        <v>132</v>
      </c>
      <c r="BQ1002">
        <v>22.28</v>
      </c>
      <c r="CE100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02" s="19">
        <f>SUM(Table1[[#This Row],[Mid39]],Table1[[#This Row],[Mid36]],Table1[[#This Row],[Mid33]],Table1[[#This Row],[Mid30]],Table1[[#This Row],[Mid27]],Table1[[#This Row],[Mid24]],Table1[[#This Row],[Mid21]],Table1[[#This Row],[Mid18]],Table1[[#This Row],[Mid15]],Table1[[#This Row],[Mid12]],Table1[[#This Row],[Mid9]],Table1[[#This Row],[Mid6]],Table1[[#This Row],[Mid3]],Table1[[#This Row],[Mid]])</f>
        <v>22.28</v>
      </c>
      <c r="CG100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02" t="s">
        <v>157</v>
      </c>
      <c r="CI1002" t="s">
        <v>134</v>
      </c>
      <c r="CJ1002" t="s">
        <v>158</v>
      </c>
      <c r="CL1002" s="19">
        <f>IF(Table1[[#This Row],[Type]]="Petroleum",1,IF(ISERROR(Table1[[#This Row],[Well Density]]*Table1[[#This Row],[Single Well Discovery Area]]),"",IF(Table1[[#This Row],[Well Density]]*Table1[[#This Row],[Single Well Discovery Area]]&gt;1,1,Table1[[#This Row],[Well Density]]*Table1[[#This Row],[Single Well Discovery Area]])))</f>
        <v>0</v>
      </c>
      <c r="CN1002" s="19">
        <f>Table1[[#This Row],[Mid]]</f>
        <v>0</v>
      </c>
      <c r="CO1002" s="19">
        <f>Table1[[#This Row],[Mid3]]+Table1[[#This Row],[Mid6]]+Table1[[#This Row],[Mid9]]</f>
        <v>0</v>
      </c>
      <c r="CP1002" s="19">
        <f>Table1[[#This Row],[Mid12]]+Table1[[#This Row],[Mid15]]+Table1[[#This Row],[Mid18]]+Table1[[#This Row],[Mid21]]+Table1[[#This Row],[Mid24]]</f>
        <v>0</v>
      </c>
      <c r="CQ1002" s="19">
        <f>Table1[[#This Row],[Mid27]]+Table1[[#This Row],[Mid30]]+Table1[[#This Row],[Mid33]]+Table1[[#This Row],[Mid36]]+Table1[[#This Row],[Mid39]]</f>
        <v>22.28</v>
      </c>
      <c r="CR1002" t="s">
        <v>415</v>
      </c>
      <c r="CS1002" s="19" t="str">
        <f>IF(AND(Table1[[#This Row],[Low41]]=0, Table1[[#This Row],[High43]]=0),"N","Y")</f>
        <v>N</v>
      </c>
    </row>
    <row r="1003" spans="1:97" ht="19.5" customHeight="1" x14ac:dyDescent="0.25">
      <c r="A1003">
        <v>11002</v>
      </c>
      <c r="B1003" t="s">
        <v>2917</v>
      </c>
      <c r="C1003" t="s">
        <v>3065</v>
      </c>
      <c r="D1003">
        <v>40.841666670000002</v>
      </c>
      <c r="E1003">
        <v>0.197222222</v>
      </c>
      <c r="F1003" t="s">
        <v>3069</v>
      </c>
      <c r="G1003" t="s">
        <v>2954</v>
      </c>
      <c r="H1003" t="s">
        <v>2983</v>
      </c>
      <c r="I1003" t="s">
        <v>118</v>
      </c>
      <c r="J1003" t="s">
        <v>119</v>
      </c>
      <c r="K1003" t="s">
        <v>203</v>
      </c>
      <c r="L1003" t="s">
        <v>121</v>
      </c>
      <c r="M1003" t="s">
        <v>392</v>
      </c>
      <c r="N1003" s="6" t="s">
        <v>2956</v>
      </c>
      <c r="O1003" t="s">
        <v>2957</v>
      </c>
      <c r="P1003" t="s">
        <v>2928</v>
      </c>
      <c r="Q1003" t="s">
        <v>2990</v>
      </c>
      <c r="R1003" t="s">
        <v>2976</v>
      </c>
      <c r="S1003">
        <v>2010</v>
      </c>
      <c r="T1003" t="s">
        <v>771</v>
      </c>
      <c r="U1003" t="s">
        <v>2875</v>
      </c>
      <c r="V1003">
        <v>143</v>
      </c>
      <c r="W1003">
        <v>1080</v>
      </c>
      <c r="X1003">
        <v>112</v>
      </c>
      <c r="Z1003">
        <v>8</v>
      </c>
      <c r="AA1003">
        <v>70</v>
      </c>
      <c r="AB1003">
        <v>3400</v>
      </c>
      <c r="AC1003">
        <v>650</v>
      </c>
      <c r="AD1003">
        <v>2</v>
      </c>
      <c r="AE1003">
        <v>1.3986014E-2</v>
      </c>
      <c r="AF1003">
        <v>20</v>
      </c>
      <c r="AH1003" t="s">
        <v>2259</v>
      </c>
      <c r="AI1003">
        <v>0.3</v>
      </c>
      <c r="AM1003" t="s">
        <v>2960</v>
      </c>
      <c r="AN1003" t="s">
        <v>132</v>
      </c>
      <c r="BN1003">
        <v>106.33</v>
      </c>
      <c r="CE100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03" s="19">
        <f>SUM(Table1[[#This Row],[Mid39]],Table1[[#This Row],[Mid36]],Table1[[#This Row],[Mid33]],Table1[[#This Row],[Mid30]],Table1[[#This Row],[Mid27]],Table1[[#This Row],[Mid24]],Table1[[#This Row],[Mid21]],Table1[[#This Row],[Mid18]],Table1[[#This Row],[Mid15]],Table1[[#This Row],[Mid12]],Table1[[#This Row],[Mid9]],Table1[[#This Row],[Mid6]],Table1[[#This Row],[Mid3]],Table1[[#This Row],[Mid]])</f>
        <v>106.33</v>
      </c>
      <c r="CG100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03" t="s">
        <v>157</v>
      </c>
      <c r="CI1003" t="s">
        <v>176</v>
      </c>
      <c r="CJ1003" t="s">
        <v>158</v>
      </c>
      <c r="CL1003" s="19">
        <f>IF(Table1[[#This Row],[Type]]="Petroleum",1,IF(ISERROR(Table1[[#This Row],[Well Density]]*Table1[[#This Row],[Single Well Discovery Area]]),"",IF(Table1[[#This Row],[Well Density]]*Table1[[#This Row],[Single Well Discovery Area]]&gt;1,1,Table1[[#This Row],[Well Density]]*Table1[[#This Row],[Single Well Discovery Area]])))</f>
        <v>0.27972027999999999</v>
      </c>
      <c r="CN1003" s="19">
        <f>Table1[[#This Row],[Mid]]</f>
        <v>0</v>
      </c>
      <c r="CO1003" s="19">
        <f>Table1[[#This Row],[Mid3]]+Table1[[#This Row],[Mid6]]+Table1[[#This Row],[Mid9]]</f>
        <v>0</v>
      </c>
      <c r="CP1003" s="19">
        <f>Table1[[#This Row],[Mid12]]+Table1[[#This Row],[Mid15]]+Table1[[#This Row],[Mid18]]+Table1[[#This Row],[Mid21]]+Table1[[#This Row],[Mid24]]</f>
        <v>106.33</v>
      </c>
      <c r="CQ1003" s="19">
        <f>Table1[[#This Row],[Mid27]]+Table1[[#This Row],[Mid30]]+Table1[[#This Row],[Mid33]]+Table1[[#This Row],[Mid36]]+Table1[[#This Row],[Mid39]]</f>
        <v>0</v>
      </c>
      <c r="CR1003" t="s">
        <v>415</v>
      </c>
      <c r="CS1003" s="19" t="str">
        <f>IF(AND(Table1[[#This Row],[Low41]]=0, Table1[[#This Row],[High43]]=0),"N","Y")</f>
        <v>N</v>
      </c>
    </row>
    <row r="1004" spans="1:97" ht="19.5" customHeight="1" x14ac:dyDescent="0.25">
      <c r="A1004">
        <v>11003</v>
      </c>
      <c r="B1004" t="s">
        <v>2917</v>
      </c>
      <c r="C1004" t="s">
        <v>3065</v>
      </c>
      <c r="D1004">
        <v>40.87722222</v>
      </c>
      <c r="E1004">
        <v>-5.3888889000000002E-2</v>
      </c>
      <c r="F1004" t="s">
        <v>3070</v>
      </c>
      <c r="G1004" t="s">
        <v>2954</v>
      </c>
      <c r="H1004" t="s">
        <v>2955</v>
      </c>
      <c r="I1004" t="s">
        <v>118</v>
      </c>
      <c r="J1004" t="s">
        <v>119</v>
      </c>
      <c r="K1004" t="s">
        <v>203</v>
      </c>
      <c r="L1004" t="s">
        <v>18</v>
      </c>
      <c r="M1004" t="s">
        <v>392</v>
      </c>
      <c r="N1004" s="6" t="s">
        <v>2956</v>
      </c>
      <c r="O1004" t="s">
        <v>2957</v>
      </c>
      <c r="P1004" t="s">
        <v>2928</v>
      </c>
      <c r="Q1004" t="s">
        <v>2990</v>
      </c>
      <c r="R1004" t="s">
        <v>2966</v>
      </c>
      <c r="S1004">
        <v>2010</v>
      </c>
      <c r="T1004" t="s">
        <v>771</v>
      </c>
      <c r="U1004" t="s">
        <v>2875</v>
      </c>
      <c r="V1004">
        <v>400</v>
      </c>
      <c r="W1004">
        <v>2080</v>
      </c>
      <c r="X1004">
        <v>170</v>
      </c>
      <c r="Z1004">
        <v>13</v>
      </c>
      <c r="AA1004">
        <v>300</v>
      </c>
      <c r="AB1004">
        <v>32000</v>
      </c>
      <c r="AC1004">
        <v>680</v>
      </c>
      <c r="AD1004">
        <v>3</v>
      </c>
      <c r="AE1004">
        <v>7.4999999999999997E-3</v>
      </c>
      <c r="AF1004">
        <v>200</v>
      </c>
      <c r="AH1004" t="s">
        <v>2259</v>
      </c>
      <c r="AI1004">
        <v>0.3</v>
      </c>
      <c r="AM1004" t="s">
        <v>2960</v>
      </c>
      <c r="AN1004" t="s">
        <v>132</v>
      </c>
      <c r="BQ1004">
        <v>606.23</v>
      </c>
      <c r="CE100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04" s="19">
        <f>SUM(Table1[[#This Row],[Mid39]],Table1[[#This Row],[Mid36]],Table1[[#This Row],[Mid33]],Table1[[#This Row],[Mid30]],Table1[[#This Row],[Mid27]],Table1[[#This Row],[Mid24]],Table1[[#This Row],[Mid21]],Table1[[#This Row],[Mid18]],Table1[[#This Row],[Mid15]],Table1[[#This Row],[Mid12]],Table1[[#This Row],[Mid9]],Table1[[#This Row],[Mid6]],Table1[[#This Row],[Mid3]],Table1[[#This Row],[Mid]])</f>
        <v>606.23</v>
      </c>
      <c r="CG100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04" t="s">
        <v>157</v>
      </c>
      <c r="CI1004" t="s">
        <v>134</v>
      </c>
      <c r="CJ1004" t="s">
        <v>158</v>
      </c>
      <c r="CL1004" s="19">
        <f>IF(Table1[[#This Row],[Type]]="Petroleum",1,IF(ISERROR(Table1[[#This Row],[Well Density]]*Table1[[#This Row],[Single Well Discovery Area]]),"",IF(Table1[[#This Row],[Well Density]]*Table1[[#This Row],[Single Well Discovery Area]]&gt;1,1,Table1[[#This Row],[Well Density]]*Table1[[#This Row],[Single Well Discovery Area]])))</f>
        <v>1</v>
      </c>
      <c r="CN1004" s="19">
        <f>Table1[[#This Row],[Mid]]</f>
        <v>0</v>
      </c>
      <c r="CO1004" s="19">
        <f>Table1[[#This Row],[Mid3]]+Table1[[#This Row],[Mid6]]+Table1[[#This Row],[Mid9]]</f>
        <v>0</v>
      </c>
      <c r="CP1004" s="19">
        <f>Table1[[#This Row],[Mid12]]+Table1[[#This Row],[Mid15]]+Table1[[#This Row],[Mid18]]+Table1[[#This Row],[Mid21]]+Table1[[#This Row],[Mid24]]</f>
        <v>0</v>
      </c>
      <c r="CQ1004" s="19">
        <f>Table1[[#This Row],[Mid27]]+Table1[[#This Row],[Mid30]]+Table1[[#This Row],[Mid33]]+Table1[[#This Row],[Mid36]]+Table1[[#This Row],[Mid39]]</f>
        <v>606.23</v>
      </c>
      <c r="CR1004" t="s">
        <v>415</v>
      </c>
      <c r="CS1004" s="19" t="str">
        <f>IF(AND(Table1[[#This Row],[Low41]]=0, Table1[[#This Row],[High43]]=0),"N","Y")</f>
        <v>N</v>
      </c>
    </row>
    <row r="1005" spans="1:97" ht="19.5" customHeight="1" x14ac:dyDescent="0.25">
      <c r="A1005">
        <v>11004</v>
      </c>
      <c r="B1005" t="s">
        <v>2917</v>
      </c>
      <c r="C1005" t="s">
        <v>3065</v>
      </c>
      <c r="D1005">
        <v>40.87722222</v>
      </c>
      <c r="E1005">
        <v>-5.3611111000000003E-2</v>
      </c>
      <c r="F1005" t="s">
        <v>3071</v>
      </c>
      <c r="G1005" t="s">
        <v>2954</v>
      </c>
      <c r="H1005" t="s">
        <v>2955</v>
      </c>
      <c r="I1005" t="s">
        <v>118</v>
      </c>
      <c r="J1005" t="s">
        <v>119</v>
      </c>
      <c r="K1005" t="s">
        <v>203</v>
      </c>
      <c r="L1005" t="s">
        <v>121</v>
      </c>
      <c r="M1005" t="s">
        <v>392</v>
      </c>
      <c r="N1005" s="6" t="s">
        <v>2956</v>
      </c>
      <c r="O1005" t="s">
        <v>2957</v>
      </c>
      <c r="P1005" t="s">
        <v>2928</v>
      </c>
      <c r="Q1005" t="s">
        <v>2990</v>
      </c>
      <c r="R1005" t="s">
        <v>2966</v>
      </c>
      <c r="S1005">
        <v>2010</v>
      </c>
      <c r="T1005" t="s">
        <v>771</v>
      </c>
      <c r="U1005" t="s">
        <v>2875</v>
      </c>
      <c r="V1005">
        <v>400</v>
      </c>
      <c r="W1005">
        <v>2080</v>
      </c>
      <c r="X1005">
        <v>170</v>
      </c>
      <c r="Z1005">
        <v>13</v>
      </c>
      <c r="AA1005">
        <v>300</v>
      </c>
      <c r="AB1005">
        <v>32000</v>
      </c>
      <c r="AC1005">
        <v>680</v>
      </c>
      <c r="AD1005">
        <v>3</v>
      </c>
      <c r="AE1005">
        <v>7.4999999999999997E-3</v>
      </c>
      <c r="AF1005">
        <v>200</v>
      </c>
      <c r="AH1005" t="s">
        <v>2259</v>
      </c>
      <c r="AI1005">
        <v>0.3</v>
      </c>
      <c r="AM1005" t="s">
        <v>2960</v>
      </c>
      <c r="AN1005" t="s">
        <v>132</v>
      </c>
      <c r="BN1005">
        <v>606.23</v>
      </c>
      <c r="CE100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05" s="19">
        <f>SUM(Table1[[#This Row],[Mid39]],Table1[[#This Row],[Mid36]],Table1[[#This Row],[Mid33]],Table1[[#This Row],[Mid30]],Table1[[#This Row],[Mid27]],Table1[[#This Row],[Mid24]],Table1[[#This Row],[Mid21]],Table1[[#This Row],[Mid18]],Table1[[#This Row],[Mid15]],Table1[[#This Row],[Mid12]],Table1[[#This Row],[Mid9]],Table1[[#This Row],[Mid6]],Table1[[#This Row],[Mid3]],Table1[[#This Row],[Mid]])</f>
        <v>606.23</v>
      </c>
      <c r="CG100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05" t="s">
        <v>157</v>
      </c>
      <c r="CI1005" t="s">
        <v>134</v>
      </c>
      <c r="CJ1005" t="s">
        <v>158</v>
      </c>
      <c r="CL1005" s="19">
        <f>IF(Table1[[#This Row],[Type]]="Petroleum",1,IF(ISERROR(Table1[[#This Row],[Well Density]]*Table1[[#This Row],[Single Well Discovery Area]]),"",IF(Table1[[#This Row],[Well Density]]*Table1[[#This Row],[Single Well Discovery Area]]&gt;1,1,Table1[[#This Row],[Well Density]]*Table1[[#This Row],[Single Well Discovery Area]])))</f>
        <v>1</v>
      </c>
      <c r="CN1005" s="19">
        <f>Table1[[#This Row],[Mid]]</f>
        <v>0</v>
      </c>
      <c r="CO1005" s="19">
        <f>Table1[[#This Row],[Mid3]]+Table1[[#This Row],[Mid6]]+Table1[[#This Row],[Mid9]]</f>
        <v>0</v>
      </c>
      <c r="CP1005" s="19">
        <f>Table1[[#This Row],[Mid12]]+Table1[[#This Row],[Mid15]]+Table1[[#This Row],[Mid18]]+Table1[[#This Row],[Mid21]]+Table1[[#This Row],[Mid24]]</f>
        <v>606.23</v>
      </c>
      <c r="CQ1005" s="19">
        <f>Table1[[#This Row],[Mid27]]+Table1[[#This Row],[Mid30]]+Table1[[#This Row],[Mid33]]+Table1[[#This Row],[Mid36]]+Table1[[#This Row],[Mid39]]</f>
        <v>0</v>
      </c>
      <c r="CR1005" t="s">
        <v>415</v>
      </c>
      <c r="CS1005" s="19" t="str">
        <f>IF(AND(Table1[[#This Row],[Low41]]=0, Table1[[#This Row],[High43]]=0),"N","Y")</f>
        <v>N</v>
      </c>
    </row>
    <row r="1006" spans="1:97" ht="19.5" customHeight="1" x14ac:dyDescent="0.25">
      <c r="A1006">
        <v>11005</v>
      </c>
      <c r="B1006" t="s">
        <v>2917</v>
      </c>
      <c r="C1006" t="s">
        <v>3065</v>
      </c>
      <c r="D1006">
        <v>42.24694444</v>
      </c>
      <c r="E1006">
        <v>0.14944444400000001</v>
      </c>
      <c r="F1006" t="s">
        <v>3072</v>
      </c>
      <c r="G1006" t="s">
        <v>3073</v>
      </c>
      <c r="H1006" t="s">
        <v>3074</v>
      </c>
      <c r="I1006" t="s">
        <v>118</v>
      </c>
      <c r="J1006" t="s">
        <v>119</v>
      </c>
      <c r="K1006" t="s">
        <v>203</v>
      </c>
      <c r="L1006" t="s">
        <v>121</v>
      </c>
      <c r="M1006" t="s">
        <v>2964</v>
      </c>
      <c r="N1006" s="6" t="s">
        <v>2956</v>
      </c>
      <c r="O1006" t="s">
        <v>2957</v>
      </c>
      <c r="P1006" t="s">
        <v>2928</v>
      </c>
      <c r="Q1006" t="s">
        <v>2990</v>
      </c>
      <c r="R1006" t="s">
        <v>3075</v>
      </c>
      <c r="S1006">
        <v>2010</v>
      </c>
      <c r="T1006" t="s">
        <v>771</v>
      </c>
      <c r="U1006" t="s">
        <v>2875</v>
      </c>
      <c r="V1006">
        <v>40.159999999999997</v>
      </c>
      <c r="W1006">
        <v>1200</v>
      </c>
      <c r="X1006">
        <v>38</v>
      </c>
      <c r="Z1006">
        <v>8</v>
      </c>
      <c r="AA1006">
        <v>70</v>
      </c>
      <c r="AB1006">
        <v>15000</v>
      </c>
      <c r="AC1006">
        <v>675</v>
      </c>
      <c r="AD1006">
        <v>1</v>
      </c>
      <c r="AE1006">
        <v>2.4900398000000001E-2</v>
      </c>
      <c r="AF1006">
        <v>200</v>
      </c>
      <c r="AH1006" t="s">
        <v>2259</v>
      </c>
      <c r="AI1006">
        <v>0.3</v>
      </c>
      <c r="AM1006" t="s">
        <v>2960</v>
      </c>
      <c r="AN1006" t="s">
        <v>132</v>
      </c>
      <c r="BN1006">
        <v>17.28</v>
      </c>
      <c r="BO1006">
        <v>23.36</v>
      </c>
      <c r="CE100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06" s="19">
        <f>SUM(Table1[[#This Row],[Mid39]],Table1[[#This Row],[Mid36]],Table1[[#This Row],[Mid33]],Table1[[#This Row],[Mid30]],Table1[[#This Row],[Mid27]],Table1[[#This Row],[Mid24]],Table1[[#This Row],[Mid21]],Table1[[#This Row],[Mid18]],Table1[[#This Row],[Mid15]],Table1[[#This Row],[Mid12]],Table1[[#This Row],[Mid9]],Table1[[#This Row],[Mid6]],Table1[[#This Row],[Mid3]],Table1[[#This Row],[Mid]])</f>
        <v>17.28</v>
      </c>
      <c r="CG100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23.36</v>
      </c>
      <c r="CH1006" t="s">
        <v>157</v>
      </c>
      <c r="CI1006" t="s">
        <v>134</v>
      </c>
      <c r="CJ1006" t="s">
        <v>158</v>
      </c>
      <c r="CL1006" s="19">
        <f>IF(Table1[[#This Row],[Type]]="Petroleum",1,IF(ISERROR(Table1[[#This Row],[Well Density]]*Table1[[#This Row],[Single Well Discovery Area]]),"",IF(Table1[[#This Row],[Well Density]]*Table1[[#This Row],[Single Well Discovery Area]]&gt;1,1,Table1[[#This Row],[Well Density]]*Table1[[#This Row],[Single Well Discovery Area]])))</f>
        <v>1</v>
      </c>
      <c r="CN1006" s="19">
        <f>Table1[[#This Row],[Mid]]</f>
        <v>0</v>
      </c>
      <c r="CO1006" s="19">
        <f>Table1[[#This Row],[Mid3]]+Table1[[#This Row],[Mid6]]+Table1[[#This Row],[Mid9]]</f>
        <v>0</v>
      </c>
      <c r="CP1006" s="19">
        <f>Table1[[#This Row],[Mid12]]+Table1[[#This Row],[Mid15]]+Table1[[#This Row],[Mid18]]+Table1[[#This Row],[Mid21]]+Table1[[#This Row],[Mid24]]</f>
        <v>17.28</v>
      </c>
      <c r="CQ1006" s="19">
        <f>Table1[[#This Row],[Mid27]]+Table1[[#This Row],[Mid30]]+Table1[[#This Row],[Mid33]]+Table1[[#This Row],[Mid36]]+Table1[[#This Row],[Mid39]]</f>
        <v>0</v>
      </c>
      <c r="CR1006" t="s">
        <v>415</v>
      </c>
      <c r="CS1006" s="19" t="str">
        <f>IF(AND(Table1[[#This Row],[Low41]]=0, Table1[[#This Row],[High43]]=0),"N","Y")</f>
        <v>Y</v>
      </c>
    </row>
    <row r="1007" spans="1:97" ht="19.5" customHeight="1" x14ac:dyDescent="0.25">
      <c r="A1007">
        <v>11006</v>
      </c>
      <c r="B1007" t="s">
        <v>2917</v>
      </c>
      <c r="C1007" t="s">
        <v>3065</v>
      </c>
      <c r="D1007">
        <v>42.702500000000001</v>
      </c>
      <c r="E1007">
        <v>-1.005833333</v>
      </c>
      <c r="F1007" t="s">
        <v>3076</v>
      </c>
      <c r="G1007" t="s">
        <v>3073</v>
      </c>
      <c r="H1007" t="s">
        <v>2955</v>
      </c>
      <c r="I1007" t="s">
        <v>118</v>
      </c>
      <c r="J1007" t="s">
        <v>119</v>
      </c>
      <c r="K1007" t="s">
        <v>203</v>
      </c>
      <c r="L1007" t="s">
        <v>18</v>
      </c>
      <c r="M1007" t="s">
        <v>392</v>
      </c>
      <c r="N1007" s="6" t="s">
        <v>2956</v>
      </c>
      <c r="O1007" t="s">
        <v>2957</v>
      </c>
      <c r="P1007" t="s">
        <v>2928</v>
      </c>
      <c r="Q1007" t="s">
        <v>2990</v>
      </c>
      <c r="R1007" t="s">
        <v>2966</v>
      </c>
      <c r="S1007">
        <v>2010</v>
      </c>
      <c r="T1007" t="s">
        <v>771</v>
      </c>
      <c r="U1007" t="s">
        <v>2875</v>
      </c>
      <c r="V1007">
        <v>557</v>
      </c>
      <c r="W1007">
        <v>1720</v>
      </c>
      <c r="X1007">
        <v>112</v>
      </c>
      <c r="Z1007">
        <v>4</v>
      </c>
      <c r="AA1007">
        <v>70</v>
      </c>
      <c r="AB1007">
        <v>14000</v>
      </c>
      <c r="AC1007">
        <v>650</v>
      </c>
      <c r="AD1007">
        <v>1</v>
      </c>
      <c r="AE1007">
        <v>1.795332E-3</v>
      </c>
      <c r="AF1007">
        <v>200</v>
      </c>
      <c r="AH1007" t="s">
        <v>2259</v>
      </c>
      <c r="AI1007">
        <v>0.3</v>
      </c>
      <c r="AM1007" t="s">
        <v>2960</v>
      </c>
      <c r="AN1007" t="s">
        <v>132</v>
      </c>
      <c r="BQ1007">
        <v>204.20143630000001</v>
      </c>
      <c r="CE100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07" s="19">
        <f>SUM(Table1[[#This Row],[Mid39]],Table1[[#This Row],[Mid36]],Table1[[#This Row],[Mid33]],Table1[[#This Row],[Mid30]],Table1[[#This Row],[Mid27]],Table1[[#This Row],[Mid24]],Table1[[#This Row],[Mid21]],Table1[[#This Row],[Mid18]],Table1[[#This Row],[Mid15]],Table1[[#This Row],[Mid12]],Table1[[#This Row],[Mid9]],Table1[[#This Row],[Mid6]],Table1[[#This Row],[Mid3]],Table1[[#This Row],[Mid]])</f>
        <v>204.20143630000001</v>
      </c>
      <c r="CG100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07" t="s">
        <v>157</v>
      </c>
      <c r="CI1007" t="s">
        <v>134</v>
      </c>
      <c r="CJ1007" t="s">
        <v>158</v>
      </c>
      <c r="CL1007" s="19">
        <f>IF(Table1[[#This Row],[Type]]="Petroleum",1,IF(ISERROR(Table1[[#This Row],[Well Density]]*Table1[[#This Row],[Single Well Discovery Area]]),"",IF(Table1[[#This Row],[Well Density]]*Table1[[#This Row],[Single Well Discovery Area]]&gt;1,1,Table1[[#This Row],[Well Density]]*Table1[[#This Row],[Single Well Discovery Area]])))</f>
        <v>0.35906640000000001</v>
      </c>
      <c r="CN1007" s="19">
        <f>Table1[[#This Row],[Mid]]</f>
        <v>0</v>
      </c>
      <c r="CO1007" s="19">
        <f>Table1[[#This Row],[Mid3]]+Table1[[#This Row],[Mid6]]+Table1[[#This Row],[Mid9]]</f>
        <v>0</v>
      </c>
      <c r="CP1007" s="19">
        <f>Table1[[#This Row],[Mid12]]+Table1[[#This Row],[Mid15]]+Table1[[#This Row],[Mid18]]+Table1[[#This Row],[Mid21]]+Table1[[#This Row],[Mid24]]</f>
        <v>0</v>
      </c>
      <c r="CQ1007" s="19">
        <f>Table1[[#This Row],[Mid27]]+Table1[[#This Row],[Mid30]]+Table1[[#This Row],[Mid33]]+Table1[[#This Row],[Mid36]]+Table1[[#This Row],[Mid39]]</f>
        <v>204.20143630000001</v>
      </c>
      <c r="CR1007" t="s">
        <v>415</v>
      </c>
      <c r="CS1007" s="19" t="str">
        <f>IF(AND(Table1[[#This Row],[Low41]]=0, Table1[[#This Row],[High43]]=0),"N","Y")</f>
        <v>N</v>
      </c>
    </row>
    <row r="1008" spans="1:97" ht="19.5" customHeight="1" x14ac:dyDescent="0.25">
      <c r="A1008">
        <v>11007</v>
      </c>
      <c r="B1008" t="s">
        <v>2917</v>
      </c>
      <c r="C1008" t="s">
        <v>3065</v>
      </c>
      <c r="D1008">
        <v>42.702500000000001</v>
      </c>
      <c r="E1008">
        <v>-1.005555556</v>
      </c>
      <c r="F1008" t="s">
        <v>3077</v>
      </c>
      <c r="G1008" t="s">
        <v>3073</v>
      </c>
      <c r="H1008" t="s">
        <v>2955</v>
      </c>
      <c r="I1008" t="s">
        <v>118</v>
      </c>
      <c r="J1008" t="s">
        <v>119</v>
      </c>
      <c r="K1008" t="s">
        <v>203</v>
      </c>
      <c r="L1008" t="s">
        <v>121</v>
      </c>
      <c r="M1008" t="s">
        <v>392</v>
      </c>
      <c r="N1008" s="6" t="s">
        <v>2956</v>
      </c>
      <c r="O1008" t="s">
        <v>2957</v>
      </c>
      <c r="P1008" t="s">
        <v>2928</v>
      </c>
      <c r="Q1008" t="s">
        <v>2990</v>
      </c>
      <c r="R1008" t="s">
        <v>2966</v>
      </c>
      <c r="S1008">
        <v>2010</v>
      </c>
      <c r="T1008" t="s">
        <v>771</v>
      </c>
      <c r="U1008" t="s">
        <v>2875</v>
      </c>
      <c r="V1008">
        <v>557</v>
      </c>
      <c r="W1008">
        <v>1720</v>
      </c>
      <c r="X1008">
        <v>112</v>
      </c>
      <c r="Z1008">
        <v>4</v>
      </c>
      <c r="AA1008">
        <v>70</v>
      </c>
      <c r="AB1008">
        <v>14000</v>
      </c>
      <c r="AC1008">
        <v>650</v>
      </c>
      <c r="AD1008">
        <v>1</v>
      </c>
      <c r="AE1008">
        <v>1.795332E-3</v>
      </c>
      <c r="AF1008">
        <v>200</v>
      </c>
      <c r="AH1008" t="s">
        <v>2259</v>
      </c>
      <c r="AI1008">
        <v>0.3</v>
      </c>
      <c r="AM1008" t="s">
        <v>2960</v>
      </c>
      <c r="AN1008" t="s">
        <v>132</v>
      </c>
      <c r="BN1008">
        <v>114.3985637</v>
      </c>
      <c r="CE100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08" s="19">
        <f>SUM(Table1[[#This Row],[Mid39]],Table1[[#This Row],[Mid36]],Table1[[#This Row],[Mid33]],Table1[[#This Row],[Mid30]],Table1[[#This Row],[Mid27]],Table1[[#This Row],[Mid24]],Table1[[#This Row],[Mid21]],Table1[[#This Row],[Mid18]],Table1[[#This Row],[Mid15]],Table1[[#This Row],[Mid12]],Table1[[#This Row],[Mid9]],Table1[[#This Row],[Mid6]],Table1[[#This Row],[Mid3]],Table1[[#This Row],[Mid]])</f>
        <v>114.3985637</v>
      </c>
      <c r="CG100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08" t="s">
        <v>157</v>
      </c>
      <c r="CI1008" t="s">
        <v>134</v>
      </c>
      <c r="CJ1008" t="s">
        <v>158</v>
      </c>
      <c r="CL1008" s="19">
        <f>IF(Table1[[#This Row],[Type]]="Petroleum",1,IF(ISERROR(Table1[[#This Row],[Well Density]]*Table1[[#This Row],[Single Well Discovery Area]]),"",IF(Table1[[#This Row],[Well Density]]*Table1[[#This Row],[Single Well Discovery Area]]&gt;1,1,Table1[[#This Row],[Well Density]]*Table1[[#This Row],[Single Well Discovery Area]])))</f>
        <v>0.35906640000000001</v>
      </c>
      <c r="CN1008" s="19">
        <f>Table1[[#This Row],[Mid]]</f>
        <v>0</v>
      </c>
      <c r="CO1008" s="19">
        <f>Table1[[#This Row],[Mid3]]+Table1[[#This Row],[Mid6]]+Table1[[#This Row],[Mid9]]</f>
        <v>0</v>
      </c>
      <c r="CP1008" s="19">
        <f>Table1[[#This Row],[Mid12]]+Table1[[#This Row],[Mid15]]+Table1[[#This Row],[Mid18]]+Table1[[#This Row],[Mid21]]+Table1[[#This Row],[Mid24]]</f>
        <v>114.3985637</v>
      </c>
      <c r="CQ1008" s="19">
        <f>Table1[[#This Row],[Mid27]]+Table1[[#This Row],[Mid30]]+Table1[[#This Row],[Mid33]]+Table1[[#This Row],[Mid36]]+Table1[[#This Row],[Mid39]]</f>
        <v>0</v>
      </c>
      <c r="CR1008" t="s">
        <v>415</v>
      </c>
      <c r="CS1008" s="19" t="str">
        <f>IF(AND(Table1[[#This Row],[Low41]]=0, Table1[[#This Row],[High43]]=0),"N","Y")</f>
        <v>N</v>
      </c>
    </row>
    <row r="1009" spans="1:97" ht="19.5" customHeight="1" x14ac:dyDescent="0.25">
      <c r="A1009">
        <v>11008</v>
      </c>
      <c r="B1009" t="s">
        <v>2917</v>
      </c>
      <c r="C1009" t="s">
        <v>3065</v>
      </c>
      <c r="D1009">
        <v>42.626111109999997</v>
      </c>
      <c r="E1009">
        <v>-1.0391666669999999</v>
      </c>
      <c r="F1009" t="s">
        <v>3078</v>
      </c>
      <c r="G1009" t="s">
        <v>3073</v>
      </c>
      <c r="H1009" t="s">
        <v>3079</v>
      </c>
      <c r="I1009" t="s">
        <v>118</v>
      </c>
      <c r="J1009" t="s">
        <v>119</v>
      </c>
      <c r="K1009" t="s">
        <v>203</v>
      </c>
      <c r="L1009" t="s">
        <v>121</v>
      </c>
      <c r="M1009" t="s">
        <v>2964</v>
      </c>
      <c r="N1009" s="6" t="s">
        <v>2956</v>
      </c>
      <c r="O1009" t="s">
        <v>2957</v>
      </c>
      <c r="P1009" t="s">
        <v>2928</v>
      </c>
      <c r="Q1009" t="s">
        <v>2990</v>
      </c>
      <c r="R1009" t="s">
        <v>2976</v>
      </c>
      <c r="S1009">
        <v>2010</v>
      </c>
      <c r="T1009" t="s">
        <v>771</v>
      </c>
      <c r="U1009" t="s">
        <v>2875</v>
      </c>
      <c r="V1009">
        <v>132</v>
      </c>
      <c r="W1009">
        <v>1300</v>
      </c>
      <c r="X1009">
        <v>80</v>
      </c>
      <c r="Z1009">
        <v>7</v>
      </c>
      <c r="AA1009">
        <v>10</v>
      </c>
      <c r="AB1009">
        <v>15000</v>
      </c>
      <c r="AC1009">
        <v>650</v>
      </c>
      <c r="AD1009">
        <v>1</v>
      </c>
      <c r="AE1009">
        <v>7.5757580000000001E-3</v>
      </c>
      <c r="AF1009">
        <v>20</v>
      </c>
      <c r="AH1009" t="s">
        <v>2259</v>
      </c>
      <c r="AI1009">
        <v>0.3</v>
      </c>
      <c r="AM1009" t="s">
        <v>2960</v>
      </c>
      <c r="AN1009" t="s">
        <v>132</v>
      </c>
      <c r="BN1009">
        <v>40.36</v>
      </c>
      <c r="CE100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09" s="19">
        <f>SUM(Table1[[#This Row],[Mid39]],Table1[[#This Row],[Mid36]],Table1[[#This Row],[Mid33]],Table1[[#This Row],[Mid30]],Table1[[#This Row],[Mid27]],Table1[[#This Row],[Mid24]],Table1[[#This Row],[Mid21]],Table1[[#This Row],[Mid18]],Table1[[#This Row],[Mid15]],Table1[[#This Row],[Mid12]],Table1[[#This Row],[Mid9]],Table1[[#This Row],[Mid6]],Table1[[#This Row],[Mid3]],Table1[[#This Row],[Mid]])</f>
        <v>40.36</v>
      </c>
      <c r="CG100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09" t="s">
        <v>157</v>
      </c>
      <c r="CI1009" t="s">
        <v>176</v>
      </c>
      <c r="CJ1009" t="s">
        <v>158</v>
      </c>
      <c r="CL1009" s="19">
        <f>IF(Table1[[#This Row],[Type]]="Petroleum",1,IF(ISERROR(Table1[[#This Row],[Well Density]]*Table1[[#This Row],[Single Well Discovery Area]]),"",IF(Table1[[#This Row],[Well Density]]*Table1[[#This Row],[Single Well Discovery Area]]&gt;1,1,Table1[[#This Row],[Well Density]]*Table1[[#This Row],[Single Well Discovery Area]])))</f>
        <v>0.15151516000000001</v>
      </c>
      <c r="CN1009" s="19">
        <f>Table1[[#This Row],[Mid]]</f>
        <v>0</v>
      </c>
      <c r="CO1009" s="19">
        <f>Table1[[#This Row],[Mid3]]+Table1[[#This Row],[Mid6]]+Table1[[#This Row],[Mid9]]</f>
        <v>0</v>
      </c>
      <c r="CP1009" s="19">
        <f>Table1[[#This Row],[Mid12]]+Table1[[#This Row],[Mid15]]+Table1[[#This Row],[Mid18]]+Table1[[#This Row],[Mid21]]+Table1[[#This Row],[Mid24]]</f>
        <v>40.36</v>
      </c>
      <c r="CQ1009" s="19">
        <f>Table1[[#This Row],[Mid27]]+Table1[[#This Row],[Mid30]]+Table1[[#This Row],[Mid33]]+Table1[[#This Row],[Mid36]]+Table1[[#This Row],[Mid39]]</f>
        <v>0</v>
      </c>
      <c r="CR1009" t="s">
        <v>415</v>
      </c>
      <c r="CS1009" s="19" t="str">
        <f>IF(AND(Table1[[#This Row],[Low41]]=0, Table1[[#This Row],[High43]]=0),"N","Y")</f>
        <v>N</v>
      </c>
    </row>
    <row r="1010" spans="1:97" ht="19.5" customHeight="1" x14ac:dyDescent="0.25">
      <c r="A1010">
        <v>11009</v>
      </c>
      <c r="B1010" t="s">
        <v>2917</v>
      </c>
      <c r="C1010" t="s">
        <v>3065</v>
      </c>
      <c r="D1010">
        <v>41.540555560000001</v>
      </c>
      <c r="E1010">
        <v>-0.86527777800000005</v>
      </c>
      <c r="F1010" t="s">
        <v>3080</v>
      </c>
      <c r="G1010" t="s">
        <v>3009</v>
      </c>
      <c r="H1010" t="s">
        <v>2955</v>
      </c>
      <c r="I1010" t="s">
        <v>118</v>
      </c>
      <c r="J1010" t="s">
        <v>119</v>
      </c>
      <c r="K1010" t="s">
        <v>203</v>
      </c>
      <c r="L1010" t="s">
        <v>121</v>
      </c>
      <c r="M1010" t="s">
        <v>392</v>
      </c>
      <c r="N1010" s="6" t="s">
        <v>2956</v>
      </c>
      <c r="O1010" t="s">
        <v>2957</v>
      </c>
      <c r="P1010" t="s">
        <v>2928</v>
      </c>
      <c r="Q1010" t="s">
        <v>2990</v>
      </c>
      <c r="R1010" t="s">
        <v>3081</v>
      </c>
      <c r="S1010">
        <v>2010</v>
      </c>
      <c r="T1010" t="s">
        <v>771</v>
      </c>
      <c r="U1010" t="s">
        <v>2875</v>
      </c>
      <c r="V1010">
        <v>190.87</v>
      </c>
      <c r="W1010">
        <v>1000</v>
      </c>
      <c r="X1010">
        <v>150</v>
      </c>
      <c r="Z1010">
        <v>6</v>
      </c>
      <c r="AA1010">
        <v>300</v>
      </c>
      <c r="AC1010">
        <v>550</v>
      </c>
      <c r="AD1010">
        <v>3</v>
      </c>
      <c r="AE1010">
        <v>1.5717504E-2</v>
      </c>
      <c r="AF1010">
        <v>200</v>
      </c>
      <c r="AH1010" t="s">
        <v>2259</v>
      </c>
      <c r="AI1010">
        <v>0.3</v>
      </c>
      <c r="AM1010" t="s">
        <v>2960</v>
      </c>
      <c r="AN1010" t="s">
        <v>132</v>
      </c>
      <c r="BN1010">
        <v>31.05</v>
      </c>
      <c r="BO1010">
        <v>109.33</v>
      </c>
      <c r="CE101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10" s="19">
        <f>SUM(Table1[[#This Row],[Mid39]],Table1[[#This Row],[Mid36]],Table1[[#This Row],[Mid33]],Table1[[#This Row],[Mid30]],Table1[[#This Row],[Mid27]],Table1[[#This Row],[Mid24]],Table1[[#This Row],[Mid21]],Table1[[#This Row],[Mid18]],Table1[[#This Row],[Mid15]],Table1[[#This Row],[Mid12]],Table1[[#This Row],[Mid9]],Table1[[#This Row],[Mid6]],Table1[[#This Row],[Mid3]],Table1[[#This Row],[Mid]])</f>
        <v>31.05</v>
      </c>
      <c r="CG10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109.33</v>
      </c>
      <c r="CH1010" t="s">
        <v>157</v>
      </c>
      <c r="CI1010" t="s">
        <v>134</v>
      </c>
      <c r="CJ1010" t="s">
        <v>158</v>
      </c>
      <c r="CL1010" s="19">
        <f>IF(Table1[[#This Row],[Type]]="Petroleum",1,IF(ISERROR(Table1[[#This Row],[Well Density]]*Table1[[#This Row],[Single Well Discovery Area]]),"",IF(Table1[[#This Row],[Well Density]]*Table1[[#This Row],[Single Well Discovery Area]]&gt;1,1,Table1[[#This Row],[Well Density]]*Table1[[#This Row],[Single Well Discovery Area]])))</f>
        <v>1</v>
      </c>
      <c r="CN1010" s="19">
        <f>Table1[[#This Row],[Mid]]</f>
        <v>0</v>
      </c>
      <c r="CO1010" s="19">
        <f>Table1[[#This Row],[Mid3]]+Table1[[#This Row],[Mid6]]+Table1[[#This Row],[Mid9]]</f>
        <v>0</v>
      </c>
      <c r="CP1010" s="19">
        <f>Table1[[#This Row],[Mid12]]+Table1[[#This Row],[Mid15]]+Table1[[#This Row],[Mid18]]+Table1[[#This Row],[Mid21]]+Table1[[#This Row],[Mid24]]</f>
        <v>31.05</v>
      </c>
      <c r="CQ1010" s="19">
        <f>Table1[[#This Row],[Mid27]]+Table1[[#This Row],[Mid30]]+Table1[[#This Row],[Mid33]]+Table1[[#This Row],[Mid36]]+Table1[[#This Row],[Mid39]]</f>
        <v>0</v>
      </c>
      <c r="CR1010" t="s">
        <v>415</v>
      </c>
      <c r="CS1010" s="19" t="str">
        <f>IF(AND(Table1[[#This Row],[Low41]]=0, Table1[[#This Row],[High43]]=0),"N","Y")</f>
        <v>Y</v>
      </c>
    </row>
    <row r="1011" spans="1:97" ht="19.5" customHeight="1" x14ac:dyDescent="0.25">
      <c r="A1011">
        <v>11010</v>
      </c>
      <c r="B1011" t="s">
        <v>2917</v>
      </c>
      <c r="C1011" t="s">
        <v>3065</v>
      </c>
      <c r="D1011">
        <v>41.540555560000001</v>
      </c>
      <c r="E1011">
        <v>-0.86527777800000005</v>
      </c>
      <c r="F1011" t="s">
        <v>3082</v>
      </c>
      <c r="G1011" t="s">
        <v>3009</v>
      </c>
      <c r="H1011" t="s">
        <v>2955</v>
      </c>
      <c r="I1011" t="s">
        <v>118</v>
      </c>
      <c r="J1011" t="s">
        <v>119</v>
      </c>
      <c r="K1011" t="s">
        <v>203</v>
      </c>
      <c r="L1011" t="s">
        <v>121</v>
      </c>
      <c r="M1011" t="s">
        <v>392</v>
      </c>
      <c r="N1011" s="6" t="s">
        <v>2956</v>
      </c>
      <c r="O1011" t="s">
        <v>2957</v>
      </c>
      <c r="P1011" t="s">
        <v>2928</v>
      </c>
      <c r="Q1011" t="s">
        <v>2990</v>
      </c>
      <c r="R1011" t="s">
        <v>3083</v>
      </c>
      <c r="S1011">
        <v>2010</v>
      </c>
      <c r="T1011" t="s">
        <v>771</v>
      </c>
      <c r="U1011" t="s">
        <v>2875</v>
      </c>
      <c r="V1011">
        <v>95.37</v>
      </c>
      <c r="W1011">
        <v>1100</v>
      </c>
      <c r="X1011">
        <v>74</v>
      </c>
      <c r="Z1011">
        <v>13</v>
      </c>
      <c r="AA1011">
        <v>300</v>
      </c>
      <c r="AB1011">
        <v>130900</v>
      </c>
      <c r="AC1011">
        <v>590</v>
      </c>
      <c r="AD1011">
        <v>3</v>
      </c>
      <c r="AE1011">
        <v>3.1456432999999999E-2</v>
      </c>
      <c r="AF1011">
        <v>200</v>
      </c>
      <c r="AH1011" t="s">
        <v>2259</v>
      </c>
      <c r="AI1011">
        <v>0.3</v>
      </c>
      <c r="AM1011" t="s">
        <v>2960</v>
      </c>
      <c r="AN1011" t="s">
        <v>132</v>
      </c>
      <c r="BN1011">
        <v>95.64</v>
      </c>
      <c r="BO1011">
        <v>112.54</v>
      </c>
      <c r="CE101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11" s="19">
        <f>SUM(Table1[[#This Row],[Mid39]],Table1[[#This Row],[Mid36]],Table1[[#This Row],[Mid33]],Table1[[#This Row],[Mid30]],Table1[[#This Row],[Mid27]],Table1[[#This Row],[Mid24]],Table1[[#This Row],[Mid21]],Table1[[#This Row],[Mid18]],Table1[[#This Row],[Mid15]],Table1[[#This Row],[Mid12]],Table1[[#This Row],[Mid9]],Table1[[#This Row],[Mid6]],Table1[[#This Row],[Mid3]],Table1[[#This Row],[Mid]])</f>
        <v>95.64</v>
      </c>
      <c r="CG10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112.54</v>
      </c>
      <c r="CH1011" t="s">
        <v>157</v>
      </c>
      <c r="CI1011" t="s">
        <v>134</v>
      </c>
      <c r="CJ1011" t="s">
        <v>158</v>
      </c>
      <c r="CL1011" s="19">
        <f>IF(Table1[[#This Row],[Type]]="Petroleum",1,IF(ISERROR(Table1[[#This Row],[Well Density]]*Table1[[#This Row],[Single Well Discovery Area]]),"",IF(Table1[[#This Row],[Well Density]]*Table1[[#This Row],[Single Well Discovery Area]]&gt;1,1,Table1[[#This Row],[Well Density]]*Table1[[#This Row],[Single Well Discovery Area]])))</f>
        <v>1</v>
      </c>
      <c r="CN1011" s="19">
        <f>Table1[[#This Row],[Mid]]</f>
        <v>0</v>
      </c>
      <c r="CO1011" s="19">
        <f>Table1[[#This Row],[Mid3]]+Table1[[#This Row],[Mid6]]+Table1[[#This Row],[Mid9]]</f>
        <v>0</v>
      </c>
      <c r="CP1011" s="19">
        <f>Table1[[#This Row],[Mid12]]+Table1[[#This Row],[Mid15]]+Table1[[#This Row],[Mid18]]+Table1[[#This Row],[Mid21]]+Table1[[#This Row],[Mid24]]</f>
        <v>95.64</v>
      </c>
      <c r="CQ1011" s="19">
        <f>Table1[[#This Row],[Mid27]]+Table1[[#This Row],[Mid30]]+Table1[[#This Row],[Mid33]]+Table1[[#This Row],[Mid36]]+Table1[[#This Row],[Mid39]]</f>
        <v>0</v>
      </c>
      <c r="CR1011" t="s">
        <v>415</v>
      </c>
      <c r="CS1011" s="19" t="str">
        <f>IF(AND(Table1[[#This Row],[Low41]]=0, Table1[[#This Row],[High43]]=0),"N","Y")</f>
        <v>Y</v>
      </c>
    </row>
    <row r="1012" spans="1:97" ht="19.5" customHeight="1" x14ac:dyDescent="0.25">
      <c r="A1012">
        <v>11011</v>
      </c>
      <c r="B1012" t="s">
        <v>2917</v>
      </c>
      <c r="C1012" t="s">
        <v>3065</v>
      </c>
      <c r="D1012">
        <v>41.194444439999998</v>
      </c>
      <c r="E1012">
        <v>6.8333332999999996E-2</v>
      </c>
      <c r="F1012" t="s">
        <v>3084</v>
      </c>
      <c r="G1012" t="s">
        <v>3009</v>
      </c>
      <c r="H1012" t="s">
        <v>2955</v>
      </c>
      <c r="I1012" t="s">
        <v>118</v>
      </c>
      <c r="J1012" t="s">
        <v>119</v>
      </c>
      <c r="K1012" t="s">
        <v>203</v>
      </c>
      <c r="L1012" t="s">
        <v>121</v>
      </c>
      <c r="M1012" t="s">
        <v>392</v>
      </c>
      <c r="N1012" s="6" t="s">
        <v>2956</v>
      </c>
      <c r="O1012" t="s">
        <v>2957</v>
      </c>
      <c r="P1012" t="s">
        <v>2928</v>
      </c>
      <c r="Q1012" t="s">
        <v>2990</v>
      </c>
      <c r="R1012" t="s">
        <v>3085</v>
      </c>
      <c r="S1012">
        <v>2010</v>
      </c>
      <c r="T1012" t="s">
        <v>771</v>
      </c>
      <c r="U1012" t="s">
        <v>2875</v>
      </c>
      <c r="V1012">
        <v>81.8</v>
      </c>
      <c r="W1012">
        <v>700</v>
      </c>
      <c r="X1012">
        <v>218</v>
      </c>
      <c r="Z1012">
        <v>21</v>
      </c>
      <c r="AA1012">
        <v>300</v>
      </c>
      <c r="AC1012">
        <v>350</v>
      </c>
      <c r="AD1012">
        <v>4</v>
      </c>
      <c r="AE1012">
        <v>4.8899756000000003E-2</v>
      </c>
      <c r="AF1012">
        <v>200</v>
      </c>
      <c r="AH1012" t="s">
        <v>2259</v>
      </c>
      <c r="AI1012">
        <v>0.3</v>
      </c>
      <c r="AM1012" t="s">
        <v>2960</v>
      </c>
      <c r="AN1012" t="s">
        <v>132</v>
      </c>
      <c r="BN1012">
        <v>105.98</v>
      </c>
      <c r="BO1012">
        <v>153.62</v>
      </c>
      <c r="CE101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12" s="19">
        <f>SUM(Table1[[#This Row],[Mid39]],Table1[[#This Row],[Mid36]],Table1[[#This Row],[Mid33]],Table1[[#This Row],[Mid30]],Table1[[#This Row],[Mid27]],Table1[[#This Row],[Mid24]],Table1[[#This Row],[Mid21]],Table1[[#This Row],[Mid18]],Table1[[#This Row],[Mid15]],Table1[[#This Row],[Mid12]],Table1[[#This Row],[Mid9]],Table1[[#This Row],[Mid6]],Table1[[#This Row],[Mid3]],Table1[[#This Row],[Mid]])</f>
        <v>105.98</v>
      </c>
      <c r="CG10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153.62</v>
      </c>
      <c r="CH1012" t="s">
        <v>157</v>
      </c>
      <c r="CI1012" t="s">
        <v>134</v>
      </c>
      <c r="CJ1012" t="s">
        <v>158</v>
      </c>
      <c r="CL1012" s="19">
        <f>IF(Table1[[#This Row],[Type]]="Petroleum",1,IF(ISERROR(Table1[[#This Row],[Well Density]]*Table1[[#This Row],[Single Well Discovery Area]]),"",IF(Table1[[#This Row],[Well Density]]*Table1[[#This Row],[Single Well Discovery Area]]&gt;1,1,Table1[[#This Row],[Well Density]]*Table1[[#This Row],[Single Well Discovery Area]])))</f>
        <v>1</v>
      </c>
      <c r="CN1012" s="19">
        <f>Table1[[#This Row],[Mid]]</f>
        <v>0</v>
      </c>
      <c r="CO1012" s="19">
        <f>Table1[[#This Row],[Mid3]]+Table1[[#This Row],[Mid6]]+Table1[[#This Row],[Mid9]]</f>
        <v>0</v>
      </c>
      <c r="CP1012" s="19">
        <f>Table1[[#This Row],[Mid12]]+Table1[[#This Row],[Mid15]]+Table1[[#This Row],[Mid18]]+Table1[[#This Row],[Mid21]]+Table1[[#This Row],[Mid24]]</f>
        <v>105.98</v>
      </c>
      <c r="CQ1012" s="19">
        <f>Table1[[#This Row],[Mid27]]+Table1[[#This Row],[Mid30]]+Table1[[#This Row],[Mid33]]+Table1[[#This Row],[Mid36]]+Table1[[#This Row],[Mid39]]</f>
        <v>0</v>
      </c>
      <c r="CR1012" t="s">
        <v>415</v>
      </c>
      <c r="CS1012" s="19" t="str">
        <f>IF(AND(Table1[[#This Row],[Low41]]=0, Table1[[#This Row],[High43]]=0),"N","Y")</f>
        <v>Y</v>
      </c>
    </row>
    <row r="1013" spans="1:97" ht="19.5" customHeight="1" x14ac:dyDescent="0.25">
      <c r="A1013">
        <v>11012</v>
      </c>
      <c r="B1013" t="s">
        <v>2917</v>
      </c>
      <c r="C1013" t="s">
        <v>3065</v>
      </c>
      <c r="D1013">
        <v>41.109722220000002</v>
      </c>
      <c r="E1013">
        <v>1.0988888889999999</v>
      </c>
      <c r="F1013" t="s">
        <v>3086</v>
      </c>
      <c r="G1013" t="s">
        <v>2939</v>
      </c>
      <c r="H1013" t="s">
        <v>3087</v>
      </c>
      <c r="I1013" t="s">
        <v>118</v>
      </c>
      <c r="J1013" t="s">
        <v>119</v>
      </c>
      <c r="K1013" t="s">
        <v>203</v>
      </c>
      <c r="L1013" t="s">
        <v>121</v>
      </c>
      <c r="M1013" t="s">
        <v>139</v>
      </c>
      <c r="N1013" s="6" t="s">
        <v>2956</v>
      </c>
      <c r="O1013" t="s">
        <v>2957</v>
      </c>
      <c r="P1013" t="s">
        <v>2928</v>
      </c>
      <c r="Q1013" t="s">
        <v>2990</v>
      </c>
      <c r="R1013" t="s">
        <v>3088</v>
      </c>
      <c r="S1013">
        <v>2010</v>
      </c>
      <c r="T1013" t="s">
        <v>771</v>
      </c>
      <c r="U1013" t="s">
        <v>2875</v>
      </c>
      <c r="V1013">
        <v>34.22</v>
      </c>
      <c r="W1013">
        <v>1402</v>
      </c>
      <c r="X1013">
        <v>144</v>
      </c>
      <c r="Z1013">
        <v>15</v>
      </c>
      <c r="AA1013">
        <v>1300</v>
      </c>
      <c r="AB1013">
        <v>310000</v>
      </c>
      <c r="AC1013">
        <v>750</v>
      </c>
      <c r="AD1013">
        <v>1</v>
      </c>
      <c r="AE1013">
        <v>2.9222676999999999E-2</v>
      </c>
      <c r="AF1013">
        <v>20</v>
      </c>
      <c r="AH1013" t="s">
        <v>2259</v>
      </c>
      <c r="AI1013">
        <v>0.3</v>
      </c>
      <c r="AM1013" t="s">
        <v>2960</v>
      </c>
      <c r="AN1013" t="s">
        <v>132</v>
      </c>
      <c r="BN1013">
        <v>21.32</v>
      </c>
      <c r="BO1013">
        <v>82.99</v>
      </c>
      <c r="CE101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13" s="19">
        <f>SUM(Table1[[#This Row],[Mid39]],Table1[[#This Row],[Mid36]],Table1[[#This Row],[Mid33]],Table1[[#This Row],[Mid30]],Table1[[#This Row],[Mid27]],Table1[[#This Row],[Mid24]],Table1[[#This Row],[Mid21]],Table1[[#This Row],[Mid18]],Table1[[#This Row],[Mid15]],Table1[[#This Row],[Mid12]],Table1[[#This Row],[Mid9]],Table1[[#This Row],[Mid6]],Table1[[#This Row],[Mid3]],Table1[[#This Row],[Mid]])</f>
        <v>21.32</v>
      </c>
      <c r="CG10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82.99</v>
      </c>
      <c r="CH1013" t="s">
        <v>157</v>
      </c>
      <c r="CI1013" t="s">
        <v>176</v>
      </c>
      <c r="CJ1013" t="s">
        <v>158</v>
      </c>
      <c r="CL1013" s="19">
        <f>IF(Table1[[#This Row],[Type]]="Petroleum",1,IF(ISERROR(Table1[[#This Row],[Well Density]]*Table1[[#This Row],[Single Well Discovery Area]]),"",IF(Table1[[#This Row],[Well Density]]*Table1[[#This Row],[Single Well Discovery Area]]&gt;1,1,Table1[[#This Row],[Well Density]]*Table1[[#This Row],[Single Well Discovery Area]])))</f>
        <v>0.58445353999999994</v>
      </c>
      <c r="CN1013" s="19">
        <f>Table1[[#This Row],[Mid]]</f>
        <v>0</v>
      </c>
      <c r="CO1013" s="19">
        <f>Table1[[#This Row],[Mid3]]+Table1[[#This Row],[Mid6]]+Table1[[#This Row],[Mid9]]</f>
        <v>0</v>
      </c>
      <c r="CP1013" s="19">
        <f>Table1[[#This Row],[Mid12]]+Table1[[#This Row],[Mid15]]+Table1[[#This Row],[Mid18]]+Table1[[#This Row],[Mid21]]+Table1[[#This Row],[Mid24]]</f>
        <v>21.32</v>
      </c>
      <c r="CQ1013" s="19">
        <f>Table1[[#This Row],[Mid27]]+Table1[[#This Row],[Mid30]]+Table1[[#This Row],[Mid33]]+Table1[[#This Row],[Mid36]]+Table1[[#This Row],[Mid39]]</f>
        <v>0</v>
      </c>
      <c r="CR1013" t="s">
        <v>415</v>
      </c>
      <c r="CS1013" s="19" t="str">
        <f>IF(AND(Table1[[#This Row],[Low41]]=0, Table1[[#This Row],[High43]]=0),"N","Y")</f>
        <v>Y</v>
      </c>
    </row>
    <row r="1014" spans="1:97" ht="19.5" customHeight="1" x14ac:dyDescent="0.25">
      <c r="A1014">
        <v>11013</v>
      </c>
      <c r="B1014" t="s">
        <v>2917</v>
      </c>
      <c r="C1014" t="s">
        <v>3065</v>
      </c>
      <c r="D1014">
        <v>42.291944440000002</v>
      </c>
      <c r="E1014">
        <v>0.391944444</v>
      </c>
      <c r="F1014" t="s">
        <v>3089</v>
      </c>
      <c r="G1014" t="s">
        <v>3009</v>
      </c>
      <c r="H1014" t="s">
        <v>3090</v>
      </c>
      <c r="I1014" t="s">
        <v>118</v>
      </c>
      <c r="J1014" t="s">
        <v>119</v>
      </c>
      <c r="K1014" t="s">
        <v>203</v>
      </c>
      <c r="L1014" t="s">
        <v>121</v>
      </c>
      <c r="M1014" t="s">
        <v>122</v>
      </c>
      <c r="N1014" s="6" t="s">
        <v>2956</v>
      </c>
      <c r="O1014" t="s">
        <v>3091</v>
      </c>
      <c r="P1014" t="s">
        <v>2928</v>
      </c>
      <c r="Q1014" t="s">
        <v>2990</v>
      </c>
      <c r="R1014" t="s">
        <v>3092</v>
      </c>
      <c r="S1014">
        <v>2010</v>
      </c>
      <c r="T1014" t="s">
        <v>771</v>
      </c>
      <c r="U1014" t="s">
        <v>2875</v>
      </c>
      <c r="V1014">
        <v>5.56</v>
      </c>
      <c r="W1014">
        <v>1450</v>
      </c>
      <c r="X1014">
        <v>450</v>
      </c>
      <c r="Z1014">
        <v>5</v>
      </c>
      <c r="AA1014">
        <v>300</v>
      </c>
      <c r="AB1014">
        <v>25000</v>
      </c>
      <c r="AC1014">
        <v>730</v>
      </c>
      <c r="AD1014">
        <v>5</v>
      </c>
      <c r="AE1014">
        <v>0.899280576</v>
      </c>
      <c r="AF1014">
        <v>200</v>
      </c>
      <c r="AH1014" t="s">
        <v>2259</v>
      </c>
      <c r="AI1014">
        <v>0.3</v>
      </c>
      <c r="AM1014" t="s">
        <v>2960</v>
      </c>
      <c r="AN1014" t="s">
        <v>132</v>
      </c>
      <c r="BM1014">
        <v>2.14</v>
      </c>
      <c r="BN1014">
        <v>10.84</v>
      </c>
      <c r="CE1014" s="19">
        <f>SUM(Table1[[#This Row],[Low38]],Table1[[#This Row],[Low35]],Table1[[#This Row],[Low32]],Table1[[#This Row],[Low29]],Table1[[#This Row],[Low26]],Table1[[#This Row],[Low23]],Table1[[#This Row],[Low20]],Table1[[#This Row],[Low17]],Table1[[#This Row],[Low14]],Table1[[#This Row],[Low11]],Table1[[#This Row],[Low8]],Table1[[#This Row],[Low5]],Table1[[#This Row],[Low2]],Table1[[#This Row],[Low]])</f>
        <v>2.14</v>
      </c>
      <c r="CF1014" s="19">
        <f>SUM(Table1[[#This Row],[Mid39]],Table1[[#This Row],[Mid36]],Table1[[#This Row],[Mid33]],Table1[[#This Row],[Mid30]],Table1[[#This Row],[Mid27]],Table1[[#This Row],[Mid24]],Table1[[#This Row],[Mid21]],Table1[[#This Row],[Mid18]],Table1[[#This Row],[Mid15]],Table1[[#This Row],[Mid12]],Table1[[#This Row],[Mid9]],Table1[[#This Row],[Mid6]],Table1[[#This Row],[Mid3]],Table1[[#This Row],[Mid]])</f>
        <v>10.84</v>
      </c>
      <c r="CG10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14" t="s">
        <v>157</v>
      </c>
      <c r="CI1014" t="s">
        <v>2996</v>
      </c>
      <c r="CJ1014" t="s">
        <v>158</v>
      </c>
      <c r="CL1014" s="19">
        <f>IF(Table1[[#This Row],[Type]]="Petroleum",1,IF(ISERROR(Table1[[#This Row],[Well Density]]*Table1[[#This Row],[Single Well Discovery Area]]),"",IF(Table1[[#This Row],[Well Density]]*Table1[[#This Row],[Single Well Discovery Area]]&gt;1,1,Table1[[#This Row],[Well Density]]*Table1[[#This Row],[Single Well Discovery Area]])))</f>
        <v>1</v>
      </c>
      <c r="CN1014" s="19">
        <f>Table1[[#This Row],[Mid]]</f>
        <v>0</v>
      </c>
      <c r="CO1014" s="19">
        <f>Table1[[#This Row],[Mid3]]+Table1[[#This Row],[Mid6]]+Table1[[#This Row],[Mid9]]</f>
        <v>0</v>
      </c>
      <c r="CP1014" s="19">
        <f>Table1[[#This Row],[Mid12]]+Table1[[#This Row],[Mid15]]+Table1[[#This Row],[Mid18]]+Table1[[#This Row],[Mid21]]+Table1[[#This Row],[Mid24]]</f>
        <v>10.84</v>
      </c>
      <c r="CQ1014" s="19">
        <f>Table1[[#This Row],[Mid27]]+Table1[[#This Row],[Mid30]]+Table1[[#This Row],[Mid33]]+Table1[[#This Row],[Mid36]]+Table1[[#This Row],[Mid39]]</f>
        <v>0</v>
      </c>
      <c r="CR1014" t="s">
        <v>415</v>
      </c>
      <c r="CS1014" s="19" t="str">
        <f>IF(AND(Table1[[#This Row],[Low41]]=0, Table1[[#This Row],[High43]]=0),"N","Y")</f>
        <v>Y</v>
      </c>
    </row>
    <row r="1015" spans="1:97" ht="19.5" customHeight="1" x14ac:dyDescent="0.25">
      <c r="A1015">
        <v>11014</v>
      </c>
      <c r="B1015" t="s">
        <v>3093</v>
      </c>
      <c r="C1015" t="s">
        <v>3094</v>
      </c>
      <c r="D1015">
        <v>48.582599999999999</v>
      </c>
      <c r="E1015">
        <v>2.9662999999999999</v>
      </c>
      <c r="F1015" t="s">
        <v>3095</v>
      </c>
      <c r="G1015" t="s">
        <v>3096</v>
      </c>
      <c r="H1015" t="s">
        <v>3057</v>
      </c>
      <c r="I1015" t="s">
        <v>3097</v>
      </c>
      <c r="J1015" t="s">
        <v>119</v>
      </c>
      <c r="K1015" t="s">
        <v>167</v>
      </c>
      <c r="L1015" t="s">
        <v>18</v>
      </c>
      <c r="M1015" t="s">
        <v>139</v>
      </c>
      <c r="N1015" s="6" t="s">
        <v>3098</v>
      </c>
      <c r="O1015" t="s">
        <v>2652</v>
      </c>
      <c r="P1015" t="s">
        <v>2928</v>
      </c>
      <c r="Q1015" t="s">
        <v>3099</v>
      </c>
      <c r="R1015" t="s">
        <v>3100</v>
      </c>
      <c r="S1015">
        <v>2021</v>
      </c>
      <c r="T1015" t="s">
        <v>771</v>
      </c>
      <c r="U1015" t="s">
        <v>1479</v>
      </c>
      <c r="V1015">
        <v>15000</v>
      </c>
      <c r="X1015">
        <v>100</v>
      </c>
      <c r="Z1015">
        <v>10</v>
      </c>
      <c r="AC1015">
        <v>480</v>
      </c>
      <c r="AE1015">
        <v>0</v>
      </c>
      <c r="AG1015">
        <v>0</v>
      </c>
      <c r="AH1015" t="s">
        <v>2259</v>
      </c>
      <c r="AI1015">
        <v>6</v>
      </c>
      <c r="AM1015" t="s">
        <v>3101</v>
      </c>
      <c r="AN1015" t="s">
        <v>132</v>
      </c>
      <c r="BW1015">
        <v>165</v>
      </c>
      <c r="BY1015">
        <v>1440</v>
      </c>
      <c r="BZ1015">
        <v>4155</v>
      </c>
      <c r="CE1015" s="19">
        <f>SUM(Table1[[#This Row],[Low38]],Table1[[#This Row],[Low35]],Table1[[#This Row],[Low32]],Table1[[#This Row],[Low29]],Table1[[#This Row],[Low26]],Table1[[#This Row],[Low23]],Table1[[#This Row],[Low20]],Table1[[#This Row],[Low17]],Table1[[#This Row],[Low14]],Table1[[#This Row],[Low11]],Table1[[#This Row],[Low8]],Table1[[#This Row],[Low5]],Table1[[#This Row],[Low2]],Table1[[#This Row],[Low]])</f>
        <v>1440</v>
      </c>
      <c r="CF1015" s="19">
        <f>SUM(Table1[[#This Row],[Mid39]],Table1[[#This Row],[Mid36]],Table1[[#This Row],[Mid33]],Table1[[#This Row],[Mid30]],Table1[[#This Row],[Mid27]],Table1[[#This Row],[Mid24]],Table1[[#This Row],[Mid21]],Table1[[#This Row],[Mid18]],Table1[[#This Row],[Mid15]],Table1[[#This Row],[Mid12]],Table1[[#This Row],[Mid9]],Table1[[#This Row],[Mid6]],Table1[[#This Row],[Mid3]],Table1[[#This Row],[Mid]])</f>
        <v>4320</v>
      </c>
      <c r="CG10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15" t="s">
        <v>157</v>
      </c>
      <c r="CI1015" t="s">
        <v>176</v>
      </c>
      <c r="CJ1015" t="s">
        <v>158</v>
      </c>
      <c r="CL1015" s="19">
        <f>IF(Table1[[#This Row],[Type]]="Petroleum",1,IF(ISERROR(Table1[[#This Row],[Well Density]]*Table1[[#This Row],[Single Well Discovery Area]]),"",IF(Table1[[#This Row],[Well Density]]*Table1[[#This Row],[Single Well Discovery Area]]&gt;1,1,Table1[[#This Row],[Well Density]]*Table1[[#This Row],[Single Well Discovery Area]])))</f>
        <v>0</v>
      </c>
      <c r="CN1015" s="19">
        <f>Table1[[#This Row],[Mid]]</f>
        <v>0</v>
      </c>
      <c r="CO1015" s="19">
        <f>Table1[[#This Row],[Mid3]]+Table1[[#This Row],[Mid6]]+Table1[[#This Row],[Mid9]]</f>
        <v>0</v>
      </c>
      <c r="CP1015" s="19">
        <f>Table1[[#This Row],[Mid12]]+Table1[[#This Row],[Mid15]]+Table1[[#This Row],[Mid18]]+Table1[[#This Row],[Mid21]]+Table1[[#This Row],[Mid24]]</f>
        <v>0</v>
      </c>
      <c r="CQ1015" s="19">
        <f>Table1[[#This Row],[Mid27]]+Table1[[#This Row],[Mid30]]+Table1[[#This Row],[Mid33]]+Table1[[#This Row],[Mid36]]+Table1[[#This Row],[Mid39]]</f>
        <v>4320</v>
      </c>
      <c r="CR1015" t="s">
        <v>415</v>
      </c>
      <c r="CS1015" s="19" t="str">
        <f>IF(AND(Table1[[#This Row],[Low41]]=0, Table1[[#This Row],[High43]]=0),"N","Y")</f>
        <v>Y</v>
      </c>
    </row>
    <row r="1016" spans="1:97" ht="19.5" customHeight="1" x14ac:dyDescent="0.25">
      <c r="A1016">
        <v>11015</v>
      </c>
      <c r="B1016" t="s">
        <v>3093</v>
      </c>
      <c r="C1016" t="s">
        <v>3094</v>
      </c>
      <c r="D1016">
        <v>48.203299999999999</v>
      </c>
      <c r="E1016">
        <v>2.6385000000000001</v>
      </c>
      <c r="F1016" t="s">
        <v>3102</v>
      </c>
      <c r="G1016" t="s">
        <v>3096</v>
      </c>
      <c r="H1016" t="s">
        <v>3103</v>
      </c>
      <c r="I1016" t="s">
        <v>3097</v>
      </c>
      <c r="J1016" t="s">
        <v>119</v>
      </c>
      <c r="K1016" t="s">
        <v>167</v>
      </c>
      <c r="L1016" t="s">
        <v>18</v>
      </c>
      <c r="M1016" t="s">
        <v>392</v>
      </c>
      <c r="N1016" s="6" t="s">
        <v>3104</v>
      </c>
      <c r="O1016" t="s">
        <v>2652</v>
      </c>
      <c r="P1016" t="s">
        <v>2928</v>
      </c>
      <c r="Q1016" t="s">
        <v>3105</v>
      </c>
      <c r="R1016" t="s">
        <v>3106</v>
      </c>
      <c r="S1016">
        <v>2016</v>
      </c>
      <c r="T1016" t="s">
        <v>771</v>
      </c>
      <c r="U1016" t="s">
        <v>1479</v>
      </c>
      <c r="V1016">
        <v>3000</v>
      </c>
      <c r="X1016">
        <v>25</v>
      </c>
      <c r="Z1016">
        <v>15</v>
      </c>
      <c r="AC1016">
        <v>480</v>
      </c>
      <c r="AE1016">
        <v>0</v>
      </c>
      <c r="AG1016">
        <v>0</v>
      </c>
      <c r="AH1016" t="s">
        <v>1612</v>
      </c>
      <c r="AI1016">
        <v>1.8</v>
      </c>
      <c r="AM1016" t="s">
        <v>3107</v>
      </c>
      <c r="AN1016" t="s">
        <v>132</v>
      </c>
      <c r="BV1016">
        <v>40</v>
      </c>
      <c r="BW1016">
        <v>140</v>
      </c>
      <c r="CE1016" s="19">
        <f>SUM(Table1[[#This Row],[Low38]],Table1[[#This Row],[Low35]],Table1[[#This Row],[Low32]],Table1[[#This Row],[Low29]],Table1[[#This Row],[Low26]],Table1[[#This Row],[Low23]],Table1[[#This Row],[Low20]],Table1[[#This Row],[Low17]],Table1[[#This Row],[Low14]],Table1[[#This Row],[Low11]],Table1[[#This Row],[Low8]],Table1[[#This Row],[Low5]],Table1[[#This Row],[Low2]],Table1[[#This Row],[Low]])</f>
        <v>40</v>
      </c>
      <c r="CF1016" s="19">
        <f>SUM(Table1[[#This Row],[Mid39]],Table1[[#This Row],[Mid36]],Table1[[#This Row],[Mid33]],Table1[[#This Row],[Mid30]],Table1[[#This Row],[Mid27]],Table1[[#This Row],[Mid24]],Table1[[#This Row],[Mid21]],Table1[[#This Row],[Mid18]],Table1[[#This Row],[Mid15]],Table1[[#This Row],[Mid12]],Table1[[#This Row],[Mid9]],Table1[[#This Row],[Mid6]],Table1[[#This Row],[Mid3]],Table1[[#This Row],[Mid]])</f>
        <v>140</v>
      </c>
      <c r="CG10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16" t="s">
        <v>157</v>
      </c>
      <c r="CI1016" t="s">
        <v>134</v>
      </c>
      <c r="CJ1016" t="s">
        <v>158</v>
      </c>
      <c r="CL1016" s="19">
        <f>IF(Table1[[#This Row],[Type]]="Petroleum",1,IF(ISERROR(Table1[[#This Row],[Well Density]]*Table1[[#This Row],[Single Well Discovery Area]]),"",IF(Table1[[#This Row],[Well Density]]*Table1[[#This Row],[Single Well Discovery Area]]&gt;1,1,Table1[[#This Row],[Well Density]]*Table1[[#This Row],[Single Well Discovery Area]])))</f>
        <v>0</v>
      </c>
      <c r="CN1016" s="19">
        <f>Table1[[#This Row],[Mid]]</f>
        <v>0</v>
      </c>
      <c r="CO1016" s="19">
        <f>Table1[[#This Row],[Mid3]]+Table1[[#This Row],[Mid6]]+Table1[[#This Row],[Mid9]]</f>
        <v>0</v>
      </c>
      <c r="CP1016" s="19">
        <f>Table1[[#This Row],[Mid12]]+Table1[[#This Row],[Mid15]]+Table1[[#This Row],[Mid18]]+Table1[[#This Row],[Mid21]]+Table1[[#This Row],[Mid24]]</f>
        <v>0</v>
      </c>
      <c r="CQ1016" s="19">
        <f>Table1[[#This Row],[Mid27]]+Table1[[#This Row],[Mid30]]+Table1[[#This Row],[Mid33]]+Table1[[#This Row],[Mid36]]+Table1[[#This Row],[Mid39]]</f>
        <v>140</v>
      </c>
      <c r="CR1016" t="s">
        <v>415</v>
      </c>
      <c r="CS1016" s="19" t="str">
        <f>IF(AND(Table1[[#This Row],[Low41]]=0, Table1[[#This Row],[High43]]=0),"N","Y")</f>
        <v>Y</v>
      </c>
    </row>
    <row r="1017" spans="1:97" ht="19.5" customHeight="1" x14ac:dyDescent="0.25">
      <c r="A1017">
        <v>11016</v>
      </c>
      <c r="B1017" t="s">
        <v>3093</v>
      </c>
      <c r="C1017" t="s">
        <v>3094</v>
      </c>
      <c r="D1017">
        <v>49.32</v>
      </c>
      <c r="E1017">
        <v>2.948</v>
      </c>
      <c r="F1017" t="s">
        <v>3108</v>
      </c>
      <c r="G1017" t="s">
        <v>3096</v>
      </c>
      <c r="H1017" t="s">
        <v>3103</v>
      </c>
      <c r="I1017" t="s">
        <v>3097</v>
      </c>
      <c r="J1017" t="s">
        <v>119</v>
      </c>
      <c r="K1017" t="s">
        <v>167</v>
      </c>
      <c r="L1017" t="s">
        <v>18</v>
      </c>
      <c r="M1017" t="s">
        <v>392</v>
      </c>
      <c r="N1017" s="6" t="s">
        <v>3104</v>
      </c>
      <c r="O1017" t="s">
        <v>2652</v>
      </c>
      <c r="P1017" t="s">
        <v>2928</v>
      </c>
      <c r="Q1017" t="s">
        <v>3105</v>
      </c>
      <c r="R1017" t="s">
        <v>3109</v>
      </c>
      <c r="S1017">
        <v>2016</v>
      </c>
      <c r="T1017" t="s">
        <v>771</v>
      </c>
      <c r="U1017" t="s">
        <v>1479</v>
      </c>
      <c r="V1017">
        <v>3000</v>
      </c>
      <c r="X1017">
        <v>25</v>
      </c>
      <c r="Z1017">
        <v>15</v>
      </c>
      <c r="AC1017">
        <v>480</v>
      </c>
      <c r="AH1017" t="s">
        <v>1612</v>
      </c>
      <c r="AI1017">
        <v>1.8</v>
      </c>
      <c r="AM1017" t="s">
        <v>3107</v>
      </c>
      <c r="AN1017" t="s">
        <v>132</v>
      </c>
      <c r="BW1017">
        <v>40</v>
      </c>
      <c r="CE101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17" s="19">
        <f>SUM(Table1[[#This Row],[Mid39]],Table1[[#This Row],[Mid36]],Table1[[#This Row],[Mid33]],Table1[[#This Row],[Mid30]],Table1[[#This Row],[Mid27]],Table1[[#This Row],[Mid24]],Table1[[#This Row],[Mid21]],Table1[[#This Row],[Mid18]],Table1[[#This Row],[Mid15]],Table1[[#This Row],[Mid12]],Table1[[#This Row],[Mid9]],Table1[[#This Row],[Mid6]],Table1[[#This Row],[Mid3]],Table1[[#This Row],[Mid]])</f>
        <v>40</v>
      </c>
      <c r="CG10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017" t="s">
        <v>134</v>
      </c>
      <c r="CJ1017" t="s">
        <v>158</v>
      </c>
      <c r="CL1017" s="19">
        <f>IF(Table1[[#This Row],[Type]]="Petroleum",1,IF(ISERROR(Table1[[#This Row],[Well Density]]*Table1[[#This Row],[Single Well Discovery Area]]),"",IF(Table1[[#This Row],[Well Density]]*Table1[[#This Row],[Single Well Discovery Area]]&gt;1,1,Table1[[#This Row],[Well Density]]*Table1[[#This Row],[Single Well Discovery Area]])))</f>
        <v>0</v>
      </c>
      <c r="CN1017" s="19">
        <f>Table1[[#This Row],[Mid]]</f>
        <v>0</v>
      </c>
      <c r="CO1017" s="19">
        <f>Table1[[#This Row],[Mid3]]+Table1[[#This Row],[Mid6]]+Table1[[#This Row],[Mid9]]</f>
        <v>0</v>
      </c>
      <c r="CP1017" s="19">
        <f>Table1[[#This Row],[Mid12]]+Table1[[#This Row],[Mid15]]+Table1[[#This Row],[Mid18]]+Table1[[#This Row],[Mid21]]+Table1[[#This Row],[Mid24]]</f>
        <v>0</v>
      </c>
      <c r="CQ1017" s="19">
        <f>Table1[[#This Row],[Mid27]]+Table1[[#This Row],[Mid30]]+Table1[[#This Row],[Mid33]]+Table1[[#This Row],[Mid36]]+Table1[[#This Row],[Mid39]]</f>
        <v>40</v>
      </c>
      <c r="CR1017" t="s">
        <v>415</v>
      </c>
      <c r="CS1017" s="19" t="str">
        <f>IF(AND(Table1[[#This Row],[Low41]]=0, Table1[[#This Row],[High43]]=0),"N","Y")</f>
        <v>N</v>
      </c>
    </row>
    <row r="1018" spans="1:97" ht="19.5" customHeight="1" x14ac:dyDescent="0.25">
      <c r="A1018">
        <v>11017</v>
      </c>
      <c r="B1018" t="s">
        <v>3093</v>
      </c>
      <c r="C1018" t="s">
        <v>3094</v>
      </c>
      <c r="D1018">
        <v>48.69</v>
      </c>
      <c r="E1018">
        <v>5.3021000000000003</v>
      </c>
      <c r="F1018" t="s">
        <v>2860</v>
      </c>
      <c r="G1018" t="s">
        <v>3096</v>
      </c>
      <c r="H1018" t="s">
        <v>2860</v>
      </c>
      <c r="I1018" t="s">
        <v>3097</v>
      </c>
      <c r="J1018" t="s">
        <v>119</v>
      </c>
      <c r="K1018" t="s">
        <v>167</v>
      </c>
      <c r="L1018" t="s">
        <v>18</v>
      </c>
      <c r="M1018" t="s">
        <v>392</v>
      </c>
      <c r="N1018" s="6" t="s">
        <v>3104</v>
      </c>
      <c r="O1018" t="s">
        <v>2652</v>
      </c>
      <c r="P1018" t="s">
        <v>2928</v>
      </c>
      <c r="Q1018" t="s">
        <v>3110</v>
      </c>
      <c r="R1018" t="s">
        <v>3111</v>
      </c>
      <c r="S1018">
        <v>2021</v>
      </c>
      <c r="T1018" t="s">
        <v>771</v>
      </c>
      <c r="U1018" t="s">
        <v>1479</v>
      </c>
      <c r="V1018">
        <v>3000</v>
      </c>
      <c r="AC1018">
        <v>480</v>
      </c>
      <c r="AE1018">
        <v>0</v>
      </c>
      <c r="AG1018">
        <v>75</v>
      </c>
      <c r="AH1018" t="s">
        <v>1612</v>
      </c>
      <c r="AI1018">
        <v>1.8</v>
      </c>
      <c r="AM1018" t="s">
        <v>3107</v>
      </c>
      <c r="AN1018" t="s">
        <v>132</v>
      </c>
      <c r="BW1018">
        <v>90</v>
      </c>
      <c r="CE101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18" s="19">
        <f>SUM(Table1[[#This Row],[Mid39]],Table1[[#This Row],[Mid36]],Table1[[#This Row],[Mid33]],Table1[[#This Row],[Mid30]],Table1[[#This Row],[Mid27]],Table1[[#This Row],[Mid24]],Table1[[#This Row],[Mid21]],Table1[[#This Row],[Mid18]],Table1[[#This Row],[Mid15]],Table1[[#This Row],[Mid12]],Table1[[#This Row],[Mid9]],Table1[[#This Row],[Mid6]],Table1[[#This Row],[Mid3]],Table1[[#This Row],[Mid]])</f>
        <v>90</v>
      </c>
      <c r="CG101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18" t="s">
        <v>157</v>
      </c>
      <c r="CI1018" t="s">
        <v>134</v>
      </c>
      <c r="CJ1018" t="s">
        <v>158</v>
      </c>
      <c r="CL1018" s="19">
        <f>IF(Table1[[#This Row],[Type]]="Petroleum",1,IF(ISERROR(Table1[[#This Row],[Well Density]]*Table1[[#This Row],[Single Well Discovery Area]]),"",IF(Table1[[#This Row],[Well Density]]*Table1[[#This Row],[Single Well Discovery Area]]&gt;1,1,Table1[[#This Row],[Well Density]]*Table1[[#This Row],[Single Well Discovery Area]])))</f>
        <v>0</v>
      </c>
      <c r="CN1018" s="19">
        <f>Table1[[#This Row],[Mid]]</f>
        <v>0</v>
      </c>
      <c r="CO1018" s="19">
        <f>Table1[[#This Row],[Mid3]]+Table1[[#This Row],[Mid6]]+Table1[[#This Row],[Mid9]]</f>
        <v>0</v>
      </c>
      <c r="CP1018" s="19">
        <f>Table1[[#This Row],[Mid12]]+Table1[[#This Row],[Mid15]]+Table1[[#This Row],[Mid18]]+Table1[[#This Row],[Mid21]]+Table1[[#This Row],[Mid24]]</f>
        <v>0</v>
      </c>
      <c r="CQ1018" s="19">
        <f>Table1[[#This Row],[Mid27]]+Table1[[#This Row],[Mid30]]+Table1[[#This Row],[Mid33]]+Table1[[#This Row],[Mid36]]+Table1[[#This Row],[Mid39]]</f>
        <v>90</v>
      </c>
      <c r="CR1018" t="s">
        <v>415</v>
      </c>
      <c r="CS1018" s="19" t="str">
        <f>IF(AND(Table1[[#This Row],[Low41]]=0, Table1[[#This Row],[High43]]=0),"N","Y")</f>
        <v>N</v>
      </c>
    </row>
    <row r="1019" spans="1:97" ht="19.5" customHeight="1" x14ac:dyDescent="0.25">
      <c r="A1019">
        <v>11018</v>
      </c>
      <c r="B1019" t="s">
        <v>3093</v>
      </c>
      <c r="C1019" t="s">
        <v>3094</v>
      </c>
      <c r="D1019">
        <v>48.975000000000001</v>
      </c>
      <c r="E1019">
        <v>2.9680555559999999</v>
      </c>
      <c r="F1019" t="s">
        <v>3112</v>
      </c>
      <c r="G1019" t="s">
        <v>3096</v>
      </c>
      <c r="H1019" t="s">
        <v>3113</v>
      </c>
      <c r="I1019" t="s">
        <v>3097</v>
      </c>
      <c r="J1019" t="s">
        <v>119</v>
      </c>
      <c r="K1019" t="s">
        <v>167</v>
      </c>
      <c r="L1019" t="s">
        <v>18</v>
      </c>
      <c r="M1019" t="s">
        <v>252</v>
      </c>
      <c r="N1019" s="6" t="s">
        <v>3098</v>
      </c>
      <c r="O1019" t="s">
        <v>2652</v>
      </c>
      <c r="P1019" t="s">
        <v>2928</v>
      </c>
      <c r="Q1019" t="s">
        <v>3114</v>
      </c>
      <c r="R1019" t="s">
        <v>3115</v>
      </c>
      <c r="S1019">
        <v>2021</v>
      </c>
      <c r="T1019" t="s">
        <v>771</v>
      </c>
      <c r="U1019" t="s">
        <v>2875</v>
      </c>
      <c r="V1019"/>
      <c r="AC1019">
        <v>480</v>
      </c>
      <c r="AH1019" t="s">
        <v>2259</v>
      </c>
      <c r="AI1019">
        <v>6</v>
      </c>
      <c r="AM1019" t="s">
        <v>3116</v>
      </c>
      <c r="AN1019" t="s">
        <v>132</v>
      </c>
      <c r="BY1019">
        <v>530</v>
      </c>
      <c r="BZ1019">
        <v>845</v>
      </c>
      <c r="CE1019" s="19">
        <f>SUM(Table1[[#This Row],[Low38]],Table1[[#This Row],[Low35]],Table1[[#This Row],[Low32]],Table1[[#This Row],[Low29]],Table1[[#This Row],[Low26]],Table1[[#This Row],[Low23]],Table1[[#This Row],[Low20]],Table1[[#This Row],[Low17]],Table1[[#This Row],[Low14]],Table1[[#This Row],[Low11]],Table1[[#This Row],[Low8]],Table1[[#This Row],[Low5]],Table1[[#This Row],[Low2]],Table1[[#This Row],[Low]])</f>
        <v>530</v>
      </c>
      <c r="CF1019" s="19">
        <f>SUM(Table1[[#This Row],[Mid39]],Table1[[#This Row],[Mid36]],Table1[[#This Row],[Mid33]],Table1[[#This Row],[Mid30]],Table1[[#This Row],[Mid27]],Table1[[#This Row],[Mid24]],Table1[[#This Row],[Mid21]],Table1[[#This Row],[Mid18]],Table1[[#This Row],[Mid15]],Table1[[#This Row],[Mid12]],Table1[[#This Row],[Mid9]],Table1[[#This Row],[Mid6]],Table1[[#This Row],[Mid3]],Table1[[#This Row],[Mid]])</f>
        <v>845</v>
      </c>
      <c r="CG10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19" t="s">
        <v>157</v>
      </c>
      <c r="CI1019" t="s">
        <v>134</v>
      </c>
      <c r="CJ1019" t="s">
        <v>158</v>
      </c>
      <c r="CL1019" s="19">
        <f>IF(Table1[[#This Row],[Type]]="Petroleum",1,IF(ISERROR(Table1[[#This Row],[Well Density]]*Table1[[#This Row],[Single Well Discovery Area]]),"",IF(Table1[[#This Row],[Well Density]]*Table1[[#This Row],[Single Well Discovery Area]]&gt;1,1,Table1[[#This Row],[Well Density]]*Table1[[#This Row],[Single Well Discovery Area]])))</f>
        <v>0</v>
      </c>
      <c r="CN1019" s="19">
        <f>Table1[[#This Row],[Mid]]</f>
        <v>0</v>
      </c>
      <c r="CO1019" s="19">
        <f>Table1[[#This Row],[Mid3]]+Table1[[#This Row],[Mid6]]+Table1[[#This Row],[Mid9]]</f>
        <v>0</v>
      </c>
      <c r="CP1019" s="19">
        <f>Table1[[#This Row],[Mid12]]+Table1[[#This Row],[Mid15]]+Table1[[#This Row],[Mid18]]+Table1[[#This Row],[Mid21]]+Table1[[#This Row],[Mid24]]</f>
        <v>0</v>
      </c>
      <c r="CQ1019" s="19">
        <f>Table1[[#This Row],[Mid27]]+Table1[[#This Row],[Mid30]]+Table1[[#This Row],[Mid33]]+Table1[[#This Row],[Mid36]]+Table1[[#This Row],[Mid39]]</f>
        <v>845</v>
      </c>
      <c r="CR1019" t="s">
        <v>415</v>
      </c>
      <c r="CS1019" s="19" t="str">
        <f>IF(AND(Table1[[#This Row],[Low41]]=0, Table1[[#This Row],[High43]]=0),"N","Y")</f>
        <v>Y</v>
      </c>
    </row>
    <row r="1020" spans="1:97" ht="19.5" customHeight="1" x14ac:dyDescent="0.25">
      <c r="A1020">
        <v>11019</v>
      </c>
      <c r="B1020" t="s">
        <v>3093</v>
      </c>
      <c r="C1020" t="s">
        <v>3094</v>
      </c>
      <c r="D1020">
        <v>48.916111110000003</v>
      </c>
      <c r="E1020">
        <v>2.9636111110000001</v>
      </c>
      <c r="F1020" t="s">
        <v>3117</v>
      </c>
      <c r="G1020" t="s">
        <v>3096</v>
      </c>
      <c r="H1020" t="s">
        <v>3057</v>
      </c>
      <c r="I1020" t="s">
        <v>1648</v>
      </c>
      <c r="J1020" t="s">
        <v>202</v>
      </c>
      <c r="K1020" t="s">
        <v>203</v>
      </c>
      <c r="L1020" t="s">
        <v>121</v>
      </c>
      <c r="M1020" t="s">
        <v>139</v>
      </c>
      <c r="N1020" s="6" t="s">
        <v>3118</v>
      </c>
      <c r="O1020" t="s">
        <v>2652</v>
      </c>
      <c r="P1020" t="s">
        <v>2928</v>
      </c>
      <c r="Q1020" t="s">
        <v>3119</v>
      </c>
      <c r="R1020" t="s">
        <v>3120</v>
      </c>
      <c r="S1020">
        <v>2021</v>
      </c>
      <c r="T1020" t="s">
        <v>771</v>
      </c>
      <c r="U1020" t="s">
        <v>2875</v>
      </c>
      <c r="V1020">
        <v>15</v>
      </c>
      <c r="W1020">
        <v>1700</v>
      </c>
      <c r="Z1020">
        <v>15</v>
      </c>
      <c r="AE1020">
        <v>0</v>
      </c>
      <c r="AH1020" t="s">
        <v>2259</v>
      </c>
      <c r="AM1020" t="s">
        <v>3121</v>
      </c>
      <c r="AN1020" t="s">
        <v>132</v>
      </c>
      <c r="BH1020">
        <v>53.1</v>
      </c>
      <c r="CE102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20" s="19">
        <f>SUM(Table1[[#This Row],[Mid39]],Table1[[#This Row],[Mid36]],Table1[[#This Row],[Mid33]],Table1[[#This Row],[Mid30]],Table1[[#This Row],[Mid27]],Table1[[#This Row],[Mid24]],Table1[[#This Row],[Mid21]],Table1[[#This Row],[Mid18]],Table1[[#This Row],[Mid15]],Table1[[#This Row],[Mid12]],Table1[[#This Row],[Mid9]],Table1[[#This Row],[Mid6]],Table1[[#This Row],[Mid3]],Table1[[#This Row],[Mid]])</f>
        <v>53.1</v>
      </c>
      <c r="CG10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20" t="s">
        <v>157</v>
      </c>
      <c r="CI1020" t="s">
        <v>176</v>
      </c>
      <c r="CJ1020" t="s">
        <v>158</v>
      </c>
      <c r="CL1020" s="19">
        <f>IF(Table1[[#This Row],[Type]]="Petroleum",1,IF(ISERROR(Table1[[#This Row],[Well Density]]*Table1[[#This Row],[Single Well Discovery Area]]),"",IF(Table1[[#This Row],[Well Density]]*Table1[[#This Row],[Single Well Discovery Area]]&gt;1,1,Table1[[#This Row],[Well Density]]*Table1[[#This Row],[Single Well Discovery Area]])))</f>
        <v>1</v>
      </c>
      <c r="CN1020" s="19">
        <f>Table1[[#This Row],[Mid]]</f>
        <v>0</v>
      </c>
      <c r="CO1020" s="19">
        <f>Table1[[#This Row],[Mid3]]+Table1[[#This Row],[Mid6]]+Table1[[#This Row],[Mid9]]</f>
        <v>0</v>
      </c>
      <c r="CP1020" s="19">
        <f>Table1[[#This Row],[Mid12]]+Table1[[#This Row],[Mid15]]+Table1[[#This Row],[Mid18]]+Table1[[#This Row],[Mid21]]+Table1[[#This Row],[Mid24]]</f>
        <v>53.1</v>
      </c>
      <c r="CQ1020" s="19">
        <f>Table1[[#This Row],[Mid27]]+Table1[[#This Row],[Mid30]]+Table1[[#This Row],[Mid33]]+Table1[[#This Row],[Mid36]]+Table1[[#This Row],[Mid39]]</f>
        <v>0</v>
      </c>
      <c r="CR1020" t="s">
        <v>415</v>
      </c>
      <c r="CS1020" s="19" t="str">
        <f>IF(AND(Table1[[#This Row],[Low41]]=0, Table1[[#This Row],[High43]]=0),"N","Y")</f>
        <v>N</v>
      </c>
    </row>
    <row r="1021" spans="1:97" ht="19.5" customHeight="1" x14ac:dyDescent="0.25">
      <c r="A1021">
        <v>11020</v>
      </c>
      <c r="B1021" t="s">
        <v>3093</v>
      </c>
      <c r="C1021" t="s">
        <v>3094</v>
      </c>
      <c r="D1021">
        <v>48.47666667</v>
      </c>
      <c r="E1021">
        <v>3.1322222219999998</v>
      </c>
      <c r="F1021" t="s">
        <v>3122</v>
      </c>
      <c r="G1021" t="s">
        <v>3096</v>
      </c>
      <c r="H1021" t="s">
        <v>3103</v>
      </c>
      <c r="I1021" t="s">
        <v>1648</v>
      </c>
      <c r="J1021" t="s">
        <v>202</v>
      </c>
      <c r="K1021" t="s">
        <v>203</v>
      </c>
      <c r="L1021" t="s">
        <v>121</v>
      </c>
      <c r="M1021" t="s">
        <v>392</v>
      </c>
      <c r="N1021" s="6" t="s">
        <v>3123</v>
      </c>
      <c r="O1021" t="s">
        <v>2652</v>
      </c>
      <c r="P1021" t="s">
        <v>2928</v>
      </c>
      <c r="Q1021" t="s">
        <v>3119</v>
      </c>
      <c r="R1021" t="s">
        <v>3120</v>
      </c>
      <c r="S1021">
        <v>2021</v>
      </c>
      <c r="T1021" t="s">
        <v>771</v>
      </c>
      <c r="U1021" t="s">
        <v>2875</v>
      </c>
      <c r="V1021"/>
      <c r="AH1021" t="s">
        <v>2259</v>
      </c>
      <c r="AM1021" t="s">
        <v>3121</v>
      </c>
      <c r="AN1021" t="s">
        <v>132</v>
      </c>
      <c r="BH1021">
        <v>11.6</v>
      </c>
      <c r="CE102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21" s="19">
        <f>SUM(Table1[[#This Row],[Mid39]],Table1[[#This Row],[Mid36]],Table1[[#This Row],[Mid33]],Table1[[#This Row],[Mid30]],Table1[[#This Row],[Mid27]],Table1[[#This Row],[Mid24]],Table1[[#This Row],[Mid21]],Table1[[#This Row],[Mid18]],Table1[[#This Row],[Mid15]],Table1[[#This Row],[Mid12]],Table1[[#This Row],[Mid9]],Table1[[#This Row],[Mid6]],Table1[[#This Row],[Mid3]],Table1[[#This Row],[Mid]])</f>
        <v>11.6</v>
      </c>
      <c r="CG10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21" t="s">
        <v>157</v>
      </c>
      <c r="CI1021" t="s">
        <v>134</v>
      </c>
      <c r="CJ1021" t="s">
        <v>158</v>
      </c>
      <c r="CL1021" s="19">
        <f>IF(Table1[[#This Row],[Type]]="Petroleum",1,IF(ISERROR(Table1[[#This Row],[Well Density]]*Table1[[#This Row],[Single Well Discovery Area]]),"",IF(Table1[[#This Row],[Well Density]]*Table1[[#This Row],[Single Well Discovery Area]]&gt;1,1,Table1[[#This Row],[Well Density]]*Table1[[#This Row],[Single Well Discovery Area]])))</f>
        <v>1</v>
      </c>
      <c r="CN1021" s="19">
        <f>Table1[[#This Row],[Mid]]</f>
        <v>0</v>
      </c>
      <c r="CO1021" s="19">
        <f>Table1[[#This Row],[Mid3]]+Table1[[#This Row],[Mid6]]+Table1[[#This Row],[Mid9]]</f>
        <v>0</v>
      </c>
      <c r="CP1021" s="19">
        <f>Table1[[#This Row],[Mid12]]+Table1[[#This Row],[Mid15]]+Table1[[#This Row],[Mid18]]+Table1[[#This Row],[Mid21]]+Table1[[#This Row],[Mid24]]</f>
        <v>11.6</v>
      </c>
      <c r="CQ1021" s="19">
        <f>Table1[[#This Row],[Mid27]]+Table1[[#This Row],[Mid30]]+Table1[[#This Row],[Mid33]]+Table1[[#This Row],[Mid36]]+Table1[[#This Row],[Mid39]]</f>
        <v>0</v>
      </c>
      <c r="CR1021" t="s">
        <v>415</v>
      </c>
      <c r="CS1021" s="19" t="str">
        <f>IF(AND(Table1[[#This Row],[Low41]]=0, Table1[[#This Row],[High43]]=0),"N","Y")</f>
        <v>N</v>
      </c>
    </row>
    <row r="1022" spans="1:97" ht="19.5" customHeight="1" x14ac:dyDescent="0.25">
      <c r="A1022">
        <v>11021</v>
      </c>
      <c r="B1022" t="s">
        <v>3093</v>
      </c>
      <c r="C1022" t="s">
        <v>3094</v>
      </c>
      <c r="D1022">
        <v>48.472499999999997</v>
      </c>
      <c r="E1022">
        <v>2.6055555560000001</v>
      </c>
      <c r="F1022" t="s">
        <v>3124</v>
      </c>
      <c r="G1022" t="s">
        <v>3096</v>
      </c>
      <c r="H1022" t="s">
        <v>3057</v>
      </c>
      <c r="I1022" t="s">
        <v>1648</v>
      </c>
      <c r="J1022" t="s">
        <v>202</v>
      </c>
      <c r="K1022" t="s">
        <v>3052</v>
      </c>
      <c r="L1022" t="s">
        <v>121</v>
      </c>
      <c r="M1022" t="s">
        <v>139</v>
      </c>
      <c r="N1022" s="6" t="s">
        <v>3123</v>
      </c>
      <c r="O1022" t="s">
        <v>2652</v>
      </c>
      <c r="P1022" t="s">
        <v>2928</v>
      </c>
      <c r="Q1022" t="s">
        <v>3119</v>
      </c>
      <c r="R1022" t="s">
        <v>3120</v>
      </c>
      <c r="S1022">
        <v>2021</v>
      </c>
      <c r="T1022" t="s">
        <v>771</v>
      </c>
      <c r="U1022" t="s">
        <v>2875</v>
      </c>
      <c r="V1022"/>
      <c r="AH1022" t="s">
        <v>2259</v>
      </c>
      <c r="AM1022" t="s">
        <v>3121</v>
      </c>
      <c r="AN1022" t="s">
        <v>132</v>
      </c>
      <c r="BH1022">
        <v>12.1</v>
      </c>
      <c r="CE102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22" s="19">
        <f>SUM(Table1[[#This Row],[Mid39]],Table1[[#This Row],[Mid36]],Table1[[#This Row],[Mid33]],Table1[[#This Row],[Mid30]],Table1[[#This Row],[Mid27]],Table1[[#This Row],[Mid24]],Table1[[#This Row],[Mid21]],Table1[[#This Row],[Mid18]],Table1[[#This Row],[Mid15]],Table1[[#This Row],[Mid12]],Table1[[#This Row],[Mid9]],Table1[[#This Row],[Mid6]],Table1[[#This Row],[Mid3]],Table1[[#This Row],[Mid]])</f>
        <v>12.1</v>
      </c>
      <c r="CG10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22" t="s">
        <v>157</v>
      </c>
      <c r="CI1022" t="s">
        <v>3125</v>
      </c>
      <c r="CJ1022" t="s">
        <v>158</v>
      </c>
      <c r="CL1022" s="19">
        <f>IF(Table1[[#This Row],[Type]]="Petroleum",1,IF(ISERROR(Table1[[#This Row],[Well Density]]*Table1[[#This Row],[Single Well Discovery Area]]),"",IF(Table1[[#This Row],[Well Density]]*Table1[[#This Row],[Single Well Discovery Area]]&gt;1,1,Table1[[#This Row],[Well Density]]*Table1[[#This Row],[Single Well Discovery Area]])))</f>
        <v>1</v>
      </c>
      <c r="CN1022" s="19">
        <f>Table1[[#This Row],[Mid]]</f>
        <v>0</v>
      </c>
      <c r="CO1022" s="19">
        <f>Table1[[#This Row],[Mid3]]+Table1[[#This Row],[Mid6]]+Table1[[#This Row],[Mid9]]</f>
        <v>0</v>
      </c>
      <c r="CP1022" s="19">
        <f>Table1[[#This Row],[Mid12]]+Table1[[#This Row],[Mid15]]+Table1[[#This Row],[Mid18]]+Table1[[#This Row],[Mid21]]+Table1[[#This Row],[Mid24]]</f>
        <v>12.1</v>
      </c>
      <c r="CQ1022" s="19">
        <f>Table1[[#This Row],[Mid27]]+Table1[[#This Row],[Mid30]]+Table1[[#This Row],[Mid33]]+Table1[[#This Row],[Mid36]]+Table1[[#This Row],[Mid39]]</f>
        <v>0</v>
      </c>
      <c r="CR1022" t="s">
        <v>415</v>
      </c>
      <c r="CS1022" s="19" t="str">
        <f>IF(AND(Table1[[#This Row],[Low41]]=0, Table1[[#This Row],[High43]]=0),"N","Y")</f>
        <v>N</v>
      </c>
    </row>
    <row r="1023" spans="1:97" ht="19.5" customHeight="1" x14ac:dyDescent="0.25">
      <c r="A1023">
        <v>11022</v>
      </c>
      <c r="B1023" t="s">
        <v>3093</v>
      </c>
      <c r="C1023" t="s">
        <v>3094</v>
      </c>
      <c r="D1023">
        <v>48.288600000000002</v>
      </c>
      <c r="E1023">
        <v>2.7650000000000001</v>
      </c>
      <c r="F1023" t="s">
        <v>3126</v>
      </c>
      <c r="G1023" t="s">
        <v>3096</v>
      </c>
      <c r="H1023" t="s">
        <v>3057</v>
      </c>
      <c r="I1023" t="s">
        <v>1648</v>
      </c>
      <c r="J1023" t="s">
        <v>202</v>
      </c>
      <c r="K1023" t="s">
        <v>3052</v>
      </c>
      <c r="L1023" t="s">
        <v>121</v>
      </c>
      <c r="M1023" t="s">
        <v>139</v>
      </c>
      <c r="N1023" s="6" t="s">
        <v>3123</v>
      </c>
      <c r="O1023" t="s">
        <v>2652</v>
      </c>
      <c r="P1023" t="s">
        <v>2928</v>
      </c>
      <c r="Q1023" t="s">
        <v>3119</v>
      </c>
      <c r="R1023" t="s">
        <v>3120</v>
      </c>
      <c r="S1023">
        <v>2021</v>
      </c>
      <c r="T1023" t="s">
        <v>771</v>
      </c>
      <c r="U1023" t="s">
        <v>2875</v>
      </c>
      <c r="V1023"/>
      <c r="AH1023" t="s">
        <v>2259</v>
      </c>
      <c r="AM1023" t="s">
        <v>3121</v>
      </c>
      <c r="AN1023" t="s">
        <v>132</v>
      </c>
      <c r="BH1023">
        <v>15.3</v>
      </c>
      <c r="CE102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23" s="19">
        <f>SUM(Table1[[#This Row],[Mid39]],Table1[[#This Row],[Mid36]],Table1[[#This Row],[Mid33]],Table1[[#This Row],[Mid30]],Table1[[#This Row],[Mid27]],Table1[[#This Row],[Mid24]],Table1[[#This Row],[Mid21]],Table1[[#This Row],[Mid18]],Table1[[#This Row],[Mid15]],Table1[[#This Row],[Mid12]],Table1[[#This Row],[Mid9]],Table1[[#This Row],[Mid6]],Table1[[#This Row],[Mid3]],Table1[[#This Row],[Mid]])</f>
        <v>15.3</v>
      </c>
      <c r="CG10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23" t="s">
        <v>157</v>
      </c>
      <c r="CI1023" t="s">
        <v>3125</v>
      </c>
      <c r="CJ1023" t="s">
        <v>158</v>
      </c>
      <c r="CL1023" s="19">
        <f>IF(Table1[[#This Row],[Type]]="Petroleum",1,IF(ISERROR(Table1[[#This Row],[Well Density]]*Table1[[#This Row],[Single Well Discovery Area]]),"",IF(Table1[[#This Row],[Well Density]]*Table1[[#This Row],[Single Well Discovery Area]]&gt;1,1,Table1[[#This Row],[Well Density]]*Table1[[#This Row],[Single Well Discovery Area]])))</f>
        <v>1</v>
      </c>
      <c r="CN1023" s="19">
        <f>Table1[[#This Row],[Mid]]</f>
        <v>0</v>
      </c>
      <c r="CO1023" s="19">
        <f>Table1[[#This Row],[Mid3]]+Table1[[#This Row],[Mid6]]+Table1[[#This Row],[Mid9]]</f>
        <v>0</v>
      </c>
      <c r="CP1023" s="19">
        <f>Table1[[#This Row],[Mid12]]+Table1[[#This Row],[Mid15]]+Table1[[#This Row],[Mid18]]+Table1[[#This Row],[Mid21]]+Table1[[#This Row],[Mid24]]</f>
        <v>15.3</v>
      </c>
      <c r="CQ1023" s="19">
        <f>Table1[[#This Row],[Mid27]]+Table1[[#This Row],[Mid30]]+Table1[[#This Row],[Mid33]]+Table1[[#This Row],[Mid36]]+Table1[[#This Row],[Mid39]]</f>
        <v>0</v>
      </c>
      <c r="CR1023" t="s">
        <v>415</v>
      </c>
      <c r="CS1023" s="19" t="str">
        <f>IF(AND(Table1[[#This Row],[Low41]]=0, Table1[[#This Row],[High43]]=0),"N","Y")</f>
        <v>N</v>
      </c>
    </row>
    <row r="1024" spans="1:97" ht="19.5" customHeight="1" x14ac:dyDescent="0.25">
      <c r="A1024">
        <v>11023</v>
      </c>
      <c r="B1024" t="s">
        <v>3093</v>
      </c>
      <c r="C1024" t="s">
        <v>3094</v>
      </c>
      <c r="D1024">
        <v>48.975000000000001</v>
      </c>
      <c r="E1024">
        <v>2.968611111</v>
      </c>
      <c r="F1024" t="s">
        <v>3127</v>
      </c>
      <c r="G1024" t="s">
        <v>3096</v>
      </c>
      <c r="H1024" t="s">
        <v>167</v>
      </c>
      <c r="I1024" t="s">
        <v>1648</v>
      </c>
      <c r="J1024" t="s">
        <v>202</v>
      </c>
      <c r="K1024" t="s">
        <v>167</v>
      </c>
      <c r="L1024" t="s">
        <v>121</v>
      </c>
      <c r="M1024" t="s">
        <v>252</v>
      </c>
      <c r="N1024" s="6" t="s">
        <v>3128</v>
      </c>
      <c r="O1024" t="s">
        <v>2652</v>
      </c>
      <c r="P1024" t="s">
        <v>2928</v>
      </c>
      <c r="Q1024" t="s">
        <v>3119</v>
      </c>
      <c r="R1024" t="s">
        <v>3120</v>
      </c>
      <c r="S1024">
        <v>2021</v>
      </c>
      <c r="T1024" t="s">
        <v>771</v>
      </c>
      <c r="U1024" t="s">
        <v>2875</v>
      </c>
      <c r="V1024"/>
      <c r="AH1024" t="s">
        <v>2259</v>
      </c>
      <c r="AM1024" t="s">
        <v>3121</v>
      </c>
      <c r="AN1024" t="s">
        <v>132</v>
      </c>
      <c r="BH1024">
        <v>32</v>
      </c>
      <c r="CE102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24" s="19">
        <f>SUM(Table1[[#This Row],[Mid39]],Table1[[#This Row],[Mid36]],Table1[[#This Row],[Mid33]],Table1[[#This Row],[Mid30]],Table1[[#This Row],[Mid27]],Table1[[#This Row],[Mid24]],Table1[[#This Row],[Mid21]],Table1[[#This Row],[Mid18]],Table1[[#This Row],[Mid15]],Table1[[#This Row],[Mid12]],Table1[[#This Row],[Mid9]],Table1[[#This Row],[Mid6]],Table1[[#This Row],[Mid3]],Table1[[#This Row],[Mid]])</f>
        <v>32</v>
      </c>
      <c r="CG10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24" t="s">
        <v>157</v>
      </c>
      <c r="CI1024" t="s">
        <v>3125</v>
      </c>
      <c r="CJ1024" t="s">
        <v>158</v>
      </c>
      <c r="CL1024" s="19">
        <f>IF(Table1[[#This Row],[Type]]="Petroleum",1,IF(ISERROR(Table1[[#This Row],[Well Density]]*Table1[[#This Row],[Single Well Discovery Area]]),"",IF(Table1[[#This Row],[Well Density]]*Table1[[#This Row],[Single Well Discovery Area]]&gt;1,1,Table1[[#This Row],[Well Density]]*Table1[[#This Row],[Single Well Discovery Area]])))</f>
        <v>1</v>
      </c>
      <c r="CN1024" s="19">
        <f>Table1[[#This Row],[Mid]]</f>
        <v>0</v>
      </c>
      <c r="CO1024" s="19">
        <f>Table1[[#This Row],[Mid3]]+Table1[[#This Row],[Mid6]]+Table1[[#This Row],[Mid9]]</f>
        <v>0</v>
      </c>
      <c r="CP1024" s="19">
        <f>Table1[[#This Row],[Mid12]]+Table1[[#This Row],[Mid15]]+Table1[[#This Row],[Mid18]]+Table1[[#This Row],[Mid21]]+Table1[[#This Row],[Mid24]]</f>
        <v>32</v>
      </c>
      <c r="CQ1024" s="19">
        <f>Table1[[#This Row],[Mid27]]+Table1[[#This Row],[Mid30]]+Table1[[#This Row],[Mid33]]+Table1[[#This Row],[Mid36]]+Table1[[#This Row],[Mid39]]</f>
        <v>0</v>
      </c>
      <c r="CR1024" t="s">
        <v>415</v>
      </c>
      <c r="CS1024" s="19" t="str">
        <f>IF(AND(Table1[[#This Row],[Low41]]=0, Table1[[#This Row],[High43]]=0),"N","Y")</f>
        <v>N</v>
      </c>
    </row>
    <row r="1025" spans="1:97" ht="19.5" customHeight="1" x14ac:dyDescent="0.25">
      <c r="A1025">
        <v>11024</v>
      </c>
      <c r="B1025" t="s">
        <v>3093</v>
      </c>
      <c r="C1025" t="s">
        <v>3129</v>
      </c>
      <c r="D1025">
        <v>43.25</v>
      </c>
      <c r="E1025">
        <v>-0.5</v>
      </c>
      <c r="F1025" t="s">
        <v>3130</v>
      </c>
      <c r="G1025" t="s">
        <v>3131</v>
      </c>
      <c r="H1025" t="s">
        <v>3132</v>
      </c>
      <c r="I1025" t="s">
        <v>1648</v>
      </c>
      <c r="J1025" t="s">
        <v>202</v>
      </c>
      <c r="K1025" t="s">
        <v>203</v>
      </c>
      <c r="L1025" t="s">
        <v>121</v>
      </c>
      <c r="M1025" t="s">
        <v>392</v>
      </c>
      <c r="N1025" s="6" t="s">
        <v>3133</v>
      </c>
      <c r="O1025" t="s">
        <v>3134</v>
      </c>
      <c r="P1025" s="21" t="s">
        <v>3135</v>
      </c>
      <c r="Q1025" t="s">
        <v>3136</v>
      </c>
      <c r="R1025" s="21" t="s">
        <v>3137</v>
      </c>
      <c r="S1025">
        <v>2021</v>
      </c>
      <c r="T1025" t="s">
        <v>771</v>
      </c>
      <c r="U1025" t="s">
        <v>1479</v>
      </c>
      <c r="V1025"/>
      <c r="AH1025" t="s">
        <v>2259</v>
      </c>
      <c r="AM1025" t="s">
        <v>3121</v>
      </c>
      <c r="AN1025" t="s">
        <v>132</v>
      </c>
      <c r="AP1025">
        <v>5.0999999999999997E-2</v>
      </c>
      <c r="BH1025">
        <v>10</v>
      </c>
      <c r="CE102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25" s="19">
        <f>SUM(Table1[[#This Row],[Mid39]],Table1[[#This Row],[Mid36]],Table1[[#This Row],[Mid33]],Table1[[#This Row],[Mid30]],Table1[[#This Row],[Mid27]],Table1[[#This Row],[Mid24]],Table1[[#This Row],[Mid21]],Table1[[#This Row],[Mid18]],Table1[[#This Row],[Mid15]],Table1[[#This Row],[Mid12]],Table1[[#This Row],[Mid9]],Table1[[#This Row],[Mid6]],Table1[[#This Row],[Mid3]],Table1[[#This Row],[Mid]])</f>
        <v>10.051</v>
      </c>
      <c r="CG10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25" t="s">
        <v>157</v>
      </c>
      <c r="CI1025" t="s">
        <v>176</v>
      </c>
      <c r="CJ1025" t="s">
        <v>133</v>
      </c>
      <c r="CL1025" s="19">
        <f>IF(Table1[[#This Row],[Type]]="Petroleum",1,IF(ISERROR(Table1[[#This Row],[Well Density]]*Table1[[#This Row],[Single Well Discovery Area]]),"",IF(Table1[[#This Row],[Well Density]]*Table1[[#This Row],[Single Well Discovery Area]]&gt;1,1,Table1[[#This Row],[Well Density]]*Table1[[#This Row],[Single Well Discovery Area]])))</f>
        <v>1</v>
      </c>
      <c r="CN1025" s="19">
        <f>Table1[[#This Row],[Mid]]</f>
        <v>5.0999999999999997E-2</v>
      </c>
      <c r="CO1025" s="19">
        <f>Table1[[#This Row],[Mid3]]+Table1[[#This Row],[Mid6]]+Table1[[#This Row],[Mid9]]</f>
        <v>0</v>
      </c>
      <c r="CP1025" s="19">
        <f>Table1[[#This Row],[Mid12]]+Table1[[#This Row],[Mid15]]+Table1[[#This Row],[Mid18]]+Table1[[#This Row],[Mid21]]+Table1[[#This Row],[Mid24]]</f>
        <v>10</v>
      </c>
      <c r="CQ1025" s="19">
        <f>Table1[[#This Row],[Mid27]]+Table1[[#This Row],[Mid30]]+Table1[[#This Row],[Mid33]]+Table1[[#This Row],[Mid36]]+Table1[[#This Row],[Mid39]]</f>
        <v>0</v>
      </c>
      <c r="CR1025" t="s">
        <v>415</v>
      </c>
      <c r="CS1025" s="19" t="str">
        <f>IF(AND(Table1[[#This Row],[Low41]]=0, Table1[[#This Row],[High43]]=0),"N","Y")</f>
        <v>N</v>
      </c>
    </row>
    <row r="1026" spans="1:97" ht="19.5" customHeight="1" x14ac:dyDescent="0.25">
      <c r="A1026">
        <v>11025</v>
      </c>
      <c r="B1026" t="s">
        <v>3093</v>
      </c>
      <c r="C1026" t="s">
        <v>3129</v>
      </c>
      <c r="D1026">
        <v>43.384999999999998</v>
      </c>
      <c r="E1026">
        <v>0.88500000000000001</v>
      </c>
      <c r="F1026" t="s">
        <v>3138</v>
      </c>
      <c r="G1026" t="s">
        <v>3131</v>
      </c>
      <c r="H1026" t="s">
        <v>167</v>
      </c>
      <c r="I1026" t="s">
        <v>2245</v>
      </c>
      <c r="J1026" t="s">
        <v>202</v>
      </c>
      <c r="K1026" t="s">
        <v>167</v>
      </c>
      <c r="L1026" t="s">
        <v>121</v>
      </c>
      <c r="M1026" t="s">
        <v>3139</v>
      </c>
      <c r="N1026" s="6" t="s">
        <v>3140</v>
      </c>
      <c r="O1026" t="s">
        <v>2652</v>
      </c>
      <c r="P1026" t="s">
        <v>2928</v>
      </c>
      <c r="Q1026" t="s">
        <v>3141</v>
      </c>
      <c r="R1026" t="s">
        <v>3142</v>
      </c>
      <c r="S1026">
        <v>1996</v>
      </c>
      <c r="T1026" t="s">
        <v>771</v>
      </c>
      <c r="U1026" t="s">
        <v>1479</v>
      </c>
      <c r="V1026"/>
      <c r="Z1026">
        <v>7</v>
      </c>
      <c r="AH1026" t="s">
        <v>2259</v>
      </c>
      <c r="AM1026" t="s">
        <v>3143</v>
      </c>
      <c r="AN1026" t="s">
        <v>132</v>
      </c>
      <c r="BH1026">
        <v>41.1</v>
      </c>
      <c r="CE102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26" s="19">
        <f>SUM(Table1[[#This Row],[Mid39]],Table1[[#This Row],[Mid36]],Table1[[#This Row],[Mid33]],Table1[[#This Row],[Mid30]],Table1[[#This Row],[Mid27]],Table1[[#This Row],[Mid24]],Table1[[#This Row],[Mid21]],Table1[[#This Row],[Mid18]],Table1[[#This Row],[Mid15]],Table1[[#This Row],[Mid12]],Table1[[#This Row],[Mid9]],Table1[[#This Row],[Mid6]],Table1[[#This Row],[Mid3]],Table1[[#This Row],[Mid]])</f>
        <v>41.1</v>
      </c>
      <c r="CG10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26" t="s">
        <v>157</v>
      </c>
      <c r="CI1026" t="s">
        <v>176</v>
      </c>
      <c r="CJ1026" t="s">
        <v>158</v>
      </c>
      <c r="CL1026" s="19">
        <f>IF(Table1[[#This Row],[Type]]="Petroleum",1,IF(ISERROR(Table1[[#This Row],[Well Density]]*Table1[[#This Row],[Single Well Discovery Area]]),"",IF(Table1[[#This Row],[Well Density]]*Table1[[#This Row],[Single Well Discovery Area]]&gt;1,1,Table1[[#This Row],[Well Density]]*Table1[[#This Row],[Single Well Discovery Area]])))</f>
        <v>1</v>
      </c>
      <c r="CN1026" s="19">
        <f>Table1[[#This Row],[Mid]]</f>
        <v>0</v>
      </c>
      <c r="CO1026" s="19">
        <f>Table1[[#This Row],[Mid3]]+Table1[[#This Row],[Mid6]]+Table1[[#This Row],[Mid9]]</f>
        <v>0</v>
      </c>
      <c r="CP1026" s="19">
        <f>Table1[[#This Row],[Mid12]]+Table1[[#This Row],[Mid15]]+Table1[[#This Row],[Mid18]]+Table1[[#This Row],[Mid21]]+Table1[[#This Row],[Mid24]]</f>
        <v>41.1</v>
      </c>
      <c r="CQ1026" s="19">
        <f>Table1[[#This Row],[Mid27]]+Table1[[#This Row],[Mid30]]+Table1[[#This Row],[Mid33]]+Table1[[#This Row],[Mid36]]+Table1[[#This Row],[Mid39]]</f>
        <v>0</v>
      </c>
      <c r="CR1026" t="s">
        <v>415</v>
      </c>
      <c r="CS1026" s="19" t="str">
        <f>IF(AND(Table1[[#This Row],[Low41]]=0, Table1[[#This Row],[High43]]=0),"N","Y")</f>
        <v>N</v>
      </c>
    </row>
    <row r="1027" spans="1:97" ht="19.5" customHeight="1" x14ac:dyDescent="0.25">
      <c r="A1027">
        <v>11026</v>
      </c>
      <c r="B1027" t="s">
        <v>3093</v>
      </c>
      <c r="C1027" t="s">
        <v>3129</v>
      </c>
      <c r="D1027">
        <v>43.418599999999998</v>
      </c>
      <c r="E1027">
        <v>-0.62109999999999999</v>
      </c>
      <c r="F1027" t="s">
        <v>3144</v>
      </c>
      <c r="G1027" t="s">
        <v>3131</v>
      </c>
      <c r="H1027" t="s">
        <v>167</v>
      </c>
      <c r="I1027" t="s">
        <v>2245</v>
      </c>
      <c r="J1027" t="s">
        <v>202</v>
      </c>
      <c r="K1027" t="s">
        <v>167</v>
      </c>
      <c r="L1027" t="s">
        <v>121</v>
      </c>
      <c r="M1027" t="s">
        <v>3139</v>
      </c>
      <c r="N1027" s="6" t="s">
        <v>3140</v>
      </c>
      <c r="O1027" t="s">
        <v>2652</v>
      </c>
      <c r="P1027" t="s">
        <v>2928</v>
      </c>
      <c r="Q1027" t="s">
        <v>3141</v>
      </c>
      <c r="R1027" t="s">
        <v>3145</v>
      </c>
      <c r="S1027">
        <v>1996</v>
      </c>
      <c r="T1027" t="s">
        <v>771</v>
      </c>
      <c r="U1027" t="s">
        <v>1479</v>
      </c>
      <c r="V1027">
        <v>110</v>
      </c>
      <c r="Z1027">
        <v>3.5</v>
      </c>
      <c r="AH1027" t="s">
        <v>2259</v>
      </c>
      <c r="AM1027" t="s">
        <v>3143</v>
      </c>
      <c r="AN1027" t="s">
        <v>132</v>
      </c>
      <c r="BH1027">
        <v>691.9</v>
      </c>
      <c r="CE102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27" s="19">
        <f>SUM(Table1[[#This Row],[Mid39]],Table1[[#This Row],[Mid36]],Table1[[#This Row],[Mid33]],Table1[[#This Row],[Mid30]],Table1[[#This Row],[Mid27]],Table1[[#This Row],[Mid24]],Table1[[#This Row],[Mid21]],Table1[[#This Row],[Mid18]],Table1[[#This Row],[Mid15]],Table1[[#This Row],[Mid12]],Table1[[#This Row],[Mid9]],Table1[[#This Row],[Mid6]],Table1[[#This Row],[Mid3]],Table1[[#This Row],[Mid]])</f>
        <v>691.9</v>
      </c>
      <c r="CG10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27" t="s">
        <v>157</v>
      </c>
      <c r="CI1027" t="s">
        <v>176</v>
      </c>
      <c r="CJ1027" t="s">
        <v>158</v>
      </c>
      <c r="CL1027" s="19">
        <f>IF(Table1[[#This Row],[Type]]="Petroleum",1,IF(ISERROR(Table1[[#This Row],[Well Density]]*Table1[[#This Row],[Single Well Discovery Area]]),"",IF(Table1[[#This Row],[Well Density]]*Table1[[#This Row],[Single Well Discovery Area]]&gt;1,1,Table1[[#This Row],[Well Density]]*Table1[[#This Row],[Single Well Discovery Area]])))</f>
        <v>1</v>
      </c>
      <c r="CN1027" s="19">
        <f>Table1[[#This Row],[Mid]]</f>
        <v>0</v>
      </c>
      <c r="CO1027" s="19">
        <f>Table1[[#This Row],[Mid3]]+Table1[[#This Row],[Mid6]]+Table1[[#This Row],[Mid9]]</f>
        <v>0</v>
      </c>
      <c r="CP1027" s="19">
        <f>Table1[[#This Row],[Mid12]]+Table1[[#This Row],[Mid15]]+Table1[[#This Row],[Mid18]]+Table1[[#This Row],[Mid21]]+Table1[[#This Row],[Mid24]]</f>
        <v>691.9</v>
      </c>
      <c r="CQ1027" s="19">
        <f>Table1[[#This Row],[Mid27]]+Table1[[#This Row],[Mid30]]+Table1[[#This Row],[Mid33]]+Table1[[#This Row],[Mid36]]+Table1[[#This Row],[Mid39]]</f>
        <v>0</v>
      </c>
      <c r="CR1027" t="s">
        <v>415</v>
      </c>
      <c r="CS1027" s="19" t="str">
        <f>IF(AND(Table1[[#This Row],[Low41]]=0, Table1[[#This Row],[High43]]=0),"N","Y")</f>
        <v>N</v>
      </c>
    </row>
    <row r="1028" spans="1:97" ht="19.5" customHeight="1" x14ac:dyDescent="0.25">
      <c r="A1028">
        <v>11027</v>
      </c>
      <c r="B1028" t="s">
        <v>3093</v>
      </c>
      <c r="C1028" t="s">
        <v>3129</v>
      </c>
      <c r="D1028">
        <v>43.286000000000001</v>
      </c>
      <c r="E1028">
        <v>-0.375</v>
      </c>
      <c r="F1028" t="s">
        <v>3146</v>
      </c>
      <c r="G1028" t="s">
        <v>3131</v>
      </c>
      <c r="H1028" t="s">
        <v>167</v>
      </c>
      <c r="I1028" t="s">
        <v>2245</v>
      </c>
      <c r="J1028" t="s">
        <v>202</v>
      </c>
      <c r="K1028" t="s">
        <v>167</v>
      </c>
      <c r="L1028" t="s">
        <v>121</v>
      </c>
      <c r="M1028" t="s">
        <v>3139</v>
      </c>
      <c r="N1028" s="6" t="s">
        <v>3140</v>
      </c>
      <c r="O1028" t="s">
        <v>2652</v>
      </c>
      <c r="P1028" t="s">
        <v>2928</v>
      </c>
      <c r="Q1028" t="s">
        <v>3141</v>
      </c>
      <c r="R1028" t="s">
        <v>3145</v>
      </c>
      <c r="S1028">
        <v>1996</v>
      </c>
      <c r="T1028" t="s">
        <v>771</v>
      </c>
      <c r="U1028" t="s">
        <v>1479</v>
      </c>
      <c r="V1028">
        <v>50</v>
      </c>
      <c r="Z1028">
        <v>3.5</v>
      </c>
      <c r="AH1028" t="s">
        <v>2259</v>
      </c>
      <c r="AM1028" t="s">
        <v>3143</v>
      </c>
      <c r="AN1028" t="s">
        <v>132</v>
      </c>
      <c r="BH1028">
        <v>139.9</v>
      </c>
      <c r="CE102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28" s="19">
        <f>SUM(Table1[[#This Row],[Mid39]],Table1[[#This Row],[Mid36]],Table1[[#This Row],[Mid33]],Table1[[#This Row],[Mid30]],Table1[[#This Row],[Mid27]],Table1[[#This Row],[Mid24]],Table1[[#This Row],[Mid21]],Table1[[#This Row],[Mid18]],Table1[[#This Row],[Mid15]],Table1[[#This Row],[Mid12]],Table1[[#This Row],[Mid9]],Table1[[#This Row],[Mid6]],Table1[[#This Row],[Mid3]],Table1[[#This Row],[Mid]])</f>
        <v>139.9</v>
      </c>
      <c r="CG10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28" t="s">
        <v>157</v>
      </c>
      <c r="CI1028" t="s">
        <v>176</v>
      </c>
      <c r="CJ1028" t="s">
        <v>158</v>
      </c>
      <c r="CL1028" s="19">
        <f>IF(Table1[[#This Row],[Type]]="Petroleum",1,IF(ISERROR(Table1[[#This Row],[Well Density]]*Table1[[#This Row],[Single Well Discovery Area]]),"",IF(Table1[[#This Row],[Well Density]]*Table1[[#This Row],[Single Well Discovery Area]]&gt;1,1,Table1[[#This Row],[Well Density]]*Table1[[#This Row],[Single Well Discovery Area]])))</f>
        <v>1</v>
      </c>
      <c r="CN1028" s="19">
        <f>Table1[[#This Row],[Mid]]</f>
        <v>0</v>
      </c>
      <c r="CO1028" s="19">
        <f>Table1[[#This Row],[Mid3]]+Table1[[#This Row],[Mid6]]+Table1[[#This Row],[Mid9]]</f>
        <v>0</v>
      </c>
      <c r="CP1028" s="19">
        <f>Table1[[#This Row],[Mid12]]+Table1[[#This Row],[Mid15]]+Table1[[#This Row],[Mid18]]+Table1[[#This Row],[Mid21]]+Table1[[#This Row],[Mid24]]</f>
        <v>139.9</v>
      </c>
      <c r="CQ1028" s="19">
        <f>Table1[[#This Row],[Mid27]]+Table1[[#This Row],[Mid30]]+Table1[[#This Row],[Mid33]]+Table1[[#This Row],[Mid36]]+Table1[[#This Row],[Mid39]]</f>
        <v>0</v>
      </c>
      <c r="CR1028" t="s">
        <v>415</v>
      </c>
      <c r="CS1028" s="19" t="str">
        <f>IF(AND(Table1[[#This Row],[Low41]]=0, Table1[[#This Row],[High43]]=0),"N","Y")</f>
        <v>N</v>
      </c>
    </row>
    <row r="1029" spans="1:97" ht="19.5" customHeight="1" x14ac:dyDescent="0.25">
      <c r="A1029">
        <v>11028</v>
      </c>
      <c r="B1029" t="s">
        <v>3093</v>
      </c>
      <c r="C1029" t="s">
        <v>3129</v>
      </c>
      <c r="D1029">
        <v>43.319444439999998</v>
      </c>
      <c r="E1029">
        <v>0.15555555600000001</v>
      </c>
      <c r="F1029" t="s">
        <v>3147</v>
      </c>
      <c r="G1029" t="s">
        <v>3131</v>
      </c>
      <c r="H1029" t="s">
        <v>167</v>
      </c>
      <c r="I1029" t="s">
        <v>3097</v>
      </c>
      <c r="J1029" t="s">
        <v>119</v>
      </c>
      <c r="K1029" t="s">
        <v>167</v>
      </c>
      <c r="L1029" t="s">
        <v>18</v>
      </c>
      <c r="M1029" t="s">
        <v>122</v>
      </c>
      <c r="N1029" s="6" t="s">
        <v>3140</v>
      </c>
      <c r="O1029" t="s">
        <v>2652</v>
      </c>
      <c r="P1029" t="s">
        <v>2928</v>
      </c>
      <c r="Q1029" t="s">
        <v>3148</v>
      </c>
      <c r="R1029" t="s">
        <v>3149</v>
      </c>
      <c r="S1029">
        <v>2021</v>
      </c>
      <c r="T1029" t="s">
        <v>771</v>
      </c>
      <c r="U1029" t="s">
        <v>1479</v>
      </c>
      <c r="V1029">
        <v>5000</v>
      </c>
      <c r="X1029">
        <v>700</v>
      </c>
      <c r="AE1029">
        <v>0</v>
      </c>
      <c r="AH1029" t="s">
        <v>2259</v>
      </c>
      <c r="AM1029" t="s">
        <v>3143</v>
      </c>
      <c r="AN1029" t="s">
        <v>132</v>
      </c>
      <c r="BZ1029">
        <v>441</v>
      </c>
      <c r="CE102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29" s="19">
        <f>SUM(Table1[[#This Row],[Mid39]],Table1[[#This Row],[Mid36]],Table1[[#This Row],[Mid33]],Table1[[#This Row],[Mid30]],Table1[[#This Row],[Mid27]],Table1[[#This Row],[Mid24]],Table1[[#This Row],[Mid21]],Table1[[#This Row],[Mid18]],Table1[[#This Row],[Mid15]],Table1[[#This Row],[Mid12]],Table1[[#This Row],[Mid9]],Table1[[#This Row],[Mid6]],Table1[[#This Row],[Mid3]],Table1[[#This Row],[Mid]])</f>
        <v>441</v>
      </c>
      <c r="CG10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29" t="s">
        <v>157</v>
      </c>
      <c r="CI1029" t="s">
        <v>3125</v>
      </c>
      <c r="CJ1029" t="s">
        <v>158</v>
      </c>
      <c r="CL1029" s="19">
        <f>IF(Table1[[#This Row],[Type]]="Petroleum",1,IF(ISERROR(Table1[[#This Row],[Well Density]]*Table1[[#This Row],[Single Well Discovery Area]]),"",IF(Table1[[#This Row],[Well Density]]*Table1[[#This Row],[Single Well Discovery Area]]&gt;1,1,Table1[[#This Row],[Well Density]]*Table1[[#This Row],[Single Well Discovery Area]])))</f>
        <v>0</v>
      </c>
      <c r="CN1029" s="19">
        <f>Table1[[#This Row],[Mid]]</f>
        <v>0</v>
      </c>
      <c r="CO1029" s="19">
        <f>Table1[[#This Row],[Mid3]]+Table1[[#This Row],[Mid6]]+Table1[[#This Row],[Mid9]]</f>
        <v>0</v>
      </c>
      <c r="CP1029" s="19">
        <f>Table1[[#This Row],[Mid12]]+Table1[[#This Row],[Mid15]]+Table1[[#This Row],[Mid18]]+Table1[[#This Row],[Mid21]]+Table1[[#This Row],[Mid24]]</f>
        <v>0</v>
      </c>
      <c r="CQ1029" s="19">
        <f>Table1[[#This Row],[Mid27]]+Table1[[#This Row],[Mid30]]+Table1[[#This Row],[Mid33]]+Table1[[#This Row],[Mid36]]+Table1[[#This Row],[Mid39]]</f>
        <v>441</v>
      </c>
      <c r="CR1029" t="s">
        <v>415</v>
      </c>
      <c r="CS1029" s="19" t="str">
        <f>IF(AND(Table1[[#This Row],[Low41]]=0, Table1[[#This Row],[High43]]=0),"N","Y")</f>
        <v>N</v>
      </c>
    </row>
    <row r="1030" spans="1:97" ht="19.5" customHeight="1" x14ac:dyDescent="0.25">
      <c r="A1030">
        <v>11029</v>
      </c>
      <c r="B1030" t="s">
        <v>3093</v>
      </c>
      <c r="C1030" t="s">
        <v>3129</v>
      </c>
      <c r="D1030">
        <v>44.384</v>
      </c>
      <c r="E1030">
        <v>-1.0429999999999999</v>
      </c>
      <c r="F1030" t="s">
        <v>3150</v>
      </c>
      <c r="G1030" t="s">
        <v>3131</v>
      </c>
      <c r="H1030" t="s">
        <v>167</v>
      </c>
      <c r="I1030" t="s">
        <v>3097</v>
      </c>
      <c r="J1030" t="s">
        <v>119</v>
      </c>
      <c r="K1030" t="s">
        <v>167</v>
      </c>
      <c r="L1030" t="s">
        <v>18</v>
      </c>
      <c r="M1030" t="s">
        <v>338</v>
      </c>
      <c r="N1030" s="6" t="s">
        <v>3140</v>
      </c>
      <c r="O1030" t="s">
        <v>2652</v>
      </c>
      <c r="P1030" t="s">
        <v>2928</v>
      </c>
      <c r="Q1030" t="s">
        <v>3148</v>
      </c>
      <c r="R1030" t="s">
        <v>3149</v>
      </c>
      <c r="S1030">
        <v>2021</v>
      </c>
      <c r="T1030" t="s">
        <v>771</v>
      </c>
      <c r="U1030" t="s">
        <v>1479</v>
      </c>
      <c r="V1030">
        <v>16000</v>
      </c>
      <c r="X1030">
        <v>100</v>
      </c>
      <c r="AE1030">
        <v>0</v>
      </c>
      <c r="AH1030" t="s">
        <v>2259</v>
      </c>
      <c r="AM1030" t="s">
        <v>3143</v>
      </c>
      <c r="AN1030" t="s">
        <v>132</v>
      </c>
      <c r="BZ1030">
        <v>76</v>
      </c>
      <c r="CE103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30" s="19">
        <f>SUM(Table1[[#This Row],[Mid39]],Table1[[#This Row],[Mid36]],Table1[[#This Row],[Mid33]],Table1[[#This Row],[Mid30]],Table1[[#This Row],[Mid27]],Table1[[#This Row],[Mid24]],Table1[[#This Row],[Mid21]],Table1[[#This Row],[Mid18]],Table1[[#This Row],[Mid15]],Table1[[#This Row],[Mid12]],Table1[[#This Row],[Mid9]],Table1[[#This Row],[Mid6]],Table1[[#This Row],[Mid3]],Table1[[#This Row],[Mid]])</f>
        <v>76</v>
      </c>
      <c r="CG10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30" t="s">
        <v>157</v>
      </c>
      <c r="CI1030" t="s">
        <v>3125</v>
      </c>
      <c r="CJ1030" t="s">
        <v>158</v>
      </c>
      <c r="CL1030" s="19">
        <f>IF(Table1[[#This Row],[Type]]="Petroleum",1,IF(ISERROR(Table1[[#This Row],[Well Density]]*Table1[[#This Row],[Single Well Discovery Area]]),"",IF(Table1[[#This Row],[Well Density]]*Table1[[#This Row],[Single Well Discovery Area]]&gt;1,1,Table1[[#This Row],[Well Density]]*Table1[[#This Row],[Single Well Discovery Area]])))</f>
        <v>0</v>
      </c>
      <c r="CN1030" s="19">
        <f>Table1[[#This Row],[Mid]]</f>
        <v>0</v>
      </c>
      <c r="CO1030" s="19">
        <f>Table1[[#This Row],[Mid3]]+Table1[[#This Row],[Mid6]]+Table1[[#This Row],[Mid9]]</f>
        <v>0</v>
      </c>
      <c r="CP1030" s="19">
        <f>Table1[[#This Row],[Mid12]]+Table1[[#This Row],[Mid15]]+Table1[[#This Row],[Mid18]]+Table1[[#This Row],[Mid21]]+Table1[[#This Row],[Mid24]]</f>
        <v>0</v>
      </c>
      <c r="CQ1030" s="19">
        <f>Table1[[#This Row],[Mid27]]+Table1[[#This Row],[Mid30]]+Table1[[#This Row],[Mid33]]+Table1[[#This Row],[Mid36]]+Table1[[#This Row],[Mid39]]</f>
        <v>76</v>
      </c>
      <c r="CR1030" t="s">
        <v>415</v>
      </c>
      <c r="CS1030" s="19" t="str">
        <f>IF(AND(Table1[[#This Row],[Low41]]=0, Table1[[#This Row],[High43]]=0),"N","Y")</f>
        <v>N</v>
      </c>
    </row>
    <row r="1031" spans="1:97" ht="19.5" customHeight="1" x14ac:dyDescent="0.25">
      <c r="A1031">
        <v>11030</v>
      </c>
      <c r="B1031" t="s">
        <v>3093</v>
      </c>
      <c r="C1031" t="s">
        <v>3129</v>
      </c>
      <c r="D1031">
        <v>45.32</v>
      </c>
      <c r="E1031">
        <v>0.156111111</v>
      </c>
      <c r="F1031" t="s">
        <v>3151</v>
      </c>
      <c r="G1031" t="s">
        <v>3131</v>
      </c>
      <c r="H1031" t="s">
        <v>167</v>
      </c>
      <c r="I1031" t="s">
        <v>3097</v>
      </c>
      <c r="J1031" t="s">
        <v>119</v>
      </c>
      <c r="K1031" t="s">
        <v>167</v>
      </c>
      <c r="L1031" t="s">
        <v>18</v>
      </c>
      <c r="M1031" t="s">
        <v>392</v>
      </c>
      <c r="N1031" s="6" t="s">
        <v>3140</v>
      </c>
      <c r="O1031" t="s">
        <v>2652</v>
      </c>
      <c r="P1031" t="s">
        <v>2928</v>
      </c>
      <c r="Q1031" t="s">
        <v>3148</v>
      </c>
      <c r="R1031" t="s">
        <v>3149</v>
      </c>
      <c r="S1031">
        <v>2021</v>
      </c>
      <c r="T1031" t="s">
        <v>771</v>
      </c>
      <c r="U1031" t="s">
        <v>1479</v>
      </c>
      <c r="V1031">
        <v>12000</v>
      </c>
      <c r="X1031">
        <v>50</v>
      </c>
      <c r="AE1031">
        <v>0</v>
      </c>
      <c r="AH1031" t="s">
        <v>2259</v>
      </c>
      <c r="AM1031" t="s">
        <v>3143</v>
      </c>
      <c r="AN1031" t="s">
        <v>132</v>
      </c>
      <c r="BZ1031">
        <v>202</v>
      </c>
      <c r="CE10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31" s="19">
        <f>SUM(Table1[[#This Row],[Mid39]],Table1[[#This Row],[Mid36]],Table1[[#This Row],[Mid33]],Table1[[#This Row],[Mid30]],Table1[[#This Row],[Mid27]],Table1[[#This Row],[Mid24]],Table1[[#This Row],[Mid21]],Table1[[#This Row],[Mid18]],Table1[[#This Row],[Mid15]],Table1[[#This Row],[Mid12]],Table1[[#This Row],[Mid9]],Table1[[#This Row],[Mid6]],Table1[[#This Row],[Mid3]],Table1[[#This Row],[Mid]])</f>
        <v>202</v>
      </c>
      <c r="CG10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31" t="s">
        <v>157</v>
      </c>
      <c r="CI1031" t="s">
        <v>3125</v>
      </c>
      <c r="CJ1031" t="s">
        <v>158</v>
      </c>
      <c r="CL1031" s="19">
        <f>IF(Table1[[#This Row],[Type]]="Petroleum",1,IF(ISERROR(Table1[[#This Row],[Well Density]]*Table1[[#This Row],[Single Well Discovery Area]]),"",IF(Table1[[#This Row],[Well Density]]*Table1[[#This Row],[Single Well Discovery Area]]&gt;1,1,Table1[[#This Row],[Well Density]]*Table1[[#This Row],[Single Well Discovery Area]])))</f>
        <v>0</v>
      </c>
      <c r="CN1031" s="19">
        <f>Table1[[#This Row],[Mid]]</f>
        <v>0</v>
      </c>
      <c r="CO1031" s="19">
        <f>Table1[[#This Row],[Mid3]]+Table1[[#This Row],[Mid6]]+Table1[[#This Row],[Mid9]]</f>
        <v>0</v>
      </c>
      <c r="CP1031" s="19">
        <f>Table1[[#This Row],[Mid12]]+Table1[[#This Row],[Mid15]]+Table1[[#This Row],[Mid18]]+Table1[[#This Row],[Mid21]]+Table1[[#This Row],[Mid24]]</f>
        <v>0</v>
      </c>
      <c r="CQ1031" s="19">
        <f>Table1[[#This Row],[Mid27]]+Table1[[#This Row],[Mid30]]+Table1[[#This Row],[Mid33]]+Table1[[#This Row],[Mid36]]+Table1[[#This Row],[Mid39]]</f>
        <v>202</v>
      </c>
      <c r="CR1031" t="s">
        <v>415</v>
      </c>
      <c r="CS1031" s="19" t="str">
        <f>IF(AND(Table1[[#This Row],[Low41]]=0, Table1[[#This Row],[High43]]=0),"N","Y")</f>
        <v>N</v>
      </c>
    </row>
    <row r="1032" spans="1:97" ht="19.5" customHeight="1" x14ac:dyDescent="0.25">
      <c r="A1032">
        <v>11031</v>
      </c>
      <c r="B1032" t="s">
        <v>3093</v>
      </c>
      <c r="C1032" t="s">
        <v>3152</v>
      </c>
      <c r="D1032">
        <v>43.621400000000001</v>
      </c>
      <c r="E1032">
        <v>4.4653999999999998</v>
      </c>
      <c r="F1032" t="s">
        <v>3153</v>
      </c>
      <c r="G1032" t="s">
        <v>3152</v>
      </c>
      <c r="H1032" t="s">
        <v>167</v>
      </c>
      <c r="I1032" t="s">
        <v>3097</v>
      </c>
      <c r="J1032" t="s">
        <v>119</v>
      </c>
      <c r="K1032" t="s">
        <v>167</v>
      </c>
      <c r="L1032" t="s">
        <v>18</v>
      </c>
      <c r="M1032" t="s">
        <v>139</v>
      </c>
      <c r="N1032" s="6" t="s">
        <v>3123</v>
      </c>
      <c r="O1032" t="s">
        <v>2652</v>
      </c>
      <c r="P1032" t="s">
        <v>2928</v>
      </c>
      <c r="Q1032" t="s">
        <v>3154</v>
      </c>
      <c r="R1032" t="s">
        <v>3155</v>
      </c>
      <c r="S1032">
        <v>2021</v>
      </c>
      <c r="T1032" t="s">
        <v>771</v>
      </c>
      <c r="U1032" t="s">
        <v>2875</v>
      </c>
      <c r="V1032">
        <v>63.5</v>
      </c>
      <c r="X1032">
        <v>865</v>
      </c>
      <c r="Z1032">
        <v>15</v>
      </c>
      <c r="AC1032">
        <v>260</v>
      </c>
      <c r="AE1032">
        <v>0</v>
      </c>
      <c r="AH1032" t="s">
        <v>2259</v>
      </c>
      <c r="AI1032">
        <v>2</v>
      </c>
      <c r="AM1032" t="s">
        <v>3156</v>
      </c>
      <c r="AN1032" t="s">
        <v>132</v>
      </c>
      <c r="BQ1032">
        <v>24</v>
      </c>
      <c r="CE103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32" s="19">
        <f>SUM(Table1[[#This Row],[Mid39]],Table1[[#This Row],[Mid36]],Table1[[#This Row],[Mid33]],Table1[[#This Row],[Mid30]],Table1[[#This Row],[Mid27]],Table1[[#This Row],[Mid24]],Table1[[#This Row],[Mid21]],Table1[[#This Row],[Mid18]],Table1[[#This Row],[Mid15]],Table1[[#This Row],[Mid12]],Table1[[#This Row],[Mid9]],Table1[[#This Row],[Mid6]],Table1[[#This Row],[Mid3]],Table1[[#This Row],[Mid]])</f>
        <v>24</v>
      </c>
      <c r="CG10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32" t="s">
        <v>157</v>
      </c>
      <c r="CI1032" t="s">
        <v>3125</v>
      </c>
      <c r="CJ1032" t="s">
        <v>158</v>
      </c>
      <c r="CL1032" s="19">
        <f>IF(Table1[[#This Row],[Type]]="Petroleum",1,IF(ISERROR(Table1[[#This Row],[Well Density]]*Table1[[#This Row],[Single Well Discovery Area]]),"",IF(Table1[[#This Row],[Well Density]]*Table1[[#This Row],[Single Well Discovery Area]]&gt;1,1,Table1[[#This Row],[Well Density]]*Table1[[#This Row],[Single Well Discovery Area]])))</f>
        <v>0</v>
      </c>
      <c r="CN1032" s="19">
        <f>Table1[[#This Row],[Mid]]</f>
        <v>0</v>
      </c>
      <c r="CO1032" s="19">
        <f>Table1[[#This Row],[Mid3]]+Table1[[#This Row],[Mid6]]+Table1[[#This Row],[Mid9]]</f>
        <v>0</v>
      </c>
      <c r="CP1032" s="19">
        <f>Table1[[#This Row],[Mid12]]+Table1[[#This Row],[Mid15]]+Table1[[#This Row],[Mid18]]+Table1[[#This Row],[Mid21]]+Table1[[#This Row],[Mid24]]</f>
        <v>0</v>
      </c>
      <c r="CQ1032" s="19">
        <f>Table1[[#This Row],[Mid27]]+Table1[[#This Row],[Mid30]]+Table1[[#This Row],[Mid33]]+Table1[[#This Row],[Mid36]]+Table1[[#This Row],[Mid39]]</f>
        <v>24</v>
      </c>
      <c r="CR1032" t="s">
        <v>415</v>
      </c>
      <c r="CS1032" s="19" t="str">
        <f>IF(AND(Table1[[#This Row],[Low41]]=0, Table1[[#This Row],[High43]]=0),"N","Y")</f>
        <v>N</v>
      </c>
    </row>
    <row r="1033" spans="1:97" ht="19.5" customHeight="1" x14ac:dyDescent="0.25">
      <c r="A1033">
        <v>11032</v>
      </c>
      <c r="B1033" t="s">
        <v>3093</v>
      </c>
      <c r="C1033" t="s">
        <v>3152</v>
      </c>
      <c r="D1033">
        <v>43.502899999999997</v>
      </c>
      <c r="E1033">
        <v>4.1332000000000004</v>
      </c>
      <c r="F1033" t="s">
        <v>3157</v>
      </c>
      <c r="G1033" t="s">
        <v>3152</v>
      </c>
      <c r="H1033" t="s">
        <v>167</v>
      </c>
      <c r="I1033" t="s">
        <v>3097</v>
      </c>
      <c r="J1033" t="s">
        <v>119</v>
      </c>
      <c r="K1033" t="s">
        <v>167</v>
      </c>
      <c r="L1033" t="s">
        <v>18</v>
      </c>
      <c r="M1033" t="s">
        <v>139</v>
      </c>
      <c r="N1033" s="6" t="s">
        <v>3123</v>
      </c>
      <c r="O1033" t="s">
        <v>2652</v>
      </c>
      <c r="P1033" t="s">
        <v>2928</v>
      </c>
      <c r="Q1033" t="s">
        <v>3158</v>
      </c>
      <c r="R1033" t="s">
        <v>3155</v>
      </c>
      <c r="S1033">
        <v>2021</v>
      </c>
      <c r="T1033" t="s">
        <v>771</v>
      </c>
      <c r="U1033" t="s">
        <v>2875</v>
      </c>
      <c r="V1033">
        <v>58.6</v>
      </c>
      <c r="X1033">
        <v>800</v>
      </c>
      <c r="Z1033">
        <v>15</v>
      </c>
      <c r="AC1033">
        <v>290</v>
      </c>
      <c r="AE1033">
        <v>0</v>
      </c>
      <c r="AH1033" t="s">
        <v>2259</v>
      </c>
      <c r="AI1033">
        <v>2</v>
      </c>
      <c r="AM1033" t="s">
        <v>3156</v>
      </c>
      <c r="AN1033" t="s">
        <v>132</v>
      </c>
      <c r="BQ1033">
        <v>22.8</v>
      </c>
      <c r="CE103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33" s="19">
        <f>SUM(Table1[[#This Row],[Mid39]],Table1[[#This Row],[Mid36]],Table1[[#This Row],[Mid33]],Table1[[#This Row],[Mid30]],Table1[[#This Row],[Mid27]],Table1[[#This Row],[Mid24]],Table1[[#This Row],[Mid21]],Table1[[#This Row],[Mid18]],Table1[[#This Row],[Mid15]],Table1[[#This Row],[Mid12]],Table1[[#This Row],[Mid9]],Table1[[#This Row],[Mid6]],Table1[[#This Row],[Mid3]],Table1[[#This Row],[Mid]])</f>
        <v>22.8</v>
      </c>
      <c r="CG10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33" t="s">
        <v>157</v>
      </c>
      <c r="CI1033" t="s">
        <v>3125</v>
      </c>
      <c r="CJ1033" t="s">
        <v>158</v>
      </c>
      <c r="CL1033" s="19">
        <f>IF(Table1[[#This Row],[Type]]="Petroleum",1,IF(ISERROR(Table1[[#This Row],[Well Density]]*Table1[[#This Row],[Single Well Discovery Area]]),"",IF(Table1[[#This Row],[Well Density]]*Table1[[#This Row],[Single Well Discovery Area]]&gt;1,1,Table1[[#This Row],[Well Density]]*Table1[[#This Row],[Single Well Discovery Area]])))</f>
        <v>0</v>
      </c>
      <c r="CN1033" s="19">
        <f>Table1[[#This Row],[Mid]]</f>
        <v>0</v>
      </c>
      <c r="CO1033" s="19">
        <f>Table1[[#This Row],[Mid3]]+Table1[[#This Row],[Mid6]]+Table1[[#This Row],[Mid9]]</f>
        <v>0</v>
      </c>
      <c r="CP1033" s="19">
        <f>Table1[[#This Row],[Mid12]]+Table1[[#This Row],[Mid15]]+Table1[[#This Row],[Mid18]]+Table1[[#This Row],[Mid21]]+Table1[[#This Row],[Mid24]]</f>
        <v>0</v>
      </c>
      <c r="CQ1033" s="19">
        <f>Table1[[#This Row],[Mid27]]+Table1[[#This Row],[Mid30]]+Table1[[#This Row],[Mid33]]+Table1[[#This Row],[Mid36]]+Table1[[#This Row],[Mid39]]</f>
        <v>22.8</v>
      </c>
      <c r="CR1033" t="s">
        <v>415</v>
      </c>
      <c r="CS1033" s="19" t="str">
        <f>IF(AND(Table1[[#This Row],[Low41]]=0, Table1[[#This Row],[High43]]=0),"N","Y")</f>
        <v>N</v>
      </c>
    </row>
    <row r="1034" spans="1:97" ht="19.5" customHeight="1" x14ac:dyDescent="0.25">
      <c r="A1034">
        <v>11033</v>
      </c>
      <c r="B1034" t="s">
        <v>3159</v>
      </c>
      <c r="C1034" t="s">
        <v>3160</v>
      </c>
      <c r="D1034">
        <v>45.450555559999998</v>
      </c>
      <c r="E1034">
        <v>9.6669444440000003</v>
      </c>
      <c r="F1034" t="s">
        <v>3161</v>
      </c>
      <c r="G1034" t="s">
        <v>3162</v>
      </c>
      <c r="H1034" t="s">
        <v>3163</v>
      </c>
      <c r="I1034" t="s">
        <v>118</v>
      </c>
      <c r="J1034" t="s">
        <v>119</v>
      </c>
      <c r="K1034" t="s">
        <v>167</v>
      </c>
      <c r="L1034" t="s">
        <v>121</v>
      </c>
      <c r="M1034" t="s">
        <v>3163</v>
      </c>
      <c r="N1034" s="6" t="s">
        <v>3164</v>
      </c>
      <c r="O1034" t="s">
        <v>2652</v>
      </c>
      <c r="P1034" t="s">
        <v>1150</v>
      </c>
      <c r="Q1034" t="s">
        <v>3165</v>
      </c>
      <c r="R1034" t="s">
        <v>3166</v>
      </c>
      <c r="S1034">
        <v>2014</v>
      </c>
      <c r="T1034" t="s">
        <v>771</v>
      </c>
      <c r="U1034" t="s">
        <v>2875</v>
      </c>
      <c r="V1034"/>
      <c r="W1034">
        <v>1185</v>
      </c>
      <c r="X1034">
        <v>193</v>
      </c>
      <c r="Z1034">
        <v>0.3</v>
      </c>
      <c r="AB1034">
        <v>45000</v>
      </c>
      <c r="AC1034">
        <v>650</v>
      </c>
      <c r="AF1034">
        <v>200</v>
      </c>
      <c r="AG1034">
        <v>6</v>
      </c>
      <c r="AH1034" t="s">
        <v>2259</v>
      </c>
      <c r="AM1034" t="s">
        <v>3167</v>
      </c>
      <c r="AN1034" t="s">
        <v>132</v>
      </c>
      <c r="BQ1034">
        <v>105.98016</v>
      </c>
      <c r="CE103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34" s="19">
        <f>SUM(Table1[[#This Row],[Mid39]],Table1[[#This Row],[Mid36]],Table1[[#This Row],[Mid33]],Table1[[#This Row],[Mid30]],Table1[[#This Row],[Mid27]],Table1[[#This Row],[Mid24]],Table1[[#This Row],[Mid21]],Table1[[#This Row],[Mid18]],Table1[[#This Row],[Mid15]],Table1[[#This Row],[Mid12]],Table1[[#This Row],[Mid9]],Table1[[#This Row],[Mid6]],Table1[[#This Row],[Mid3]],Table1[[#This Row],[Mid]])</f>
        <v>105.98016</v>
      </c>
      <c r="CG10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34" t="s">
        <v>157</v>
      </c>
      <c r="CI1034" t="s">
        <v>134</v>
      </c>
      <c r="CJ1034" t="s">
        <v>158</v>
      </c>
      <c r="CL1034" s="19">
        <f>IF(Table1[[#This Row],[Type]]="Petroleum",1,IF(ISERROR(Table1[[#This Row],[Well Density]]*Table1[[#This Row],[Single Well Discovery Area]]),"",IF(Table1[[#This Row],[Well Density]]*Table1[[#This Row],[Single Well Discovery Area]]&gt;1,1,Table1[[#This Row],[Well Density]]*Table1[[#This Row],[Single Well Discovery Area]])))</f>
        <v>0</v>
      </c>
      <c r="CN1034" s="19">
        <f>Table1[[#This Row],[Mid]]</f>
        <v>0</v>
      </c>
      <c r="CO1034" s="19">
        <f>Table1[[#This Row],[Mid3]]+Table1[[#This Row],[Mid6]]+Table1[[#This Row],[Mid9]]</f>
        <v>0</v>
      </c>
      <c r="CP1034" s="19">
        <f>Table1[[#This Row],[Mid12]]+Table1[[#This Row],[Mid15]]+Table1[[#This Row],[Mid18]]+Table1[[#This Row],[Mid21]]+Table1[[#This Row],[Mid24]]</f>
        <v>0</v>
      </c>
      <c r="CQ1034" s="19">
        <f>Table1[[#This Row],[Mid27]]+Table1[[#This Row],[Mid30]]+Table1[[#This Row],[Mid33]]+Table1[[#This Row],[Mid36]]+Table1[[#This Row],[Mid39]]</f>
        <v>105.98016</v>
      </c>
      <c r="CR1034" t="s">
        <v>415</v>
      </c>
      <c r="CS1034" s="19" t="str">
        <f>IF(AND(Table1[[#This Row],[Low41]]=0, Table1[[#This Row],[High43]]=0),"N","Y")</f>
        <v>N</v>
      </c>
    </row>
    <row r="1035" spans="1:97" ht="19.5" customHeight="1" x14ac:dyDescent="0.25">
      <c r="A1035">
        <v>11034</v>
      </c>
      <c r="B1035" t="s">
        <v>3159</v>
      </c>
      <c r="C1035" t="s">
        <v>3160</v>
      </c>
      <c r="D1035">
        <v>45.070555560000003</v>
      </c>
      <c r="E1035">
        <v>11.14083333</v>
      </c>
      <c r="F1035" t="s">
        <v>3168</v>
      </c>
      <c r="G1035" t="s">
        <v>3162</v>
      </c>
      <c r="H1035" t="s">
        <v>3169</v>
      </c>
      <c r="I1035" t="s">
        <v>118</v>
      </c>
      <c r="J1035" t="s">
        <v>119</v>
      </c>
      <c r="K1035" t="s">
        <v>167</v>
      </c>
      <c r="L1035" t="s">
        <v>121</v>
      </c>
      <c r="M1035" t="s">
        <v>2761</v>
      </c>
      <c r="N1035" s="6" t="s">
        <v>3170</v>
      </c>
      <c r="O1035" t="s">
        <v>2652</v>
      </c>
      <c r="P1035" t="s">
        <v>1150</v>
      </c>
      <c r="Q1035" t="s">
        <v>3165</v>
      </c>
      <c r="R1035" t="s">
        <v>3166</v>
      </c>
      <c r="S1035">
        <v>2014</v>
      </c>
      <c r="T1035" t="s">
        <v>771</v>
      </c>
      <c r="U1035" t="s">
        <v>2875</v>
      </c>
      <c r="V1035">
        <v>16</v>
      </c>
      <c r="W1035">
        <v>1165</v>
      </c>
      <c r="X1035">
        <v>330</v>
      </c>
      <c r="Z1035">
        <v>0.3</v>
      </c>
      <c r="AB1035">
        <v>90000</v>
      </c>
      <c r="AC1035">
        <v>620</v>
      </c>
      <c r="AE1035">
        <v>0</v>
      </c>
      <c r="AF1035">
        <v>200</v>
      </c>
      <c r="AG1035">
        <v>0</v>
      </c>
      <c r="AH1035" t="s">
        <v>2259</v>
      </c>
      <c r="AM1035" t="s">
        <v>3167</v>
      </c>
      <c r="AN1035" t="s">
        <v>132</v>
      </c>
      <c r="BQ1035">
        <v>824.94719999999995</v>
      </c>
      <c r="CE103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35" s="19">
        <f>SUM(Table1[[#This Row],[Mid39]],Table1[[#This Row],[Mid36]],Table1[[#This Row],[Mid33]],Table1[[#This Row],[Mid30]],Table1[[#This Row],[Mid27]],Table1[[#This Row],[Mid24]],Table1[[#This Row],[Mid21]],Table1[[#This Row],[Mid18]],Table1[[#This Row],[Mid15]],Table1[[#This Row],[Mid12]],Table1[[#This Row],[Mid9]],Table1[[#This Row],[Mid6]],Table1[[#This Row],[Mid3]],Table1[[#This Row],[Mid]])</f>
        <v>824.94719999999995</v>
      </c>
      <c r="CG10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35" t="s">
        <v>157</v>
      </c>
      <c r="CI1035" t="s">
        <v>134</v>
      </c>
      <c r="CJ1035" t="s">
        <v>158</v>
      </c>
      <c r="CL1035" s="19">
        <f>IF(Table1[[#This Row],[Type]]="Petroleum",1,IF(ISERROR(Table1[[#This Row],[Well Density]]*Table1[[#This Row],[Single Well Discovery Area]]),"",IF(Table1[[#This Row],[Well Density]]*Table1[[#This Row],[Single Well Discovery Area]]&gt;1,1,Table1[[#This Row],[Well Density]]*Table1[[#This Row],[Single Well Discovery Area]])))</f>
        <v>0</v>
      </c>
      <c r="CN1035" s="19">
        <f>Table1[[#This Row],[Mid]]</f>
        <v>0</v>
      </c>
      <c r="CO1035" s="19">
        <f>Table1[[#This Row],[Mid3]]+Table1[[#This Row],[Mid6]]+Table1[[#This Row],[Mid9]]</f>
        <v>0</v>
      </c>
      <c r="CP1035" s="19">
        <f>Table1[[#This Row],[Mid12]]+Table1[[#This Row],[Mid15]]+Table1[[#This Row],[Mid18]]+Table1[[#This Row],[Mid21]]+Table1[[#This Row],[Mid24]]</f>
        <v>0</v>
      </c>
      <c r="CQ1035" s="19">
        <f>Table1[[#This Row],[Mid27]]+Table1[[#This Row],[Mid30]]+Table1[[#This Row],[Mid33]]+Table1[[#This Row],[Mid36]]+Table1[[#This Row],[Mid39]]</f>
        <v>824.94719999999995</v>
      </c>
      <c r="CR1035" t="s">
        <v>415</v>
      </c>
      <c r="CS1035" s="19" t="str">
        <f>IF(AND(Table1[[#This Row],[Low41]]=0, Table1[[#This Row],[High43]]=0),"N","Y")</f>
        <v>N</v>
      </c>
    </row>
    <row r="1036" spans="1:97" ht="19.5" customHeight="1" x14ac:dyDescent="0.25">
      <c r="A1036">
        <v>11035</v>
      </c>
      <c r="B1036" t="s">
        <v>3159</v>
      </c>
      <c r="C1036" t="s">
        <v>3160</v>
      </c>
      <c r="D1036">
        <v>44.718888890000002</v>
      </c>
      <c r="E1036">
        <v>11.404444440000001</v>
      </c>
      <c r="F1036" t="s">
        <v>3171</v>
      </c>
      <c r="G1036" t="s">
        <v>3162</v>
      </c>
      <c r="H1036" t="s">
        <v>3172</v>
      </c>
      <c r="I1036" t="s">
        <v>118</v>
      </c>
      <c r="J1036" t="s">
        <v>119</v>
      </c>
      <c r="K1036" t="s">
        <v>167</v>
      </c>
      <c r="L1036" t="s">
        <v>121</v>
      </c>
      <c r="M1036" t="s">
        <v>2761</v>
      </c>
      <c r="N1036" s="6" t="s">
        <v>3173</v>
      </c>
      <c r="O1036" t="s">
        <v>2652</v>
      </c>
      <c r="P1036" t="s">
        <v>1150</v>
      </c>
      <c r="Q1036" t="s">
        <v>3174</v>
      </c>
      <c r="R1036" t="s">
        <v>3166</v>
      </c>
      <c r="S1036">
        <v>2014</v>
      </c>
      <c r="T1036" t="s">
        <v>771</v>
      </c>
      <c r="U1036" t="s">
        <v>2875</v>
      </c>
      <c r="V1036">
        <v>672</v>
      </c>
      <c r="W1036">
        <v>1253</v>
      </c>
      <c r="X1036">
        <v>615</v>
      </c>
      <c r="Z1036">
        <v>0.37</v>
      </c>
      <c r="AB1036">
        <v>150000</v>
      </c>
      <c r="AC1036">
        <v>610</v>
      </c>
      <c r="AE1036">
        <v>0</v>
      </c>
      <c r="AF1036">
        <v>200</v>
      </c>
      <c r="AG1036">
        <v>98</v>
      </c>
      <c r="AH1036" t="s">
        <v>2259</v>
      </c>
      <c r="AM1036" t="s">
        <v>3167</v>
      </c>
      <c r="AN1036" t="s">
        <v>132</v>
      </c>
      <c r="BQ1036">
        <v>649.96774159999995</v>
      </c>
      <c r="CE10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36" s="19">
        <f>SUM(Table1[[#This Row],[Mid39]],Table1[[#This Row],[Mid36]],Table1[[#This Row],[Mid33]],Table1[[#This Row],[Mid30]],Table1[[#This Row],[Mid27]],Table1[[#This Row],[Mid24]],Table1[[#This Row],[Mid21]],Table1[[#This Row],[Mid18]],Table1[[#This Row],[Mid15]],Table1[[#This Row],[Mid12]],Table1[[#This Row],[Mid9]],Table1[[#This Row],[Mid6]],Table1[[#This Row],[Mid3]],Table1[[#This Row],[Mid]])</f>
        <v>649.96774159999995</v>
      </c>
      <c r="CG10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36" t="s">
        <v>157</v>
      </c>
      <c r="CI1036" t="s">
        <v>134</v>
      </c>
      <c r="CJ1036" t="s">
        <v>158</v>
      </c>
      <c r="CL1036" s="19">
        <f>IF(Table1[[#This Row],[Type]]="Petroleum",1,IF(ISERROR(Table1[[#This Row],[Well Density]]*Table1[[#This Row],[Single Well Discovery Area]]),"",IF(Table1[[#This Row],[Well Density]]*Table1[[#This Row],[Single Well Discovery Area]]&gt;1,1,Table1[[#This Row],[Well Density]]*Table1[[#This Row],[Single Well Discovery Area]])))</f>
        <v>0</v>
      </c>
      <c r="CN1036" s="19">
        <f>Table1[[#This Row],[Mid]]</f>
        <v>0</v>
      </c>
      <c r="CO1036" s="19">
        <f>Table1[[#This Row],[Mid3]]+Table1[[#This Row],[Mid6]]+Table1[[#This Row],[Mid9]]</f>
        <v>0</v>
      </c>
      <c r="CP1036" s="19">
        <f>Table1[[#This Row],[Mid12]]+Table1[[#This Row],[Mid15]]+Table1[[#This Row],[Mid18]]+Table1[[#This Row],[Mid21]]+Table1[[#This Row],[Mid24]]</f>
        <v>0</v>
      </c>
      <c r="CQ1036" s="19">
        <f>Table1[[#This Row],[Mid27]]+Table1[[#This Row],[Mid30]]+Table1[[#This Row],[Mid33]]+Table1[[#This Row],[Mid36]]+Table1[[#This Row],[Mid39]]</f>
        <v>649.96774159999995</v>
      </c>
      <c r="CR1036" t="s">
        <v>415</v>
      </c>
      <c r="CS1036" s="19" t="str">
        <f>IF(AND(Table1[[#This Row],[Low41]]=0, Table1[[#This Row],[High43]]=0),"N","Y")</f>
        <v>N</v>
      </c>
    </row>
    <row r="1037" spans="1:97" ht="19.5" customHeight="1" x14ac:dyDescent="0.25">
      <c r="A1037">
        <v>11036</v>
      </c>
      <c r="B1037" t="s">
        <v>3159</v>
      </c>
      <c r="C1037" t="s">
        <v>3160</v>
      </c>
      <c r="D1037">
        <v>44.304444439999997</v>
      </c>
      <c r="E1037">
        <v>12.059722219999999</v>
      </c>
      <c r="F1037" t="s">
        <v>3175</v>
      </c>
      <c r="G1037" t="s">
        <v>3162</v>
      </c>
      <c r="H1037" t="s">
        <v>3176</v>
      </c>
      <c r="I1037" t="s">
        <v>118</v>
      </c>
      <c r="J1037" t="s">
        <v>119</v>
      </c>
      <c r="K1037" t="s">
        <v>167</v>
      </c>
      <c r="L1037" t="s">
        <v>121</v>
      </c>
      <c r="M1037" t="s">
        <v>2761</v>
      </c>
      <c r="N1037" s="6" t="s">
        <v>3177</v>
      </c>
      <c r="O1037" t="s">
        <v>2652</v>
      </c>
      <c r="P1037" t="s">
        <v>1150</v>
      </c>
      <c r="Q1037" t="s">
        <v>3174</v>
      </c>
      <c r="R1037" t="s">
        <v>3166</v>
      </c>
      <c r="S1037">
        <v>2014</v>
      </c>
      <c r="T1037" t="s">
        <v>771</v>
      </c>
      <c r="U1037" t="s">
        <v>2875</v>
      </c>
      <c r="V1037">
        <v>654.54</v>
      </c>
      <c r="W1037">
        <v>1325</v>
      </c>
      <c r="X1037">
        <v>188</v>
      </c>
      <c r="Z1037">
        <v>0.35</v>
      </c>
      <c r="AC1037">
        <v>680</v>
      </c>
      <c r="AE1037">
        <v>0</v>
      </c>
      <c r="AF1037">
        <v>200</v>
      </c>
      <c r="AG1037">
        <v>0</v>
      </c>
      <c r="AH1037" t="s">
        <v>2259</v>
      </c>
      <c r="AM1037" t="s">
        <v>3167</v>
      </c>
      <c r="AN1037" t="s">
        <v>132</v>
      </c>
      <c r="BQ1037">
        <v>56.972034069999999</v>
      </c>
      <c r="CE103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37" s="19">
        <f>SUM(Table1[[#This Row],[Mid39]],Table1[[#This Row],[Mid36]],Table1[[#This Row],[Mid33]],Table1[[#This Row],[Mid30]],Table1[[#This Row],[Mid27]],Table1[[#This Row],[Mid24]],Table1[[#This Row],[Mid21]],Table1[[#This Row],[Mid18]],Table1[[#This Row],[Mid15]],Table1[[#This Row],[Mid12]],Table1[[#This Row],[Mid9]],Table1[[#This Row],[Mid6]],Table1[[#This Row],[Mid3]],Table1[[#This Row],[Mid]])</f>
        <v>56.972034069999999</v>
      </c>
      <c r="CG10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37" t="s">
        <v>157</v>
      </c>
      <c r="CI1037" t="s">
        <v>134</v>
      </c>
      <c r="CJ1037" t="s">
        <v>158</v>
      </c>
      <c r="CL1037" s="19">
        <f>IF(Table1[[#This Row],[Type]]="Petroleum",1,IF(ISERROR(Table1[[#This Row],[Well Density]]*Table1[[#This Row],[Single Well Discovery Area]]),"",IF(Table1[[#This Row],[Well Density]]*Table1[[#This Row],[Single Well Discovery Area]]&gt;1,1,Table1[[#This Row],[Well Density]]*Table1[[#This Row],[Single Well Discovery Area]])))</f>
        <v>0</v>
      </c>
      <c r="CN1037" s="19">
        <f>Table1[[#This Row],[Mid]]</f>
        <v>0</v>
      </c>
      <c r="CO1037" s="19">
        <f>Table1[[#This Row],[Mid3]]+Table1[[#This Row],[Mid6]]+Table1[[#This Row],[Mid9]]</f>
        <v>0</v>
      </c>
      <c r="CP1037" s="19">
        <f>Table1[[#This Row],[Mid12]]+Table1[[#This Row],[Mid15]]+Table1[[#This Row],[Mid18]]+Table1[[#This Row],[Mid21]]+Table1[[#This Row],[Mid24]]</f>
        <v>0</v>
      </c>
      <c r="CQ1037" s="19">
        <f>Table1[[#This Row],[Mid27]]+Table1[[#This Row],[Mid30]]+Table1[[#This Row],[Mid33]]+Table1[[#This Row],[Mid36]]+Table1[[#This Row],[Mid39]]</f>
        <v>56.972034069999999</v>
      </c>
      <c r="CR1037" t="s">
        <v>415</v>
      </c>
      <c r="CS1037" s="19" t="str">
        <f>IF(AND(Table1[[#This Row],[Low41]]=0, Table1[[#This Row],[High43]]=0),"N","Y")</f>
        <v>N</v>
      </c>
    </row>
    <row r="1038" spans="1:97" ht="19.5" customHeight="1" x14ac:dyDescent="0.25">
      <c r="A1038">
        <v>11037</v>
      </c>
      <c r="B1038" t="s">
        <v>3159</v>
      </c>
      <c r="C1038" t="s">
        <v>3178</v>
      </c>
      <c r="D1038">
        <v>44.11972222</v>
      </c>
      <c r="E1038">
        <v>12.81916667</v>
      </c>
      <c r="F1038" t="s">
        <v>3179</v>
      </c>
      <c r="G1038" t="s">
        <v>3162</v>
      </c>
      <c r="H1038" t="s">
        <v>3180</v>
      </c>
      <c r="I1038" t="s">
        <v>118</v>
      </c>
      <c r="J1038" t="s">
        <v>119</v>
      </c>
      <c r="K1038" t="s">
        <v>167</v>
      </c>
      <c r="L1038" t="s">
        <v>121</v>
      </c>
      <c r="M1038" t="s">
        <v>2761</v>
      </c>
      <c r="N1038" s="6" t="s">
        <v>3181</v>
      </c>
      <c r="O1038" t="s">
        <v>2652</v>
      </c>
      <c r="P1038" t="s">
        <v>1150</v>
      </c>
      <c r="Q1038" t="s">
        <v>3174</v>
      </c>
      <c r="R1038" t="s">
        <v>3166</v>
      </c>
      <c r="S1038">
        <v>2014</v>
      </c>
      <c r="T1038" t="s">
        <v>771</v>
      </c>
      <c r="U1038" t="s">
        <v>2875</v>
      </c>
      <c r="V1038">
        <v>0</v>
      </c>
      <c r="W1038">
        <v>1325</v>
      </c>
      <c r="X1038">
        <v>800</v>
      </c>
      <c r="Z1038">
        <v>0.4</v>
      </c>
      <c r="AC1038">
        <v>650</v>
      </c>
      <c r="AF1038">
        <v>200</v>
      </c>
      <c r="AG1038">
        <v>140</v>
      </c>
      <c r="AH1038" t="s">
        <v>2259</v>
      </c>
      <c r="AM1038" t="s">
        <v>3167</v>
      </c>
      <c r="AN1038" t="s">
        <v>132</v>
      </c>
      <c r="BQ1038">
        <v>234</v>
      </c>
      <c r="BR1038">
        <v>820</v>
      </c>
      <c r="CE103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38" s="19">
        <f>SUM(Table1[[#This Row],[Mid39]],Table1[[#This Row],[Mid36]],Table1[[#This Row],[Mid33]],Table1[[#This Row],[Mid30]],Table1[[#This Row],[Mid27]],Table1[[#This Row],[Mid24]],Table1[[#This Row],[Mid21]],Table1[[#This Row],[Mid18]],Table1[[#This Row],[Mid15]],Table1[[#This Row],[Mid12]],Table1[[#This Row],[Mid9]],Table1[[#This Row],[Mid6]],Table1[[#This Row],[Mid3]],Table1[[#This Row],[Mid]])</f>
        <v>234</v>
      </c>
      <c r="CG10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820</v>
      </c>
      <c r="CH1038" t="s">
        <v>157</v>
      </c>
      <c r="CI1038" t="s">
        <v>134</v>
      </c>
      <c r="CJ1038" t="s">
        <v>158</v>
      </c>
      <c r="CL1038" s="19">
        <f>IF(Table1[[#This Row],[Type]]="Petroleum",1,IF(ISERROR(Table1[[#This Row],[Well Density]]*Table1[[#This Row],[Single Well Discovery Area]]),"",IF(Table1[[#This Row],[Well Density]]*Table1[[#This Row],[Single Well Discovery Area]]&gt;1,1,Table1[[#This Row],[Well Density]]*Table1[[#This Row],[Single Well Discovery Area]])))</f>
        <v>0</v>
      </c>
      <c r="CN1038" s="19">
        <f>Table1[[#This Row],[Mid]]</f>
        <v>0</v>
      </c>
      <c r="CO1038" s="19">
        <f>Table1[[#This Row],[Mid3]]+Table1[[#This Row],[Mid6]]+Table1[[#This Row],[Mid9]]</f>
        <v>0</v>
      </c>
      <c r="CP1038" s="19">
        <f>Table1[[#This Row],[Mid12]]+Table1[[#This Row],[Mid15]]+Table1[[#This Row],[Mid18]]+Table1[[#This Row],[Mid21]]+Table1[[#This Row],[Mid24]]</f>
        <v>0</v>
      </c>
      <c r="CQ1038" s="19">
        <f>Table1[[#This Row],[Mid27]]+Table1[[#This Row],[Mid30]]+Table1[[#This Row],[Mid33]]+Table1[[#This Row],[Mid36]]+Table1[[#This Row],[Mid39]]</f>
        <v>234</v>
      </c>
      <c r="CR1038" t="s">
        <v>415</v>
      </c>
      <c r="CS1038" s="19" t="str">
        <f>IF(AND(Table1[[#This Row],[Low41]]=0, Table1[[#This Row],[High43]]=0),"N","Y")</f>
        <v>Y</v>
      </c>
    </row>
    <row r="1039" spans="1:97" ht="19.5" customHeight="1" x14ac:dyDescent="0.25">
      <c r="A1039">
        <v>11038</v>
      </c>
      <c r="B1039" t="s">
        <v>3159</v>
      </c>
      <c r="C1039" t="s">
        <v>3182</v>
      </c>
      <c r="D1039">
        <v>43.438888890000001</v>
      </c>
      <c r="E1039">
        <v>13.339166669999999</v>
      </c>
      <c r="F1039" t="s">
        <v>3183</v>
      </c>
      <c r="G1039" t="s">
        <v>3184</v>
      </c>
      <c r="H1039" t="s">
        <v>3185</v>
      </c>
      <c r="I1039" t="s">
        <v>118</v>
      </c>
      <c r="J1039" t="s">
        <v>119</v>
      </c>
      <c r="K1039" t="s">
        <v>167</v>
      </c>
      <c r="L1039" t="s">
        <v>121</v>
      </c>
      <c r="N1039" s="6" t="s">
        <v>3186</v>
      </c>
      <c r="O1039" t="s">
        <v>2652</v>
      </c>
      <c r="P1039" t="s">
        <v>1150</v>
      </c>
      <c r="Q1039" t="s">
        <v>3174</v>
      </c>
      <c r="R1039" t="s">
        <v>3166</v>
      </c>
      <c r="S1039">
        <v>2014</v>
      </c>
      <c r="T1039" t="s">
        <v>771</v>
      </c>
      <c r="U1039" t="s">
        <v>2875</v>
      </c>
      <c r="V1039">
        <v>100</v>
      </c>
      <c r="W1039">
        <v>1300</v>
      </c>
      <c r="X1039">
        <v>200</v>
      </c>
      <c r="Z1039">
        <v>0.3</v>
      </c>
      <c r="AB1039">
        <v>58000</v>
      </c>
      <c r="AC1039">
        <v>650</v>
      </c>
      <c r="AE1039">
        <v>0</v>
      </c>
      <c r="AF1039">
        <v>200</v>
      </c>
      <c r="AG1039">
        <v>16</v>
      </c>
      <c r="AH1039" t="s">
        <v>2259</v>
      </c>
      <c r="AM1039" t="s">
        <v>3167</v>
      </c>
      <c r="AN1039" t="s">
        <v>132</v>
      </c>
      <c r="BQ1039">
        <v>561.6</v>
      </c>
      <c r="CE103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39" s="19">
        <f>SUM(Table1[[#This Row],[Mid39]],Table1[[#This Row],[Mid36]],Table1[[#This Row],[Mid33]],Table1[[#This Row],[Mid30]],Table1[[#This Row],[Mid27]],Table1[[#This Row],[Mid24]],Table1[[#This Row],[Mid21]],Table1[[#This Row],[Mid18]],Table1[[#This Row],[Mid15]],Table1[[#This Row],[Mid12]],Table1[[#This Row],[Mid9]],Table1[[#This Row],[Mid6]],Table1[[#This Row],[Mid3]],Table1[[#This Row],[Mid]])</f>
        <v>561.6</v>
      </c>
      <c r="CG10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39" t="s">
        <v>157</v>
      </c>
      <c r="CI1039" t="s">
        <v>134</v>
      </c>
      <c r="CJ1039" t="s">
        <v>158</v>
      </c>
      <c r="CL1039" s="19">
        <f>IF(Table1[[#This Row],[Type]]="Petroleum",1,IF(ISERROR(Table1[[#This Row],[Well Density]]*Table1[[#This Row],[Single Well Discovery Area]]),"",IF(Table1[[#This Row],[Well Density]]*Table1[[#This Row],[Single Well Discovery Area]]&gt;1,1,Table1[[#This Row],[Well Density]]*Table1[[#This Row],[Single Well Discovery Area]])))</f>
        <v>0</v>
      </c>
      <c r="CN1039" s="19">
        <f>Table1[[#This Row],[Mid]]</f>
        <v>0</v>
      </c>
      <c r="CO1039" s="19">
        <f>Table1[[#This Row],[Mid3]]+Table1[[#This Row],[Mid6]]+Table1[[#This Row],[Mid9]]</f>
        <v>0</v>
      </c>
      <c r="CP1039" s="19">
        <f>Table1[[#This Row],[Mid12]]+Table1[[#This Row],[Mid15]]+Table1[[#This Row],[Mid18]]+Table1[[#This Row],[Mid21]]+Table1[[#This Row],[Mid24]]</f>
        <v>0</v>
      </c>
      <c r="CQ1039" s="19">
        <f>Table1[[#This Row],[Mid27]]+Table1[[#This Row],[Mid30]]+Table1[[#This Row],[Mid33]]+Table1[[#This Row],[Mid36]]+Table1[[#This Row],[Mid39]]</f>
        <v>561.6</v>
      </c>
      <c r="CR1039" t="s">
        <v>415</v>
      </c>
      <c r="CS1039" s="19" t="str">
        <f>IF(AND(Table1[[#This Row],[Low41]]=0, Table1[[#This Row],[High43]]=0),"N","Y")</f>
        <v>N</v>
      </c>
    </row>
    <row r="1040" spans="1:97" ht="19.5" customHeight="1" x14ac:dyDescent="0.25">
      <c r="A1040">
        <v>11039</v>
      </c>
      <c r="B1040" t="s">
        <v>3159</v>
      </c>
      <c r="C1040" t="s">
        <v>3182</v>
      </c>
      <c r="D1040">
        <v>42.710277779999998</v>
      </c>
      <c r="E1040">
        <v>13.9025</v>
      </c>
      <c r="F1040" t="s">
        <v>3187</v>
      </c>
      <c r="G1040" t="s">
        <v>3184</v>
      </c>
      <c r="H1040" t="s">
        <v>3188</v>
      </c>
      <c r="I1040" t="s">
        <v>118</v>
      </c>
      <c r="J1040" t="s">
        <v>119</v>
      </c>
      <c r="K1040" t="s">
        <v>167</v>
      </c>
      <c r="L1040" t="s">
        <v>121</v>
      </c>
      <c r="M1040" t="s">
        <v>1529</v>
      </c>
      <c r="N1040" s="6" t="s">
        <v>3189</v>
      </c>
      <c r="O1040" t="s">
        <v>2652</v>
      </c>
      <c r="P1040" t="s">
        <v>1150</v>
      </c>
      <c r="Q1040" t="s">
        <v>3174</v>
      </c>
      <c r="R1040" t="s">
        <v>3166</v>
      </c>
      <c r="S1040">
        <v>2014</v>
      </c>
      <c r="T1040" t="s">
        <v>771</v>
      </c>
      <c r="U1040" t="s">
        <v>2875</v>
      </c>
      <c r="V1040">
        <v>720</v>
      </c>
      <c r="W1040">
        <v>1295</v>
      </c>
      <c r="X1040">
        <v>281</v>
      </c>
      <c r="Z1040">
        <v>0.3</v>
      </c>
      <c r="AB1040">
        <v>73000</v>
      </c>
      <c r="AC1040">
        <v>650</v>
      </c>
      <c r="AE1040">
        <v>0</v>
      </c>
      <c r="AF1040">
        <v>200</v>
      </c>
      <c r="AG1040">
        <v>76</v>
      </c>
      <c r="AH1040" t="s">
        <v>2259</v>
      </c>
      <c r="AM1040" t="s">
        <v>3167</v>
      </c>
      <c r="AN1040" t="s">
        <v>132</v>
      </c>
      <c r="BQ1040">
        <v>778.09995900000001</v>
      </c>
      <c r="CE104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40" s="19">
        <f>SUM(Table1[[#This Row],[Mid39]],Table1[[#This Row],[Mid36]],Table1[[#This Row],[Mid33]],Table1[[#This Row],[Mid30]],Table1[[#This Row],[Mid27]],Table1[[#This Row],[Mid24]],Table1[[#This Row],[Mid21]],Table1[[#This Row],[Mid18]],Table1[[#This Row],[Mid15]],Table1[[#This Row],[Mid12]],Table1[[#This Row],[Mid9]],Table1[[#This Row],[Mid6]],Table1[[#This Row],[Mid3]],Table1[[#This Row],[Mid]])</f>
        <v>778.09995900000001</v>
      </c>
      <c r="CG10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40" t="s">
        <v>157</v>
      </c>
      <c r="CI1040" t="s">
        <v>3190</v>
      </c>
      <c r="CJ1040" t="s">
        <v>158</v>
      </c>
      <c r="CL1040" s="19">
        <f>IF(Table1[[#This Row],[Type]]="Petroleum",1,IF(ISERROR(Table1[[#This Row],[Well Density]]*Table1[[#This Row],[Single Well Discovery Area]]),"",IF(Table1[[#This Row],[Well Density]]*Table1[[#This Row],[Single Well Discovery Area]]&gt;1,1,Table1[[#This Row],[Well Density]]*Table1[[#This Row],[Single Well Discovery Area]])))</f>
        <v>0</v>
      </c>
      <c r="CN1040" s="19">
        <f>Table1[[#This Row],[Mid]]</f>
        <v>0</v>
      </c>
      <c r="CO1040" s="19">
        <f>Table1[[#This Row],[Mid3]]+Table1[[#This Row],[Mid6]]+Table1[[#This Row],[Mid9]]</f>
        <v>0</v>
      </c>
      <c r="CP1040" s="19">
        <f>Table1[[#This Row],[Mid12]]+Table1[[#This Row],[Mid15]]+Table1[[#This Row],[Mid18]]+Table1[[#This Row],[Mid21]]+Table1[[#This Row],[Mid24]]</f>
        <v>0</v>
      </c>
      <c r="CQ1040" s="19">
        <f>Table1[[#This Row],[Mid27]]+Table1[[#This Row],[Mid30]]+Table1[[#This Row],[Mid33]]+Table1[[#This Row],[Mid36]]+Table1[[#This Row],[Mid39]]</f>
        <v>778.09995900000001</v>
      </c>
      <c r="CR1040" t="s">
        <v>415</v>
      </c>
      <c r="CS1040" s="19" t="str">
        <f>IF(AND(Table1[[#This Row],[Low41]]=0, Table1[[#This Row],[High43]]=0),"N","Y")</f>
        <v>N</v>
      </c>
    </row>
    <row r="1041" spans="1:97" ht="19.5" customHeight="1" x14ac:dyDescent="0.25">
      <c r="A1041">
        <v>11040</v>
      </c>
      <c r="B1041" t="s">
        <v>3159</v>
      </c>
      <c r="C1041" t="s">
        <v>3191</v>
      </c>
      <c r="D1041">
        <v>40.521666670000002</v>
      </c>
      <c r="E1041">
        <v>16.57833333</v>
      </c>
      <c r="F1041" t="s">
        <v>3192</v>
      </c>
      <c r="G1041" t="s">
        <v>3193</v>
      </c>
      <c r="H1041" t="s">
        <v>167</v>
      </c>
      <c r="I1041" t="s">
        <v>118</v>
      </c>
      <c r="J1041" t="s">
        <v>119</v>
      </c>
      <c r="K1041" t="s">
        <v>167</v>
      </c>
      <c r="L1041" t="s">
        <v>121</v>
      </c>
      <c r="M1041" t="s">
        <v>1186</v>
      </c>
      <c r="N1041" s="6" t="s">
        <v>3194</v>
      </c>
      <c r="O1041" t="s">
        <v>2652</v>
      </c>
      <c r="P1041" t="s">
        <v>1150</v>
      </c>
      <c r="Q1041" t="s">
        <v>3174</v>
      </c>
      <c r="R1041" t="s">
        <v>3166</v>
      </c>
      <c r="S1041">
        <v>2014</v>
      </c>
      <c r="T1041" t="s">
        <v>771</v>
      </c>
      <c r="U1041" t="s">
        <v>2875</v>
      </c>
      <c r="V1041">
        <v>1050</v>
      </c>
      <c r="W1041">
        <v>1225</v>
      </c>
      <c r="X1041">
        <v>200</v>
      </c>
      <c r="Z1041">
        <v>0.3</v>
      </c>
      <c r="AC1041">
        <v>650</v>
      </c>
      <c r="AE1041">
        <v>0</v>
      </c>
      <c r="AF1041">
        <v>200</v>
      </c>
      <c r="AG1041">
        <v>0</v>
      </c>
      <c r="AH1041" t="s">
        <v>2259</v>
      </c>
      <c r="AI1041">
        <v>2</v>
      </c>
      <c r="AM1041" t="s">
        <v>3167</v>
      </c>
      <c r="AN1041" t="s">
        <v>132</v>
      </c>
      <c r="BN1041">
        <v>766.35</v>
      </c>
      <c r="CE104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41" s="19">
        <f>SUM(Table1[[#This Row],[Mid39]],Table1[[#This Row],[Mid36]],Table1[[#This Row],[Mid33]],Table1[[#This Row],[Mid30]],Table1[[#This Row],[Mid27]],Table1[[#This Row],[Mid24]],Table1[[#This Row],[Mid21]],Table1[[#This Row],[Mid18]],Table1[[#This Row],[Mid15]],Table1[[#This Row],[Mid12]],Table1[[#This Row],[Mid9]],Table1[[#This Row],[Mid6]],Table1[[#This Row],[Mid3]],Table1[[#This Row],[Mid]])</f>
        <v>766.35</v>
      </c>
      <c r="CG10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41" t="s">
        <v>157</v>
      </c>
      <c r="CI1041" t="s">
        <v>134</v>
      </c>
      <c r="CJ1041" t="s">
        <v>158</v>
      </c>
      <c r="CL1041" s="19">
        <f>IF(Table1[[#This Row],[Type]]="Petroleum",1,IF(ISERROR(Table1[[#This Row],[Well Density]]*Table1[[#This Row],[Single Well Discovery Area]]),"",IF(Table1[[#This Row],[Well Density]]*Table1[[#This Row],[Single Well Discovery Area]]&gt;1,1,Table1[[#This Row],[Well Density]]*Table1[[#This Row],[Single Well Discovery Area]])))</f>
        <v>0</v>
      </c>
      <c r="CN1041" s="19">
        <f>Table1[[#This Row],[Mid]]</f>
        <v>0</v>
      </c>
      <c r="CO1041" s="19">
        <f>Table1[[#This Row],[Mid3]]+Table1[[#This Row],[Mid6]]+Table1[[#This Row],[Mid9]]</f>
        <v>0</v>
      </c>
      <c r="CP1041" s="19">
        <f>Table1[[#This Row],[Mid12]]+Table1[[#This Row],[Mid15]]+Table1[[#This Row],[Mid18]]+Table1[[#This Row],[Mid21]]+Table1[[#This Row],[Mid24]]</f>
        <v>766.35</v>
      </c>
      <c r="CQ1041" s="19">
        <f>Table1[[#This Row],[Mid27]]+Table1[[#This Row],[Mid30]]+Table1[[#This Row],[Mid33]]+Table1[[#This Row],[Mid36]]+Table1[[#This Row],[Mid39]]</f>
        <v>0</v>
      </c>
      <c r="CR1041" t="s">
        <v>415</v>
      </c>
      <c r="CS1041" s="19" t="str">
        <f>IF(AND(Table1[[#This Row],[Low41]]=0, Table1[[#This Row],[High43]]=0),"N","Y")</f>
        <v>N</v>
      </c>
    </row>
    <row r="1042" spans="1:97" ht="19.5" customHeight="1" x14ac:dyDescent="0.25">
      <c r="A1042">
        <v>11041</v>
      </c>
      <c r="B1042" t="s">
        <v>3159</v>
      </c>
      <c r="C1042" t="s">
        <v>3191</v>
      </c>
      <c r="D1042">
        <v>39.688333329999999</v>
      </c>
      <c r="E1042">
        <v>16.59222222</v>
      </c>
      <c r="F1042" t="s">
        <v>3195</v>
      </c>
      <c r="G1042" t="s">
        <v>3196</v>
      </c>
      <c r="H1042" t="s">
        <v>167</v>
      </c>
      <c r="I1042" t="s">
        <v>118</v>
      </c>
      <c r="J1042" t="s">
        <v>119</v>
      </c>
      <c r="K1042" t="s">
        <v>167</v>
      </c>
      <c r="L1042" t="s">
        <v>121</v>
      </c>
      <c r="N1042" s="6" t="s">
        <v>3197</v>
      </c>
      <c r="O1042" t="s">
        <v>2652</v>
      </c>
      <c r="P1042" t="s">
        <v>1150</v>
      </c>
      <c r="Q1042" t="s">
        <v>3174</v>
      </c>
      <c r="R1042" t="s">
        <v>3166</v>
      </c>
      <c r="S1042">
        <v>2014</v>
      </c>
      <c r="T1042" t="s">
        <v>771</v>
      </c>
      <c r="U1042" t="s">
        <v>2875</v>
      </c>
      <c r="V1042">
        <v>1310</v>
      </c>
      <c r="W1042">
        <v>1300</v>
      </c>
      <c r="X1042">
        <v>301</v>
      </c>
      <c r="Z1042">
        <v>0.34</v>
      </c>
      <c r="AC1042">
        <v>650</v>
      </c>
      <c r="AE1042">
        <v>0</v>
      </c>
      <c r="AF1042">
        <v>200</v>
      </c>
      <c r="AG1042">
        <v>0</v>
      </c>
      <c r="AH1042" t="s">
        <v>2259</v>
      </c>
      <c r="AM1042" t="s">
        <v>3167</v>
      </c>
      <c r="AN1042" t="s">
        <v>132</v>
      </c>
      <c r="BQ1042">
        <v>79.5657681</v>
      </c>
      <c r="CE10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42" s="19">
        <f>SUM(Table1[[#This Row],[Mid39]],Table1[[#This Row],[Mid36]],Table1[[#This Row],[Mid33]],Table1[[#This Row],[Mid30]],Table1[[#This Row],[Mid27]],Table1[[#This Row],[Mid24]],Table1[[#This Row],[Mid21]],Table1[[#This Row],[Mid18]],Table1[[#This Row],[Mid15]],Table1[[#This Row],[Mid12]],Table1[[#This Row],[Mid9]],Table1[[#This Row],[Mid6]],Table1[[#This Row],[Mid3]],Table1[[#This Row],[Mid]])</f>
        <v>79.5657681</v>
      </c>
      <c r="CG10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42" t="s">
        <v>157</v>
      </c>
      <c r="CI1042" t="s">
        <v>134</v>
      </c>
      <c r="CJ1042" t="s">
        <v>158</v>
      </c>
      <c r="CL1042" s="19">
        <f>IF(Table1[[#This Row],[Type]]="Petroleum",1,IF(ISERROR(Table1[[#This Row],[Well Density]]*Table1[[#This Row],[Single Well Discovery Area]]),"",IF(Table1[[#This Row],[Well Density]]*Table1[[#This Row],[Single Well Discovery Area]]&gt;1,1,Table1[[#This Row],[Well Density]]*Table1[[#This Row],[Single Well Discovery Area]])))</f>
        <v>0</v>
      </c>
      <c r="CN1042" s="19">
        <f>Table1[[#This Row],[Mid]]</f>
        <v>0</v>
      </c>
      <c r="CO1042" s="19">
        <f>Table1[[#This Row],[Mid3]]+Table1[[#This Row],[Mid6]]+Table1[[#This Row],[Mid9]]</f>
        <v>0</v>
      </c>
      <c r="CP1042" s="19">
        <f>Table1[[#This Row],[Mid12]]+Table1[[#This Row],[Mid15]]+Table1[[#This Row],[Mid18]]+Table1[[#This Row],[Mid21]]+Table1[[#This Row],[Mid24]]</f>
        <v>0</v>
      </c>
      <c r="CQ1042" s="19">
        <f>Table1[[#This Row],[Mid27]]+Table1[[#This Row],[Mid30]]+Table1[[#This Row],[Mid33]]+Table1[[#This Row],[Mid36]]+Table1[[#This Row],[Mid39]]</f>
        <v>79.5657681</v>
      </c>
      <c r="CR1042" t="s">
        <v>415</v>
      </c>
      <c r="CS1042" s="19" t="str">
        <f>IF(AND(Table1[[#This Row],[Low41]]=0, Table1[[#This Row],[High43]]=0),"N","Y")</f>
        <v>N</v>
      </c>
    </row>
    <row r="1043" spans="1:97" ht="19.5" customHeight="1" x14ac:dyDescent="0.25">
      <c r="A1043">
        <v>11042</v>
      </c>
      <c r="B1043" t="s">
        <v>3159</v>
      </c>
      <c r="C1043" t="s">
        <v>3198</v>
      </c>
      <c r="D1043">
        <v>38.455277780000003</v>
      </c>
      <c r="E1043">
        <v>16.831388889999999</v>
      </c>
      <c r="F1043" t="s">
        <v>3199</v>
      </c>
      <c r="G1043" t="s">
        <v>3196</v>
      </c>
      <c r="H1043" t="s">
        <v>3200</v>
      </c>
      <c r="I1043" t="s">
        <v>118</v>
      </c>
      <c r="J1043" t="s">
        <v>119</v>
      </c>
      <c r="K1043" t="s">
        <v>167</v>
      </c>
      <c r="L1043" t="s">
        <v>121</v>
      </c>
      <c r="M1043" t="s">
        <v>2761</v>
      </c>
      <c r="N1043" s="6" t="s">
        <v>3201</v>
      </c>
      <c r="O1043" t="s">
        <v>2652</v>
      </c>
      <c r="P1043" t="s">
        <v>1150</v>
      </c>
      <c r="Q1043" t="s">
        <v>3174</v>
      </c>
      <c r="R1043" t="s">
        <v>3166</v>
      </c>
      <c r="S1043">
        <v>2014</v>
      </c>
      <c r="T1043" t="s">
        <v>771</v>
      </c>
      <c r="U1043" t="s">
        <v>2875</v>
      </c>
      <c r="V1043">
        <v>154</v>
      </c>
      <c r="W1043">
        <v>1240</v>
      </c>
      <c r="X1043">
        <v>670</v>
      </c>
      <c r="Z1043">
        <v>0.3</v>
      </c>
      <c r="AC1043">
        <v>650</v>
      </c>
      <c r="AE1043">
        <v>0</v>
      </c>
      <c r="AF1043">
        <v>200</v>
      </c>
      <c r="AG1043">
        <v>0</v>
      </c>
      <c r="AH1043" t="s">
        <v>2259</v>
      </c>
      <c r="AM1043" t="s">
        <v>3167</v>
      </c>
      <c r="AN1043" t="s">
        <v>132</v>
      </c>
      <c r="BQ1043">
        <v>186.7437936</v>
      </c>
      <c r="CE104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43" s="19">
        <f>SUM(Table1[[#This Row],[Mid39]],Table1[[#This Row],[Mid36]],Table1[[#This Row],[Mid33]],Table1[[#This Row],[Mid30]],Table1[[#This Row],[Mid27]],Table1[[#This Row],[Mid24]],Table1[[#This Row],[Mid21]],Table1[[#This Row],[Mid18]],Table1[[#This Row],[Mid15]],Table1[[#This Row],[Mid12]],Table1[[#This Row],[Mid9]],Table1[[#This Row],[Mid6]],Table1[[#This Row],[Mid3]],Table1[[#This Row],[Mid]])</f>
        <v>186.7437936</v>
      </c>
      <c r="CG10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43" t="s">
        <v>157</v>
      </c>
      <c r="CI1043" t="s">
        <v>134</v>
      </c>
      <c r="CJ1043" t="s">
        <v>158</v>
      </c>
      <c r="CL1043" s="19">
        <f>IF(Table1[[#This Row],[Type]]="Petroleum",1,IF(ISERROR(Table1[[#This Row],[Well Density]]*Table1[[#This Row],[Single Well Discovery Area]]),"",IF(Table1[[#This Row],[Well Density]]*Table1[[#This Row],[Single Well Discovery Area]]&gt;1,1,Table1[[#This Row],[Well Density]]*Table1[[#This Row],[Single Well Discovery Area]])))</f>
        <v>0</v>
      </c>
      <c r="CN1043" s="19">
        <f>Table1[[#This Row],[Mid]]</f>
        <v>0</v>
      </c>
      <c r="CO1043" s="19">
        <f>Table1[[#This Row],[Mid3]]+Table1[[#This Row],[Mid6]]+Table1[[#This Row],[Mid9]]</f>
        <v>0</v>
      </c>
      <c r="CP1043" s="19">
        <f>Table1[[#This Row],[Mid12]]+Table1[[#This Row],[Mid15]]+Table1[[#This Row],[Mid18]]+Table1[[#This Row],[Mid21]]+Table1[[#This Row],[Mid24]]</f>
        <v>0</v>
      </c>
      <c r="CQ1043" s="19">
        <f>Table1[[#This Row],[Mid27]]+Table1[[#This Row],[Mid30]]+Table1[[#This Row],[Mid33]]+Table1[[#This Row],[Mid36]]+Table1[[#This Row],[Mid39]]</f>
        <v>186.7437936</v>
      </c>
      <c r="CR1043" t="s">
        <v>415</v>
      </c>
      <c r="CS1043" s="19" t="str">
        <f>IF(AND(Table1[[#This Row],[Low41]]=0, Table1[[#This Row],[High43]]=0),"N","Y")</f>
        <v>N</v>
      </c>
    </row>
    <row r="1044" spans="1:97" ht="19.5" customHeight="1" x14ac:dyDescent="0.25">
      <c r="A1044">
        <v>11043</v>
      </c>
      <c r="B1044" t="s">
        <v>3159</v>
      </c>
      <c r="C1044" t="s">
        <v>3202</v>
      </c>
      <c r="D1044">
        <v>37.683611110000001</v>
      </c>
      <c r="E1044">
        <v>12.635833330000001</v>
      </c>
      <c r="F1044" t="s">
        <v>3203</v>
      </c>
      <c r="G1044" t="s">
        <v>3196</v>
      </c>
      <c r="H1044" t="s">
        <v>3204</v>
      </c>
      <c r="I1044" t="s">
        <v>118</v>
      </c>
      <c r="J1044" t="s">
        <v>119</v>
      </c>
      <c r="K1044" t="s">
        <v>167</v>
      </c>
      <c r="L1044" t="s">
        <v>121</v>
      </c>
      <c r="M1044" t="s">
        <v>3205</v>
      </c>
      <c r="N1044" s="6" t="s">
        <v>3206</v>
      </c>
      <c r="O1044" t="s">
        <v>2652</v>
      </c>
      <c r="P1044" t="s">
        <v>1150</v>
      </c>
      <c r="Q1044" t="s">
        <v>3174</v>
      </c>
      <c r="R1044" t="s">
        <v>3166</v>
      </c>
      <c r="S1044">
        <v>2014</v>
      </c>
      <c r="T1044" t="s">
        <v>771</v>
      </c>
      <c r="U1044" t="s">
        <v>2875</v>
      </c>
      <c r="V1044">
        <v>126</v>
      </c>
      <c r="W1044">
        <v>1145</v>
      </c>
      <c r="X1044">
        <v>185</v>
      </c>
      <c r="Z1044">
        <v>0.34</v>
      </c>
      <c r="AC1044">
        <v>640</v>
      </c>
      <c r="AE1044">
        <v>0</v>
      </c>
      <c r="AF1044">
        <v>200</v>
      </c>
      <c r="AG1044">
        <v>0</v>
      </c>
      <c r="AH1044" t="s">
        <v>2259</v>
      </c>
      <c r="AM1044" t="s">
        <v>3167</v>
      </c>
      <c r="AN1044" t="s">
        <v>132</v>
      </c>
      <c r="BQ1044">
        <v>70.504358400000001</v>
      </c>
      <c r="CE104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44" s="19">
        <f>SUM(Table1[[#This Row],[Mid39]],Table1[[#This Row],[Mid36]],Table1[[#This Row],[Mid33]],Table1[[#This Row],[Mid30]],Table1[[#This Row],[Mid27]],Table1[[#This Row],[Mid24]],Table1[[#This Row],[Mid21]],Table1[[#This Row],[Mid18]],Table1[[#This Row],[Mid15]],Table1[[#This Row],[Mid12]],Table1[[#This Row],[Mid9]],Table1[[#This Row],[Mid6]],Table1[[#This Row],[Mid3]],Table1[[#This Row],[Mid]])</f>
        <v>70.504358400000001</v>
      </c>
      <c r="CG10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44" t="s">
        <v>157</v>
      </c>
      <c r="CI1044" t="s">
        <v>134</v>
      </c>
      <c r="CJ1044" t="s">
        <v>158</v>
      </c>
      <c r="CL1044" s="19">
        <f>IF(Table1[[#This Row],[Type]]="Petroleum",1,IF(ISERROR(Table1[[#This Row],[Well Density]]*Table1[[#This Row],[Single Well Discovery Area]]),"",IF(Table1[[#This Row],[Well Density]]*Table1[[#This Row],[Single Well Discovery Area]]&gt;1,1,Table1[[#This Row],[Well Density]]*Table1[[#This Row],[Single Well Discovery Area]])))</f>
        <v>0</v>
      </c>
      <c r="CN1044" s="19">
        <f>Table1[[#This Row],[Mid]]</f>
        <v>0</v>
      </c>
      <c r="CO1044" s="19">
        <f>Table1[[#This Row],[Mid3]]+Table1[[#This Row],[Mid6]]+Table1[[#This Row],[Mid9]]</f>
        <v>0</v>
      </c>
      <c r="CP1044" s="19">
        <f>Table1[[#This Row],[Mid12]]+Table1[[#This Row],[Mid15]]+Table1[[#This Row],[Mid18]]+Table1[[#This Row],[Mid21]]+Table1[[#This Row],[Mid24]]</f>
        <v>0</v>
      </c>
      <c r="CQ1044" s="19">
        <f>Table1[[#This Row],[Mid27]]+Table1[[#This Row],[Mid30]]+Table1[[#This Row],[Mid33]]+Table1[[#This Row],[Mid36]]+Table1[[#This Row],[Mid39]]</f>
        <v>70.504358400000001</v>
      </c>
      <c r="CR1044" t="s">
        <v>415</v>
      </c>
      <c r="CS1044" s="19" t="str">
        <f>IF(AND(Table1[[#This Row],[Low41]]=0, Table1[[#This Row],[High43]]=0),"N","Y")</f>
        <v>N</v>
      </c>
    </row>
    <row r="1045" spans="1:97" ht="19.5" customHeight="1" x14ac:dyDescent="0.25">
      <c r="A1045">
        <v>11044</v>
      </c>
      <c r="B1045" t="s">
        <v>3159</v>
      </c>
      <c r="C1045" t="s">
        <v>3182</v>
      </c>
      <c r="D1045">
        <v>42.253333329999997</v>
      </c>
      <c r="E1045">
        <v>14.34277778</v>
      </c>
      <c r="F1045" t="s">
        <v>3207</v>
      </c>
      <c r="G1045" t="s">
        <v>3184</v>
      </c>
      <c r="H1045" t="s">
        <v>3208</v>
      </c>
      <c r="I1045" t="s">
        <v>118</v>
      </c>
      <c r="J1045" t="s">
        <v>119</v>
      </c>
      <c r="K1045" t="s">
        <v>167</v>
      </c>
      <c r="L1045" t="s">
        <v>121</v>
      </c>
      <c r="M1045" t="s">
        <v>2761</v>
      </c>
      <c r="N1045" s="6" t="s">
        <v>3209</v>
      </c>
      <c r="O1045" t="s">
        <v>2652</v>
      </c>
      <c r="P1045" t="s">
        <v>1150</v>
      </c>
      <c r="Q1045" t="s">
        <v>3174</v>
      </c>
      <c r="R1045" t="s">
        <v>3166</v>
      </c>
      <c r="S1045">
        <v>2014</v>
      </c>
      <c r="T1045" t="s">
        <v>771</v>
      </c>
      <c r="U1045" t="s">
        <v>2875</v>
      </c>
      <c r="V1045">
        <v>180</v>
      </c>
      <c r="W1045">
        <v>1265</v>
      </c>
      <c r="X1045">
        <v>130</v>
      </c>
      <c r="Z1045">
        <v>0.3</v>
      </c>
      <c r="AC1045">
        <v>650</v>
      </c>
      <c r="AE1045">
        <v>0</v>
      </c>
      <c r="AF1045">
        <v>200</v>
      </c>
      <c r="AG1045">
        <v>0</v>
      </c>
      <c r="AH1045" t="s">
        <v>2259</v>
      </c>
      <c r="AM1045" t="s">
        <v>3167</v>
      </c>
      <c r="AN1045" t="s">
        <v>132</v>
      </c>
      <c r="BQ1045">
        <v>54.756</v>
      </c>
      <c r="CE104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45" s="19">
        <f>SUM(Table1[[#This Row],[Mid39]],Table1[[#This Row],[Mid36]],Table1[[#This Row],[Mid33]],Table1[[#This Row],[Mid30]],Table1[[#This Row],[Mid27]],Table1[[#This Row],[Mid24]],Table1[[#This Row],[Mid21]],Table1[[#This Row],[Mid18]],Table1[[#This Row],[Mid15]],Table1[[#This Row],[Mid12]],Table1[[#This Row],[Mid9]],Table1[[#This Row],[Mid6]],Table1[[#This Row],[Mid3]],Table1[[#This Row],[Mid]])</f>
        <v>54.756</v>
      </c>
      <c r="CG10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45" t="s">
        <v>157</v>
      </c>
      <c r="CI1045" t="s">
        <v>134</v>
      </c>
      <c r="CJ1045" t="s">
        <v>158</v>
      </c>
      <c r="CL1045" s="19">
        <f>IF(Table1[[#This Row],[Type]]="Petroleum",1,IF(ISERROR(Table1[[#This Row],[Well Density]]*Table1[[#This Row],[Single Well Discovery Area]]),"",IF(Table1[[#This Row],[Well Density]]*Table1[[#This Row],[Single Well Discovery Area]]&gt;1,1,Table1[[#This Row],[Well Density]]*Table1[[#This Row],[Single Well Discovery Area]])))</f>
        <v>0</v>
      </c>
      <c r="CN1045" s="19">
        <f>Table1[[#This Row],[Mid]]</f>
        <v>0</v>
      </c>
      <c r="CO1045" s="19">
        <f>Table1[[#This Row],[Mid3]]+Table1[[#This Row],[Mid6]]+Table1[[#This Row],[Mid9]]</f>
        <v>0</v>
      </c>
      <c r="CP1045" s="19">
        <f>Table1[[#This Row],[Mid12]]+Table1[[#This Row],[Mid15]]+Table1[[#This Row],[Mid18]]+Table1[[#This Row],[Mid21]]+Table1[[#This Row],[Mid24]]</f>
        <v>0</v>
      </c>
      <c r="CQ1045" s="19">
        <f>Table1[[#This Row],[Mid27]]+Table1[[#This Row],[Mid30]]+Table1[[#This Row],[Mid33]]+Table1[[#This Row],[Mid36]]+Table1[[#This Row],[Mid39]]</f>
        <v>54.756</v>
      </c>
      <c r="CR1045" t="s">
        <v>415</v>
      </c>
      <c r="CS1045" s="19" t="str">
        <f>IF(AND(Table1[[#This Row],[Low41]]=0, Table1[[#This Row],[High43]]=0),"N","Y")</f>
        <v>N</v>
      </c>
    </row>
    <row r="1046" spans="1:97" ht="19.5" customHeight="1" x14ac:dyDescent="0.25">
      <c r="A1046">
        <v>11045</v>
      </c>
      <c r="B1046" t="s">
        <v>3159</v>
      </c>
      <c r="C1046" t="s">
        <v>3191</v>
      </c>
      <c r="D1046">
        <v>40.535833330000003</v>
      </c>
      <c r="E1046">
        <v>16.40472222</v>
      </c>
      <c r="F1046" t="s">
        <v>3210</v>
      </c>
      <c r="G1046" t="s">
        <v>3193</v>
      </c>
      <c r="H1046" t="s">
        <v>167</v>
      </c>
      <c r="I1046" t="s">
        <v>1648</v>
      </c>
      <c r="J1046" t="s">
        <v>202</v>
      </c>
      <c r="K1046" t="s">
        <v>203</v>
      </c>
      <c r="L1046" t="s">
        <v>121</v>
      </c>
      <c r="N1046" s="6" t="s">
        <v>3211</v>
      </c>
      <c r="O1046" t="s">
        <v>3212</v>
      </c>
      <c r="P1046" t="s">
        <v>1150</v>
      </c>
      <c r="Q1046"/>
      <c r="R1046" t="s">
        <v>3213</v>
      </c>
      <c r="S1046">
        <v>2014</v>
      </c>
      <c r="T1046" t="s">
        <v>771</v>
      </c>
      <c r="U1046" t="s">
        <v>2875</v>
      </c>
      <c r="V1046"/>
      <c r="AF1046">
        <v>200</v>
      </c>
      <c r="AH1046" t="s">
        <v>2259</v>
      </c>
      <c r="AM1046" t="s">
        <v>3167</v>
      </c>
      <c r="AN1046" t="s">
        <v>132</v>
      </c>
      <c r="BH1046">
        <v>21.917540219999999</v>
      </c>
      <c r="CE104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46" s="19">
        <f>SUM(Table1[[#This Row],[Mid39]],Table1[[#This Row],[Mid36]],Table1[[#This Row],[Mid33]],Table1[[#This Row],[Mid30]],Table1[[#This Row],[Mid27]],Table1[[#This Row],[Mid24]],Table1[[#This Row],[Mid21]],Table1[[#This Row],[Mid18]],Table1[[#This Row],[Mid15]],Table1[[#This Row],[Mid12]],Table1[[#This Row],[Mid9]],Table1[[#This Row],[Mid6]],Table1[[#This Row],[Mid3]],Table1[[#This Row],[Mid]])</f>
        <v>21.917540219999999</v>
      </c>
      <c r="CG10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46" t="s">
        <v>157</v>
      </c>
      <c r="CI1046" t="s">
        <v>3125</v>
      </c>
      <c r="CJ1046" t="s">
        <v>158</v>
      </c>
      <c r="CL1046" s="19">
        <f>IF(Table1[[#This Row],[Type]]="Petroleum",1,IF(ISERROR(Table1[[#This Row],[Well Density]]*Table1[[#This Row],[Single Well Discovery Area]]),"",IF(Table1[[#This Row],[Well Density]]*Table1[[#This Row],[Single Well Discovery Area]]&gt;1,1,Table1[[#This Row],[Well Density]]*Table1[[#This Row],[Single Well Discovery Area]])))</f>
        <v>1</v>
      </c>
      <c r="CN1046" s="19">
        <f>Table1[[#This Row],[Mid]]</f>
        <v>0</v>
      </c>
      <c r="CO1046" s="19">
        <f>Table1[[#This Row],[Mid3]]+Table1[[#This Row],[Mid6]]+Table1[[#This Row],[Mid9]]</f>
        <v>0</v>
      </c>
      <c r="CP1046" s="19">
        <f>Table1[[#This Row],[Mid12]]+Table1[[#This Row],[Mid15]]+Table1[[#This Row],[Mid18]]+Table1[[#This Row],[Mid21]]+Table1[[#This Row],[Mid24]]</f>
        <v>21.917540219999999</v>
      </c>
      <c r="CQ1046" s="19">
        <f>Table1[[#This Row],[Mid27]]+Table1[[#This Row],[Mid30]]+Table1[[#This Row],[Mid33]]+Table1[[#This Row],[Mid36]]+Table1[[#This Row],[Mid39]]</f>
        <v>0</v>
      </c>
      <c r="CR1046" t="s">
        <v>415</v>
      </c>
      <c r="CS1046" s="19" t="str">
        <f>IF(AND(Table1[[#This Row],[Low41]]=0, Table1[[#This Row],[High43]]=0),"N","Y")</f>
        <v>N</v>
      </c>
    </row>
    <row r="1047" spans="1:97" ht="19.5" customHeight="1" x14ac:dyDescent="0.25">
      <c r="A1047">
        <v>11046</v>
      </c>
      <c r="B1047" t="s">
        <v>3159</v>
      </c>
      <c r="C1047" t="s">
        <v>3191</v>
      </c>
      <c r="D1047">
        <v>40.393888889999999</v>
      </c>
      <c r="E1047">
        <v>16.52638889</v>
      </c>
      <c r="F1047" t="s">
        <v>3214</v>
      </c>
      <c r="G1047" t="s">
        <v>3193</v>
      </c>
      <c r="H1047" t="s">
        <v>167</v>
      </c>
      <c r="I1047" t="s">
        <v>1648</v>
      </c>
      <c r="J1047" t="s">
        <v>202</v>
      </c>
      <c r="K1047" t="s">
        <v>203</v>
      </c>
      <c r="L1047" t="s">
        <v>121</v>
      </c>
      <c r="N1047" s="6" t="s">
        <v>3211</v>
      </c>
      <c r="O1047" t="s">
        <v>3212</v>
      </c>
      <c r="P1047" t="s">
        <v>1150</v>
      </c>
      <c r="Q1047"/>
      <c r="R1047" t="s">
        <v>3213</v>
      </c>
      <c r="S1047">
        <v>2014</v>
      </c>
      <c r="T1047" t="s">
        <v>771</v>
      </c>
      <c r="U1047" t="s">
        <v>2875</v>
      </c>
      <c r="V1047"/>
      <c r="AF1047">
        <v>200</v>
      </c>
      <c r="AH1047" t="s">
        <v>2259</v>
      </c>
      <c r="AM1047" t="s">
        <v>3167</v>
      </c>
      <c r="AN1047" t="s">
        <v>132</v>
      </c>
      <c r="BH1047">
        <v>15.44338653</v>
      </c>
      <c r="CE104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47" s="19">
        <f>SUM(Table1[[#This Row],[Mid39]],Table1[[#This Row],[Mid36]],Table1[[#This Row],[Mid33]],Table1[[#This Row],[Mid30]],Table1[[#This Row],[Mid27]],Table1[[#This Row],[Mid24]],Table1[[#This Row],[Mid21]],Table1[[#This Row],[Mid18]],Table1[[#This Row],[Mid15]],Table1[[#This Row],[Mid12]],Table1[[#This Row],[Mid9]],Table1[[#This Row],[Mid6]],Table1[[#This Row],[Mid3]],Table1[[#This Row],[Mid]])</f>
        <v>15.44338653</v>
      </c>
      <c r="CG10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47" t="s">
        <v>157</v>
      </c>
      <c r="CI1047" t="s">
        <v>3125</v>
      </c>
      <c r="CJ1047" t="s">
        <v>158</v>
      </c>
      <c r="CL1047" s="19">
        <f>IF(Table1[[#This Row],[Type]]="Petroleum",1,IF(ISERROR(Table1[[#This Row],[Well Density]]*Table1[[#This Row],[Single Well Discovery Area]]),"",IF(Table1[[#This Row],[Well Density]]*Table1[[#This Row],[Single Well Discovery Area]]&gt;1,1,Table1[[#This Row],[Well Density]]*Table1[[#This Row],[Single Well Discovery Area]])))</f>
        <v>1</v>
      </c>
      <c r="CN1047" s="19">
        <f>Table1[[#This Row],[Mid]]</f>
        <v>0</v>
      </c>
      <c r="CO1047" s="19">
        <f>Table1[[#This Row],[Mid3]]+Table1[[#This Row],[Mid6]]+Table1[[#This Row],[Mid9]]</f>
        <v>0</v>
      </c>
      <c r="CP1047" s="19">
        <f>Table1[[#This Row],[Mid12]]+Table1[[#This Row],[Mid15]]+Table1[[#This Row],[Mid18]]+Table1[[#This Row],[Mid21]]+Table1[[#This Row],[Mid24]]</f>
        <v>15.44338653</v>
      </c>
      <c r="CQ1047" s="19">
        <f>Table1[[#This Row],[Mid27]]+Table1[[#This Row],[Mid30]]+Table1[[#This Row],[Mid33]]+Table1[[#This Row],[Mid36]]+Table1[[#This Row],[Mid39]]</f>
        <v>0</v>
      </c>
      <c r="CR1047" t="s">
        <v>415</v>
      </c>
      <c r="CS1047" s="19" t="str">
        <f>IF(AND(Table1[[#This Row],[Low41]]=0, Table1[[#This Row],[High43]]=0),"N","Y")</f>
        <v>N</v>
      </c>
    </row>
    <row r="1048" spans="1:97" ht="19.5" customHeight="1" x14ac:dyDescent="0.25">
      <c r="A1048">
        <v>11047</v>
      </c>
      <c r="B1048" t="s">
        <v>3159</v>
      </c>
      <c r="C1048" t="s">
        <v>3160</v>
      </c>
      <c r="D1048">
        <v>44.46166667</v>
      </c>
      <c r="E1048">
        <v>12.158611110000001</v>
      </c>
      <c r="F1048" t="s">
        <v>3215</v>
      </c>
      <c r="G1048" t="s">
        <v>3162</v>
      </c>
      <c r="H1048" t="s">
        <v>3216</v>
      </c>
      <c r="I1048" t="s">
        <v>1648</v>
      </c>
      <c r="J1048" t="s">
        <v>202</v>
      </c>
      <c r="K1048" t="s">
        <v>203</v>
      </c>
      <c r="L1048" t="s">
        <v>121</v>
      </c>
      <c r="M1048" t="s">
        <v>1529</v>
      </c>
      <c r="N1048" s="6" t="s">
        <v>3211</v>
      </c>
      <c r="O1048" t="s">
        <v>3217</v>
      </c>
      <c r="P1048" t="s">
        <v>3218</v>
      </c>
      <c r="Q1048"/>
      <c r="R1048" t="s">
        <v>3219</v>
      </c>
      <c r="S1048">
        <v>2014</v>
      </c>
      <c r="T1048" t="s">
        <v>771</v>
      </c>
      <c r="U1048" t="s">
        <v>2875</v>
      </c>
      <c r="V1048"/>
      <c r="AC1048">
        <v>690</v>
      </c>
      <c r="AF1048">
        <v>200</v>
      </c>
      <c r="AH1048" t="s">
        <v>2259</v>
      </c>
      <c r="AM1048" t="s">
        <v>3167</v>
      </c>
      <c r="AN1048" t="s">
        <v>132</v>
      </c>
      <c r="BB1048">
        <v>70.382563050000002</v>
      </c>
      <c r="CE104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48" s="19">
        <f>SUM(Table1[[#This Row],[Mid39]],Table1[[#This Row],[Mid36]],Table1[[#This Row],[Mid33]],Table1[[#This Row],[Mid30]],Table1[[#This Row],[Mid27]],Table1[[#This Row],[Mid24]],Table1[[#This Row],[Mid21]],Table1[[#This Row],[Mid18]],Table1[[#This Row],[Mid15]],Table1[[#This Row],[Mid12]],Table1[[#This Row],[Mid9]],Table1[[#This Row],[Mid6]],Table1[[#This Row],[Mid3]],Table1[[#This Row],[Mid]])</f>
        <v>70.382563050000002</v>
      </c>
      <c r="CG104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48" t="s">
        <v>157</v>
      </c>
      <c r="CI1048" t="s">
        <v>3125</v>
      </c>
      <c r="CJ1048" t="s">
        <v>135</v>
      </c>
      <c r="CL1048" s="19">
        <f>IF(Table1[[#This Row],[Type]]="Petroleum",1,IF(ISERROR(Table1[[#This Row],[Well Density]]*Table1[[#This Row],[Single Well Discovery Area]]),"",IF(Table1[[#This Row],[Well Density]]*Table1[[#This Row],[Single Well Discovery Area]]&gt;1,1,Table1[[#This Row],[Well Density]]*Table1[[#This Row],[Single Well Discovery Area]])))</f>
        <v>1</v>
      </c>
      <c r="CN1048" s="19">
        <f>Table1[[#This Row],[Mid]]</f>
        <v>0</v>
      </c>
      <c r="CO1048" s="19">
        <f>Table1[[#This Row],[Mid3]]+Table1[[#This Row],[Mid6]]+Table1[[#This Row],[Mid9]]</f>
        <v>0</v>
      </c>
      <c r="CP1048" s="19">
        <f>Table1[[#This Row],[Mid12]]+Table1[[#This Row],[Mid15]]+Table1[[#This Row],[Mid18]]+Table1[[#This Row],[Mid21]]+Table1[[#This Row],[Mid24]]</f>
        <v>70.382563050000002</v>
      </c>
      <c r="CQ1048" s="19">
        <f>Table1[[#This Row],[Mid27]]+Table1[[#This Row],[Mid30]]+Table1[[#This Row],[Mid33]]+Table1[[#This Row],[Mid36]]+Table1[[#This Row],[Mid39]]</f>
        <v>0</v>
      </c>
      <c r="CR1048" t="s">
        <v>415</v>
      </c>
      <c r="CS1048" s="19" t="str">
        <f>IF(AND(Table1[[#This Row],[Low41]]=0, Table1[[#This Row],[High43]]=0),"N","Y")</f>
        <v>N</v>
      </c>
    </row>
    <row r="1049" spans="1:97" ht="19.5" customHeight="1" x14ac:dyDescent="0.25">
      <c r="A1049">
        <v>11048</v>
      </c>
      <c r="B1049" t="s">
        <v>3159</v>
      </c>
      <c r="C1049" t="s">
        <v>3191</v>
      </c>
      <c r="D1049">
        <v>40.601944439999997</v>
      </c>
      <c r="E1049">
        <v>16.380555560000001</v>
      </c>
      <c r="F1049" t="s">
        <v>3220</v>
      </c>
      <c r="G1049" t="s">
        <v>3193</v>
      </c>
      <c r="H1049" t="s">
        <v>3221</v>
      </c>
      <c r="I1049" t="s">
        <v>1648</v>
      </c>
      <c r="J1049" t="s">
        <v>202</v>
      </c>
      <c r="K1049" t="s">
        <v>203</v>
      </c>
      <c r="L1049" t="s">
        <v>121</v>
      </c>
      <c r="M1049" t="s">
        <v>1529</v>
      </c>
      <c r="N1049" s="6" t="s">
        <v>3211</v>
      </c>
      <c r="O1049" t="s">
        <v>3212</v>
      </c>
      <c r="Q1049"/>
      <c r="R1049" t="s">
        <v>3222</v>
      </c>
      <c r="S1049">
        <v>2014</v>
      </c>
      <c r="T1049" t="s">
        <v>771</v>
      </c>
      <c r="U1049" t="s">
        <v>2875</v>
      </c>
      <c r="V1049"/>
      <c r="AC1049">
        <v>170</v>
      </c>
      <c r="AF1049">
        <v>200</v>
      </c>
      <c r="AH1049" t="s">
        <v>2259</v>
      </c>
      <c r="AM1049" t="s">
        <v>3167</v>
      </c>
      <c r="AN1049" t="s">
        <v>132</v>
      </c>
      <c r="BH1049">
        <v>18</v>
      </c>
      <c r="CE104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49" s="19">
        <f>SUM(Table1[[#This Row],[Mid39]],Table1[[#This Row],[Mid36]],Table1[[#This Row],[Mid33]],Table1[[#This Row],[Mid30]],Table1[[#This Row],[Mid27]],Table1[[#This Row],[Mid24]],Table1[[#This Row],[Mid21]],Table1[[#This Row],[Mid18]],Table1[[#This Row],[Mid15]],Table1[[#This Row],[Mid12]],Table1[[#This Row],[Mid9]],Table1[[#This Row],[Mid6]],Table1[[#This Row],[Mid3]],Table1[[#This Row],[Mid]])</f>
        <v>18</v>
      </c>
      <c r="CG10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49" t="s">
        <v>157</v>
      </c>
      <c r="CI1049" t="s">
        <v>3125</v>
      </c>
      <c r="CJ1049" t="s">
        <v>158</v>
      </c>
      <c r="CL1049" s="19">
        <f>IF(Table1[[#This Row],[Type]]="Petroleum",1,IF(ISERROR(Table1[[#This Row],[Well Density]]*Table1[[#This Row],[Single Well Discovery Area]]),"",IF(Table1[[#This Row],[Well Density]]*Table1[[#This Row],[Single Well Discovery Area]]&gt;1,1,Table1[[#This Row],[Well Density]]*Table1[[#This Row],[Single Well Discovery Area]])))</f>
        <v>1</v>
      </c>
      <c r="CN1049" s="19">
        <f>Table1[[#This Row],[Mid]]</f>
        <v>0</v>
      </c>
      <c r="CO1049" s="19">
        <f>Table1[[#This Row],[Mid3]]+Table1[[#This Row],[Mid6]]+Table1[[#This Row],[Mid9]]</f>
        <v>0</v>
      </c>
      <c r="CP1049" s="19">
        <f>Table1[[#This Row],[Mid12]]+Table1[[#This Row],[Mid15]]+Table1[[#This Row],[Mid18]]+Table1[[#This Row],[Mid21]]+Table1[[#This Row],[Mid24]]</f>
        <v>18</v>
      </c>
      <c r="CQ1049" s="19">
        <f>Table1[[#This Row],[Mid27]]+Table1[[#This Row],[Mid30]]+Table1[[#This Row],[Mid33]]+Table1[[#This Row],[Mid36]]+Table1[[#This Row],[Mid39]]</f>
        <v>0</v>
      </c>
      <c r="CR1049" t="s">
        <v>415</v>
      </c>
      <c r="CS1049" s="19" t="str">
        <f>IF(AND(Table1[[#This Row],[Low41]]=0, Table1[[#This Row],[High43]]=0),"N","Y")</f>
        <v>N</v>
      </c>
    </row>
    <row r="1050" spans="1:97" ht="19.5" customHeight="1" x14ac:dyDescent="0.25">
      <c r="A1050">
        <v>11049</v>
      </c>
      <c r="B1050" t="s">
        <v>3159</v>
      </c>
      <c r="C1050" t="s">
        <v>3191</v>
      </c>
      <c r="D1050">
        <v>40.387222219999998</v>
      </c>
      <c r="E1050">
        <v>16.562222219999999</v>
      </c>
      <c r="F1050" t="s">
        <v>3223</v>
      </c>
      <c r="G1050" t="s">
        <v>3193</v>
      </c>
      <c r="H1050" t="s">
        <v>3221</v>
      </c>
      <c r="I1050" t="s">
        <v>1648</v>
      </c>
      <c r="J1050" t="s">
        <v>202</v>
      </c>
      <c r="K1050" t="s">
        <v>203</v>
      </c>
      <c r="L1050" t="s">
        <v>121</v>
      </c>
      <c r="M1050" t="s">
        <v>1529</v>
      </c>
      <c r="N1050" s="6" t="s">
        <v>3211</v>
      </c>
      <c r="O1050" t="s">
        <v>3212</v>
      </c>
      <c r="Q1050"/>
      <c r="R1050" t="s">
        <v>3222</v>
      </c>
      <c r="S1050">
        <v>2014</v>
      </c>
      <c r="T1050" t="s">
        <v>771</v>
      </c>
      <c r="U1050" t="s">
        <v>2875</v>
      </c>
      <c r="V1050"/>
      <c r="AC1050">
        <v>430</v>
      </c>
      <c r="AF1050">
        <v>200</v>
      </c>
      <c r="AH1050" t="s">
        <v>2259</v>
      </c>
      <c r="AM1050" t="s">
        <v>3224</v>
      </c>
      <c r="AN1050" t="s">
        <v>132</v>
      </c>
      <c r="BH1050">
        <v>13.3</v>
      </c>
      <c r="CE105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50" s="19">
        <f>SUM(Table1[[#This Row],[Mid39]],Table1[[#This Row],[Mid36]],Table1[[#This Row],[Mid33]],Table1[[#This Row],[Mid30]],Table1[[#This Row],[Mid27]],Table1[[#This Row],[Mid24]],Table1[[#This Row],[Mid21]],Table1[[#This Row],[Mid18]],Table1[[#This Row],[Mid15]],Table1[[#This Row],[Mid12]],Table1[[#This Row],[Mid9]],Table1[[#This Row],[Mid6]],Table1[[#This Row],[Mid3]],Table1[[#This Row],[Mid]])</f>
        <v>13.3</v>
      </c>
      <c r="CG10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50" t="s">
        <v>157</v>
      </c>
      <c r="CI1050" t="s">
        <v>3125</v>
      </c>
      <c r="CJ1050" t="s">
        <v>158</v>
      </c>
      <c r="CL1050" s="19">
        <f>IF(Table1[[#This Row],[Type]]="Petroleum",1,IF(ISERROR(Table1[[#This Row],[Well Density]]*Table1[[#This Row],[Single Well Discovery Area]]),"",IF(Table1[[#This Row],[Well Density]]*Table1[[#This Row],[Single Well Discovery Area]]&gt;1,1,Table1[[#This Row],[Well Density]]*Table1[[#This Row],[Single Well Discovery Area]])))</f>
        <v>1</v>
      </c>
      <c r="CN1050" s="19">
        <f>Table1[[#This Row],[Mid]]</f>
        <v>0</v>
      </c>
      <c r="CO1050" s="19">
        <f>Table1[[#This Row],[Mid3]]+Table1[[#This Row],[Mid6]]+Table1[[#This Row],[Mid9]]</f>
        <v>0</v>
      </c>
      <c r="CP1050" s="19">
        <f>Table1[[#This Row],[Mid12]]+Table1[[#This Row],[Mid15]]+Table1[[#This Row],[Mid18]]+Table1[[#This Row],[Mid21]]+Table1[[#This Row],[Mid24]]</f>
        <v>13.3</v>
      </c>
      <c r="CQ1050" s="19">
        <f>Table1[[#This Row],[Mid27]]+Table1[[#This Row],[Mid30]]+Table1[[#This Row],[Mid33]]+Table1[[#This Row],[Mid36]]+Table1[[#This Row],[Mid39]]</f>
        <v>0</v>
      </c>
      <c r="CR1050" t="s">
        <v>415</v>
      </c>
      <c r="CS1050" s="19" t="str">
        <f>IF(AND(Table1[[#This Row],[Low41]]=0, Table1[[#This Row],[High43]]=0),"N","Y")</f>
        <v>N</v>
      </c>
    </row>
    <row r="1051" spans="1:97" ht="19.5" customHeight="1" x14ac:dyDescent="0.25">
      <c r="A1051">
        <v>11050</v>
      </c>
      <c r="B1051" t="s">
        <v>3159</v>
      </c>
      <c r="C1051" t="s">
        <v>3225</v>
      </c>
      <c r="D1051">
        <v>44.162777779999999</v>
      </c>
      <c r="E1051">
        <v>12.162777780000001</v>
      </c>
      <c r="F1051" t="s">
        <v>3226</v>
      </c>
      <c r="G1051" t="s">
        <v>3162</v>
      </c>
      <c r="H1051" t="s">
        <v>167</v>
      </c>
      <c r="I1051" t="s">
        <v>118</v>
      </c>
      <c r="J1051" t="s">
        <v>119</v>
      </c>
      <c r="K1051" t="s">
        <v>3052</v>
      </c>
      <c r="L1051" t="s">
        <v>121</v>
      </c>
      <c r="M1051" t="s">
        <v>139</v>
      </c>
      <c r="N1051" s="6" t="s">
        <v>3227</v>
      </c>
      <c r="O1051" t="s">
        <v>2156</v>
      </c>
      <c r="P1051" t="s">
        <v>3228</v>
      </c>
      <c r="Q1051"/>
      <c r="R1051" t="s">
        <v>3229</v>
      </c>
      <c r="S1051">
        <v>2012</v>
      </c>
      <c r="T1051" t="s">
        <v>771</v>
      </c>
      <c r="U1051" t="s">
        <v>2875</v>
      </c>
      <c r="V1051"/>
      <c r="W1051">
        <v>1350</v>
      </c>
      <c r="Z1051">
        <v>12</v>
      </c>
      <c r="AA1051">
        <v>1</v>
      </c>
      <c r="AF1051">
        <v>20</v>
      </c>
      <c r="AH1051" t="s">
        <v>2259</v>
      </c>
      <c r="AM1051" t="s">
        <v>3224</v>
      </c>
      <c r="AN1051" t="s">
        <v>132</v>
      </c>
      <c r="BQ1051">
        <v>200</v>
      </c>
      <c r="CE10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51" s="19">
        <f>SUM(Table1[[#This Row],[Mid39]],Table1[[#This Row],[Mid36]],Table1[[#This Row],[Mid33]],Table1[[#This Row],[Mid30]],Table1[[#This Row],[Mid27]],Table1[[#This Row],[Mid24]],Table1[[#This Row],[Mid21]],Table1[[#This Row],[Mid18]],Table1[[#This Row],[Mid15]],Table1[[#This Row],[Mid12]],Table1[[#This Row],[Mid9]],Table1[[#This Row],[Mid6]],Table1[[#This Row],[Mid3]],Table1[[#This Row],[Mid]])</f>
        <v>200</v>
      </c>
      <c r="CG10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51" t="s">
        <v>157</v>
      </c>
      <c r="CI1051" t="s">
        <v>176</v>
      </c>
      <c r="CJ1051" t="s">
        <v>158</v>
      </c>
      <c r="CL1051" s="19">
        <f>IF(Table1[[#This Row],[Type]]="Petroleum",1,IF(ISERROR(Table1[[#This Row],[Well Density]]*Table1[[#This Row],[Single Well Discovery Area]]),"",IF(Table1[[#This Row],[Well Density]]*Table1[[#This Row],[Single Well Discovery Area]]&gt;1,1,Table1[[#This Row],[Well Density]]*Table1[[#This Row],[Single Well Discovery Area]])))</f>
        <v>0</v>
      </c>
      <c r="CN1051" s="19">
        <f>Table1[[#This Row],[Mid]]</f>
        <v>0</v>
      </c>
      <c r="CO1051" s="19">
        <f>Table1[[#This Row],[Mid3]]+Table1[[#This Row],[Mid6]]+Table1[[#This Row],[Mid9]]</f>
        <v>0</v>
      </c>
      <c r="CP1051" s="19">
        <f>Table1[[#This Row],[Mid12]]+Table1[[#This Row],[Mid15]]+Table1[[#This Row],[Mid18]]+Table1[[#This Row],[Mid21]]+Table1[[#This Row],[Mid24]]</f>
        <v>0</v>
      </c>
      <c r="CQ1051" s="19">
        <f>Table1[[#This Row],[Mid27]]+Table1[[#This Row],[Mid30]]+Table1[[#This Row],[Mid33]]+Table1[[#This Row],[Mid36]]+Table1[[#This Row],[Mid39]]</f>
        <v>200</v>
      </c>
      <c r="CR1051" t="s">
        <v>415</v>
      </c>
      <c r="CS1051" s="19" t="str">
        <f>IF(AND(Table1[[#This Row],[Low41]]=0, Table1[[#This Row],[High43]]=0),"N","Y")</f>
        <v>N</v>
      </c>
    </row>
    <row r="1052" spans="1:97" ht="19.5" customHeight="1" x14ac:dyDescent="0.25">
      <c r="A1052">
        <v>11051</v>
      </c>
      <c r="B1052" t="s">
        <v>3159</v>
      </c>
      <c r="C1052" t="s">
        <v>3225</v>
      </c>
      <c r="D1052">
        <v>43.82</v>
      </c>
      <c r="E1052">
        <v>12.561111110000001</v>
      </c>
      <c r="F1052" t="s">
        <v>3230</v>
      </c>
      <c r="G1052" t="s">
        <v>3162</v>
      </c>
      <c r="H1052" t="s">
        <v>167</v>
      </c>
      <c r="I1052" t="s">
        <v>118</v>
      </c>
      <c r="J1052" t="s">
        <v>119</v>
      </c>
      <c r="K1052" t="s">
        <v>3052</v>
      </c>
      <c r="L1052" t="s">
        <v>121</v>
      </c>
      <c r="M1052" t="s">
        <v>139</v>
      </c>
      <c r="N1052" s="6" t="s">
        <v>3227</v>
      </c>
      <c r="O1052" t="s">
        <v>2156</v>
      </c>
      <c r="P1052" t="s">
        <v>3231</v>
      </c>
      <c r="Q1052"/>
      <c r="R1052" t="s">
        <v>3229</v>
      </c>
      <c r="S1052">
        <v>2012</v>
      </c>
      <c r="T1052" t="s">
        <v>771</v>
      </c>
      <c r="U1052" t="s">
        <v>2875</v>
      </c>
      <c r="V1052"/>
      <c r="Z1052">
        <v>12</v>
      </c>
      <c r="AF1052">
        <v>20</v>
      </c>
      <c r="AH1052" t="s">
        <v>2259</v>
      </c>
      <c r="AM1052" t="s">
        <v>3224</v>
      </c>
      <c r="AN1052" t="s">
        <v>132</v>
      </c>
      <c r="BQ1052">
        <v>200</v>
      </c>
      <c r="CE10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52" s="19">
        <f>SUM(Table1[[#This Row],[Mid39]],Table1[[#This Row],[Mid36]],Table1[[#This Row],[Mid33]],Table1[[#This Row],[Mid30]],Table1[[#This Row],[Mid27]],Table1[[#This Row],[Mid24]],Table1[[#This Row],[Mid21]],Table1[[#This Row],[Mid18]],Table1[[#This Row],[Mid15]],Table1[[#This Row],[Mid12]],Table1[[#This Row],[Mid9]],Table1[[#This Row],[Mid6]],Table1[[#This Row],[Mid3]],Table1[[#This Row],[Mid]])</f>
        <v>200</v>
      </c>
      <c r="CG10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52" t="s">
        <v>157</v>
      </c>
      <c r="CI1052" t="s">
        <v>176</v>
      </c>
      <c r="CJ1052" t="s">
        <v>158</v>
      </c>
      <c r="CL1052" s="19">
        <f>IF(Table1[[#This Row],[Type]]="Petroleum",1,IF(ISERROR(Table1[[#This Row],[Well Density]]*Table1[[#This Row],[Single Well Discovery Area]]),"",IF(Table1[[#This Row],[Well Density]]*Table1[[#This Row],[Single Well Discovery Area]]&gt;1,1,Table1[[#This Row],[Well Density]]*Table1[[#This Row],[Single Well Discovery Area]])))</f>
        <v>0</v>
      </c>
      <c r="CN1052" s="19">
        <f>Table1[[#This Row],[Mid]]</f>
        <v>0</v>
      </c>
      <c r="CO1052" s="19">
        <f>Table1[[#This Row],[Mid3]]+Table1[[#This Row],[Mid6]]+Table1[[#This Row],[Mid9]]</f>
        <v>0</v>
      </c>
      <c r="CP1052" s="19">
        <f>Table1[[#This Row],[Mid12]]+Table1[[#This Row],[Mid15]]+Table1[[#This Row],[Mid18]]+Table1[[#This Row],[Mid21]]+Table1[[#This Row],[Mid24]]</f>
        <v>0</v>
      </c>
      <c r="CQ1052" s="19">
        <f>Table1[[#This Row],[Mid27]]+Table1[[#This Row],[Mid30]]+Table1[[#This Row],[Mid33]]+Table1[[#This Row],[Mid36]]+Table1[[#This Row],[Mid39]]</f>
        <v>200</v>
      </c>
      <c r="CR1052" t="s">
        <v>415</v>
      </c>
      <c r="CS1052" s="19" t="str">
        <f>IF(AND(Table1[[#This Row],[Low41]]=0, Table1[[#This Row],[High43]]=0),"N","Y")</f>
        <v>N</v>
      </c>
    </row>
    <row r="1053" spans="1:97" ht="19.5" customHeight="1" x14ac:dyDescent="0.25">
      <c r="A1053">
        <v>11052</v>
      </c>
      <c r="B1053" t="s">
        <v>3159</v>
      </c>
      <c r="C1053" t="s">
        <v>3232</v>
      </c>
      <c r="D1053">
        <v>44.058888889999999</v>
      </c>
      <c r="E1053">
        <v>12.663888890000001</v>
      </c>
      <c r="F1053" t="s">
        <v>3233</v>
      </c>
      <c r="G1053" t="s">
        <v>3184</v>
      </c>
      <c r="H1053" t="s">
        <v>167</v>
      </c>
      <c r="I1053" t="s">
        <v>118</v>
      </c>
      <c r="J1053" t="s">
        <v>119</v>
      </c>
      <c r="K1053" t="s">
        <v>167</v>
      </c>
      <c r="L1053" t="s">
        <v>121</v>
      </c>
      <c r="M1053" t="s">
        <v>3234</v>
      </c>
      <c r="N1053" s="6" t="s">
        <v>3235</v>
      </c>
      <c r="O1053" t="s">
        <v>2156</v>
      </c>
      <c r="P1053" t="s">
        <v>3231</v>
      </c>
      <c r="Q1053"/>
      <c r="R1053" t="s">
        <v>3229</v>
      </c>
      <c r="S1053">
        <v>2020</v>
      </c>
      <c r="T1053" t="s">
        <v>771</v>
      </c>
      <c r="U1053" t="s">
        <v>2875</v>
      </c>
      <c r="V1053"/>
      <c r="Z1053">
        <v>20</v>
      </c>
      <c r="AF1053">
        <v>200</v>
      </c>
      <c r="AH1053" t="s">
        <v>2259</v>
      </c>
      <c r="AM1053" t="s">
        <v>3224</v>
      </c>
      <c r="AN1053" t="s">
        <v>132</v>
      </c>
      <c r="BQ1053">
        <v>400</v>
      </c>
      <c r="CE10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53" s="19">
        <f>SUM(Table1[[#This Row],[Mid39]],Table1[[#This Row],[Mid36]],Table1[[#This Row],[Mid33]],Table1[[#This Row],[Mid30]],Table1[[#This Row],[Mid27]],Table1[[#This Row],[Mid24]],Table1[[#This Row],[Mid21]],Table1[[#This Row],[Mid18]],Table1[[#This Row],[Mid15]],Table1[[#This Row],[Mid12]],Table1[[#This Row],[Mid9]],Table1[[#This Row],[Mid6]],Table1[[#This Row],[Mid3]],Table1[[#This Row],[Mid]])</f>
        <v>400</v>
      </c>
      <c r="CG10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53" t="s">
        <v>157</v>
      </c>
      <c r="CI1053" t="s">
        <v>134</v>
      </c>
      <c r="CJ1053" t="s">
        <v>158</v>
      </c>
      <c r="CL1053" s="19">
        <f>IF(Table1[[#This Row],[Type]]="Petroleum",1,IF(ISERROR(Table1[[#This Row],[Well Density]]*Table1[[#This Row],[Single Well Discovery Area]]),"",IF(Table1[[#This Row],[Well Density]]*Table1[[#This Row],[Single Well Discovery Area]]&gt;1,1,Table1[[#This Row],[Well Density]]*Table1[[#This Row],[Single Well Discovery Area]])))</f>
        <v>0</v>
      </c>
      <c r="CN1053" s="19">
        <f>Table1[[#This Row],[Mid]]</f>
        <v>0</v>
      </c>
      <c r="CO1053" s="19">
        <f>Table1[[#This Row],[Mid3]]+Table1[[#This Row],[Mid6]]+Table1[[#This Row],[Mid9]]</f>
        <v>0</v>
      </c>
      <c r="CP1053" s="19">
        <f>Table1[[#This Row],[Mid12]]+Table1[[#This Row],[Mid15]]+Table1[[#This Row],[Mid18]]+Table1[[#This Row],[Mid21]]+Table1[[#This Row],[Mid24]]</f>
        <v>0</v>
      </c>
      <c r="CQ1053" s="19">
        <f>Table1[[#This Row],[Mid27]]+Table1[[#This Row],[Mid30]]+Table1[[#This Row],[Mid33]]+Table1[[#This Row],[Mid36]]+Table1[[#This Row],[Mid39]]</f>
        <v>400</v>
      </c>
      <c r="CR1053" t="s">
        <v>415</v>
      </c>
      <c r="CS1053" s="19" t="str">
        <f>IF(AND(Table1[[#This Row],[Low41]]=0, Table1[[#This Row],[High43]]=0),"N","Y")</f>
        <v>N</v>
      </c>
    </row>
    <row r="1054" spans="1:97" ht="19.5" customHeight="1" x14ac:dyDescent="0.25">
      <c r="A1054">
        <v>11053</v>
      </c>
      <c r="B1054" t="s">
        <v>3159</v>
      </c>
      <c r="C1054" t="s">
        <v>3236</v>
      </c>
      <c r="D1054">
        <v>39.736666669999998</v>
      </c>
      <c r="E1054">
        <v>16.901666670000001</v>
      </c>
      <c r="F1054" t="s">
        <v>3237</v>
      </c>
      <c r="G1054" t="s">
        <v>3193</v>
      </c>
      <c r="H1054" t="s">
        <v>167</v>
      </c>
      <c r="I1054" t="s">
        <v>118</v>
      </c>
      <c r="J1054" t="s">
        <v>119</v>
      </c>
      <c r="K1054" t="s">
        <v>167</v>
      </c>
      <c r="L1054" t="s">
        <v>121</v>
      </c>
      <c r="M1054" t="s">
        <v>1529</v>
      </c>
      <c r="N1054" s="6" t="s">
        <v>3238</v>
      </c>
      <c r="O1054" t="s">
        <v>2156</v>
      </c>
      <c r="P1054" t="s">
        <v>3231</v>
      </c>
      <c r="Q1054"/>
      <c r="R1054" t="s">
        <v>3239</v>
      </c>
      <c r="S1054">
        <v>2012</v>
      </c>
      <c r="T1054" t="s">
        <v>771</v>
      </c>
      <c r="U1054" t="s">
        <v>2875</v>
      </c>
      <c r="V1054"/>
      <c r="Z1054">
        <v>25</v>
      </c>
      <c r="AF1054">
        <v>200</v>
      </c>
      <c r="AH1054" t="s">
        <v>2259</v>
      </c>
      <c r="AM1054" t="s">
        <v>3224</v>
      </c>
      <c r="AN1054" t="s">
        <v>132</v>
      </c>
      <c r="BQ1054">
        <v>100</v>
      </c>
      <c r="CE105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54"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105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54" t="s">
        <v>157</v>
      </c>
      <c r="CI1054" t="s">
        <v>134</v>
      </c>
      <c r="CJ1054" t="s">
        <v>158</v>
      </c>
      <c r="CL1054" s="19">
        <f>IF(Table1[[#This Row],[Type]]="Petroleum",1,IF(ISERROR(Table1[[#This Row],[Well Density]]*Table1[[#This Row],[Single Well Discovery Area]]),"",IF(Table1[[#This Row],[Well Density]]*Table1[[#This Row],[Single Well Discovery Area]]&gt;1,1,Table1[[#This Row],[Well Density]]*Table1[[#This Row],[Single Well Discovery Area]])))</f>
        <v>0</v>
      </c>
      <c r="CN1054" s="19">
        <f>Table1[[#This Row],[Mid]]</f>
        <v>0</v>
      </c>
      <c r="CO1054" s="19">
        <f>Table1[[#This Row],[Mid3]]+Table1[[#This Row],[Mid6]]+Table1[[#This Row],[Mid9]]</f>
        <v>0</v>
      </c>
      <c r="CP1054" s="19">
        <f>Table1[[#This Row],[Mid12]]+Table1[[#This Row],[Mid15]]+Table1[[#This Row],[Mid18]]+Table1[[#This Row],[Mid21]]+Table1[[#This Row],[Mid24]]</f>
        <v>0</v>
      </c>
      <c r="CQ1054" s="19">
        <f>Table1[[#This Row],[Mid27]]+Table1[[#This Row],[Mid30]]+Table1[[#This Row],[Mid33]]+Table1[[#This Row],[Mid36]]+Table1[[#This Row],[Mid39]]</f>
        <v>100</v>
      </c>
      <c r="CR1054" t="s">
        <v>415</v>
      </c>
      <c r="CS1054" s="19" t="str">
        <f>IF(AND(Table1[[#This Row],[Low41]]=0, Table1[[#This Row],[High43]]=0),"N","Y")</f>
        <v>N</v>
      </c>
    </row>
    <row r="1055" spans="1:97" ht="19.5" customHeight="1" x14ac:dyDescent="0.25">
      <c r="A1055">
        <v>11054</v>
      </c>
      <c r="B1055" t="s">
        <v>3159</v>
      </c>
      <c r="C1055" t="s">
        <v>3240</v>
      </c>
      <c r="D1055">
        <v>45.199722219999998</v>
      </c>
      <c r="E1055">
        <v>12.57361111</v>
      </c>
      <c r="F1055" t="s">
        <v>3240</v>
      </c>
      <c r="G1055" t="s">
        <v>3184</v>
      </c>
      <c r="H1055" t="s">
        <v>3241</v>
      </c>
      <c r="I1055" t="s">
        <v>118</v>
      </c>
      <c r="J1055" t="s">
        <v>119</v>
      </c>
      <c r="K1055" t="s">
        <v>167</v>
      </c>
      <c r="L1055" t="s">
        <v>121</v>
      </c>
      <c r="M1055" t="s">
        <v>3234</v>
      </c>
      <c r="N1055" s="6" t="s">
        <v>3227</v>
      </c>
      <c r="O1055" t="s">
        <v>2156</v>
      </c>
      <c r="P1055" t="s">
        <v>3242</v>
      </c>
      <c r="Q1055"/>
      <c r="R1055" t="s">
        <v>3243</v>
      </c>
      <c r="S1055">
        <v>2012</v>
      </c>
      <c r="T1055" t="s">
        <v>771</v>
      </c>
      <c r="U1055" t="s">
        <v>2875</v>
      </c>
      <c r="V1055"/>
      <c r="W1055">
        <v>800</v>
      </c>
      <c r="Z1055">
        <v>25</v>
      </c>
      <c r="AF1055">
        <v>200</v>
      </c>
      <c r="AH1055" t="s">
        <v>2259</v>
      </c>
      <c r="AM1055" t="s">
        <v>3224</v>
      </c>
      <c r="AN1055" t="s">
        <v>132</v>
      </c>
      <c r="BQ1055">
        <v>800</v>
      </c>
      <c r="CE105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55" s="19">
        <f>SUM(Table1[[#This Row],[Mid39]],Table1[[#This Row],[Mid36]],Table1[[#This Row],[Mid33]],Table1[[#This Row],[Mid30]],Table1[[#This Row],[Mid27]],Table1[[#This Row],[Mid24]],Table1[[#This Row],[Mid21]],Table1[[#This Row],[Mid18]],Table1[[#This Row],[Mid15]],Table1[[#This Row],[Mid12]],Table1[[#This Row],[Mid9]],Table1[[#This Row],[Mid6]],Table1[[#This Row],[Mid3]],Table1[[#This Row],[Mid]])</f>
        <v>800</v>
      </c>
      <c r="CG105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55" t="s">
        <v>157</v>
      </c>
      <c r="CI1055" t="s">
        <v>134</v>
      </c>
      <c r="CJ1055" t="s">
        <v>158</v>
      </c>
      <c r="CL1055" s="19">
        <f>IF(Table1[[#This Row],[Type]]="Petroleum",1,IF(ISERROR(Table1[[#This Row],[Well Density]]*Table1[[#This Row],[Single Well Discovery Area]]),"",IF(Table1[[#This Row],[Well Density]]*Table1[[#This Row],[Single Well Discovery Area]]&gt;1,1,Table1[[#This Row],[Well Density]]*Table1[[#This Row],[Single Well Discovery Area]])))</f>
        <v>0</v>
      </c>
      <c r="CN1055" s="19">
        <f>Table1[[#This Row],[Mid]]</f>
        <v>0</v>
      </c>
      <c r="CO1055" s="19">
        <f>Table1[[#This Row],[Mid3]]+Table1[[#This Row],[Mid6]]+Table1[[#This Row],[Mid9]]</f>
        <v>0</v>
      </c>
      <c r="CP1055" s="19">
        <f>Table1[[#This Row],[Mid12]]+Table1[[#This Row],[Mid15]]+Table1[[#This Row],[Mid18]]+Table1[[#This Row],[Mid21]]+Table1[[#This Row],[Mid24]]</f>
        <v>0</v>
      </c>
      <c r="CQ1055" s="19">
        <f>Table1[[#This Row],[Mid27]]+Table1[[#This Row],[Mid30]]+Table1[[#This Row],[Mid33]]+Table1[[#This Row],[Mid36]]+Table1[[#This Row],[Mid39]]</f>
        <v>800</v>
      </c>
      <c r="CR1055" t="s">
        <v>415</v>
      </c>
      <c r="CS1055" s="19" t="str">
        <f>IF(AND(Table1[[#This Row],[Low41]]=0, Table1[[#This Row],[High43]]=0),"N","Y")</f>
        <v>N</v>
      </c>
    </row>
    <row r="1056" spans="1:97" ht="19.5" customHeight="1" x14ac:dyDescent="0.25">
      <c r="A1056">
        <v>11055</v>
      </c>
      <c r="B1056" t="s">
        <v>3159</v>
      </c>
      <c r="C1056" t="s">
        <v>3244</v>
      </c>
      <c r="D1056">
        <v>42.094999999999999</v>
      </c>
      <c r="E1056">
        <v>11.626666670000001</v>
      </c>
      <c r="F1056" t="s">
        <v>3245</v>
      </c>
      <c r="G1056" t="s">
        <v>3246</v>
      </c>
      <c r="H1056" t="s">
        <v>167</v>
      </c>
      <c r="I1056" t="s">
        <v>118</v>
      </c>
      <c r="J1056" t="s">
        <v>119</v>
      </c>
      <c r="K1056" t="s">
        <v>167</v>
      </c>
      <c r="L1056" t="s">
        <v>121</v>
      </c>
      <c r="N1056" s="6" t="s">
        <v>3247</v>
      </c>
      <c r="O1056" t="s">
        <v>3248</v>
      </c>
      <c r="P1056" t="s">
        <v>2156</v>
      </c>
      <c r="Q1056"/>
      <c r="R1056" t="s">
        <v>3249</v>
      </c>
      <c r="S1056">
        <v>2012</v>
      </c>
      <c r="T1056" t="s">
        <v>771</v>
      </c>
      <c r="U1056" t="s">
        <v>2875</v>
      </c>
      <c r="V1056">
        <v>82</v>
      </c>
      <c r="W1056">
        <v>3000</v>
      </c>
      <c r="Z1056">
        <v>10</v>
      </c>
      <c r="AC1056">
        <v>579</v>
      </c>
      <c r="AD1056">
        <v>1</v>
      </c>
      <c r="AE1056">
        <v>1.2195121999999999E-2</v>
      </c>
      <c r="AF1056">
        <v>20</v>
      </c>
      <c r="AG1056">
        <v>20.399999999999999</v>
      </c>
      <c r="AH1056" t="s">
        <v>2259</v>
      </c>
      <c r="AI1056">
        <v>1</v>
      </c>
      <c r="AM1056" t="s">
        <v>3224</v>
      </c>
      <c r="AN1056" t="s">
        <v>132</v>
      </c>
      <c r="BN1056">
        <v>52</v>
      </c>
      <c r="CE105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56" s="19">
        <f>SUM(Table1[[#This Row],[Mid39]],Table1[[#This Row],[Mid36]],Table1[[#This Row],[Mid33]],Table1[[#This Row],[Mid30]],Table1[[#This Row],[Mid27]],Table1[[#This Row],[Mid24]],Table1[[#This Row],[Mid21]],Table1[[#This Row],[Mid18]],Table1[[#This Row],[Mid15]],Table1[[#This Row],[Mid12]],Table1[[#This Row],[Mid9]],Table1[[#This Row],[Mid6]],Table1[[#This Row],[Mid3]],Table1[[#This Row],[Mid]])</f>
        <v>52</v>
      </c>
      <c r="CG105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56" t="s">
        <v>157</v>
      </c>
      <c r="CI1056" t="s">
        <v>176</v>
      </c>
      <c r="CJ1056" t="s">
        <v>135</v>
      </c>
      <c r="CL1056" s="19">
        <f>IF(Table1[[#This Row],[Type]]="Petroleum",1,IF(ISERROR(Table1[[#This Row],[Well Density]]*Table1[[#This Row],[Single Well Discovery Area]]),"",IF(Table1[[#This Row],[Well Density]]*Table1[[#This Row],[Single Well Discovery Area]]&gt;1,1,Table1[[#This Row],[Well Density]]*Table1[[#This Row],[Single Well Discovery Area]])))</f>
        <v>0.24390244</v>
      </c>
      <c r="CN1056" s="19">
        <f>Table1[[#This Row],[Mid]]</f>
        <v>0</v>
      </c>
      <c r="CO1056" s="19">
        <f>Table1[[#This Row],[Mid3]]+Table1[[#This Row],[Mid6]]+Table1[[#This Row],[Mid9]]</f>
        <v>0</v>
      </c>
      <c r="CP1056" s="19">
        <f>Table1[[#This Row],[Mid12]]+Table1[[#This Row],[Mid15]]+Table1[[#This Row],[Mid18]]+Table1[[#This Row],[Mid21]]+Table1[[#This Row],[Mid24]]</f>
        <v>52</v>
      </c>
      <c r="CQ1056" s="19">
        <f>Table1[[#This Row],[Mid27]]+Table1[[#This Row],[Mid30]]+Table1[[#This Row],[Mid33]]+Table1[[#This Row],[Mid36]]+Table1[[#This Row],[Mid39]]</f>
        <v>0</v>
      </c>
      <c r="CR1056" t="s">
        <v>415</v>
      </c>
      <c r="CS1056" s="19" t="str">
        <f>IF(AND(Table1[[#This Row],[Low41]]=0, Table1[[#This Row],[High43]]=0),"N","Y")</f>
        <v>N</v>
      </c>
    </row>
    <row r="1057" spans="1:97" ht="19.5" customHeight="1" x14ac:dyDescent="0.25">
      <c r="A1057">
        <v>11056</v>
      </c>
      <c r="B1057" t="s">
        <v>3159</v>
      </c>
      <c r="C1057" t="s">
        <v>3225</v>
      </c>
      <c r="D1057">
        <v>45.485833329999998</v>
      </c>
      <c r="E1057">
        <v>9.5611111110000007</v>
      </c>
      <c r="F1057" t="s">
        <v>3250</v>
      </c>
      <c r="G1057" t="s">
        <v>3162</v>
      </c>
      <c r="H1057" t="s">
        <v>3251</v>
      </c>
      <c r="I1057" t="s">
        <v>118</v>
      </c>
      <c r="J1057" t="s">
        <v>119</v>
      </c>
      <c r="K1057" t="s">
        <v>203</v>
      </c>
      <c r="L1057" t="s">
        <v>121</v>
      </c>
      <c r="M1057" t="s">
        <v>3163</v>
      </c>
      <c r="N1057" s="6" t="s">
        <v>3252</v>
      </c>
      <c r="O1057" t="s">
        <v>3253</v>
      </c>
      <c r="P1057" t="s">
        <v>3231</v>
      </c>
      <c r="Q1057" t="s">
        <v>3254</v>
      </c>
      <c r="R1057" t="s">
        <v>3255</v>
      </c>
      <c r="S1057">
        <v>2012</v>
      </c>
      <c r="T1057" t="s">
        <v>771</v>
      </c>
      <c r="U1057" t="s">
        <v>2875</v>
      </c>
      <c r="V1057"/>
      <c r="W1057">
        <v>2250</v>
      </c>
      <c r="X1057">
        <v>211</v>
      </c>
      <c r="Z1057">
        <v>25</v>
      </c>
      <c r="AA1057" t="s">
        <v>3256</v>
      </c>
      <c r="AC1057">
        <v>717</v>
      </c>
      <c r="AD1057">
        <v>15</v>
      </c>
      <c r="AF1057">
        <v>200</v>
      </c>
      <c r="AH1057" t="s">
        <v>2259</v>
      </c>
      <c r="AI1057">
        <v>2</v>
      </c>
      <c r="AM1057" t="s">
        <v>3224</v>
      </c>
      <c r="AN1057" t="s">
        <v>132</v>
      </c>
      <c r="BQ1057">
        <v>320</v>
      </c>
      <c r="CE105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57" s="19">
        <f>SUM(Table1[[#This Row],[Mid39]],Table1[[#This Row],[Mid36]],Table1[[#This Row],[Mid33]],Table1[[#This Row],[Mid30]],Table1[[#This Row],[Mid27]],Table1[[#This Row],[Mid24]],Table1[[#This Row],[Mid21]],Table1[[#This Row],[Mid18]],Table1[[#This Row],[Mid15]],Table1[[#This Row],[Mid12]],Table1[[#This Row],[Mid9]],Table1[[#This Row],[Mid6]],Table1[[#This Row],[Mid3]],Table1[[#This Row],[Mid]])</f>
        <v>320</v>
      </c>
      <c r="CG105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57" t="s">
        <v>157</v>
      </c>
      <c r="CI1057" t="s">
        <v>134</v>
      </c>
      <c r="CJ1057" t="s">
        <v>158</v>
      </c>
      <c r="CL1057" s="19">
        <f>IF(Table1[[#This Row],[Type]]="Petroleum",1,IF(ISERROR(Table1[[#This Row],[Well Density]]*Table1[[#This Row],[Single Well Discovery Area]]),"",IF(Table1[[#This Row],[Well Density]]*Table1[[#This Row],[Single Well Discovery Area]]&gt;1,1,Table1[[#This Row],[Well Density]]*Table1[[#This Row],[Single Well Discovery Area]])))</f>
        <v>0</v>
      </c>
      <c r="CN1057" s="19">
        <f>Table1[[#This Row],[Mid]]</f>
        <v>0</v>
      </c>
      <c r="CO1057" s="19">
        <f>Table1[[#This Row],[Mid3]]+Table1[[#This Row],[Mid6]]+Table1[[#This Row],[Mid9]]</f>
        <v>0</v>
      </c>
      <c r="CP1057" s="19">
        <f>Table1[[#This Row],[Mid12]]+Table1[[#This Row],[Mid15]]+Table1[[#This Row],[Mid18]]+Table1[[#This Row],[Mid21]]+Table1[[#This Row],[Mid24]]</f>
        <v>0</v>
      </c>
      <c r="CQ1057" s="19">
        <f>Table1[[#This Row],[Mid27]]+Table1[[#This Row],[Mid30]]+Table1[[#This Row],[Mid33]]+Table1[[#This Row],[Mid36]]+Table1[[#This Row],[Mid39]]</f>
        <v>320</v>
      </c>
      <c r="CR1057" t="s">
        <v>415</v>
      </c>
      <c r="CS1057" s="19" t="str">
        <f>IF(AND(Table1[[#This Row],[Low41]]=0, Table1[[#This Row],[High43]]=0),"N","Y")</f>
        <v>N</v>
      </c>
    </row>
    <row r="1058" spans="1:97" ht="19.5" customHeight="1" x14ac:dyDescent="0.25">
      <c r="A1058">
        <v>11057</v>
      </c>
      <c r="B1058" t="s">
        <v>3159</v>
      </c>
      <c r="C1058" t="s">
        <v>3257</v>
      </c>
      <c r="D1058">
        <v>43.764166670000002</v>
      </c>
      <c r="E1058">
        <v>14.215</v>
      </c>
      <c r="F1058" t="s">
        <v>3258</v>
      </c>
      <c r="G1058" t="s">
        <v>3184</v>
      </c>
      <c r="H1058" t="s">
        <v>3259</v>
      </c>
      <c r="I1058" t="s">
        <v>118</v>
      </c>
      <c r="J1058" t="s">
        <v>119</v>
      </c>
      <c r="K1058" t="s">
        <v>203</v>
      </c>
      <c r="L1058" t="s">
        <v>121</v>
      </c>
      <c r="M1058" t="s">
        <v>139</v>
      </c>
      <c r="N1058" s="6" t="s">
        <v>3260</v>
      </c>
      <c r="O1058" t="s">
        <v>2156</v>
      </c>
      <c r="P1058" t="s">
        <v>2156</v>
      </c>
      <c r="Q1058" t="s">
        <v>3261</v>
      </c>
      <c r="R1058" t="s">
        <v>3262</v>
      </c>
      <c r="S1058">
        <v>2023</v>
      </c>
      <c r="T1058" t="s">
        <v>771</v>
      </c>
      <c r="U1058" t="s">
        <v>2875</v>
      </c>
      <c r="V1058">
        <v>37.6</v>
      </c>
      <c r="W1058" t="s">
        <v>3263</v>
      </c>
      <c r="X1058">
        <v>118</v>
      </c>
      <c r="Z1058">
        <v>6</v>
      </c>
      <c r="AC1058">
        <v>685</v>
      </c>
      <c r="AD1058">
        <v>2</v>
      </c>
      <c r="AE1058">
        <v>5.3191489000000002E-2</v>
      </c>
      <c r="AF1058">
        <v>20</v>
      </c>
      <c r="AH1058" t="s">
        <v>2259</v>
      </c>
      <c r="AI1058">
        <v>10</v>
      </c>
      <c r="AM1058" t="s">
        <v>3224</v>
      </c>
      <c r="AN1058" t="s">
        <v>132</v>
      </c>
      <c r="BH1058">
        <v>17</v>
      </c>
      <c r="CE105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58" s="19">
        <f>SUM(Table1[[#This Row],[Mid39]],Table1[[#This Row],[Mid36]],Table1[[#This Row],[Mid33]],Table1[[#This Row],[Mid30]],Table1[[#This Row],[Mid27]],Table1[[#This Row],[Mid24]],Table1[[#This Row],[Mid21]],Table1[[#This Row],[Mid18]],Table1[[#This Row],[Mid15]],Table1[[#This Row],[Mid12]],Table1[[#This Row],[Mid9]],Table1[[#This Row],[Mid6]],Table1[[#This Row],[Mid3]],Table1[[#This Row],[Mid]])</f>
        <v>17</v>
      </c>
      <c r="CG105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58" t="s">
        <v>157</v>
      </c>
      <c r="CI1058" t="s">
        <v>176</v>
      </c>
      <c r="CJ1058" t="s">
        <v>158</v>
      </c>
      <c r="CL1058" s="19">
        <f>IF(Table1[[#This Row],[Type]]="Petroleum",1,IF(ISERROR(Table1[[#This Row],[Well Density]]*Table1[[#This Row],[Single Well Discovery Area]]),"",IF(Table1[[#This Row],[Well Density]]*Table1[[#This Row],[Single Well Discovery Area]]&gt;1,1,Table1[[#This Row],[Well Density]]*Table1[[#This Row],[Single Well Discovery Area]])))</f>
        <v>1</v>
      </c>
      <c r="CN1058" s="19">
        <f>Table1[[#This Row],[Mid]]</f>
        <v>0</v>
      </c>
      <c r="CO1058" s="19">
        <f>Table1[[#This Row],[Mid3]]+Table1[[#This Row],[Mid6]]+Table1[[#This Row],[Mid9]]</f>
        <v>0</v>
      </c>
      <c r="CP1058" s="19">
        <f>Table1[[#This Row],[Mid12]]+Table1[[#This Row],[Mid15]]+Table1[[#This Row],[Mid18]]+Table1[[#This Row],[Mid21]]+Table1[[#This Row],[Mid24]]</f>
        <v>17</v>
      </c>
      <c r="CQ1058" s="19">
        <f>Table1[[#This Row],[Mid27]]+Table1[[#This Row],[Mid30]]+Table1[[#This Row],[Mid33]]+Table1[[#This Row],[Mid36]]+Table1[[#This Row],[Mid39]]</f>
        <v>0</v>
      </c>
      <c r="CR1058" t="s">
        <v>415</v>
      </c>
      <c r="CS1058" s="19" t="str">
        <f>IF(AND(Table1[[#This Row],[Low41]]=0, Table1[[#This Row],[High43]]=0),"N","Y")</f>
        <v>N</v>
      </c>
    </row>
    <row r="1059" spans="1:97" ht="19.5" customHeight="1" x14ac:dyDescent="0.25">
      <c r="A1059">
        <v>11058</v>
      </c>
      <c r="B1059" t="s">
        <v>3159</v>
      </c>
      <c r="C1059" t="s">
        <v>3257</v>
      </c>
      <c r="D1059">
        <v>43.874444439999998</v>
      </c>
      <c r="E1059">
        <v>13.51166667</v>
      </c>
      <c r="F1059" t="s">
        <v>3264</v>
      </c>
      <c r="G1059" t="s">
        <v>3162</v>
      </c>
      <c r="H1059" t="s">
        <v>3265</v>
      </c>
      <c r="I1059" t="s">
        <v>118</v>
      </c>
      <c r="J1059" t="s">
        <v>119</v>
      </c>
      <c r="K1059" t="s">
        <v>203</v>
      </c>
      <c r="L1059" t="s">
        <v>121</v>
      </c>
      <c r="M1059" t="s">
        <v>139</v>
      </c>
      <c r="N1059" s="6" t="s">
        <v>3266</v>
      </c>
      <c r="O1059" t="s">
        <v>2156</v>
      </c>
      <c r="P1059" t="s">
        <v>2156</v>
      </c>
      <c r="Q1059" t="s">
        <v>3267</v>
      </c>
      <c r="R1059" t="s">
        <v>3262</v>
      </c>
      <c r="S1059">
        <v>2023</v>
      </c>
      <c r="T1059" t="s">
        <v>771</v>
      </c>
      <c r="U1059" t="s">
        <v>2875</v>
      </c>
      <c r="V1059">
        <v>32.68</v>
      </c>
      <c r="W1059" t="s">
        <v>3268</v>
      </c>
      <c r="X1059">
        <v>200</v>
      </c>
      <c r="Z1059">
        <v>9</v>
      </c>
      <c r="AC1059">
        <v>702</v>
      </c>
      <c r="AD1059">
        <v>1</v>
      </c>
      <c r="AE1059">
        <v>3.0599754999999999E-2</v>
      </c>
      <c r="AF1059">
        <v>200</v>
      </c>
      <c r="AG1059">
        <v>33.700000000000003</v>
      </c>
      <c r="AH1059" t="s">
        <v>2259</v>
      </c>
      <c r="AI1059">
        <v>10</v>
      </c>
      <c r="AM1059" t="s">
        <v>3224</v>
      </c>
      <c r="AN1059" t="s">
        <v>132</v>
      </c>
      <c r="BH1059">
        <v>40</v>
      </c>
      <c r="CE105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59" s="19">
        <f>SUM(Table1[[#This Row],[Mid39]],Table1[[#This Row],[Mid36]],Table1[[#This Row],[Mid33]],Table1[[#This Row],[Mid30]],Table1[[#This Row],[Mid27]],Table1[[#This Row],[Mid24]],Table1[[#This Row],[Mid21]],Table1[[#This Row],[Mid18]],Table1[[#This Row],[Mid15]],Table1[[#This Row],[Mid12]],Table1[[#This Row],[Mid9]],Table1[[#This Row],[Mid6]],Table1[[#This Row],[Mid3]],Table1[[#This Row],[Mid]])</f>
        <v>40</v>
      </c>
      <c r="CG105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59" t="s">
        <v>157</v>
      </c>
      <c r="CI1059" t="s">
        <v>3269</v>
      </c>
      <c r="CJ1059" t="s">
        <v>158</v>
      </c>
      <c r="CL1059" s="19">
        <f>IF(Table1[[#This Row],[Type]]="Petroleum",1,IF(ISERROR(Table1[[#This Row],[Well Density]]*Table1[[#This Row],[Single Well Discovery Area]]),"",IF(Table1[[#This Row],[Well Density]]*Table1[[#This Row],[Single Well Discovery Area]]&gt;1,1,Table1[[#This Row],[Well Density]]*Table1[[#This Row],[Single Well Discovery Area]])))</f>
        <v>1</v>
      </c>
      <c r="CN1059" s="19">
        <f>Table1[[#This Row],[Mid]]</f>
        <v>0</v>
      </c>
      <c r="CO1059" s="19">
        <f>Table1[[#This Row],[Mid3]]+Table1[[#This Row],[Mid6]]+Table1[[#This Row],[Mid9]]</f>
        <v>0</v>
      </c>
      <c r="CP1059" s="19">
        <f>Table1[[#This Row],[Mid12]]+Table1[[#This Row],[Mid15]]+Table1[[#This Row],[Mid18]]+Table1[[#This Row],[Mid21]]+Table1[[#This Row],[Mid24]]</f>
        <v>40</v>
      </c>
      <c r="CQ1059" s="19">
        <f>Table1[[#This Row],[Mid27]]+Table1[[#This Row],[Mid30]]+Table1[[#This Row],[Mid33]]+Table1[[#This Row],[Mid36]]+Table1[[#This Row],[Mid39]]</f>
        <v>0</v>
      </c>
      <c r="CR1059" t="s">
        <v>415</v>
      </c>
      <c r="CS1059" s="19" t="str">
        <f>IF(AND(Table1[[#This Row],[Low41]]=0, Table1[[#This Row],[High43]]=0),"N","Y")</f>
        <v>N</v>
      </c>
    </row>
    <row r="1060" spans="1:97" ht="19.5" customHeight="1" x14ac:dyDescent="0.25">
      <c r="A1060">
        <v>11059</v>
      </c>
      <c r="B1060" t="s">
        <v>3159</v>
      </c>
      <c r="C1060" t="s">
        <v>3257</v>
      </c>
      <c r="D1060">
        <v>43.26277778</v>
      </c>
      <c r="E1060">
        <v>14.356666669999999</v>
      </c>
      <c r="F1060" t="s">
        <v>3270</v>
      </c>
      <c r="G1060" t="s">
        <v>3184</v>
      </c>
      <c r="H1060" t="s">
        <v>3265</v>
      </c>
      <c r="I1060" t="s">
        <v>118</v>
      </c>
      <c r="J1060" t="s">
        <v>119</v>
      </c>
      <c r="K1060" t="s">
        <v>203</v>
      </c>
      <c r="L1060" t="s">
        <v>121</v>
      </c>
      <c r="M1060" t="s">
        <v>139</v>
      </c>
      <c r="N1060" s="6" t="s">
        <v>3271</v>
      </c>
      <c r="O1060" t="s">
        <v>2156</v>
      </c>
      <c r="P1060" t="s">
        <v>2156</v>
      </c>
      <c r="Q1060" t="s">
        <v>3272</v>
      </c>
      <c r="R1060" t="s">
        <v>3262</v>
      </c>
      <c r="S1060">
        <v>2023</v>
      </c>
      <c r="T1060" t="s">
        <v>771</v>
      </c>
      <c r="U1060" t="s">
        <v>2875</v>
      </c>
      <c r="V1060">
        <v>4.9400000000000004</v>
      </c>
      <c r="W1060" t="s">
        <v>3273</v>
      </c>
      <c r="X1060">
        <v>830</v>
      </c>
      <c r="Z1060">
        <v>7</v>
      </c>
      <c r="AC1060">
        <v>699</v>
      </c>
      <c r="AD1060">
        <v>2</v>
      </c>
      <c r="AE1060">
        <v>0.4048583</v>
      </c>
      <c r="AF1060">
        <v>20</v>
      </c>
      <c r="AH1060" t="s">
        <v>2259</v>
      </c>
      <c r="AI1060">
        <v>10</v>
      </c>
      <c r="AM1060" t="s">
        <v>3224</v>
      </c>
      <c r="AN1060" t="s">
        <v>132</v>
      </c>
      <c r="BH1060">
        <v>19</v>
      </c>
      <c r="CE106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60" s="19">
        <f>SUM(Table1[[#This Row],[Mid39]],Table1[[#This Row],[Mid36]],Table1[[#This Row],[Mid33]],Table1[[#This Row],[Mid30]],Table1[[#This Row],[Mid27]],Table1[[#This Row],[Mid24]],Table1[[#This Row],[Mid21]],Table1[[#This Row],[Mid18]],Table1[[#This Row],[Mid15]],Table1[[#This Row],[Mid12]],Table1[[#This Row],[Mid9]],Table1[[#This Row],[Mid6]],Table1[[#This Row],[Mid3]],Table1[[#This Row],[Mid]])</f>
        <v>19</v>
      </c>
      <c r="CG106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60" t="s">
        <v>157</v>
      </c>
      <c r="CI1060" t="s">
        <v>176</v>
      </c>
      <c r="CJ1060" t="s">
        <v>158</v>
      </c>
      <c r="CL1060" s="19">
        <f>IF(Table1[[#This Row],[Type]]="Petroleum",1,IF(ISERROR(Table1[[#This Row],[Well Density]]*Table1[[#This Row],[Single Well Discovery Area]]),"",IF(Table1[[#This Row],[Well Density]]*Table1[[#This Row],[Single Well Discovery Area]]&gt;1,1,Table1[[#This Row],[Well Density]]*Table1[[#This Row],[Single Well Discovery Area]])))</f>
        <v>1</v>
      </c>
      <c r="CN1060" s="19">
        <f>Table1[[#This Row],[Mid]]</f>
        <v>0</v>
      </c>
      <c r="CO1060" s="19">
        <f>Table1[[#This Row],[Mid3]]+Table1[[#This Row],[Mid6]]+Table1[[#This Row],[Mid9]]</f>
        <v>0</v>
      </c>
      <c r="CP1060" s="19">
        <f>Table1[[#This Row],[Mid12]]+Table1[[#This Row],[Mid15]]+Table1[[#This Row],[Mid18]]+Table1[[#This Row],[Mid21]]+Table1[[#This Row],[Mid24]]</f>
        <v>19</v>
      </c>
      <c r="CQ1060" s="19">
        <f>Table1[[#This Row],[Mid27]]+Table1[[#This Row],[Mid30]]+Table1[[#This Row],[Mid33]]+Table1[[#This Row],[Mid36]]+Table1[[#This Row],[Mid39]]</f>
        <v>0</v>
      </c>
      <c r="CR1060" t="s">
        <v>415</v>
      </c>
      <c r="CS1060" s="19" t="str">
        <f>IF(AND(Table1[[#This Row],[Low41]]=0, Table1[[#This Row],[High43]]=0),"N","Y")</f>
        <v>N</v>
      </c>
    </row>
    <row r="1061" spans="1:97" ht="19.5" customHeight="1" x14ac:dyDescent="0.25">
      <c r="A1061">
        <v>11060</v>
      </c>
      <c r="B1061" t="s">
        <v>3159</v>
      </c>
      <c r="C1061" t="s">
        <v>3257</v>
      </c>
      <c r="D1061">
        <v>42.712222220000001</v>
      </c>
      <c r="E1061">
        <v>15.12166667</v>
      </c>
      <c r="F1061" t="s">
        <v>3274</v>
      </c>
      <c r="G1061" t="s">
        <v>3184</v>
      </c>
      <c r="H1061" t="s">
        <v>3265</v>
      </c>
      <c r="I1061" t="s">
        <v>118</v>
      </c>
      <c r="J1061" t="s">
        <v>119</v>
      </c>
      <c r="K1061" t="s">
        <v>203</v>
      </c>
      <c r="L1061" t="s">
        <v>121</v>
      </c>
      <c r="M1061" t="s">
        <v>139</v>
      </c>
      <c r="N1061" s="6" t="s">
        <v>3275</v>
      </c>
      <c r="O1061" t="s">
        <v>2156</v>
      </c>
      <c r="P1061" t="s">
        <v>2156</v>
      </c>
      <c r="Q1061" t="s">
        <v>3276</v>
      </c>
      <c r="R1061" t="s">
        <v>3262</v>
      </c>
      <c r="S1061">
        <v>2023</v>
      </c>
      <c r="T1061" t="s">
        <v>771</v>
      </c>
      <c r="U1061" t="s">
        <v>2875</v>
      </c>
      <c r="V1061">
        <v>58.43</v>
      </c>
      <c r="W1061" t="s">
        <v>3277</v>
      </c>
      <c r="X1061">
        <v>1107</v>
      </c>
      <c r="Z1061">
        <v>7</v>
      </c>
      <c r="AC1061">
        <v>703</v>
      </c>
      <c r="AD1061">
        <v>1</v>
      </c>
      <c r="AE1061">
        <v>1.7114496E-2</v>
      </c>
      <c r="AF1061">
        <v>20</v>
      </c>
      <c r="AH1061" t="s">
        <v>2259</v>
      </c>
      <c r="AI1061">
        <v>10</v>
      </c>
      <c r="AM1061" t="s">
        <v>3224</v>
      </c>
      <c r="AN1061" t="s">
        <v>132</v>
      </c>
      <c r="BH1061">
        <v>313</v>
      </c>
      <c r="CE106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61" s="19">
        <f>SUM(Table1[[#This Row],[Mid39]],Table1[[#This Row],[Mid36]],Table1[[#This Row],[Mid33]],Table1[[#This Row],[Mid30]],Table1[[#This Row],[Mid27]],Table1[[#This Row],[Mid24]],Table1[[#This Row],[Mid21]],Table1[[#This Row],[Mid18]],Table1[[#This Row],[Mid15]],Table1[[#This Row],[Mid12]],Table1[[#This Row],[Mid9]],Table1[[#This Row],[Mid6]],Table1[[#This Row],[Mid3]],Table1[[#This Row],[Mid]])</f>
        <v>313</v>
      </c>
      <c r="CG106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61" t="s">
        <v>157</v>
      </c>
      <c r="CI1061" t="s">
        <v>176</v>
      </c>
      <c r="CJ1061" t="s">
        <v>158</v>
      </c>
      <c r="CL1061" s="19">
        <f>IF(Table1[[#This Row],[Type]]="Petroleum",1,IF(ISERROR(Table1[[#This Row],[Well Density]]*Table1[[#This Row],[Single Well Discovery Area]]),"",IF(Table1[[#This Row],[Well Density]]*Table1[[#This Row],[Single Well Discovery Area]]&gt;1,1,Table1[[#This Row],[Well Density]]*Table1[[#This Row],[Single Well Discovery Area]])))</f>
        <v>0.34228992000000003</v>
      </c>
      <c r="CN1061" s="19">
        <f>Table1[[#This Row],[Mid]]</f>
        <v>0</v>
      </c>
      <c r="CO1061" s="19">
        <f>Table1[[#This Row],[Mid3]]+Table1[[#This Row],[Mid6]]+Table1[[#This Row],[Mid9]]</f>
        <v>0</v>
      </c>
      <c r="CP1061" s="19">
        <f>Table1[[#This Row],[Mid12]]+Table1[[#This Row],[Mid15]]+Table1[[#This Row],[Mid18]]+Table1[[#This Row],[Mid21]]+Table1[[#This Row],[Mid24]]</f>
        <v>313</v>
      </c>
      <c r="CQ1061" s="19">
        <f>Table1[[#This Row],[Mid27]]+Table1[[#This Row],[Mid30]]+Table1[[#This Row],[Mid33]]+Table1[[#This Row],[Mid36]]+Table1[[#This Row],[Mid39]]</f>
        <v>0</v>
      </c>
      <c r="CR1061" t="s">
        <v>415</v>
      </c>
      <c r="CS1061" s="19" t="str">
        <f>IF(AND(Table1[[#This Row],[Low41]]=0, Table1[[#This Row],[High43]]=0),"N","Y")</f>
        <v>N</v>
      </c>
    </row>
    <row r="1062" spans="1:97" ht="19.5" customHeight="1" x14ac:dyDescent="0.25">
      <c r="A1062">
        <v>11061</v>
      </c>
      <c r="B1062" t="s">
        <v>3159</v>
      </c>
      <c r="C1062" t="s">
        <v>3257</v>
      </c>
      <c r="D1062">
        <v>44.214166669999997</v>
      </c>
      <c r="E1062">
        <v>12.77638889</v>
      </c>
      <c r="F1062" t="s">
        <v>3278</v>
      </c>
      <c r="G1062" t="s">
        <v>3162</v>
      </c>
      <c r="H1062" t="s">
        <v>3265</v>
      </c>
      <c r="I1062" t="s">
        <v>118</v>
      </c>
      <c r="J1062" t="s">
        <v>119</v>
      </c>
      <c r="K1062" t="s">
        <v>203</v>
      </c>
      <c r="L1062" t="s">
        <v>121</v>
      </c>
      <c r="M1062" t="s">
        <v>139</v>
      </c>
      <c r="N1062" s="6" t="s">
        <v>3279</v>
      </c>
      <c r="O1062" t="s">
        <v>2156</v>
      </c>
      <c r="P1062" t="s">
        <v>2156</v>
      </c>
      <c r="Q1062" t="s">
        <v>3267</v>
      </c>
      <c r="R1062" t="s">
        <v>3262</v>
      </c>
      <c r="S1062">
        <v>2023</v>
      </c>
      <c r="T1062" t="s">
        <v>771</v>
      </c>
      <c r="U1062" t="s">
        <v>2875</v>
      </c>
      <c r="V1062">
        <v>30.5</v>
      </c>
      <c r="W1062" t="s">
        <v>3280</v>
      </c>
      <c r="X1062">
        <v>160</v>
      </c>
      <c r="Z1062">
        <v>9</v>
      </c>
      <c r="AC1062">
        <v>703</v>
      </c>
      <c r="AD1062">
        <v>1</v>
      </c>
      <c r="AE1062">
        <v>3.2786885000000002E-2</v>
      </c>
      <c r="AF1062">
        <v>20</v>
      </c>
      <c r="AH1062" t="s">
        <v>2259</v>
      </c>
      <c r="AI1062">
        <v>10</v>
      </c>
      <c r="AM1062" t="s">
        <v>3224</v>
      </c>
      <c r="AN1062" t="s">
        <v>132</v>
      </c>
      <c r="BH1062">
        <v>30</v>
      </c>
      <c r="CE106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62" s="19">
        <f>SUM(Table1[[#This Row],[Mid39]],Table1[[#This Row],[Mid36]],Table1[[#This Row],[Mid33]],Table1[[#This Row],[Mid30]],Table1[[#This Row],[Mid27]],Table1[[#This Row],[Mid24]],Table1[[#This Row],[Mid21]],Table1[[#This Row],[Mid18]],Table1[[#This Row],[Mid15]],Table1[[#This Row],[Mid12]],Table1[[#This Row],[Mid9]],Table1[[#This Row],[Mid6]],Table1[[#This Row],[Mid3]],Table1[[#This Row],[Mid]])</f>
        <v>30</v>
      </c>
      <c r="CG106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62" t="s">
        <v>157</v>
      </c>
      <c r="CI1062" t="s">
        <v>176</v>
      </c>
      <c r="CJ1062" t="s">
        <v>158</v>
      </c>
      <c r="CL1062" s="19">
        <f>IF(Table1[[#This Row],[Type]]="Petroleum",1,IF(ISERROR(Table1[[#This Row],[Well Density]]*Table1[[#This Row],[Single Well Discovery Area]]),"",IF(Table1[[#This Row],[Well Density]]*Table1[[#This Row],[Single Well Discovery Area]]&gt;1,1,Table1[[#This Row],[Well Density]]*Table1[[#This Row],[Single Well Discovery Area]])))</f>
        <v>0.65573769999999998</v>
      </c>
      <c r="CN1062" s="19">
        <f>Table1[[#This Row],[Mid]]</f>
        <v>0</v>
      </c>
      <c r="CO1062" s="19">
        <f>Table1[[#This Row],[Mid3]]+Table1[[#This Row],[Mid6]]+Table1[[#This Row],[Mid9]]</f>
        <v>0</v>
      </c>
      <c r="CP1062" s="19">
        <f>Table1[[#This Row],[Mid12]]+Table1[[#This Row],[Mid15]]+Table1[[#This Row],[Mid18]]+Table1[[#This Row],[Mid21]]+Table1[[#This Row],[Mid24]]</f>
        <v>30</v>
      </c>
      <c r="CQ1062" s="19">
        <f>Table1[[#This Row],[Mid27]]+Table1[[#This Row],[Mid30]]+Table1[[#This Row],[Mid33]]+Table1[[#This Row],[Mid36]]+Table1[[#This Row],[Mid39]]</f>
        <v>0</v>
      </c>
      <c r="CR1062" t="s">
        <v>415</v>
      </c>
      <c r="CS1062" s="19" t="str">
        <f>IF(AND(Table1[[#This Row],[Low41]]=0, Table1[[#This Row],[High43]]=0),"N","Y")</f>
        <v>N</v>
      </c>
    </row>
    <row r="1063" spans="1:97" ht="19.5" customHeight="1" x14ac:dyDescent="0.25">
      <c r="A1063">
        <v>11062</v>
      </c>
      <c r="B1063" t="s">
        <v>3159</v>
      </c>
      <c r="C1063" t="s">
        <v>3257</v>
      </c>
      <c r="D1063">
        <v>43.827222220000003</v>
      </c>
      <c r="E1063">
        <v>13.86333333</v>
      </c>
      <c r="F1063" t="s">
        <v>3281</v>
      </c>
      <c r="G1063" t="s">
        <v>3184</v>
      </c>
      <c r="H1063" t="s">
        <v>3282</v>
      </c>
      <c r="I1063" t="s">
        <v>118</v>
      </c>
      <c r="J1063" t="s">
        <v>119</v>
      </c>
      <c r="K1063" t="s">
        <v>203</v>
      </c>
      <c r="L1063" t="s">
        <v>121</v>
      </c>
      <c r="M1063" t="s">
        <v>122</v>
      </c>
      <c r="N1063" s="6" t="s">
        <v>3283</v>
      </c>
      <c r="O1063" t="s">
        <v>2156</v>
      </c>
      <c r="P1063" t="s">
        <v>2156</v>
      </c>
      <c r="Q1063" t="s">
        <v>3284</v>
      </c>
      <c r="R1063" t="s">
        <v>3262</v>
      </c>
      <c r="S1063">
        <v>2023</v>
      </c>
      <c r="T1063" t="s">
        <v>771</v>
      </c>
      <c r="U1063" t="s">
        <v>2875</v>
      </c>
      <c r="V1063">
        <v>36.44</v>
      </c>
      <c r="W1063" t="s">
        <v>3285</v>
      </c>
      <c r="X1063">
        <v>275</v>
      </c>
      <c r="Z1063">
        <v>9</v>
      </c>
      <c r="AC1063">
        <v>698</v>
      </c>
      <c r="AD1063">
        <v>1</v>
      </c>
      <c r="AE1063">
        <v>2.7442371E-2</v>
      </c>
      <c r="AF1063">
        <v>20</v>
      </c>
      <c r="AG1063">
        <v>30.2</v>
      </c>
      <c r="AH1063" t="s">
        <v>2259</v>
      </c>
      <c r="AI1063">
        <v>7</v>
      </c>
      <c r="AM1063" t="s">
        <v>3224</v>
      </c>
      <c r="AN1063" t="s">
        <v>132</v>
      </c>
      <c r="BH1063">
        <v>43</v>
      </c>
      <c r="CE106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63" s="19">
        <f>SUM(Table1[[#This Row],[Mid39]],Table1[[#This Row],[Mid36]],Table1[[#This Row],[Mid33]],Table1[[#This Row],[Mid30]],Table1[[#This Row],[Mid27]],Table1[[#This Row],[Mid24]],Table1[[#This Row],[Mid21]],Table1[[#This Row],[Mid18]],Table1[[#This Row],[Mid15]],Table1[[#This Row],[Mid12]],Table1[[#This Row],[Mid9]],Table1[[#This Row],[Mid6]],Table1[[#This Row],[Mid3]],Table1[[#This Row],[Mid]])</f>
        <v>43</v>
      </c>
      <c r="CG106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63" t="s">
        <v>157</v>
      </c>
      <c r="CI1063" t="s">
        <v>176</v>
      </c>
      <c r="CJ1063" t="s">
        <v>158</v>
      </c>
      <c r="CL1063" s="19">
        <f>IF(Table1[[#This Row],[Type]]="Petroleum",1,IF(ISERROR(Table1[[#This Row],[Well Density]]*Table1[[#This Row],[Single Well Discovery Area]]),"",IF(Table1[[#This Row],[Well Density]]*Table1[[#This Row],[Single Well Discovery Area]]&gt;1,1,Table1[[#This Row],[Well Density]]*Table1[[#This Row],[Single Well Discovery Area]])))</f>
        <v>0.54884741999999997</v>
      </c>
      <c r="CN1063" s="19">
        <f>Table1[[#This Row],[Mid]]</f>
        <v>0</v>
      </c>
      <c r="CO1063" s="19">
        <f>Table1[[#This Row],[Mid3]]+Table1[[#This Row],[Mid6]]+Table1[[#This Row],[Mid9]]</f>
        <v>0</v>
      </c>
      <c r="CP1063" s="19">
        <f>Table1[[#This Row],[Mid12]]+Table1[[#This Row],[Mid15]]+Table1[[#This Row],[Mid18]]+Table1[[#This Row],[Mid21]]+Table1[[#This Row],[Mid24]]</f>
        <v>43</v>
      </c>
      <c r="CQ1063" s="19">
        <f>Table1[[#This Row],[Mid27]]+Table1[[#This Row],[Mid30]]+Table1[[#This Row],[Mid33]]+Table1[[#This Row],[Mid36]]+Table1[[#This Row],[Mid39]]</f>
        <v>0</v>
      </c>
      <c r="CR1063" t="s">
        <v>415</v>
      </c>
      <c r="CS1063" s="19" t="str">
        <f>IF(AND(Table1[[#This Row],[Low41]]=0, Table1[[#This Row],[High43]]=0),"N","Y")</f>
        <v>N</v>
      </c>
    </row>
    <row r="1064" spans="1:97" ht="19.5" customHeight="1" x14ac:dyDescent="0.25">
      <c r="A1064">
        <v>11063</v>
      </c>
      <c r="B1064" t="s">
        <v>3159</v>
      </c>
      <c r="C1064" t="s">
        <v>3257</v>
      </c>
      <c r="D1064">
        <v>42.84</v>
      </c>
      <c r="E1064">
        <v>14.15555556</v>
      </c>
      <c r="F1064" t="s">
        <v>3286</v>
      </c>
      <c r="G1064" t="s">
        <v>3184</v>
      </c>
      <c r="H1064" t="s">
        <v>3282</v>
      </c>
      <c r="I1064" t="s">
        <v>118</v>
      </c>
      <c r="J1064" t="s">
        <v>119</v>
      </c>
      <c r="K1064" t="s">
        <v>203</v>
      </c>
      <c r="L1064" t="s">
        <v>121</v>
      </c>
      <c r="M1064" t="s">
        <v>122</v>
      </c>
      <c r="N1064" s="6" t="s">
        <v>3287</v>
      </c>
      <c r="O1064" t="s">
        <v>2156</v>
      </c>
      <c r="P1064" t="s">
        <v>2156</v>
      </c>
      <c r="Q1064" t="s">
        <v>3284</v>
      </c>
      <c r="R1064" t="s">
        <v>3262</v>
      </c>
      <c r="S1064">
        <v>2023</v>
      </c>
      <c r="T1064" t="s">
        <v>771</v>
      </c>
      <c r="U1064" t="s">
        <v>2875</v>
      </c>
      <c r="V1064">
        <v>89.09</v>
      </c>
      <c r="W1064" t="s">
        <v>3288</v>
      </c>
      <c r="X1064">
        <v>80</v>
      </c>
      <c r="Z1064">
        <v>6</v>
      </c>
      <c r="AC1064">
        <v>698</v>
      </c>
      <c r="AD1064">
        <v>1</v>
      </c>
      <c r="AE1064">
        <v>1.1224603999999999E-2</v>
      </c>
      <c r="AF1064">
        <v>20</v>
      </c>
      <c r="AH1064" t="s">
        <v>2259</v>
      </c>
      <c r="AI1064">
        <v>7</v>
      </c>
      <c r="AM1064" t="s">
        <v>3224</v>
      </c>
      <c r="AN1064" t="s">
        <v>132</v>
      </c>
      <c r="BH1064">
        <v>20</v>
      </c>
      <c r="CE106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64" s="19">
        <f>SUM(Table1[[#This Row],[Mid39]],Table1[[#This Row],[Mid36]],Table1[[#This Row],[Mid33]],Table1[[#This Row],[Mid30]],Table1[[#This Row],[Mid27]],Table1[[#This Row],[Mid24]],Table1[[#This Row],[Mid21]],Table1[[#This Row],[Mid18]],Table1[[#This Row],[Mid15]],Table1[[#This Row],[Mid12]],Table1[[#This Row],[Mid9]],Table1[[#This Row],[Mid6]],Table1[[#This Row],[Mid3]],Table1[[#This Row],[Mid]])</f>
        <v>20</v>
      </c>
      <c r="CG106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64" t="s">
        <v>157</v>
      </c>
      <c r="CI1064" t="s">
        <v>176</v>
      </c>
      <c r="CJ1064" t="s">
        <v>158</v>
      </c>
      <c r="CL1064" s="19">
        <f>IF(Table1[[#This Row],[Type]]="Petroleum",1,IF(ISERROR(Table1[[#This Row],[Well Density]]*Table1[[#This Row],[Single Well Discovery Area]]),"",IF(Table1[[#This Row],[Well Density]]*Table1[[#This Row],[Single Well Discovery Area]]&gt;1,1,Table1[[#This Row],[Well Density]]*Table1[[#This Row],[Single Well Discovery Area]])))</f>
        <v>0.22449207999999998</v>
      </c>
      <c r="CN1064" s="19">
        <f>Table1[[#This Row],[Mid]]</f>
        <v>0</v>
      </c>
      <c r="CO1064" s="19">
        <f>Table1[[#This Row],[Mid3]]+Table1[[#This Row],[Mid6]]+Table1[[#This Row],[Mid9]]</f>
        <v>0</v>
      </c>
      <c r="CP1064" s="19">
        <f>Table1[[#This Row],[Mid12]]+Table1[[#This Row],[Mid15]]+Table1[[#This Row],[Mid18]]+Table1[[#This Row],[Mid21]]+Table1[[#This Row],[Mid24]]</f>
        <v>20</v>
      </c>
      <c r="CQ1064" s="19">
        <f>Table1[[#This Row],[Mid27]]+Table1[[#This Row],[Mid30]]+Table1[[#This Row],[Mid33]]+Table1[[#This Row],[Mid36]]+Table1[[#This Row],[Mid39]]</f>
        <v>0</v>
      </c>
      <c r="CR1064" t="s">
        <v>415</v>
      </c>
      <c r="CS1064" s="19" t="str">
        <f>IF(AND(Table1[[#This Row],[Low41]]=0, Table1[[#This Row],[High43]]=0),"N","Y")</f>
        <v>N</v>
      </c>
    </row>
    <row r="1065" spans="1:97" ht="19.5" customHeight="1" x14ac:dyDescent="0.25">
      <c r="A1065">
        <v>11064</v>
      </c>
      <c r="B1065" t="s">
        <v>3159</v>
      </c>
      <c r="C1065" t="s">
        <v>3257</v>
      </c>
      <c r="D1065">
        <v>42.808333330000004</v>
      </c>
      <c r="E1065">
        <v>14.37916667</v>
      </c>
      <c r="F1065" t="s">
        <v>3289</v>
      </c>
      <c r="G1065" t="s">
        <v>3184</v>
      </c>
      <c r="H1065" t="s">
        <v>3282</v>
      </c>
      <c r="I1065" t="s">
        <v>118</v>
      </c>
      <c r="J1065" t="s">
        <v>119</v>
      </c>
      <c r="K1065" t="s">
        <v>203</v>
      </c>
      <c r="L1065" t="s">
        <v>121</v>
      </c>
      <c r="M1065" t="s">
        <v>122</v>
      </c>
      <c r="N1065" s="6" t="s">
        <v>3290</v>
      </c>
      <c r="O1065" t="s">
        <v>2156</v>
      </c>
      <c r="P1065" t="s">
        <v>2156</v>
      </c>
      <c r="Q1065" t="s">
        <v>3284</v>
      </c>
      <c r="R1065" t="s">
        <v>3262</v>
      </c>
      <c r="S1065">
        <v>2023</v>
      </c>
      <c r="T1065" t="s">
        <v>771</v>
      </c>
      <c r="U1065" t="s">
        <v>2875</v>
      </c>
      <c r="V1065">
        <v>106.13</v>
      </c>
      <c r="W1065" t="s">
        <v>3291</v>
      </c>
      <c r="X1065">
        <v>90</v>
      </c>
      <c r="Z1065">
        <v>13</v>
      </c>
      <c r="AC1065">
        <v>685</v>
      </c>
      <c r="AD1065">
        <v>2</v>
      </c>
      <c r="AE1065">
        <v>1.8844812999999998E-2</v>
      </c>
      <c r="AF1065">
        <v>20</v>
      </c>
      <c r="AG1065">
        <v>17.899999999999999</v>
      </c>
      <c r="AH1065" t="s">
        <v>2259</v>
      </c>
      <c r="AI1065">
        <v>7</v>
      </c>
      <c r="AM1065" t="s">
        <v>3224</v>
      </c>
      <c r="AN1065" t="s">
        <v>132</v>
      </c>
      <c r="BH1065">
        <v>50</v>
      </c>
      <c r="CE106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65" s="19">
        <f>SUM(Table1[[#This Row],[Mid39]],Table1[[#This Row],[Mid36]],Table1[[#This Row],[Mid33]],Table1[[#This Row],[Mid30]],Table1[[#This Row],[Mid27]],Table1[[#This Row],[Mid24]],Table1[[#This Row],[Mid21]],Table1[[#This Row],[Mid18]],Table1[[#This Row],[Mid15]],Table1[[#This Row],[Mid12]],Table1[[#This Row],[Mid9]],Table1[[#This Row],[Mid6]],Table1[[#This Row],[Mid3]],Table1[[#This Row],[Mid]])</f>
        <v>50</v>
      </c>
      <c r="CG106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65" t="s">
        <v>157</v>
      </c>
      <c r="CI1065" t="s">
        <v>176</v>
      </c>
      <c r="CJ1065" t="s">
        <v>158</v>
      </c>
      <c r="CL1065" s="19">
        <f>IF(Table1[[#This Row],[Type]]="Petroleum",1,IF(ISERROR(Table1[[#This Row],[Well Density]]*Table1[[#This Row],[Single Well Discovery Area]]),"",IF(Table1[[#This Row],[Well Density]]*Table1[[#This Row],[Single Well Discovery Area]]&gt;1,1,Table1[[#This Row],[Well Density]]*Table1[[#This Row],[Single Well Discovery Area]])))</f>
        <v>0.37689625999999998</v>
      </c>
      <c r="CN1065" s="19">
        <f>Table1[[#This Row],[Mid]]</f>
        <v>0</v>
      </c>
      <c r="CO1065" s="19">
        <f>Table1[[#This Row],[Mid3]]+Table1[[#This Row],[Mid6]]+Table1[[#This Row],[Mid9]]</f>
        <v>0</v>
      </c>
      <c r="CP1065" s="19">
        <f>Table1[[#This Row],[Mid12]]+Table1[[#This Row],[Mid15]]+Table1[[#This Row],[Mid18]]+Table1[[#This Row],[Mid21]]+Table1[[#This Row],[Mid24]]</f>
        <v>50</v>
      </c>
      <c r="CQ1065" s="19">
        <f>Table1[[#This Row],[Mid27]]+Table1[[#This Row],[Mid30]]+Table1[[#This Row],[Mid33]]+Table1[[#This Row],[Mid36]]+Table1[[#This Row],[Mid39]]</f>
        <v>0</v>
      </c>
      <c r="CR1065" t="s">
        <v>415</v>
      </c>
      <c r="CS1065" s="19" t="str">
        <f>IF(AND(Table1[[#This Row],[Low41]]=0, Table1[[#This Row],[High43]]=0),"N","Y")</f>
        <v>N</v>
      </c>
    </row>
    <row r="1066" spans="1:97" ht="19.5" customHeight="1" x14ac:dyDescent="0.25">
      <c r="A1066">
        <v>11065</v>
      </c>
      <c r="B1066" t="s">
        <v>3159</v>
      </c>
      <c r="C1066" t="s">
        <v>3257</v>
      </c>
      <c r="D1066">
        <v>43.5</v>
      </c>
      <c r="E1066">
        <v>13.95</v>
      </c>
      <c r="F1066" t="s">
        <v>3292</v>
      </c>
      <c r="G1066" t="s">
        <v>3184</v>
      </c>
      <c r="H1066" t="s">
        <v>3282</v>
      </c>
      <c r="I1066" t="s">
        <v>118</v>
      </c>
      <c r="J1066" t="s">
        <v>119</v>
      </c>
      <c r="K1066" t="s">
        <v>203</v>
      </c>
      <c r="L1066" t="s">
        <v>121</v>
      </c>
      <c r="M1066" t="s">
        <v>122</v>
      </c>
      <c r="N1066" s="6" t="s">
        <v>3293</v>
      </c>
      <c r="O1066" t="s">
        <v>2156</v>
      </c>
      <c r="P1066" t="s">
        <v>2156</v>
      </c>
      <c r="Q1066" t="s">
        <v>3284</v>
      </c>
      <c r="R1066" t="s">
        <v>3262</v>
      </c>
      <c r="S1066">
        <v>2023</v>
      </c>
      <c r="T1066" t="s">
        <v>771</v>
      </c>
      <c r="U1066" t="s">
        <v>2875</v>
      </c>
      <c r="V1066">
        <v>9.23</v>
      </c>
      <c r="W1066" t="s">
        <v>3294</v>
      </c>
      <c r="X1066">
        <v>483</v>
      </c>
      <c r="Z1066">
        <v>7</v>
      </c>
      <c r="AC1066">
        <v>662</v>
      </c>
      <c r="AD1066">
        <v>1</v>
      </c>
      <c r="AE1066">
        <v>0.108342362</v>
      </c>
      <c r="AF1066">
        <v>20</v>
      </c>
      <c r="AH1066" t="s">
        <v>2259</v>
      </c>
      <c r="AI1066">
        <v>7</v>
      </c>
      <c r="AM1066" t="s">
        <v>3224</v>
      </c>
      <c r="AN1066" t="s">
        <v>132</v>
      </c>
      <c r="BH1066">
        <v>14.2</v>
      </c>
      <c r="CE106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66" s="19">
        <f>SUM(Table1[[#This Row],[Mid39]],Table1[[#This Row],[Mid36]],Table1[[#This Row],[Mid33]],Table1[[#This Row],[Mid30]],Table1[[#This Row],[Mid27]],Table1[[#This Row],[Mid24]],Table1[[#This Row],[Mid21]],Table1[[#This Row],[Mid18]],Table1[[#This Row],[Mid15]],Table1[[#This Row],[Mid12]],Table1[[#This Row],[Mid9]],Table1[[#This Row],[Mid6]],Table1[[#This Row],[Mid3]],Table1[[#This Row],[Mid]])</f>
        <v>14.2</v>
      </c>
      <c r="CG106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66" t="s">
        <v>157</v>
      </c>
      <c r="CI1066" t="s">
        <v>176</v>
      </c>
      <c r="CJ1066" t="s">
        <v>158</v>
      </c>
      <c r="CL1066" s="19">
        <f>IF(Table1[[#This Row],[Type]]="Petroleum",1,IF(ISERROR(Table1[[#This Row],[Well Density]]*Table1[[#This Row],[Single Well Discovery Area]]),"",IF(Table1[[#This Row],[Well Density]]*Table1[[#This Row],[Single Well Discovery Area]]&gt;1,1,Table1[[#This Row],[Well Density]]*Table1[[#This Row],[Single Well Discovery Area]])))</f>
        <v>1</v>
      </c>
      <c r="CN1066" s="19">
        <f>Table1[[#This Row],[Mid]]</f>
        <v>0</v>
      </c>
      <c r="CO1066" s="19">
        <f>Table1[[#This Row],[Mid3]]+Table1[[#This Row],[Mid6]]+Table1[[#This Row],[Mid9]]</f>
        <v>0</v>
      </c>
      <c r="CP1066" s="19">
        <f>Table1[[#This Row],[Mid12]]+Table1[[#This Row],[Mid15]]+Table1[[#This Row],[Mid18]]+Table1[[#This Row],[Mid21]]+Table1[[#This Row],[Mid24]]</f>
        <v>14.2</v>
      </c>
      <c r="CQ1066" s="19">
        <f>Table1[[#This Row],[Mid27]]+Table1[[#This Row],[Mid30]]+Table1[[#This Row],[Mid33]]+Table1[[#This Row],[Mid36]]+Table1[[#This Row],[Mid39]]</f>
        <v>0</v>
      </c>
      <c r="CR1066" t="s">
        <v>415</v>
      </c>
      <c r="CS1066" s="19" t="str">
        <f>IF(AND(Table1[[#This Row],[Low41]]=0, Table1[[#This Row],[High43]]=0),"N","Y")</f>
        <v>N</v>
      </c>
    </row>
    <row r="1067" spans="1:97" ht="19.5" customHeight="1" x14ac:dyDescent="0.25">
      <c r="A1067">
        <v>11066</v>
      </c>
      <c r="B1067" t="s">
        <v>3159</v>
      </c>
      <c r="C1067" t="s">
        <v>3257</v>
      </c>
      <c r="D1067">
        <v>43.066666669999996</v>
      </c>
      <c r="E1067">
        <v>14.18333333</v>
      </c>
      <c r="F1067" t="s">
        <v>3295</v>
      </c>
      <c r="G1067" t="s">
        <v>3184</v>
      </c>
      <c r="H1067" t="s">
        <v>3296</v>
      </c>
      <c r="I1067" t="s">
        <v>118</v>
      </c>
      <c r="J1067" t="s">
        <v>119</v>
      </c>
      <c r="K1067" t="s">
        <v>203</v>
      </c>
      <c r="L1067" t="s">
        <v>121</v>
      </c>
      <c r="M1067" t="s">
        <v>3234</v>
      </c>
      <c r="N1067" s="6" t="s">
        <v>3297</v>
      </c>
      <c r="O1067" t="s">
        <v>2156</v>
      </c>
      <c r="P1067" t="s">
        <v>2156</v>
      </c>
      <c r="Q1067" t="s">
        <v>3298</v>
      </c>
      <c r="R1067" t="s">
        <v>3262</v>
      </c>
      <c r="S1067">
        <v>2023</v>
      </c>
      <c r="T1067" t="s">
        <v>771</v>
      </c>
      <c r="U1067" t="s">
        <v>2875</v>
      </c>
      <c r="V1067">
        <v>120.84</v>
      </c>
      <c r="W1067" t="s">
        <v>3299</v>
      </c>
      <c r="X1067">
        <v>273</v>
      </c>
      <c r="Z1067">
        <v>32</v>
      </c>
      <c r="AC1067">
        <v>652</v>
      </c>
      <c r="AD1067">
        <v>1</v>
      </c>
      <c r="AE1067">
        <v>8.2754049999999996E-3</v>
      </c>
      <c r="AF1067">
        <v>200</v>
      </c>
      <c r="AH1067" t="s">
        <v>2259</v>
      </c>
      <c r="AI1067">
        <v>4</v>
      </c>
      <c r="AM1067" t="s">
        <v>3224</v>
      </c>
      <c r="AN1067" t="s">
        <v>132</v>
      </c>
      <c r="BH1067">
        <v>236</v>
      </c>
      <c r="CE106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67" s="19">
        <f>SUM(Table1[[#This Row],[Mid39]],Table1[[#This Row],[Mid36]],Table1[[#This Row],[Mid33]],Table1[[#This Row],[Mid30]],Table1[[#This Row],[Mid27]],Table1[[#This Row],[Mid24]],Table1[[#This Row],[Mid21]],Table1[[#This Row],[Mid18]],Table1[[#This Row],[Mid15]],Table1[[#This Row],[Mid12]],Table1[[#This Row],[Mid9]],Table1[[#This Row],[Mid6]],Table1[[#This Row],[Mid3]],Table1[[#This Row],[Mid]])</f>
        <v>236</v>
      </c>
      <c r="CG106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67" t="s">
        <v>157</v>
      </c>
      <c r="CI1067" t="s">
        <v>134</v>
      </c>
      <c r="CJ1067" t="s">
        <v>158</v>
      </c>
      <c r="CL1067" s="19">
        <f>IF(Table1[[#This Row],[Type]]="Petroleum",1,IF(ISERROR(Table1[[#This Row],[Well Density]]*Table1[[#This Row],[Single Well Discovery Area]]),"",IF(Table1[[#This Row],[Well Density]]*Table1[[#This Row],[Single Well Discovery Area]]&gt;1,1,Table1[[#This Row],[Well Density]]*Table1[[#This Row],[Single Well Discovery Area]])))</f>
        <v>1</v>
      </c>
      <c r="CN1067" s="19">
        <f>Table1[[#This Row],[Mid]]</f>
        <v>0</v>
      </c>
      <c r="CO1067" s="19">
        <f>Table1[[#This Row],[Mid3]]+Table1[[#This Row],[Mid6]]+Table1[[#This Row],[Mid9]]</f>
        <v>0</v>
      </c>
      <c r="CP1067" s="19">
        <f>Table1[[#This Row],[Mid12]]+Table1[[#This Row],[Mid15]]+Table1[[#This Row],[Mid18]]+Table1[[#This Row],[Mid21]]+Table1[[#This Row],[Mid24]]</f>
        <v>236</v>
      </c>
      <c r="CQ1067" s="19">
        <f>Table1[[#This Row],[Mid27]]+Table1[[#This Row],[Mid30]]+Table1[[#This Row],[Mid33]]+Table1[[#This Row],[Mid36]]+Table1[[#This Row],[Mid39]]</f>
        <v>0</v>
      </c>
      <c r="CR1067" t="s">
        <v>415</v>
      </c>
      <c r="CS1067" s="19" t="str">
        <f>IF(AND(Table1[[#This Row],[Low41]]=0, Table1[[#This Row],[High43]]=0),"N","Y")</f>
        <v>N</v>
      </c>
    </row>
    <row r="1068" spans="1:97" ht="19.5" customHeight="1" x14ac:dyDescent="0.25">
      <c r="A1068">
        <v>11067</v>
      </c>
      <c r="B1068" t="s">
        <v>3159</v>
      </c>
      <c r="C1068" t="s">
        <v>3257</v>
      </c>
      <c r="D1068">
        <v>42.666666669999998</v>
      </c>
      <c r="E1068">
        <v>14.116666670000001</v>
      </c>
      <c r="F1068" t="s">
        <v>3300</v>
      </c>
      <c r="G1068" t="s">
        <v>3184</v>
      </c>
      <c r="H1068" t="s">
        <v>3296</v>
      </c>
      <c r="I1068" t="s">
        <v>118</v>
      </c>
      <c r="J1068" t="s">
        <v>119</v>
      </c>
      <c r="K1068" t="s">
        <v>203</v>
      </c>
      <c r="L1068" t="s">
        <v>121</v>
      </c>
      <c r="M1068" t="s">
        <v>3234</v>
      </c>
      <c r="N1068" s="6" t="s">
        <v>3301</v>
      </c>
      <c r="O1068" t="s">
        <v>2156</v>
      </c>
      <c r="P1068" t="s">
        <v>2156</v>
      </c>
      <c r="Q1068" t="s">
        <v>3298</v>
      </c>
      <c r="R1068" t="s">
        <v>3262</v>
      </c>
      <c r="S1068">
        <v>2023</v>
      </c>
      <c r="T1068" t="s">
        <v>771</v>
      </c>
      <c r="U1068" t="s">
        <v>2875</v>
      </c>
      <c r="V1068">
        <v>27.53</v>
      </c>
      <c r="W1068" t="s">
        <v>3302</v>
      </c>
      <c r="X1068">
        <v>950</v>
      </c>
      <c r="Z1068">
        <v>28</v>
      </c>
      <c r="AC1068">
        <v>690</v>
      </c>
      <c r="AD1068">
        <v>1</v>
      </c>
      <c r="AE1068">
        <v>3.6324009999999997E-2</v>
      </c>
      <c r="AF1068">
        <v>200</v>
      </c>
      <c r="AH1068" t="s">
        <v>2259</v>
      </c>
      <c r="AI1068">
        <v>4</v>
      </c>
      <c r="AM1068" t="s">
        <v>3224</v>
      </c>
      <c r="AN1068" t="s">
        <v>132</v>
      </c>
      <c r="BH1068">
        <v>183</v>
      </c>
      <c r="CE106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68" s="19">
        <f>SUM(Table1[[#This Row],[Mid39]],Table1[[#This Row],[Mid36]],Table1[[#This Row],[Mid33]],Table1[[#This Row],[Mid30]],Table1[[#This Row],[Mid27]],Table1[[#This Row],[Mid24]],Table1[[#This Row],[Mid21]],Table1[[#This Row],[Mid18]],Table1[[#This Row],[Mid15]],Table1[[#This Row],[Mid12]],Table1[[#This Row],[Mid9]],Table1[[#This Row],[Mid6]],Table1[[#This Row],[Mid3]],Table1[[#This Row],[Mid]])</f>
        <v>183</v>
      </c>
      <c r="CG106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68" t="s">
        <v>157</v>
      </c>
      <c r="CI1068" t="s">
        <v>134</v>
      </c>
      <c r="CJ1068" t="s">
        <v>158</v>
      </c>
      <c r="CL1068" s="19">
        <f>IF(Table1[[#This Row],[Type]]="Petroleum",1,IF(ISERROR(Table1[[#This Row],[Well Density]]*Table1[[#This Row],[Single Well Discovery Area]]),"",IF(Table1[[#This Row],[Well Density]]*Table1[[#This Row],[Single Well Discovery Area]]&gt;1,1,Table1[[#This Row],[Well Density]]*Table1[[#This Row],[Single Well Discovery Area]])))</f>
        <v>1</v>
      </c>
      <c r="CN1068" s="19">
        <f>Table1[[#This Row],[Mid]]</f>
        <v>0</v>
      </c>
      <c r="CO1068" s="19">
        <f>Table1[[#This Row],[Mid3]]+Table1[[#This Row],[Mid6]]+Table1[[#This Row],[Mid9]]</f>
        <v>0</v>
      </c>
      <c r="CP1068" s="19">
        <f>Table1[[#This Row],[Mid12]]+Table1[[#This Row],[Mid15]]+Table1[[#This Row],[Mid18]]+Table1[[#This Row],[Mid21]]+Table1[[#This Row],[Mid24]]</f>
        <v>183</v>
      </c>
      <c r="CQ1068" s="19">
        <f>Table1[[#This Row],[Mid27]]+Table1[[#This Row],[Mid30]]+Table1[[#This Row],[Mid33]]+Table1[[#This Row],[Mid36]]+Table1[[#This Row],[Mid39]]</f>
        <v>0</v>
      </c>
      <c r="CR1068" t="s">
        <v>415</v>
      </c>
      <c r="CS1068" s="19" t="str">
        <f>IF(AND(Table1[[#This Row],[Low41]]=0, Table1[[#This Row],[High43]]=0),"N","Y")</f>
        <v>N</v>
      </c>
    </row>
    <row r="1069" spans="1:97" ht="19.5" customHeight="1" x14ac:dyDescent="0.25">
      <c r="A1069">
        <v>11068</v>
      </c>
      <c r="B1069" t="s">
        <v>3159</v>
      </c>
      <c r="C1069" t="s">
        <v>3257</v>
      </c>
      <c r="D1069">
        <v>42.666666669999998</v>
      </c>
      <c r="E1069">
        <v>14.116666670000001</v>
      </c>
      <c r="F1069" t="s">
        <v>3303</v>
      </c>
      <c r="G1069" t="s">
        <v>3184</v>
      </c>
      <c r="H1069" t="s">
        <v>3296</v>
      </c>
      <c r="I1069" t="s">
        <v>118</v>
      </c>
      <c r="J1069" t="s">
        <v>119</v>
      </c>
      <c r="K1069" t="s">
        <v>203</v>
      </c>
      <c r="L1069" t="s">
        <v>121</v>
      </c>
      <c r="M1069" t="s">
        <v>3234</v>
      </c>
      <c r="N1069" s="6" t="s">
        <v>3304</v>
      </c>
      <c r="O1069" t="s">
        <v>2156</v>
      </c>
      <c r="P1069" t="s">
        <v>2156</v>
      </c>
      <c r="Q1069" t="s">
        <v>3298</v>
      </c>
      <c r="R1069" t="s">
        <v>3262</v>
      </c>
      <c r="S1069">
        <v>2023</v>
      </c>
      <c r="T1069" t="s">
        <v>771</v>
      </c>
      <c r="U1069" t="s">
        <v>2875</v>
      </c>
      <c r="V1069">
        <v>36.42</v>
      </c>
      <c r="W1069" t="s">
        <v>3305</v>
      </c>
      <c r="X1069">
        <v>670</v>
      </c>
      <c r="Z1069">
        <v>29</v>
      </c>
      <c r="AC1069">
        <v>684</v>
      </c>
      <c r="AD1069">
        <v>1</v>
      </c>
      <c r="AE1069">
        <v>2.7457440999999999E-2</v>
      </c>
      <c r="AF1069">
        <v>200</v>
      </c>
      <c r="AH1069" t="s">
        <v>2259</v>
      </c>
      <c r="AI1069">
        <v>4</v>
      </c>
      <c r="AM1069" t="s">
        <v>3224</v>
      </c>
      <c r="AN1069" t="s">
        <v>132</v>
      </c>
      <c r="BH1069">
        <v>176</v>
      </c>
      <c r="CE106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69" s="19">
        <f>SUM(Table1[[#This Row],[Mid39]],Table1[[#This Row],[Mid36]],Table1[[#This Row],[Mid33]],Table1[[#This Row],[Mid30]],Table1[[#This Row],[Mid27]],Table1[[#This Row],[Mid24]],Table1[[#This Row],[Mid21]],Table1[[#This Row],[Mid18]],Table1[[#This Row],[Mid15]],Table1[[#This Row],[Mid12]],Table1[[#This Row],[Mid9]],Table1[[#This Row],[Mid6]],Table1[[#This Row],[Mid3]],Table1[[#This Row],[Mid]])</f>
        <v>176</v>
      </c>
      <c r="CG106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69" t="s">
        <v>157</v>
      </c>
      <c r="CI1069" t="s">
        <v>134</v>
      </c>
      <c r="CJ1069" t="s">
        <v>158</v>
      </c>
      <c r="CL1069" s="19">
        <f>IF(Table1[[#This Row],[Type]]="Petroleum",1,IF(ISERROR(Table1[[#This Row],[Well Density]]*Table1[[#This Row],[Single Well Discovery Area]]),"",IF(Table1[[#This Row],[Well Density]]*Table1[[#This Row],[Single Well Discovery Area]]&gt;1,1,Table1[[#This Row],[Well Density]]*Table1[[#This Row],[Single Well Discovery Area]])))</f>
        <v>1</v>
      </c>
      <c r="CN1069" s="19">
        <f>Table1[[#This Row],[Mid]]</f>
        <v>0</v>
      </c>
      <c r="CO1069" s="19">
        <f>Table1[[#This Row],[Mid3]]+Table1[[#This Row],[Mid6]]+Table1[[#This Row],[Mid9]]</f>
        <v>0</v>
      </c>
      <c r="CP1069" s="19">
        <f>Table1[[#This Row],[Mid12]]+Table1[[#This Row],[Mid15]]+Table1[[#This Row],[Mid18]]+Table1[[#This Row],[Mid21]]+Table1[[#This Row],[Mid24]]</f>
        <v>176</v>
      </c>
      <c r="CQ1069" s="19">
        <f>Table1[[#This Row],[Mid27]]+Table1[[#This Row],[Mid30]]+Table1[[#This Row],[Mid33]]+Table1[[#This Row],[Mid36]]+Table1[[#This Row],[Mid39]]</f>
        <v>0</v>
      </c>
      <c r="CR1069" t="s">
        <v>415</v>
      </c>
      <c r="CS1069" s="19" t="str">
        <f>IF(AND(Table1[[#This Row],[Low41]]=0, Table1[[#This Row],[High43]]=0),"N","Y")</f>
        <v>N</v>
      </c>
    </row>
    <row r="1070" spans="1:97" ht="19.5" customHeight="1" x14ac:dyDescent="0.25">
      <c r="A1070">
        <v>11069</v>
      </c>
      <c r="B1070" t="s">
        <v>3159</v>
      </c>
      <c r="C1070" t="s">
        <v>3257</v>
      </c>
      <c r="D1070">
        <v>43.633333329999999</v>
      </c>
      <c r="E1070">
        <v>14.3</v>
      </c>
      <c r="F1070" t="s">
        <v>3306</v>
      </c>
      <c r="G1070" t="s">
        <v>3184</v>
      </c>
      <c r="H1070" t="s">
        <v>3241</v>
      </c>
      <c r="I1070" t="s">
        <v>118</v>
      </c>
      <c r="J1070" t="s">
        <v>119</v>
      </c>
      <c r="K1070" t="s">
        <v>203</v>
      </c>
      <c r="L1070" t="s">
        <v>121</v>
      </c>
      <c r="M1070" t="s">
        <v>3234</v>
      </c>
      <c r="N1070" s="6" t="s">
        <v>3307</v>
      </c>
      <c r="O1070" t="s">
        <v>2156</v>
      </c>
      <c r="P1070" t="s">
        <v>2156</v>
      </c>
      <c r="Q1070" t="s">
        <v>3298</v>
      </c>
      <c r="R1070" t="s">
        <v>3262</v>
      </c>
      <c r="S1070">
        <v>2023</v>
      </c>
      <c r="T1070" t="s">
        <v>771</v>
      </c>
      <c r="U1070" t="s">
        <v>2875</v>
      </c>
      <c r="V1070">
        <v>11.77</v>
      </c>
      <c r="W1070" t="s">
        <v>3308</v>
      </c>
      <c r="X1070">
        <v>484</v>
      </c>
      <c r="Z1070">
        <v>32</v>
      </c>
      <c r="AC1070">
        <v>684</v>
      </c>
      <c r="AD1070">
        <v>1</v>
      </c>
      <c r="AE1070">
        <v>8.4961766999999994E-2</v>
      </c>
      <c r="AF1070">
        <v>200</v>
      </c>
      <c r="AH1070" t="s">
        <v>2259</v>
      </c>
      <c r="AI1070">
        <v>13</v>
      </c>
      <c r="AM1070" t="s">
        <v>3224</v>
      </c>
      <c r="AN1070" t="s">
        <v>132</v>
      </c>
      <c r="BH1070">
        <v>140</v>
      </c>
      <c r="CE107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70" s="19">
        <f>SUM(Table1[[#This Row],[Mid39]],Table1[[#This Row],[Mid36]],Table1[[#This Row],[Mid33]],Table1[[#This Row],[Mid30]],Table1[[#This Row],[Mid27]],Table1[[#This Row],[Mid24]],Table1[[#This Row],[Mid21]],Table1[[#This Row],[Mid18]],Table1[[#This Row],[Mid15]],Table1[[#This Row],[Mid12]],Table1[[#This Row],[Mid9]],Table1[[#This Row],[Mid6]],Table1[[#This Row],[Mid3]],Table1[[#This Row],[Mid]])</f>
        <v>140</v>
      </c>
      <c r="CG107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70" t="s">
        <v>157</v>
      </c>
      <c r="CI1070" t="s">
        <v>134</v>
      </c>
      <c r="CJ1070" t="s">
        <v>158</v>
      </c>
      <c r="CL1070" s="19">
        <f>IF(Table1[[#This Row],[Type]]="Petroleum",1,IF(ISERROR(Table1[[#This Row],[Well Density]]*Table1[[#This Row],[Single Well Discovery Area]]),"",IF(Table1[[#This Row],[Well Density]]*Table1[[#This Row],[Single Well Discovery Area]]&gt;1,1,Table1[[#This Row],[Well Density]]*Table1[[#This Row],[Single Well Discovery Area]])))</f>
        <v>1</v>
      </c>
      <c r="CN1070" s="19">
        <f>Table1[[#This Row],[Mid]]</f>
        <v>0</v>
      </c>
      <c r="CO1070" s="19">
        <f>Table1[[#This Row],[Mid3]]+Table1[[#This Row],[Mid6]]+Table1[[#This Row],[Mid9]]</f>
        <v>0</v>
      </c>
      <c r="CP1070" s="19">
        <f>Table1[[#This Row],[Mid12]]+Table1[[#This Row],[Mid15]]+Table1[[#This Row],[Mid18]]+Table1[[#This Row],[Mid21]]+Table1[[#This Row],[Mid24]]</f>
        <v>140</v>
      </c>
      <c r="CQ1070" s="19">
        <f>Table1[[#This Row],[Mid27]]+Table1[[#This Row],[Mid30]]+Table1[[#This Row],[Mid33]]+Table1[[#This Row],[Mid36]]+Table1[[#This Row],[Mid39]]</f>
        <v>0</v>
      </c>
      <c r="CR1070" t="s">
        <v>415</v>
      </c>
      <c r="CS1070" s="19" t="str">
        <f>IF(AND(Table1[[#This Row],[Low41]]=0, Table1[[#This Row],[High43]]=0),"N","Y")</f>
        <v>N</v>
      </c>
    </row>
    <row r="1071" spans="1:97" ht="19.5" customHeight="1" x14ac:dyDescent="0.25">
      <c r="A1071">
        <v>11070</v>
      </c>
      <c r="B1071" t="s">
        <v>3159</v>
      </c>
      <c r="C1071" t="s">
        <v>3257</v>
      </c>
      <c r="D1071">
        <v>44.170833330000001</v>
      </c>
      <c r="E1071">
        <v>13.11333333</v>
      </c>
      <c r="F1071" t="s">
        <v>3309</v>
      </c>
      <c r="G1071" t="s">
        <v>3162</v>
      </c>
      <c r="H1071" t="s">
        <v>3180</v>
      </c>
      <c r="I1071" t="s">
        <v>118</v>
      </c>
      <c r="J1071" t="s">
        <v>119</v>
      </c>
      <c r="K1071" t="s">
        <v>203</v>
      </c>
      <c r="L1071" t="s">
        <v>121</v>
      </c>
      <c r="M1071" t="s">
        <v>3234</v>
      </c>
      <c r="N1071" s="6" t="s">
        <v>3310</v>
      </c>
      <c r="O1071" t="s">
        <v>2156</v>
      </c>
      <c r="P1071" t="s">
        <v>2156</v>
      </c>
      <c r="Q1071" t="s">
        <v>3298</v>
      </c>
      <c r="R1071" t="s">
        <v>3262</v>
      </c>
      <c r="S1071">
        <v>2023</v>
      </c>
      <c r="T1071" t="s">
        <v>771</v>
      </c>
      <c r="U1071" t="s">
        <v>2875</v>
      </c>
      <c r="V1071">
        <v>6.92</v>
      </c>
      <c r="W1071" t="s">
        <v>3311</v>
      </c>
      <c r="X1071">
        <v>670</v>
      </c>
      <c r="Z1071">
        <v>35</v>
      </c>
      <c r="AC1071">
        <v>690</v>
      </c>
      <c r="AD1071">
        <v>2</v>
      </c>
      <c r="AE1071">
        <v>0.28901734099999998</v>
      </c>
      <c r="AF1071">
        <v>200</v>
      </c>
      <c r="AG1071">
        <v>20.6</v>
      </c>
      <c r="AH1071" t="s">
        <v>2259</v>
      </c>
      <c r="AI1071">
        <v>13</v>
      </c>
      <c r="AM1071" t="s">
        <v>3224</v>
      </c>
      <c r="AN1071" t="s">
        <v>132</v>
      </c>
      <c r="BH1071">
        <v>124</v>
      </c>
      <c r="CE107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71" s="19">
        <f>SUM(Table1[[#This Row],[Mid39]],Table1[[#This Row],[Mid36]],Table1[[#This Row],[Mid33]],Table1[[#This Row],[Mid30]],Table1[[#This Row],[Mid27]],Table1[[#This Row],[Mid24]],Table1[[#This Row],[Mid21]],Table1[[#This Row],[Mid18]],Table1[[#This Row],[Mid15]],Table1[[#This Row],[Mid12]],Table1[[#This Row],[Mid9]],Table1[[#This Row],[Mid6]],Table1[[#This Row],[Mid3]],Table1[[#This Row],[Mid]])</f>
        <v>124</v>
      </c>
      <c r="CG107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71" t="s">
        <v>157</v>
      </c>
      <c r="CI1071" t="s">
        <v>134</v>
      </c>
      <c r="CJ1071" t="s">
        <v>158</v>
      </c>
      <c r="CL1071" s="19">
        <f>IF(Table1[[#This Row],[Type]]="Petroleum",1,IF(ISERROR(Table1[[#This Row],[Well Density]]*Table1[[#This Row],[Single Well Discovery Area]]),"",IF(Table1[[#This Row],[Well Density]]*Table1[[#This Row],[Single Well Discovery Area]]&gt;1,1,Table1[[#This Row],[Well Density]]*Table1[[#This Row],[Single Well Discovery Area]])))</f>
        <v>1</v>
      </c>
      <c r="CN1071" s="19">
        <f>Table1[[#This Row],[Mid]]</f>
        <v>0</v>
      </c>
      <c r="CO1071" s="19">
        <f>Table1[[#This Row],[Mid3]]+Table1[[#This Row],[Mid6]]+Table1[[#This Row],[Mid9]]</f>
        <v>0</v>
      </c>
      <c r="CP1071" s="19">
        <f>Table1[[#This Row],[Mid12]]+Table1[[#This Row],[Mid15]]+Table1[[#This Row],[Mid18]]+Table1[[#This Row],[Mid21]]+Table1[[#This Row],[Mid24]]</f>
        <v>124</v>
      </c>
      <c r="CQ1071" s="19">
        <f>Table1[[#This Row],[Mid27]]+Table1[[#This Row],[Mid30]]+Table1[[#This Row],[Mid33]]+Table1[[#This Row],[Mid36]]+Table1[[#This Row],[Mid39]]</f>
        <v>0</v>
      </c>
      <c r="CR1071" t="s">
        <v>415</v>
      </c>
      <c r="CS1071" s="19" t="str">
        <f>IF(AND(Table1[[#This Row],[Low41]]=0, Table1[[#This Row],[High43]]=0),"N","Y")</f>
        <v>N</v>
      </c>
    </row>
    <row r="1072" spans="1:97" ht="19.5" customHeight="1" x14ac:dyDescent="0.25">
      <c r="A1072">
        <v>11071</v>
      </c>
      <c r="B1072" t="s">
        <v>3159</v>
      </c>
      <c r="C1072" t="s">
        <v>3257</v>
      </c>
      <c r="D1072">
        <v>42.55944444</v>
      </c>
      <c r="E1072">
        <v>14.183611109999999</v>
      </c>
      <c r="F1072" t="s">
        <v>3312</v>
      </c>
      <c r="G1072" t="s">
        <v>3184</v>
      </c>
      <c r="H1072" t="s">
        <v>3241</v>
      </c>
      <c r="I1072" t="s">
        <v>118</v>
      </c>
      <c r="J1072" t="s">
        <v>119</v>
      </c>
      <c r="K1072" t="s">
        <v>203</v>
      </c>
      <c r="L1072" t="s">
        <v>121</v>
      </c>
      <c r="M1072" t="s">
        <v>3234</v>
      </c>
      <c r="N1072" s="6" t="s">
        <v>3313</v>
      </c>
      <c r="O1072" t="s">
        <v>2156</v>
      </c>
      <c r="P1072" t="s">
        <v>2156</v>
      </c>
      <c r="Q1072" t="s">
        <v>3298</v>
      </c>
      <c r="R1072" t="s">
        <v>3262</v>
      </c>
      <c r="S1072">
        <v>2023</v>
      </c>
      <c r="T1072" t="s">
        <v>771</v>
      </c>
      <c r="U1072" t="s">
        <v>2875</v>
      </c>
      <c r="V1072">
        <v>13.17</v>
      </c>
      <c r="W1072" t="s">
        <v>3314</v>
      </c>
      <c r="X1072">
        <v>708</v>
      </c>
      <c r="Z1072">
        <v>28</v>
      </c>
      <c r="AC1072">
        <v>695</v>
      </c>
      <c r="AD1072">
        <v>1</v>
      </c>
      <c r="AE1072">
        <v>7.5930144000000005E-2</v>
      </c>
      <c r="AF1072">
        <v>200</v>
      </c>
      <c r="AH1072" t="s">
        <v>2259</v>
      </c>
      <c r="AI1072">
        <v>13</v>
      </c>
      <c r="AM1072" t="s">
        <v>3224</v>
      </c>
      <c r="AN1072" t="s">
        <v>132</v>
      </c>
      <c r="BH1072">
        <v>217</v>
      </c>
      <c r="CE107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72" s="19">
        <f>SUM(Table1[[#This Row],[Mid39]],Table1[[#This Row],[Mid36]],Table1[[#This Row],[Mid33]],Table1[[#This Row],[Mid30]],Table1[[#This Row],[Mid27]],Table1[[#This Row],[Mid24]],Table1[[#This Row],[Mid21]],Table1[[#This Row],[Mid18]],Table1[[#This Row],[Mid15]],Table1[[#This Row],[Mid12]],Table1[[#This Row],[Mid9]],Table1[[#This Row],[Mid6]],Table1[[#This Row],[Mid3]],Table1[[#This Row],[Mid]])</f>
        <v>217</v>
      </c>
      <c r="CG107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72" t="s">
        <v>157</v>
      </c>
      <c r="CI1072" t="s">
        <v>134</v>
      </c>
      <c r="CJ1072" t="s">
        <v>158</v>
      </c>
      <c r="CL1072" s="19">
        <f>IF(Table1[[#This Row],[Type]]="Petroleum",1,IF(ISERROR(Table1[[#This Row],[Well Density]]*Table1[[#This Row],[Single Well Discovery Area]]),"",IF(Table1[[#This Row],[Well Density]]*Table1[[#This Row],[Single Well Discovery Area]]&gt;1,1,Table1[[#This Row],[Well Density]]*Table1[[#This Row],[Single Well Discovery Area]])))</f>
        <v>1</v>
      </c>
      <c r="CN1072" s="19">
        <f>Table1[[#This Row],[Mid]]</f>
        <v>0</v>
      </c>
      <c r="CO1072" s="19">
        <f>Table1[[#This Row],[Mid3]]+Table1[[#This Row],[Mid6]]+Table1[[#This Row],[Mid9]]</f>
        <v>0</v>
      </c>
      <c r="CP1072" s="19">
        <f>Table1[[#This Row],[Mid12]]+Table1[[#This Row],[Mid15]]+Table1[[#This Row],[Mid18]]+Table1[[#This Row],[Mid21]]+Table1[[#This Row],[Mid24]]</f>
        <v>217</v>
      </c>
      <c r="CQ1072" s="19">
        <f>Table1[[#This Row],[Mid27]]+Table1[[#This Row],[Mid30]]+Table1[[#This Row],[Mid33]]+Table1[[#This Row],[Mid36]]+Table1[[#This Row],[Mid39]]</f>
        <v>0</v>
      </c>
      <c r="CR1072" t="s">
        <v>415</v>
      </c>
      <c r="CS1072" s="19" t="str">
        <f>IF(AND(Table1[[#This Row],[Low41]]=0, Table1[[#This Row],[High43]]=0),"N","Y")</f>
        <v>N</v>
      </c>
    </row>
    <row r="1073" spans="1:97" ht="19.5" customHeight="1" x14ac:dyDescent="0.25">
      <c r="A1073">
        <v>11072</v>
      </c>
      <c r="B1073" t="s">
        <v>3315</v>
      </c>
      <c r="C1073" t="s">
        <v>3316</v>
      </c>
      <c r="D1073">
        <v>52.509444440000003</v>
      </c>
      <c r="E1073">
        <v>20.022500000000001</v>
      </c>
      <c r="F1073" t="s">
        <v>3317</v>
      </c>
      <c r="G1073" t="s">
        <v>3318</v>
      </c>
      <c r="H1073" t="s">
        <v>3319</v>
      </c>
      <c r="I1073" t="s">
        <v>118</v>
      </c>
      <c r="J1073" t="s">
        <v>119</v>
      </c>
      <c r="K1073" t="s">
        <v>203</v>
      </c>
      <c r="L1073" t="s">
        <v>261</v>
      </c>
      <c r="M1073" t="s">
        <v>338</v>
      </c>
      <c r="N1073" s="6" t="s">
        <v>3320</v>
      </c>
      <c r="O1073" t="s">
        <v>2156</v>
      </c>
      <c r="P1073" t="s">
        <v>1150</v>
      </c>
      <c r="Q1073" t="s">
        <v>255</v>
      </c>
      <c r="R1073" t="s">
        <v>3321</v>
      </c>
      <c r="S1073">
        <v>2009</v>
      </c>
      <c r="T1073" t="s">
        <v>771</v>
      </c>
      <c r="U1073" t="s">
        <v>3322</v>
      </c>
      <c r="V1073">
        <v>30</v>
      </c>
      <c r="W1073">
        <v>2190</v>
      </c>
      <c r="X1073">
        <v>200</v>
      </c>
      <c r="Y1073">
        <v>0</v>
      </c>
      <c r="Z1073">
        <v>15</v>
      </c>
      <c r="AA1073">
        <v>200</v>
      </c>
      <c r="AB1073">
        <v>5000</v>
      </c>
      <c r="AC1073">
        <v>0</v>
      </c>
      <c r="AD1073">
        <v>5</v>
      </c>
      <c r="AE1073">
        <v>0.16666666699999999</v>
      </c>
      <c r="AF1073">
        <v>200</v>
      </c>
      <c r="AG1073">
        <v>12</v>
      </c>
      <c r="AH1073" t="s">
        <v>2259</v>
      </c>
      <c r="AI1073">
        <v>20</v>
      </c>
      <c r="AJ1073">
        <v>0</v>
      </c>
      <c r="AK1073">
        <v>0</v>
      </c>
      <c r="AL1073">
        <v>0</v>
      </c>
      <c r="AM1073" t="s">
        <v>3224</v>
      </c>
      <c r="AN1073" t="s">
        <v>132</v>
      </c>
      <c r="AO1073">
        <v>0</v>
      </c>
      <c r="AP1073">
        <v>0</v>
      </c>
      <c r="AQ1073">
        <v>0</v>
      </c>
      <c r="AR1073">
        <v>0</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0</v>
      </c>
      <c r="BL1073">
        <v>0</v>
      </c>
      <c r="BM1073">
        <v>0</v>
      </c>
      <c r="BN1073">
        <v>575</v>
      </c>
      <c r="BO1073">
        <v>0</v>
      </c>
      <c r="BP1073">
        <v>0</v>
      </c>
      <c r="BQ1073">
        <v>0</v>
      </c>
      <c r="BR1073">
        <v>0</v>
      </c>
      <c r="BS1073">
        <v>0</v>
      </c>
      <c r="BT1073">
        <v>0</v>
      </c>
      <c r="BU1073">
        <v>0</v>
      </c>
      <c r="BV1073">
        <v>0</v>
      </c>
      <c r="BX1073">
        <v>0</v>
      </c>
      <c r="BY1073">
        <v>0</v>
      </c>
      <c r="CB1073">
        <v>0</v>
      </c>
      <c r="CC1073">
        <v>0</v>
      </c>
      <c r="CD1073">
        <v>0</v>
      </c>
      <c r="CE107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73" s="19">
        <f>SUM(Table1[[#This Row],[Mid39]],Table1[[#This Row],[Mid36]],Table1[[#This Row],[Mid33]],Table1[[#This Row],[Mid30]],Table1[[#This Row],[Mid27]],Table1[[#This Row],[Mid24]],Table1[[#This Row],[Mid21]],Table1[[#This Row],[Mid18]],Table1[[#This Row],[Mid15]],Table1[[#This Row],[Mid12]],Table1[[#This Row],[Mid9]],Table1[[#This Row],[Mid6]],Table1[[#This Row],[Mid3]],Table1[[#This Row],[Mid]])</f>
        <v>575</v>
      </c>
      <c r="CG107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73" t="s">
        <v>157</v>
      </c>
      <c r="CI1073" t="s">
        <v>134</v>
      </c>
      <c r="CJ1073" t="s">
        <v>158</v>
      </c>
      <c r="CL1073" s="19">
        <f>IF(Table1[[#This Row],[Type]]="Petroleum",1,IF(ISERROR(Table1[[#This Row],[Well Density]]*Table1[[#This Row],[Single Well Discovery Area]]),"",IF(Table1[[#This Row],[Well Density]]*Table1[[#This Row],[Single Well Discovery Area]]&gt;1,1,Table1[[#This Row],[Well Density]]*Table1[[#This Row],[Single Well Discovery Area]])))</f>
        <v>1</v>
      </c>
      <c r="CN1073" s="19">
        <f>Table1[[#This Row],[Mid]]</f>
        <v>0</v>
      </c>
      <c r="CO1073" s="19">
        <f>Table1[[#This Row],[Mid3]]+Table1[[#This Row],[Mid6]]+Table1[[#This Row],[Mid9]]</f>
        <v>0</v>
      </c>
      <c r="CP1073" s="19">
        <f>Table1[[#This Row],[Mid12]]+Table1[[#This Row],[Mid15]]+Table1[[#This Row],[Mid18]]+Table1[[#This Row],[Mid21]]+Table1[[#This Row],[Mid24]]</f>
        <v>575</v>
      </c>
      <c r="CQ1073" s="19">
        <f>Table1[[#This Row],[Mid27]]+Table1[[#This Row],[Mid30]]+Table1[[#This Row],[Mid33]]+Table1[[#This Row],[Mid36]]+Table1[[#This Row],[Mid39]]</f>
        <v>0</v>
      </c>
      <c r="CR1073" t="s">
        <v>415</v>
      </c>
      <c r="CS1073" s="19" t="str">
        <f>IF(AND(Table1[[#This Row],[Low41]]=0, Table1[[#This Row],[High43]]=0),"N","Y")</f>
        <v>N</v>
      </c>
    </row>
    <row r="1074" spans="1:97" ht="19.5" customHeight="1" x14ac:dyDescent="0.25">
      <c r="A1074">
        <v>11073</v>
      </c>
      <c r="B1074" t="s">
        <v>3315</v>
      </c>
      <c r="C1074" t="s">
        <v>3316</v>
      </c>
      <c r="D1074">
        <v>52.115000000000002</v>
      </c>
      <c r="E1074">
        <v>19.177222220000001</v>
      </c>
      <c r="F1074" t="s">
        <v>3323</v>
      </c>
      <c r="G1074" t="s">
        <v>3318</v>
      </c>
      <c r="H1074" t="s">
        <v>3324</v>
      </c>
      <c r="I1074" t="s">
        <v>118</v>
      </c>
      <c r="J1074" t="s">
        <v>119</v>
      </c>
      <c r="K1074" t="s">
        <v>120</v>
      </c>
      <c r="L1074" t="s">
        <v>18</v>
      </c>
      <c r="M1074" t="s">
        <v>2670</v>
      </c>
      <c r="N1074" s="6" t="s">
        <v>3325</v>
      </c>
      <c r="O1074" t="s">
        <v>2156</v>
      </c>
      <c r="P1074" t="s">
        <v>1150</v>
      </c>
      <c r="Q1074" t="s">
        <v>255</v>
      </c>
      <c r="R1074" t="s">
        <v>3326</v>
      </c>
      <c r="S1074">
        <v>2009</v>
      </c>
      <c r="T1074" t="s">
        <v>771</v>
      </c>
      <c r="U1074" t="s">
        <v>3322</v>
      </c>
      <c r="V1074">
        <v>36000</v>
      </c>
      <c r="W1074">
        <v>1000</v>
      </c>
      <c r="X1074">
        <v>250</v>
      </c>
      <c r="Y1074">
        <v>0</v>
      </c>
      <c r="Z1074">
        <v>20</v>
      </c>
      <c r="AA1074">
        <v>1000</v>
      </c>
      <c r="AB1074">
        <v>50000</v>
      </c>
      <c r="AC1074">
        <v>0</v>
      </c>
      <c r="AD1074">
        <v>750</v>
      </c>
      <c r="AE1074">
        <v>2.0833332999999999E-2</v>
      </c>
      <c r="AF1074">
        <v>200</v>
      </c>
      <c r="AG1074">
        <v>21.9</v>
      </c>
      <c r="AH1074" t="s">
        <v>2259</v>
      </c>
      <c r="AI1074">
        <v>20</v>
      </c>
      <c r="AJ1074">
        <v>0</v>
      </c>
      <c r="AK1074">
        <v>0</v>
      </c>
      <c r="AL1074">
        <v>0</v>
      </c>
      <c r="AM1074" t="s">
        <v>3224</v>
      </c>
      <c r="AN1074" t="s">
        <v>132</v>
      </c>
      <c r="AO1074">
        <v>0</v>
      </c>
      <c r="AP1074">
        <v>0</v>
      </c>
      <c r="AQ1074">
        <v>0</v>
      </c>
      <c r="AR1074">
        <v>0</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0</v>
      </c>
      <c r="BL1074">
        <v>0</v>
      </c>
      <c r="BM1074">
        <v>0</v>
      </c>
      <c r="BN1074">
        <v>0</v>
      </c>
      <c r="BO1074">
        <v>0</v>
      </c>
      <c r="BP1074">
        <v>0</v>
      </c>
      <c r="BQ1074">
        <v>0</v>
      </c>
      <c r="BR1074">
        <v>0</v>
      </c>
      <c r="BS1074">
        <v>0</v>
      </c>
      <c r="BT1074">
        <v>0</v>
      </c>
      <c r="BU1074">
        <v>0</v>
      </c>
      <c r="BV1074">
        <v>0</v>
      </c>
      <c r="BW1074">
        <v>7650</v>
      </c>
      <c r="BX1074">
        <v>0</v>
      </c>
      <c r="BY1074">
        <v>0</v>
      </c>
      <c r="CB1074">
        <v>0</v>
      </c>
      <c r="CC1074">
        <v>0</v>
      </c>
      <c r="CD1074">
        <v>0</v>
      </c>
      <c r="CE107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74" s="19">
        <f>SUM(Table1[[#This Row],[Mid39]],Table1[[#This Row],[Mid36]],Table1[[#This Row],[Mid33]],Table1[[#This Row],[Mid30]],Table1[[#This Row],[Mid27]],Table1[[#This Row],[Mid24]],Table1[[#This Row],[Mid21]],Table1[[#This Row],[Mid18]],Table1[[#This Row],[Mid15]],Table1[[#This Row],[Mid12]],Table1[[#This Row],[Mid9]],Table1[[#This Row],[Mid6]],Table1[[#This Row],[Mid3]],Table1[[#This Row],[Mid]])</f>
        <v>7650</v>
      </c>
      <c r="CG107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74" t="s">
        <v>157</v>
      </c>
      <c r="CI1074" t="s">
        <v>134</v>
      </c>
      <c r="CJ1074" t="s">
        <v>158</v>
      </c>
      <c r="CL1074" s="19">
        <f>IF(Table1[[#This Row],[Type]]="Petroleum",1,IF(ISERROR(Table1[[#This Row],[Well Density]]*Table1[[#This Row],[Single Well Discovery Area]]),"",IF(Table1[[#This Row],[Well Density]]*Table1[[#This Row],[Single Well Discovery Area]]&gt;1,1,Table1[[#This Row],[Well Density]]*Table1[[#This Row],[Single Well Discovery Area]])))</f>
        <v>1</v>
      </c>
      <c r="CN1074" s="19">
        <f>Table1[[#This Row],[Mid]]</f>
        <v>0</v>
      </c>
      <c r="CO1074" s="19">
        <f>Table1[[#This Row],[Mid3]]+Table1[[#This Row],[Mid6]]+Table1[[#This Row],[Mid9]]</f>
        <v>0</v>
      </c>
      <c r="CP1074" s="19">
        <f>Table1[[#This Row],[Mid12]]+Table1[[#This Row],[Mid15]]+Table1[[#This Row],[Mid18]]+Table1[[#This Row],[Mid21]]+Table1[[#This Row],[Mid24]]</f>
        <v>0</v>
      </c>
      <c r="CQ1074" s="19">
        <f>Table1[[#This Row],[Mid27]]+Table1[[#This Row],[Mid30]]+Table1[[#This Row],[Mid33]]+Table1[[#This Row],[Mid36]]+Table1[[#This Row],[Mid39]]</f>
        <v>7650</v>
      </c>
      <c r="CR1074" t="s">
        <v>415</v>
      </c>
      <c r="CS1074" s="19" t="str">
        <f>IF(AND(Table1[[#This Row],[Low41]]=0, Table1[[#This Row],[High43]]=0),"N","Y")</f>
        <v>N</v>
      </c>
    </row>
    <row r="1075" spans="1:97" ht="19.5" customHeight="1" x14ac:dyDescent="0.25">
      <c r="A1075">
        <v>11074</v>
      </c>
      <c r="B1075" t="s">
        <v>3315</v>
      </c>
      <c r="C1075" t="s">
        <v>3316</v>
      </c>
      <c r="D1075">
        <v>52.449166669999997</v>
      </c>
      <c r="E1075">
        <v>20.321666669999999</v>
      </c>
      <c r="F1075" t="s">
        <v>3327</v>
      </c>
      <c r="G1075" t="s">
        <v>3318</v>
      </c>
      <c r="H1075" t="s">
        <v>3324</v>
      </c>
      <c r="I1075" t="s">
        <v>118</v>
      </c>
      <c r="J1075" t="s">
        <v>119</v>
      </c>
      <c r="K1075" t="s">
        <v>203</v>
      </c>
      <c r="L1075" t="s">
        <v>147</v>
      </c>
      <c r="M1075" t="s">
        <v>2670</v>
      </c>
      <c r="N1075" s="6" t="s">
        <v>3328</v>
      </c>
      <c r="O1075" t="s">
        <v>2156</v>
      </c>
      <c r="P1075" t="s">
        <v>1150</v>
      </c>
      <c r="Q1075" t="s">
        <v>255</v>
      </c>
      <c r="R1075" t="s">
        <v>3321</v>
      </c>
      <c r="S1075">
        <v>2009</v>
      </c>
      <c r="T1075" t="s">
        <v>771</v>
      </c>
      <c r="U1075" t="s">
        <v>3322</v>
      </c>
      <c r="V1075">
        <v>75</v>
      </c>
      <c r="W1075">
        <v>939</v>
      </c>
      <c r="X1075">
        <v>122</v>
      </c>
      <c r="Z1075">
        <v>20</v>
      </c>
      <c r="AA1075">
        <v>1000</v>
      </c>
      <c r="AB1075">
        <v>10000</v>
      </c>
      <c r="AD1075">
        <v>2</v>
      </c>
      <c r="AE1075">
        <v>2.6666667000000002E-2</v>
      </c>
      <c r="AF1075">
        <v>200</v>
      </c>
      <c r="AG1075">
        <v>9.4</v>
      </c>
      <c r="AH1075" t="s">
        <v>2259</v>
      </c>
      <c r="AI1075">
        <v>15</v>
      </c>
      <c r="AM1075" t="s">
        <v>3224</v>
      </c>
      <c r="AN1075" t="s">
        <v>132</v>
      </c>
      <c r="BA1075">
        <v>0</v>
      </c>
      <c r="BB1075">
        <v>0</v>
      </c>
      <c r="BC1075">
        <v>0</v>
      </c>
      <c r="BD1075">
        <v>0</v>
      </c>
      <c r="BE1075">
        <v>0</v>
      </c>
      <c r="BF1075">
        <v>0</v>
      </c>
      <c r="BG1075">
        <v>0</v>
      </c>
      <c r="BH1075">
        <v>0</v>
      </c>
      <c r="BI1075">
        <v>0</v>
      </c>
      <c r="BJ1075">
        <v>0</v>
      </c>
      <c r="BK1075">
        <v>0</v>
      </c>
      <c r="BL1075">
        <v>0</v>
      </c>
      <c r="BM1075">
        <v>0</v>
      </c>
      <c r="BN1075">
        <v>115.3</v>
      </c>
      <c r="CE107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75" s="19">
        <f>SUM(Table1[[#This Row],[Mid39]],Table1[[#This Row],[Mid36]],Table1[[#This Row],[Mid33]],Table1[[#This Row],[Mid30]],Table1[[#This Row],[Mid27]],Table1[[#This Row],[Mid24]],Table1[[#This Row],[Mid21]],Table1[[#This Row],[Mid18]],Table1[[#This Row],[Mid15]],Table1[[#This Row],[Mid12]],Table1[[#This Row],[Mid9]],Table1[[#This Row],[Mid6]],Table1[[#This Row],[Mid3]],Table1[[#This Row],[Mid]])</f>
        <v>115.3</v>
      </c>
      <c r="CG107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75" t="s">
        <v>157</v>
      </c>
      <c r="CI1075" t="s">
        <v>134</v>
      </c>
      <c r="CJ1075" t="s">
        <v>158</v>
      </c>
      <c r="CL1075" s="19">
        <f>IF(Table1[[#This Row],[Type]]="Petroleum",1,IF(ISERROR(Table1[[#This Row],[Well Density]]*Table1[[#This Row],[Single Well Discovery Area]]),"",IF(Table1[[#This Row],[Well Density]]*Table1[[#This Row],[Single Well Discovery Area]]&gt;1,1,Table1[[#This Row],[Well Density]]*Table1[[#This Row],[Single Well Discovery Area]])))</f>
        <v>1</v>
      </c>
      <c r="CN1075" s="19">
        <f>Table1[[#This Row],[Mid]]</f>
        <v>0</v>
      </c>
      <c r="CO1075" s="19">
        <f>Table1[[#This Row],[Mid3]]+Table1[[#This Row],[Mid6]]+Table1[[#This Row],[Mid9]]</f>
        <v>0</v>
      </c>
      <c r="CP1075" s="19">
        <f>Table1[[#This Row],[Mid12]]+Table1[[#This Row],[Mid15]]+Table1[[#This Row],[Mid18]]+Table1[[#This Row],[Mid21]]+Table1[[#This Row],[Mid24]]</f>
        <v>115.3</v>
      </c>
      <c r="CQ1075" s="19">
        <f>Table1[[#This Row],[Mid27]]+Table1[[#This Row],[Mid30]]+Table1[[#This Row],[Mid33]]+Table1[[#This Row],[Mid36]]+Table1[[#This Row],[Mid39]]</f>
        <v>0</v>
      </c>
      <c r="CR1075" t="s">
        <v>415</v>
      </c>
      <c r="CS1075" s="19" t="str">
        <f>IF(AND(Table1[[#This Row],[Low41]]=0, Table1[[#This Row],[High43]]=0),"N","Y")</f>
        <v>N</v>
      </c>
    </row>
    <row r="1076" spans="1:97" ht="19.5" customHeight="1" x14ac:dyDescent="0.25">
      <c r="A1076">
        <v>11075</v>
      </c>
      <c r="B1076" t="s">
        <v>3315</v>
      </c>
      <c r="C1076" t="s">
        <v>3316</v>
      </c>
      <c r="D1076">
        <v>52.737777780000002</v>
      </c>
      <c r="E1076">
        <v>19.910833329999999</v>
      </c>
      <c r="F1076" t="s">
        <v>3329</v>
      </c>
      <c r="G1076" t="s">
        <v>3318</v>
      </c>
      <c r="H1076" t="s">
        <v>3319</v>
      </c>
      <c r="I1076" t="s">
        <v>118</v>
      </c>
      <c r="J1076" t="s">
        <v>119</v>
      </c>
      <c r="K1076" t="s">
        <v>203</v>
      </c>
      <c r="L1076" t="s">
        <v>121</v>
      </c>
      <c r="M1076" t="s">
        <v>338</v>
      </c>
      <c r="N1076" s="6" t="s">
        <v>3330</v>
      </c>
      <c r="O1076" t="s">
        <v>3331</v>
      </c>
      <c r="P1076" t="s">
        <v>1150</v>
      </c>
      <c r="Q1076" t="s">
        <v>255</v>
      </c>
      <c r="R1076" t="s">
        <v>3332</v>
      </c>
      <c r="S1076">
        <v>2022</v>
      </c>
      <c r="T1076" t="s">
        <v>771</v>
      </c>
      <c r="U1076" t="s">
        <v>3322</v>
      </c>
      <c r="V1076">
        <v>60</v>
      </c>
      <c r="W1076">
        <v>2190</v>
      </c>
      <c r="X1076">
        <v>46</v>
      </c>
      <c r="Z1076">
        <v>15</v>
      </c>
      <c r="AA1076">
        <v>50</v>
      </c>
      <c r="AB1076">
        <v>150000</v>
      </c>
      <c r="AD1076">
        <v>2</v>
      </c>
      <c r="AE1076">
        <v>3.3333333E-2</v>
      </c>
      <c r="AF1076">
        <v>200</v>
      </c>
      <c r="AG1076">
        <v>21</v>
      </c>
      <c r="AH1076" t="s">
        <v>1612</v>
      </c>
      <c r="AI1076">
        <v>20</v>
      </c>
      <c r="AJ1076">
        <v>0</v>
      </c>
      <c r="AK1076">
        <v>0</v>
      </c>
      <c r="AL1076">
        <v>0</v>
      </c>
      <c r="AM1076" t="s">
        <v>130</v>
      </c>
      <c r="AN1076" t="s">
        <v>132</v>
      </c>
      <c r="AQ1076">
        <v>0</v>
      </c>
      <c r="AR1076">
        <v>0</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0</v>
      </c>
      <c r="BL1076">
        <v>0</v>
      </c>
      <c r="BM1076">
        <v>0</v>
      </c>
      <c r="BN1076">
        <v>205</v>
      </c>
      <c r="BO1076">
        <v>0</v>
      </c>
      <c r="BP1076">
        <v>0</v>
      </c>
      <c r="BQ1076">
        <v>0</v>
      </c>
      <c r="BR1076">
        <v>0</v>
      </c>
      <c r="BS1076">
        <v>0</v>
      </c>
      <c r="BT1076">
        <v>0</v>
      </c>
      <c r="BU1076">
        <v>0</v>
      </c>
      <c r="BV1076">
        <v>0</v>
      </c>
      <c r="BW1076">
        <v>0</v>
      </c>
      <c r="BX1076">
        <v>0</v>
      </c>
      <c r="BY1076">
        <v>0</v>
      </c>
      <c r="BZ1076">
        <v>0</v>
      </c>
      <c r="CA1076">
        <v>0</v>
      </c>
      <c r="CB1076">
        <v>0</v>
      </c>
      <c r="CC1076">
        <v>0</v>
      </c>
      <c r="CD1076">
        <v>0</v>
      </c>
      <c r="CE107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76" s="19">
        <f>SUM(Table1[[#This Row],[Mid39]],Table1[[#This Row],[Mid36]],Table1[[#This Row],[Mid33]],Table1[[#This Row],[Mid30]],Table1[[#This Row],[Mid27]],Table1[[#This Row],[Mid24]],Table1[[#This Row],[Mid21]],Table1[[#This Row],[Mid18]],Table1[[#This Row],[Mid15]],Table1[[#This Row],[Mid12]],Table1[[#This Row],[Mid9]],Table1[[#This Row],[Mid6]],Table1[[#This Row],[Mid3]],Table1[[#This Row],[Mid]])</f>
        <v>205</v>
      </c>
      <c r="CG107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76" t="s">
        <v>157</v>
      </c>
      <c r="CI1076" t="s">
        <v>134</v>
      </c>
      <c r="CJ1076" t="s">
        <v>158</v>
      </c>
      <c r="CL1076" s="19">
        <f>IF(Table1[[#This Row],[Type]]="Petroleum",1,IF(ISERROR(Table1[[#This Row],[Well Density]]*Table1[[#This Row],[Single Well Discovery Area]]),"",IF(Table1[[#This Row],[Well Density]]*Table1[[#This Row],[Single Well Discovery Area]]&gt;1,1,Table1[[#This Row],[Well Density]]*Table1[[#This Row],[Single Well Discovery Area]])))</f>
        <v>1</v>
      </c>
      <c r="CN1076" s="19">
        <f>Table1[[#This Row],[Mid]]</f>
        <v>0</v>
      </c>
      <c r="CO1076" s="19">
        <f>Table1[[#This Row],[Mid3]]+Table1[[#This Row],[Mid6]]+Table1[[#This Row],[Mid9]]</f>
        <v>0</v>
      </c>
      <c r="CP1076" s="19">
        <f>Table1[[#This Row],[Mid12]]+Table1[[#This Row],[Mid15]]+Table1[[#This Row],[Mid18]]+Table1[[#This Row],[Mid21]]+Table1[[#This Row],[Mid24]]</f>
        <v>205</v>
      </c>
      <c r="CQ1076" s="19">
        <f>Table1[[#This Row],[Mid27]]+Table1[[#This Row],[Mid30]]+Table1[[#This Row],[Mid33]]+Table1[[#This Row],[Mid36]]+Table1[[#This Row],[Mid39]]</f>
        <v>0</v>
      </c>
      <c r="CR1076" t="s">
        <v>415</v>
      </c>
      <c r="CS1076" s="19" t="str">
        <f>IF(AND(Table1[[#This Row],[Low41]]=0, Table1[[#This Row],[High43]]=0),"N","Y")</f>
        <v>N</v>
      </c>
    </row>
    <row r="1077" spans="1:97" ht="19.5" customHeight="1" x14ac:dyDescent="0.25">
      <c r="A1077">
        <v>11076</v>
      </c>
      <c r="B1077" t="s">
        <v>3315</v>
      </c>
      <c r="C1077" t="s">
        <v>3316</v>
      </c>
      <c r="D1077">
        <v>52.738055559999999</v>
      </c>
      <c r="E1077">
        <v>19.910555559999999</v>
      </c>
      <c r="F1077" t="s">
        <v>3333</v>
      </c>
      <c r="G1077" t="s">
        <v>3318</v>
      </c>
      <c r="H1077" t="s">
        <v>3324</v>
      </c>
      <c r="I1077" t="s">
        <v>118</v>
      </c>
      <c r="J1077" t="s">
        <v>119</v>
      </c>
      <c r="K1077" t="s">
        <v>203</v>
      </c>
      <c r="L1077" t="s">
        <v>147</v>
      </c>
      <c r="M1077" t="s">
        <v>2670</v>
      </c>
      <c r="N1077" s="6" t="s">
        <v>3328</v>
      </c>
      <c r="O1077" t="s">
        <v>3331</v>
      </c>
      <c r="P1077" t="s">
        <v>1150</v>
      </c>
      <c r="Q1077" t="s">
        <v>255</v>
      </c>
      <c r="R1077" t="s">
        <v>3321</v>
      </c>
      <c r="S1077">
        <v>2009</v>
      </c>
      <c r="T1077" t="s">
        <v>771</v>
      </c>
      <c r="U1077" t="s">
        <v>3322</v>
      </c>
      <c r="V1077">
        <v>75</v>
      </c>
      <c r="W1077">
        <v>1068</v>
      </c>
      <c r="X1077">
        <v>116</v>
      </c>
      <c r="Z1077">
        <v>30</v>
      </c>
      <c r="AA1077">
        <v>1000</v>
      </c>
      <c r="AB1077">
        <v>39000</v>
      </c>
      <c r="AD1077">
        <v>2</v>
      </c>
      <c r="AE1077">
        <v>2.6666667000000002E-2</v>
      </c>
      <c r="AF1077">
        <v>200</v>
      </c>
      <c r="AG1077">
        <v>10.7</v>
      </c>
      <c r="AH1077" t="s">
        <v>2259</v>
      </c>
      <c r="AI1077">
        <v>20</v>
      </c>
      <c r="AJ1077">
        <v>0</v>
      </c>
      <c r="AK1077">
        <v>0</v>
      </c>
      <c r="AL1077">
        <v>0</v>
      </c>
      <c r="AM1077" t="s">
        <v>3167</v>
      </c>
      <c r="AN1077" t="s">
        <v>132</v>
      </c>
      <c r="AQ1077">
        <v>0</v>
      </c>
      <c r="AR1077">
        <v>0</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0</v>
      </c>
      <c r="BL1077">
        <v>0</v>
      </c>
      <c r="BM1077">
        <v>0</v>
      </c>
      <c r="BN1077">
        <v>338</v>
      </c>
      <c r="BO1077">
        <v>0</v>
      </c>
      <c r="BP1077">
        <v>0</v>
      </c>
      <c r="BQ1077">
        <v>0</v>
      </c>
      <c r="BR1077">
        <v>0</v>
      </c>
      <c r="BS1077">
        <v>0</v>
      </c>
      <c r="BT1077">
        <v>0</v>
      </c>
      <c r="BU1077">
        <v>0</v>
      </c>
      <c r="BV1077">
        <v>0</v>
      </c>
      <c r="BW1077">
        <v>0</v>
      </c>
      <c r="BX1077">
        <v>0</v>
      </c>
      <c r="BY1077">
        <v>0</v>
      </c>
      <c r="BZ1077">
        <v>0</v>
      </c>
      <c r="CA1077">
        <v>0</v>
      </c>
      <c r="CB1077">
        <v>0</v>
      </c>
      <c r="CC1077">
        <v>0</v>
      </c>
      <c r="CD1077">
        <v>0</v>
      </c>
      <c r="CE107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77" s="19">
        <f>SUM(Table1[[#This Row],[Mid39]],Table1[[#This Row],[Mid36]],Table1[[#This Row],[Mid33]],Table1[[#This Row],[Mid30]],Table1[[#This Row],[Mid27]],Table1[[#This Row],[Mid24]],Table1[[#This Row],[Mid21]],Table1[[#This Row],[Mid18]],Table1[[#This Row],[Mid15]],Table1[[#This Row],[Mid12]],Table1[[#This Row],[Mid9]],Table1[[#This Row],[Mid6]],Table1[[#This Row],[Mid3]],Table1[[#This Row],[Mid]])</f>
        <v>338</v>
      </c>
      <c r="CG107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77" t="s">
        <v>157</v>
      </c>
      <c r="CI1077" t="s">
        <v>134</v>
      </c>
      <c r="CJ1077" t="s">
        <v>158</v>
      </c>
      <c r="CL1077" s="19">
        <f>IF(Table1[[#This Row],[Type]]="Petroleum",1,IF(ISERROR(Table1[[#This Row],[Well Density]]*Table1[[#This Row],[Single Well Discovery Area]]),"",IF(Table1[[#This Row],[Well Density]]*Table1[[#This Row],[Single Well Discovery Area]]&gt;1,1,Table1[[#This Row],[Well Density]]*Table1[[#This Row],[Single Well Discovery Area]])))</f>
        <v>1</v>
      </c>
      <c r="CN1077" s="19">
        <f>Table1[[#This Row],[Mid]]</f>
        <v>0</v>
      </c>
      <c r="CO1077" s="19">
        <f>Table1[[#This Row],[Mid3]]+Table1[[#This Row],[Mid6]]+Table1[[#This Row],[Mid9]]</f>
        <v>0</v>
      </c>
      <c r="CP1077" s="19">
        <f>Table1[[#This Row],[Mid12]]+Table1[[#This Row],[Mid15]]+Table1[[#This Row],[Mid18]]+Table1[[#This Row],[Mid21]]+Table1[[#This Row],[Mid24]]</f>
        <v>338</v>
      </c>
      <c r="CQ1077" s="19">
        <f>Table1[[#This Row],[Mid27]]+Table1[[#This Row],[Mid30]]+Table1[[#This Row],[Mid33]]+Table1[[#This Row],[Mid36]]+Table1[[#This Row],[Mid39]]</f>
        <v>0</v>
      </c>
      <c r="CR1077" t="s">
        <v>415</v>
      </c>
      <c r="CS1077" s="19" t="str">
        <f>IF(AND(Table1[[#This Row],[Low41]]=0, Table1[[#This Row],[High43]]=0),"N","Y")</f>
        <v>N</v>
      </c>
    </row>
    <row r="1078" spans="1:97" ht="19.5" customHeight="1" x14ac:dyDescent="0.25">
      <c r="A1078">
        <v>11077</v>
      </c>
      <c r="B1078" t="s">
        <v>3315</v>
      </c>
      <c r="C1078" t="s">
        <v>3316</v>
      </c>
      <c r="D1078">
        <v>53.40138889</v>
      </c>
      <c r="E1078">
        <v>16.010833330000001</v>
      </c>
      <c r="F1078" t="s">
        <v>3334</v>
      </c>
      <c r="G1078" t="s">
        <v>3318</v>
      </c>
      <c r="H1078" t="s">
        <v>3319</v>
      </c>
      <c r="I1078" t="s">
        <v>118</v>
      </c>
      <c r="J1078" t="s">
        <v>119</v>
      </c>
      <c r="K1078" t="s">
        <v>203</v>
      </c>
      <c r="L1078" t="s">
        <v>121</v>
      </c>
      <c r="M1078" t="s">
        <v>338</v>
      </c>
      <c r="N1078" s="6" t="s">
        <v>3330</v>
      </c>
      <c r="O1078" t="s">
        <v>3331</v>
      </c>
      <c r="P1078" t="s">
        <v>1150</v>
      </c>
      <c r="Q1078" t="s">
        <v>255</v>
      </c>
      <c r="R1078" t="s">
        <v>3332</v>
      </c>
      <c r="S1078">
        <v>2022</v>
      </c>
      <c r="T1078" t="s">
        <v>771</v>
      </c>
      <c r="U1078" t="s">
        <v>3322</v>
      </c>
      <c r="V1078">
        <v>51</v>
      </c>
      <c r="W1078">
        <v>1293</v>
      </c>
      <c r="X1078">
        <v>89</v>
      </c>
      <c r="Z1078">
        <v>22</v>
      </c>
      <c r="AA1078">
        <v>1500</v>
      </c>
      <c r="AB1078">
        <v>100000</v>
      </c>
      <c r="AD1078">
        <v>1</v>
      </c>
      <c r="AE1078">
        <v>1.9607843E-2</v>
      </c>
      <c r="AF1078">
        <v>200</v>
      </c>
      <c r="AG1078">
        <v>12</v>
      </c>
      <c r="AH1078" t="s">
        <v>1612</v>
      </c>
      <c r="AI1078">
        <v>26</v>
      </c>
      <c r="AJ1078">
        <v>0</v>
      </c>
      <c r="AK1078">
        <v>0</v>
      </c>
      <c r="AL1078">
        <v>0</v>
      </c>
      <c r="AM1078" t="s">
        <v>130</v>
      </c>
      <c r="AN1078" t="s">
        <v>132</v>
      </c>
      <c r="AQ1078">
        <v>0</v>
      </c>
      <c r="AR1078">
        <v>0</v>
      </c>
      <c r="AS1078">
        <v>0</v>
      </c>
      <c r="AT1078">
        <v>0</v>
      </c>
      <c r="AU1078">
        <v>0</v>
      </c>
      <c r="AV1078">
        <v>0</v>
      </c>
      <c r="AW1078">
        <v>0</v>
      </c>
      <c r="AX1078">
        <v>0</v>
      </c>
      <c r="AY1078">
        <v>0</v>
      </c>
      <c r="AZ1078">
        <v>0</v>
      </c>
      <c r="BA1078">
        <v>0</v>
      </c>
      <c r="BB1078">
        <v>0</v>
      </c>
      <c r="BC1078">
        <v>0</v>
      </c>
      <c r="BD1078">
        <v>0</v>
      </c>
      <c r="BE1078">
        <v>0</v>
      </c>
      <c r="BF1078">
        <v>0</v>
      </c>
      <c r="BG1078">
        <v>0</v>
      </c>
      <c r="BH1078">
        <v>0</v>
      </c>
      <c r="BI1078">
        <v>0</v>
      </c>
      <c r="BJ1078">
        <v>0</v>
      </c>
      <c r="BK1078">
        <v>0</v>
      </c>
      <c r="BL1078">
        <v>0</v>
      </c>
      <c r="BM1078">
        <v>0</v>
      </c>
      <c r="BN1078">
        <v>390</v>
      </c>
      <c r="BO1078">
        <v>0</v>
      </c>
      <c r="BP1078">
        <v>0</v>
      </c>
      <c r="BQ1078">
        <v>0</v>
      </c>
      <c r="BR1078">
        <v>0</v>
      </c>
      <c r="BS1078">
        <v>0</v>
      </c>
      <c r="BT1078">
        <v>0</v>
      </c>
      <c r="BU1078">
        <v>0</v>
      </c>
      <c r="BV1078">
        <v>0</v>
      </c>
      <c r="BW1078">
        <v>0</v>
      </c>
      <c r="BX1078">
        <v>0</v>
      </c>
      <c r="BY1078">
        <v>0</v>
      </c>
      <c r="BZ1078">
        <v>0</v>
      </c>
      <c r="CA1078">
        <v>0</v>
      </c>
      <c r="CB1078">
        <v>0</v>
      </c>
      <c r="CC1078">
        <v>0</v>
      </c>
      <c r="CD1078">
        <v>0</v>
      </c>
      <c r="CE107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78" s="19">
        <f>SUM(Table1[[#This Row],[Mid39]],Table1[[#This Row],[Mid36]],Table1[[#This Row],[Mid33]],Table1[[#This Row],[Mid30]],Table1[[#This Row],[Mid27]],Table1[[#This Row],[Mid24]],Table1[[#This Row],[Mid21]],Table1[[#This Row],[Mid18]],Table1[[#This Row],[Mid15]],Table1[[#This Row],[Mid12]],Table1[[#This Row],[Mid9]],Table1[[#This Row],[Mid6]],Table1[[#This Row],[Mid3]],Table1[[#This Row],[Mid]])</f>
        <v>390</v>
      </c>
      <c r="CG107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78" t="s">
        <v>157</v>
      </c>
      <c r="CI1078" t="s">
        <v>134</v>
      </c>
      <c r="CJ1078" t="s">
        <v>158</v>
      </c>
      <c r="CL1078" s="19">
        <f>IF(Table1[[#This Row],[Type]]="Petroleum",1,IF(ISERROR(Table1[[#This Row],[Well Density]]*Table1[[#This Row],[Single Well Discovery Area]]),"",IF(Table1[[#This Row],[Well Density]]*Table1[[#This Row],[Single Well Discovery Area]]&gt;1,1,Table1[[#This Row],[Well Density]]*Table1[[#This Row],[Single Well Discovery Area]])))</f>
        <v>1</v>
      </c>
      <c r="CN1078" s="19">
        <f>Table1[[#This Row],[Mid]]</f>
        <v>0</v>
      </c>
      <c r="CO1078" s="19">
        <f>Table1[[#This Row],[Mid3]]+Table1[[#This Row],[Mid6]]+Table1[[#This Row],[Mid9]]</f>
        <v>0</v>
      </c>
      <c r="CP1078" s="19">
        <f>Table1[[#This Row],[Mid12]]+Table1[[#This Row],[Mid15]]+Table1[[#This Row],[Mid18]]+Table1[[#This Row],[Mid21]]+Table1[[#This Row],[Mid24]]</f>
        <v>390</v>
      </c>
      <c r="CQ1078" s="19">
        <f>Table1[[#This Row],[Mid27]]+Table1[[#This Row],[Mid30]]+Table1[[#This Row],[Mid33]]+Table1[[#This Row],[Mid36]]+Table1[[#This Row],[Mid39]]</f>
        <v>0</v>
      </c>
      <c r="CR1078" t="s">
        <v>415</v>
      </c>
      <c r="CS1078" s="19" t="str">
        <f>IF(AND(Table1[[#This Row],[Low41]]=0, Table1[[#This Row],[High43]]=0),"N","Y")</f>
        <v>N</v>
      </c>
    </row>
    <row r="1079" spans="1:97" ht="19.5" customHeight="1" x14ac:dyDescent="0.25">
      <c r="A1079">
        <v>11078</v>
      </c>
      <c r="B1079" t="s">
        <v>3315</v>
      </c>
      <c r="C1079" t="s">
        <v>3316</v>
      </c>
      <c r="D1079">
        <v>52.720833329999998</v>
      </c>
      <c r="E1079">
        <v>18.736666670000002</v>
      </c>
      <c r="F1079" t="s">
        <v>3335</v>
      </c>
      <c r="G1079" t="s">
        <v>3318</v>
      </c>
      <c r="H1079" t="s">
        <v>3319</v>
      </c>
      <c r="I1079" t="s">
        <v>118</v>
      </c>
      <c r="J1079" t="s">
        <v>119</v>
      </c>
      <c r="K1079" t="s">
        <v>203</v>
      </c>
      <c r="L1079" t="s">
        <v>121</v>
      </c>
      <c r="M1079" t="s">
        <v>338</v>
      </c>
      <c r="N1079" s="6" t="s">
        <v>3336</v>
      </c>
      <c r="O1079" t="s">
        <v>3337</v>
      </c>
      <c r="P1079" t="s">
        <v>1150</v>
      </c>
      <c r="Q1079" t="s">
        <v>255</v>
      </c>
      <c r="R1079" t="s">
        <v>3332</v>
      </c>
      <c r="S1079">
        <v>2022</v>
      </c>
      <c r="T1079" t="s">
        <v>771</v>
      </c>
      <c r="U1079" t="s">
        <v>3322</v>
      </c>
      <c r="V1079">
        <v>47.93</v>
      </c>
      <c r="W1079">
        <v>840</v>
      </c>
      <c r="X1079">
        <v>90</v>
      </c>
      <c r="Z1079">
        <v>17</v>
      </c>
      <c r="AA1079">
        <v>900</v>
      </c>
      <c r="AB1079">
        <v>45000</v>
      </c>
      <c r="AD1079">
        <v>1</v>
      </c>
      <c r="AE1079">
        <v>2.0863759999999999E-2</v>
      </c>
      <c r="AF1079">
        <v>200</v>
      </c>
      <c r="AG1079">
        <v>9.94</v>
      </c>
      <c r="AH1079" t="s">
        <v>1612</v>
      </c>
      <c r="AI1079">
        <v>20</v>
      </c>
      <c r="AJ1079">
        <v>0</v>
      </c>
      <c r="AK1079">
        <v>0</v>
      </c>
      <c r="AL1079">
        <v>0</v>
      </c>
      <c r="AM1079" t="s">
        <v>130</v>
      </c>
      <c r="AN1079" t="s">
        <v>132</v>
      </c>
      <c r="AQ1079">
        <v>0</v>
      </c>
      <c r="AR1079">
        <v>0</v>
      </c>
      <c r="AS1079">
        <v>0</v>
      </c>
      <c r="AT1079">
        <v>0</v>
      </c>
      <c r="AU1079">
        <v>0</v>
      </c>
      <c r="AV1079">
        <v>0</v>
      </c>
      <c r="AW1079">
        <v>0</v>
      </c>
      <c r="AX1079">
        <v>0</v>
      </c>
      <c r="AY1079">
        <v>0</v>
      </c>
      <c r="AZ1079">
        <v>0</v>
      </c>
      <c r="BA1079">
        <v>0</v>
      </c>
      <c r="BB1079">
        <v>0</v>
      </c>
      <c r="BC1079">
        <v>0</v>
      </c>
      <c r="BD1079">
        <v>0</v>
      </c>
      <c r="BE1079">
        <v>0</v>
      </c>
      <c r="BF1079">
        <v>0</v>
      </c>
      <c r="BG1079">
        <v>0</v>
      </c>
      <c r="BH1079">
        <v>0</v>
      </c>
      <c r="BI1079">
        <v>0</v>
      </c>
      <c r="BJ1079">
        <v>0</v>
      </c>
      <c r="BK1079">
        <v>0</v>
      </c>
      <c r="BL1079">
        <v>0</v>
      </c>
      <c r="BM1079">
        <v>0</v>
      </c>
      <c r="BN1079">
        <v>241</v>
      </c>
      <c r="BO1079">
        <v>0</v>
      </c>
      <c r="BP1079">
        <v>0</v>
      </c>
      <c r="BQ1079">
        <v>0</v>
      </c>
      <c r="BR1079">
        <v>0</v>
      </c>
      <c r="BS1079">
        <v>0</v>
      </c>
      <c r="BT1079">
        <v>0</v>
      </c>
      <c r="BU1079">
        <v>0</v>
      </c>
      <c r="BV1079">
        <v>0</v>
      </c>
      <c r="BW1079">
        <v>0</v>
      </c>
      <c r="BX1079">
        <v>0</v>
      </c>
      <c r="BY1079">
        <v>0</v>
      </c>
      <c r="BZ1079">
        <v>0</v>
      </c>
      <c r="CA1079">
        <v>0</v>
      </c>
      <c r="CB1079">
        <v>0</v>
      </c>
      <c r="CC1079">
        <v>0</v>
      </c>
      <c r="CD1079">
        <v>0</v>
      </c>
      <c r="CE107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79" s="19">
        <f>SUM(Table1[[#This Row],[Mid39]],Table1[[#This Row],[Mid36]],Table1[[#This Row],[Mid33]],Table1[[#This Row],[Mid30]],Table1[[#This Row],[Mid27]],Table1[[#This Row],[Mid24]],Table1[[#This Row],[Mid21]],Table1[[#This Row],[Mid18]],Table1[[#This Row],[Mid15]],Table1[[#This Row],[Mid12]],Table1[[#This Row],[Mid9]],Table1[[#This Row],[Mid6]],Table1[[#This Row],[Mid3]],Table1[[#This Row],[Mid]])</f>
        <v>241</v>
      </c>
      <c r="CG107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79" t="s">
        <v>157</v>
      </c>
      <c r="CI1079" t="s">
        <v>134</v>
      </c>
      <c r="CJ1079" t="s">
        <v>158</v>
      </c>
      <c r="CL1079" s="19">
        <f>IF(Table1[[#This Row],[Type]]="Petroleum",1,IF(ISERROR(Table1[[#This Row],[Well Density]]*Table1[[#This Row],[Single Well Discovery Area]]),"",IF(Table1[[#This Row],[Well Density]]*Table1[[#This Row],[Single Well Discovery Area]]&gt;1,1,Table1[[#This Row],[Well Density]]*Table1[[#This Row],[Single Well Discovery Area]])))</f>
        <v>1</v>
      </c>
      <c r="CN1079" s="19">
        <f>Table1[[#This Row],[Mid]]</f>
        <v>0</v>
      </c>
      <c r="CO1079" s="19">
        <f>Table1[[#This Row],[Mid3]]+Table1[[#This Row],[Mid6]]+Table1[[#This Row],[Mid9]]</f>
        <v>0</v>
      </c>
      <c r="CP1079" s="19">
        <f>Table1[[#This Row],[Mid12]]+Table1[[#This Row],[Mid15]]+Table1[[#This Row],[Mid18]]+Table1[[#This Row],[Mid21]]+Table1[[#This Row],[Mid24]]</f>
        <v>241</v>
      </c>
      <c r="CQ1079" s="19">
        <f>Table1[[#This Row],[Mid27]]+Table1[[#This Row],[Mid30]]+Table1[[#This Row],[Mid33]]+Table1[[#This Row],[Mid36]]+Table1[[#This Row],[Mid39]]</f>
        <v>0</v>
      </c>
      <c r="CR1079" t="s">
        <v>415</v>
      </c>
      <c r="CS1079" s="19" t="str">
        <f>IF(AND(Table1[[#This Row],[Low41]]=0, Table1[[#This Row],[High43]]=0),"N","Y")</f>
        <v>N</v>
      </c>
    </row>
    <row r="1080" spans="1:97" ht="19.5" customHeight="1" x14ac:dyDescent="0.25">
      <c r="A1080">
        <v>11079</v>
      </c>
      <c r="B1080" t="s">
        <v>3315</v>
      </c>
      <c r="C1080" t="s">
        <v>3316</v>
      </c>
      <c r="D1080">
        <v>52.663611109999998</v>
      </c>
      <c r="E1080">
        <v>18.420833330000001</v>
      </c>
      <c r="F1080" t="s">
        <v>3338</v>
      </c>
      <c r="G1080" t="s">
        <v>3318</v>
      </c>
      <c r="H1080" t="s">
        <v>3324</v>
      </c>
      <c r="I1080" t="s">
        <v>118</v>
      </c>
      <c r="J1080" t="s">
        <v>119</v>
      </c>
      <c r="K1080" t="s">
        <v>203</v>
      </c>
      <c r="L1080" t="s">
        <v>147</v>
      </c>
      <c r="M1080" t="s">
        <v>2670</v>
      </c>
      <c r="N1080" s="6" t="s">
        <v>3328</v>
      </c>
      <c r="O1080" t="s">
        <v>3331</v>
      </c>
      <c r="P1080" t="s">
        <v>1150</v>
      </c>
      <c r="Q1080" t="s">
        <v>255</v>
      </c>
      <c r="R1080" t="s">
        <v>3339</v>
      </c>
      <c r="S1080">
        <v>2009</v>
      </c>
      <c r="T1080" t="s">
        <v>771</v>
      </c>
      <c r="U1080" t="s">
        <v>3322</v>
      </c>
      <c r="V1080">
        <v>24</v>
      </c>
      <c r="W1080">
        <v>1040</v>
      </c>
      <c r="X1080">
        <v>110</v>
      </c>
      <c r="Z1080">
        <v>20</v>
      </c>
      <c r="AA1080">
        <v>700</v>
      </c>
      <c r="AB1080">
        <v>30000</v>
      </c>
      <c r="AD1080">
        <v>3</v>
      </c>
      <c r="AE1080">
        <v>0.125</v>
      </c>
      <c r="AF1080">
        <v>200</v>
      </c>
      <c r="AG1080">
        <v>10.4</v>
      </c>
      <c r="AH1080" t="s">
        <v>2259</v>
      </c>
      <c r="AI1080">
        <v>20</v>
      </c>
      <c r="AJ1080">
        <v>0</v>
      </c>
      <c r="AK1080">
        <v>0</v>
      </c>
      <c r="AL1080">
        <v>0</v>
      </c>
      <c r="AM1080" t="s">
        <v>3167</v>
      </c>
      <c r="AN1080" t="s">
        <v>132</v>
      </c>
      <c r="AQ1080">
        <v>0</v>
      </c>
      <c r="AR1080">
        <v>0</v>
      </c>
      <c r="AS1080">
        <v>0</v>
      </c>
      <c r="AT1080">
        <v>0</v>
      </c>
      <c r="AU1080">
        <v>0</v>
      </c>
      <c r="AV1080">
        <v>0</v>
      </c>
      <c r="AW1080">
        <v>0</v>
      </c>
      <c r="AX1080">
        <v>0</v>
      </c>
      <c r="AY1080">
        <v>0</v>
      </c>
      <c r="AZ1080">
        <v>0</v>
      </c>
      <c r="BA1080">
        <v>0</v>
      </c>
      <c r="BB1080">
        <v>0</v>
      </c>
      <c r="BC1080">
        <v>0</v>
      </c>
      <c r="BD1080">
        <v>0</v>
      </c>
      <c r="BE1080">
        <v>0</v>
      </c>
      <c r="BF1080">
        <v>0</v>
      </c>
      <c r="BG1080">
        <v>0</v>
      </c>
      <c r="BH1080">
        <v>0</v>
      </c>
      <c r="BI1080">
        <v>0</v>
      </c>
      <c r="BJ1080">
        <v>0</v>
      </c>
      <c r="BK1080">
        <v>0</v>
      </c>
      <c r="BL1080">
        <v>0</v>
      </c>
      <c r="BM1080">
        <v>0</v>
      </c>
      <c r="BN1080">
        <v>69.8</v>
      </c>
      <c r="BO1080">
        <v>0</v>
      </c>
      <c r="BP1080">
        <v>0</v>
      </c>
      <c r="BQ1080">
        <v>0</v>
      </c>
      <c r="BR1080">
        <v>0</v>
      </c>
      <c r="BS1080">
        <v>0</v>
      </c>
      <c r="BT1080">
        <v>0</v>
      </c>
      <c r="BU1080">
        <v>0</v>
      </c>
      <c r="BV1080">
        <v>0</v>
      </c>
      <c r="BW1080">
        <v>0</v>
      </c>
      <c r="BX1080">
        <v>0</v>
      </c>
      <c r="BY1080">
        <v>0</v>
      </c>
      <c r="BZ1080">
        <v>0</v>
      </c>
      <c r="CA1080">
        <v>0</v>
      </c>
      <c r="CB1080">
        <v>0</v>
      </c>
      <c r="CC1080">
        <v>0</v>
      </c>
      <c r="CD1080">
        <v>0</v>
      </c>
      <c r="CE108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80" s="19">
        <f>SUM(Table1[[#This Row],[Mid39]],Table1[[#This Row],[Mid36]],Table1[[#This Row],[Mid33]],Table1[[#This Row],[Mid30]],Table1[[#This Row],[Mid27]],Table1[[#This Row],[Mid24]],Table1[[#This Row],[Mid21]],Table1[[#This Row],[Mid18]],Table1[[#This Row],[Mid15]],Table1[[#This Row],[Mid12]],Table1[[#This Row],[Mid9]],Table1[[#This Row],[Mid6]],Table1[[#This Row],[Mid3]],Table1[[#This Row],[Mid]])</f>
        <v>69.8</v>
      </c>
      <c r="CG108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80" t="s">
        <v>157</v>
      </c>
      <c r="CI1080" t="s">
        <v>134</v>
      </c>
      <c r="CJ1080" t="s">
        <v>158</v>
      </c>
      <c r="CL1080" s="19">
        <f>IF(Table1[[#This Row],[Type]]="Petroleum",1,IF(ISERROR(Table1[[#This Row],[Well Density]]*Table1[[#This Row],[Single Well Discovery Area]]),"",IF(Table1[[#This Row],[Well Density]]*Table1[[#This Row],[Single Well Discovery Area]]&gt;1,1,Table1[[#This Row],[Well Density]]*Table1[[#This Row],[Single Well Discovery Area]])))</f>
        <v>1</v>
      </c>
      <c r="CN1080" s="19">
        <f>Table1[[#This Row],[Mid]]</f>
        <v>0</v>
      </c>
      <c r="CO1080" s="19">
        <f>Table1[[#This Row],[Mid3]]+Table1[[#This Row],[Mid6]]+Table1[[#This Row],[Mid9]]</f>
        <v>0</v>
      </c>
      <c r="CP1080" s="19">
        <f>Table1[[#This Row],[Mid12]]+Table1[[#This Row],[Mid15]]+Table1[[#This Row],[Mid18]]+Table1[[#This Row],[Mid21]]+Table1[[#This Row],[Mid24]]</f>
        <v>69.8</v>
      </c>
      <c r="CQ1080" s="19">
        <f>Table1[[#This Row],[Mid27]]+Table1[[#This Row],[Mid30]]+Table1[[#This Row],[Mid33]]+Table1[[#This Row],[Mid36]]+Table1[[#This Row],[Mid39]]</f>
        <v>0</v>
      </c>
      <c r="CR1080" t="s">
        <v>415</v>
      </c>
      <c r="CS1080" s="19" t="str">
        <f>IF(AND(Table1[[#This Row],[Low41]]=0, Table1[[#This Row],[High43]]=0),"N","Y")</f>
        <v>N</v>
      </c>
    </row>
    <row r="1081" spans="1:97" ht="19.5" customHeight="1" x14ac:dyDescent="0.25">
      <c r="A1081">
        <v>11080</v>
      </c>
      <c r="B1081" t="s">
        <v>3315</v>
      </c>
      <c r="C1081" t="s">
        <v>3316</v>
      </c>
      <c r="D1081">
        <v>52.314166669999999</v>
      </c>
      <c r="E1081">
        <v>18.563333329999999</v>
      </c>
      <c r="F1081" t="s">
        <v>3340</v>
      </c>
      <c r="G1081" t="s">
        <v>3318</v>
      </c>
      <c r="H1081" t="s">
        <v>3324</v>
      </c>
      <c r="I1081" t="s">
        <v>118</v>
      </c>
      <c r="J1081" t="s">
        <v>119</v>
      </c>
      <c r="K1081" t="s">
        <v>203</v>
      </c>
      <c r="L1081" t="s">
        <v>147</v>
      </c>
      <c r="M1081" t="s">
        <v>2670</v>
      </c>
      <c r="N1081" s="6" t="s">
        <v>3341</v>
      </c>
      <c r="O1081" t="s">
        <v>3331</v>
      </c>
      <c r="P1081" t="s">
        <v>1150</v>
      </c>
      <c r="Q1081" t="s">
        <v>255</v>
      </c>
      <c r="R1081" t="s">
        <v>3339</v>
      </c>
      <c r="S1081">
        <v>2009</v>
      </c>
      <c r="T1081" t="s">
        <v>771</v>
      </c>
      <c r="U1081" t="s">
        <v>3322</v>
      </c>
      <c r="V1081">
        <v>50</v>
      </c>
      <c r="W1081">
        <v>1996</v>
      </c>
      <c r="X1081">
        <v>110.5</v>
      </c>
      <c r="Z1081">
        <v>20</v>
      </c>
      <c r="AA1081">
        <v>300</v>
      </c>
      <c r="AB1081">
        <v>70000</v>
      </c>
      <c r="AD1081">
        <v>1</v>
      </c>
      <c r="AE1081">
        <v>0.02</v>
      </c>
      <c r="AF1081">
        <v>200</v>
      </c>
      <c r="AG1081">
        <v>20</v>
      </c>
      <c r="AH1081" t="s">
        <v>2259</v>
      </c>
      <c r="AI1081">
        <v>20</v>
      </c>
      <c r="AJ1081">
        <v>0</v>
      </c>
      <c r="AK1081">
        <v>0</v>
      </c>
      <c r="AL1081">
        <v>0</v>
      </c>
      <c r="AM1081" t="s">
        <v>3167</v>
      </c>
      <c r="AN1081" t="s">
        <v>132</v>
      </c>
      <c r="AQ1081">
        <v>0</v>
      </c>
      <c r="AR1081">
        <v>0</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0</v>
      </c>
      <c r="BL1081">
        <v>0</v>
      </c>
      <c r="BM1081">
        <v>0</v>
      </c>
      <c r="BN1081">
        <v>136</v>
      </c>
      <c r="BO1081">
        <v>0</v>
      </c>
      <c r="BP1081">
        <v>0</v>
      </c>
      <c r="BQ1081">
        <v>0</v>
      </c>
      <c r="BR1081">
        <v>0</v>
      </c>
      <c r="BS1081">
        <v>0</v>
      </c>
      <c r="BT1081">
        <v>0</v>
      </c>
      <c r="BU1081">
        <v>0</v>
      </c>
      <c r="BV1081">
        <v>0</v>
      </c>
      <c r="BW1081">
        <v>0</v>
      </c>
      <c r="BX1081">
        <v>0</v>
      </c>
      <c r="BY1081">
        <v>0</v>
      </c>
      <c r="BZ1081">
        <v>0</v>
      </c>
      <c r="CA1081">
        <v>0</v>
      </c>
      <c r="CB1081">
        <v>0</v>
      </c>
      <c r="CC1081">
        <v>0</v>
      </c>
      <c r="CD1081">
        <v>0</v>
      </c>
      <c r="CE108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81" s="19">
        <f>SUM(Table1[[#This Row],[Mid39]],Table1[[#This Row],[Mid36]],Table1[[#This Row],[Mid33]],Table1[[#This Row],[Mid30]],Table1[[#This Row],[Mid27]],Table1[[#This Row],[Mid24]],Table1[[#This Row],[Mid21]],Table1[[#This Row],[Mid18]],Table1[[#This Row],[Mid15]],Table1[[#This Row],[Mid12]],Table1[[#This Row],[Mid9]],Table1[[#This Row],[Mid6]],Table1[[#This Row],[Mid3]],Table1[[#This Row],[Mid]])</f>
        <v>136</v>
      </c>
      <c r="CG108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81" t="s">
        <v>157</v>
      </c>
      <c r="CI1081" t="s">
        <v>134</v>
      </c>
      <c r="CJ1081" t="s">
        <v>158</v>
      </c>
      <c r="CL1081" s="19">
        <f>IF(Table1[[#This Row],[Type]]="Petroleum",1,IF(ISERROR(Table1[[#This Row],[Well Density]]*Table1[[#This Row],[Single Well Discovery Area]]),"",IF(Table1[[#This Row],[Well Density]]*Table1[[#This Row],[Single Well Discovery Area]]&gt;1,1,Table1[[#This Row],[Well Density]]*Table1[[#This Row],[Single Well Discovery Area]])))</f>
        <v>1</v>
      </c>
      <c r="CN1081" s="19">
        <f>Table1[[#This Row],[Mid]]</f>
        <v>0</v>
      </c>
      <c r="CO1081" s="19">
        <f>Table1[[#This Row],[Mid3]]+Table1[[#This Row],[Mid6]]+Table1[[#This Row],[Mid9]]</f>
        <v>0</v>
      </c>
      <c r="CP1081" s="19">
        <f>Table1[[#This Row],[Mid12]]+Table1[[#This Row],[Mid15]]+Table1[[#This Row],[Mid18]]+Table1[[#This Row],[Mid21]]+Table1[[#This Row],[Mid24]]</f>
        <v>136</v>
      </c>
      <c r="CQ1081" s="19">
        <f>Table1[[#This Row],[Mid27]]+Table1[[#This Row],[Mid30]]+Table1[[#This Row],[Mid33]]+Table1[[#This Row],[Mid36]]+Table1[[#This Row],[Mid39]]</f>
        <v>0</v>
      </c>
      <c r="CR1081" t="s">
        <v>415</v>
      </c>
      <c r="CS1081" s="19" t="str">
        <f>IF(AND(Table1[[#This Row],[Low41]]=0, Table1[[#This Row],[High43]]=0),"N","Y")</f>
        <v>N</v>
      </c>
    </row>
    <row r="1082" spans="1:97" ht="19.5" customHeight="1" x14ac:dyDescent="0.25">
      <c r="A1082">
        <v>11081</v>
      </c>
      <c r="B1082" t="s">
        <v>3315</v>
      </c>
      <c r="C1082" t="s">
        <v>3316</v>
      </c>
      <c r="D1082">
        <v>52.072777780000003</v>
      </c>
      <c r="E1082">
        <v>18.581666670000001</v>
      </c>
      <c r="F1082" t="s">
        <v>3342</v>
      </c>
      <c r="G1082" t="s">
        <v>3318</v>
      </c>
      <c r="H1082" t="s">
        <v>3324</v>
      </c>
      <c r="I1082" t="s">
        <v>118</v>
      </c>
      <c r="J1082" t="s">
        <v>119</v>
      </c>
      <c r="K1082" t="s">
        <v>203</v>
      </c>
      <c r="L1082" t="s">
        <v>147</v>
      </c>
      <c r="M1082" t="s">
        <v>2670</v>
      </c>
      <c r="N1082" s="6" t="s">
        <v>3343</v>
      </c>
      <c r="O1082" t="s">
        <v>3331</v>
      </c>
      <c r="P1082" t="s">
        <v>1150</v>
      </c>
      <c r="Q1082" t="s">
        <v>255</v>
      </c>
      <c r="R1082" t="s">
        <v>3339</v>
      </c>
      <c r="S1082">
        <v>2009</v>
      </c>
      <c r="T1082" t="s">
        <v>771</v>
      </c>
      <c r="U1082" t="s">
        <v>3322</v>
      </c>
      <c r="V1082">
        <v>84</v>
      </c>
      <c r="W1082">
        <v>1210</v>
      </c>
      <c r="X1082">
        <v>81</v>
      </c>
      <c r="Z1082">
        <v>20</v>
      </c>
      <c r="AA1082">
        <v>1000</v>
      </c>
      <c r="AB1082">
        <v>90000</v>
      </c>
      <c r="AD1082">
        <v>3</v>
      </c>
      <c r="AE1082">
        <v>3.5714285999999998E-2</v>
      </c>
      <c r="AF1082">
        <v>200</v>
      </c>
      <c r="AG1082">
        <v>12.1</v>
      </c>
      <c r="AH1082" t="s">
        <v>2259</v>
      </c>
      <c r="AI1082">
        <v>20</v>
      </c>
      <c r="AJ1082">
        <v>0</v>
      </c>
      <c r="AK1082">
        <v>0</v>
      </c>
      <c r="AL1082">
        <v>0</v>
      </c>
      <c r="AM1082" t="s">
        <v>3167</v>
      </c>
      <c r="AN1082" t="s">
        <v>132</v>
      </c>
      <c r="AQ1082">
        <v>0</v>
      </c>
      <c r="AR1082">
        <v>0</v>
      </c>
      <c r="AS1082">
        <v>0</v>
      </c>
      <c r="AT1082">
        <v>0</v>
      </c>
      <c r="AU1082">
        <v>0</v>
      </c>
      <c r="AV1082">
        <v>0</v>
      </c>
      <c r="AW1082">
        <v>0</v>
      </c>
      <c r="AX1082">
        <v>0</v>
      </c>
      <c r="AY1082">
        <v>0</v>
      </c>
      <c r="AZ1082">
        <v>0</v>
      </c>
      <c r="BA1082">
        <v>0</v>
      </c>
      <c r="BB1082">
        <v>0</v>
      </c>
      <c r="BC1082">
        <v>0</v>
      </c>
      <c r="BD1082">
        <v>0</v>
      </c>
      <c r="BE1082">
        <v>0</v>
      </c>
      <c r="BF1082">
        <v>0</v>
      </c>
      <c r="BG1082">
        <v>0</v>
      </c>
      <c r="BH1082">
        <v>0</v>
      </c>
      <c r="BI1082">
        <v>0</v>
      </c>
      <c r="BJ1082">
        <v>0</v>
      </c>
      <c r="BK1082">
        <v>0</v>
      </c>
      <c r="BL1082">
        <v>0</v>
      </c>
      <c r="BM1082">
        <v>0</v>
      </c>
      <c r="BN1082">
        <v>163</v>
      </c>
      <c r="BO1082">
        <v>0</v>
      </c>
      <c r="BP1082">
        <v>0</v>
      </c>
      <c r="BQ1082">
        <v>0</v>
      </c>
      <c r="BR1082">
        <v>0</v>
      </c>
      <c r="BS1082">
        <v>0</v>
      </c>
      <c r="BT1082">
        <v>0</v>
      </c>
      <c r="BU1082">
        <v>0</v>
      </c>
      <c r="BV1082">
        <v>0</v>
      </c>
      <c r="BW1082">
        <v>0</v>
      </c>
      <c r="BX1082">
        <v>0</v>
      </c>
      <c r="BY1082">
        <v>0</v>
      </c>
      <c r="BZ1082">
        <v>0</v>
      </c>
      <c r="CA1082">
        <v>0</v>
      </c>
      <c r="CB1082">
        <v>0</v>
      </c>
      <c r="CC1082">
        <v>0</v>
      </c>
      <c r="CD1082">
        <v>0</v>
      </c>
      <c r="CE108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82" s="19">
        <f>SUM(Table1[[#This Row],[Mid39]],Table1[[#This Row],[Mid36]],Table1[[#This Row],[Mid33]],Table1[[#This Row],[Mid30]],Table1[[#This Row],[Mid27]],Table1[[#This Row],[Mid24]],Table1[[#This Row],[Mid21]],Table1[[#This Row],[Mid18]],Table1[[#This Row],[Mid15]],Table1[[#This Row],[Mid12]],Table1[[#This Row],[Mid9]],Table1[[#This Row],[Mid6]],Table1[[#This Row],[Mid3]],Table1[[#This Row],[Mid]])</f>
        <v>163</v>
      </c>
      <c r="CG108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82" t="s">
        <v>157</v>
      </c>
      <c r="CI1082" t="s">
        <v>134</v>
      </c>
      <c r="CJ1082" t="s">
        <v>158</v>
      </c>
      <c r="CL1082" s="19">
        <f>IF(Table1[[#This Row],[Type]]="Petroleum",1,IF(ISERROR(Table1[[#This Row],[Well Density]]*Table1[[#This Row],[Single Well Discovery Area]]),"",IF(Table1[[#This Row],[Well Density]]*Table1[[#This Row],[Single Well Discovery Area]]&gt;1,1,Table1[[#This Row],[Well Density]]*Table1[[#This Row],[Single Well Discovery Area]])))</f>
        <v>1</v>
      </c>
      <c r="CN1082" s="19">
        <f>Table1[[#This Row],[Mid]]</f>
        <v>0</v>
      </c>
      <c r="CO1082" s="19">
        <f>Table1[[#This Row],[Mid3]]+Table1[[#This Row],[Mid6]]+Table1[[#This Row],[Mid9]]</f>
        <v>0</v>
      </c>
      <c r="CP1082" s="19">
        <f>Table1[[#This Row],[Mid12]]+Table1[[#This Row],[Mid15]]+Table1[[#This Row],[Mid18]]+Table1[[#This Row],[Mid21]]+Table1[[#This Row],[Mid24]]</f>
        <v>163</v>
      </c>
      <c r="CQ1082" s="19">
        <f>Table1[[#This Row],[Mid27]]+Table1[[#This Row],[Mid30]]+Table1[[#This Row],[Mid33]]+Table1[[#This Row],[Mid36]]+Table1[[#This Row],[Mid39]]</f>
        <v>0</v>
      </c>
      <c r="CR1082" t="s">
        <v>415</v>
      </c>
      <c r="CS1082" s="19" t="str">
        <f>IF(AND(Table1[[#This Row],[Low41]]=0, Table1[[#This Row],[High43]]=0),"N","Y")</f>
        <v>N</v>
      </c>
    </row>
    <row r="1083" spans="1:97" ht="19.5" customHeight="1" x14ac:dyDescent="0.25">
      <c r="A1083">
        <v>11082</v>
      </c>
      <c r="B1083" t="s">
        <v>3315</v>
      </c>
      <c r="C1083" t="s">
        <v>3316</v>
      </c>
      <c r="D1083">
        <v>51.600555559999997</v>
      </c>
      <c r="E1083">
        <v>19.47555556</v>
      </c>
      <c r="F1083" t="s">
        <v>3344</v>
      </c>
      <c r="G1083" t="s">
        <v>3318</v>
      </c>
      <c r="H1083" t="s">
        <v>3319</v>
      </c>
      <c r="I1083" t="s">
        <v>118</v>
      </c>
      <c r="J1083" t="s">
        <v>119</v>
      </c>
      <c r="K1083" t="s">
        <v>203</v>
      </c>
      <c r="L1083" t="s">
        <v>147</v>
      </c>
      <c r="M1083" t="s">
        <v>338</v>
      </c>
      <c r="N1083" s="6" t="s">
        <v>3345</v>
      </c>
      <c r="O1083" t="s">
        <v>3331</v>
      </c>
      <c r="P1083" t="s">
        <v>1150</v>
      </c>
      <c r="Q1083" t="s">
        <v>255</v>
      </c>
      <c r="R1083" t="s">
        <v>3339</v>
      </c>
      <c r="S1083">
        <v>2009</v>
      </c>
      <c r="T1083" t="s">
        <v>771</v>
      </c>
      <c r="U1083" t="s">
        <v>3322</v>
      </c>
      <c r="V1083">
        <v>37</v>
      </c>
      <c r="W1083">
        <v>2265</v>
      </c>
      <c r="X1083">
        <v>120</v>
      </c>
      <c r="Z1083">
        <v>15</v>
      </c>
      <c r="AA1083">
        <v>150</v>
      </c>
      <c r="AB1083">
        <v>37000</v>
      </c>
      <c r="AD1083">
        <v>5</v>
      </c>
      <c r="AE1083">
        <v>0.13513513499999999</v>
      </c>
      <c r="AF1083">
        <v>200</v>
      </c>
      <c r="AG1083">
        <v>23.5</v>
      </c>
      <c r="AH1083" t="s">
        <v>2259</v>
      </c>
      <c r="AI1083">
        <v>15</v>
      </c>
      <c r="AJ1083">
        <v>0</v>
      </c>
      <c r="AK1083">
        <v>0</v>
      </c>
      <c r="AL1083">
        <v>0</v>
      </c>
      <c r="AM1083" t="s">
        <v>3167</v>
      </c>
      <c r="AN1083" t="s">
        <v>132</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v>
      </c>
      <c r="BL1083">
        <v>0</v>
      </c>
      <c r="BM1083">
        <v>0</v>
      </c>
      <c r="BN1083">
        <v>74</v>
      </c>
      <c r="BO1083">
        <v>0</v>
      </c>
      <c r="BP1083">
        <v>0</v>
      </c>
      <c r="BQ1083">
        <v>0</v>
      </c>
      <c r="BR1083">
        <v>0</v>
      </c>
      <c r="BS1083">
        <v>0</v>
      </c>
      <c r="BT1083">
        <v>0</v>
      </c>
      <c r="BU1083">
        <v>0</v>
      </c>
      <c r="BV1083">
        <v>0</v>
      </c>
      <c r="BW1083">
        <v>0</v>
      </c>
      <c r="BX1083">
        <v>0</v>
      </c>
      <c r="BY1083">
        <v>0</v>
      </c>
      <c r="BZ1083">
        <v>0</v>
      </c>
      <c r="CA1083">
        <v>0</v>
      </c>
      <c r="CB1083">
        <v>0</v>
      </c>
      <c r="CC1083">
        <v>0</v>
      </c>
      <c r="CD1083">
        <v>0</v>
      </c>
      <c r="CE108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83" s="19">
        <f>SUM(Table1[[#This Row],[Mid39]],Table1[[#This Row],[Mid36]],Table1[[#This Row],[Mid33]],Table1[[#This Row],[Mid30]],Table1[[#This Row],[Mid27]],Table1[[#This Row],[Mid24]],Table1[[#This Row],[Mid21]],Table1[[#This Row],[Mid18]],Table1[[#This Row],[Mid15]],Table1[[#This Row],[Mid12]],Table1[[#This Row],[Mid9]],Table1[[#This Row],[Mid6]],Table1[[#This Row],[Mid3]],Table1[[#This Row],[Mid]])</f>
        <v>74</v>
      </c>
      <c r="CG108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83" t="s">
        <v>157</v>
      </c>
      <c r="CI1083" t="s">
        <v>134</v>
      </c>
      <c r="CJ1083" t="s">
        <v>158</v>
      </c>
      <c r="CL1083" s="19">
        <f>IF(Table1[[#This Row],[Type]]="Petroleum",1,IF(ISERROR(Table1[[#This Row],[Well Density]]*Table1[[#This Row],[Single Well Discovery Area]]),"",IF(Table1[[#This Row],[Well Density]]*Table1[[#This Row],[Single Well Discovery Area]]&gt;1,1,Table1[[#This Row],[Well Density]]*Table1[[#This Row],[Single Well Discovery Area]])))</f>
        <v>1</v>
      </c>
      <c r="CN1083" s="19">
        <f>Table1[[#This Row],[Mid]]</f>
        <v>0</v>
      </c>
      <c r="CO1083" s="19">
        <f>Table1[[#This Row],[Mid3]]+Table1[[#This Row],[Mid6]]+Table1[[#This Row],[Mid9]]</f>
        <v>0</v>
      </c>
      <c r="CP1083" s="19">
        <f>Table1[[#This Row],[Mid12]]+Table1[[#This Row],[Mid15]]+Table1[[#This Row],[Mid18]]+Table1[[#This Row],[Mid21]]+Table1[[#This Row],[Mid24]]</f>
        <v>74</v>
      </c>
      <c r="CQ1083" s="19">
        <f>Table1[[#This Row],[Mid27]]+Table1[[#This Row],[Mid30]]+Table1[[#This Row],[Mid33]]+Table1[[#This Row],[Mid36]]+Table1[[#This Row],[Mid39]]</f>
        <v>0</v>
      </c>
      <c r="CR1083" t="s">
        <v>415</v>
      </c>
      <c r="CS1083" s="19" t="str">
        <f>IF(AND(Table1[[#This Row],[Low41]]=0, Table1[[#This Row],[High43]]=0),"N","Y")</f>
        <v>N</v>
      </c>
    </row>
    <row r="1084" spans="1:97" ht="19.5" customHeight="1" x14ac:dyDescent="0.25">
      <c r="A1084">
        <v>11083</v>
      </c>
      <c r="B1084" t="s">
        <v>3315</v>
      </c>
      <c r="C1084" t="s">
        <v>3316</v>
      </c>
      <c r="D1084">
        <v>51.883333329999999</v>
      </c>
      <c r="E1084">
        <v>20.966388890000001</v>
      </c>
      <c r="F1084" t="s">
        <v>3346</v>
      </c>
      <c r="G1084" t="s">
        <v>3318</v>
      </c>
      <c r="H1084" t="s">
        <v>3324</v>
      </c>
      <c r="I1084" t="s">
        <v>118</v>
      </c>
      <c r="J1084" t="s">
        <v>119</v>
      </c>
      <c r="K1084" t="s">
        <v>203</v>
      </c>
      <c r="L1084" t="s">
        <v>147</v>
      </c>
      <c r="M1084" t="s">
        <v>2670</v>
      </c>
      <c r="N1084" s="6" t="s">
        <v>3347</v>
      </c>
      <c r="O1084" t="s">
        <v>3331</v>
      </c>
      <c r="P1084" t="s">
        <v>1150</v>
      </c>
      <c r="Q1084" t="s">
        <v>255</v>
      </c>
      <c r="R1084" t="s">
        <v>3339</v>
      </c>
      <c r="S1084">
        <v>2009</v>
      </c>
      <c r="T1084" t="s">
        <v>771</v>
      </c>
      <c r="U1084" t="s">
        <v>3322</v>
      </c>
      <c r="V1084">
        <v>40</v>
      </c>
      <c r="W1084">
        <v>1183</v>
      </c>
      <c r="X1084">
        <v>40</v>
      </c>
      <c r="Z1084">
        <v>30</v>
      </c>
      <c r="AA1084">
        <v>1000</v>
      </c>
      <c r="AB1084">
        <v>27500</v>
      </c>
      <c r="AD1084">
        <v>3</v>
      </c>
      <c r="AE1084">
        <v>7.4999999999999997E-2</v>
      </c>
      <c r="AF1084">
        <v>200</v>
      </c>
      <c r="AG1084">
        <v>11.8</v>
      </c>
      <c r="AH1084" t="s">
        <v>2259</v>
      </c>
      <c r="AI1084">
        <v>5</v>
      </c>
      <c r="AJ1084">
        <v>0</v>
      </c>
      <c r="AK1084">
        <v>0</v>
      </c>
      <c r="AL1084">
        <v>0</v>
      </c>
      <c r="AM1084" t="s">
        <v>3167</v>
      </c>
      <c r="AN1084" t="s">
        <v>132</v>
      </c>
      <c r="AQ1084">
        <v>0</v>
      </c>
      <c r="AR1084">
        <v>0</v>
      </c>
      <c r="AS1084">
        <v>0</v>
      </c>
      <c r="AT1084">
        <v>0</v>
      </c>
      <c r="AU1084">
        <v>0</v>
      </c>
      <c r="AV1084">
        <v>0</v>
      </c>
      <c r="AW1084">
        <v>0</v>
      </c>
      <c r="AX1084">
        <v>0</v>
      </c>
      <c r="AY1084">
        <v>0</v>
      </c>
      <c r="AZ1084">
        <v>0</v>
      </c>
      <c r="BA1084">
        <v>0</v>
      </c>
      <c r="BB1084">
        <v>0</v>
      </c>
      <c r="BC1084">
        <v>0</v>
      </c>
      <c r="BD1084">
        <v>0</v>
      </c>
      <c r="BE1084">
        <v>0</v>
      </c>
      <c r="BF1084">
        <v>0</v>
      </c>
      <c r="BG1084">
        <v>0</v>
      </c>
      <c r="BH1084">
        <v>0</v>
      </c>
      <c r="BI1084">
        <v>0</v>
      </c>
      <c r="BJ1084">
        <v>0</v>
      </c>
      <c r="BK1084">
        <v>0</v>
      </c>
      <c r="BL1084">
        <v>0</v>
      </c>
      <c r="BM1084">
        <v>0</v>
      </c>
      <c r="BN1084">
        <v>33.200000000000003</v>
      </c>
      <c r="BO1084">
        <v>0</v>
      </c>
      <c r="BP1084">
        <v>0</v>
      </c>
      <c r="BQ1084">
        <v>0</v>
      </c>
      <c r="BR1084">
        <v>0</v>
      </c>
      <c r="BS1084">
        <v>0</v>
      </c>
      <c r="BT1084">
        <v>0</v>
      </c>
      <c r="BU1084">
        <v>0</v>
      </c>
      <c r="BV1084">
        <v>0</v>
      </c>
      <c r="BW1084">
        <v>0</v>
      </c>
      <c r="BX1084">
        <v>0</v>
      </c>
      <c r="BY1084">
        <v>0</v>
      </c>
      <c r="BZ1084">
        <v>0</v>
      </c>
      <c r="CA1084">
        <v>0</v>
      </c>
      <c r="CB1084">
        <v>0</v>
      </c>
      <c r="CC1084">
        <v>0</v>
      </c>
      <c r="CD1084">
        <v>0</v>
      </c>
      <c r="CE108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84" s="19">
        <f>SUM(Table1[[#This Row],[Mid39]],Table1[[#This Row],[Mid36]],Table1[[#This Row],[Mid33]],Table1[[#This Row],[Mid30]],Table1[[#This Row],[Mid27]],Table1[[#This Row],[Mid24]],Table1[[#This Row],[Mid21]],Table1[[#This Row],[Mid18]],Table1[[#This Row],[Mid15]],Table1[[#This Row],[Mid12]],Table1[[#This Row],[Mid9]],Table1[[#This Row],[Mid6]],Table1[[#This Row],[Mid3]],Table1[[#This Row],[Mid]])</f>
        <v>33.200000000000003</v>
      </c>
      <c r="CG108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84" t="s">
        <v>157</v>
      </c>
      <c r="CI1084" t="s">
        <v>134</v>
      </c>
      <c r="CJ1084" t="s">
        <v>158</v>
      </c>
      <c r="CL1084" s="19">
        <f>IF(Table1[[#This Row],[Type]]="Petroleum",1,IF(ISERROR(Table1[[#This Row],[Well Density]]*Table1[[#This Row],[Single Well Discovery Area]]),"",IF(Table1[[#This Row],[Well Density]]*Table1[[#This Row],[Single Well Discovery Area]]&gt;1,1,Table1[[#This Row],[Well Density]]*Table1[[#This Row],[Single Well Discovery Area]])))</f>
        <v>1</v>
      </c>
      <c r="CN1084" s="19">
        <f>Table1[[#This Row],[Mid]]</f>
        <v>0</v>
      </c>
      <c r="CO1084" s="19">
        <f>Table1[[#This Row],[Mid3]]+Table1[[#This Row],[Mid6]]+Table1[[#This Row],[Mid9]]</f>
        <v>0</v>
      </c>
      <c r="CP1084" s="19">
        <f>Table1[[#This Row],[Mid12]]+Table1[[#This Row],[Mid15]]+Table1[[#This Row],[Mid18]]+Table1[[#This Row],[Mid21]]+Table1[[#This Row],[Mid24]]</f>
        <v>33.200000000000003</v>
      </c>
      <c r="CQ1084" s="19">
        <f>Table1[[#This Row],[Mid27]]+Table1[[#This Row],[Mid30]]+Table1[[#This Row],[Mid33]]+Table1[[#This Row],[Mid36]]+Table1[[#This Row],[Mid39]]</f>
        <v>0</v>
      </c>
      <c r="CR1084" t="s">
        <v>415</v>
      </c>
      <c r="CS1084" s="19" t="str">
        <f>IF(AND(Table1[[#This Row],[Low41]]=0, Table1[[#This Row],[High43]]=0),"N","Y")</f>
        <v>N</v>
      </c>
    </row>
    <row r="1085" spans="1:97" ht="19.5" customHeight="1" x14ac:dyDescent="0.25">
      <c r="A1085">
        <v>11084</v>
      </c>
      <c r="B1085" t="s">
        <v>3315</v>
      </c>
      <c r="C1085" t="s">
        <v>3316</v>
      </c>
      <c r="D1085">
        <v>53.63027778</v>
      </c>
      <c r="E1085">
        <v>15.046388889999999</v>
      </c>
      <c r="F1085" t="s">
        <v>3348</v>
      </c>
      <c r="G1085" t="s">
        <v>3318</v>
      </c>
      <c r="H1085" t="s">
        <v>3319</v>
      </c>
      <c r="I1085" t="s">
        <v>118</v>
      </c>
      <c r="J1085" t="s">
        <v>119</v>
      </c>
      <c r="K1085" t="s">
        <v>203</v>
      </c>
      <c r="L1085" t="s">
        <v>147</v>
      </c>
      <c r="M1085" t="s">
        <v>338</v>
      </c>
      <c r="N1085" s="6" t="s">
        <v>3349</v>
      </c>
      <c r="O1085" t="s">
        <v>3331</v>
      </c>
      <c r="P1085" t="s">
        <v>1150</v>
      </c>
      <c r="Q1085" t="s">
        <v>255</v>
      </c>
      <c r="R1085" t="s">
        <v>3339</v>
      </c>
      <c r="S1085">
        <v>2009</v>
      </c>
      <c r="T1085" t="s">
        <v>771</v>
      </c>
      <c r="U1085" t="s">
        <v>3322</v>
      </c>
      <c r="V1085">
        <v>87</v>
      </c>
      <c r="W1085">
        <v>845</v>
      </c>
      <c r="X1085">
        <v>160</v>
      </c>
      <c r="Z1085">
        <v>17</v>
      </c>
      <c r="AA1085">
        <v>1000</v>
      </c>
      <c r="AB1085">
        <v>77000</v>
      </c>
      <c r="AD1085">
        <v>3</v>
      </c>
      <c r="AE1085">
        <v>3.4482759000000002E-2</v>
      </c>
      <c r="AF1085">
        <v>200</v>
      </c>
      <c r="AG1085">
        <v>8.5</v>
      </c>
      <c r="AH1085" t="s">
        <v>2259</v>
      </c>
      <c r="AI1085">
        <v>20</v>
      </c>
      <c r="AJ1085">
        <v>0</v>
      </c>
      <c r="AK1085">
        <v>0</v>
      </c>
      <c r="AL1085">
        <v>0</v>
      </c>
      <c r="AM1085" t="s">
        <v>3167</v>
      </c>
      <c r="AN1085" t="s">
        <v>132</v>
      </c>
      <c r="AQ1085">
        <v>0</v>
      </c>
      <c r="AR1085">
        <v>0</v>
      </c>
      <c r="AS1085">
        <v>0</v>
      </c>
      <c r="AT1085">
        <v>0</v>
      </c>
      <c r="AU1085">
        <v>0</v>
      </c>
      <c r="AV1085">
        <v>0</v>
      </c>
      <c r="AW1085">
        <v>0</v>
      </c>
      <c r="AX1085">
        <v>0</v>
      </c>
      <c r="AY1085">
        <v>0</v>
      </c>
      <c r="AZ1085">
        <v>0</v>
      </c>
      <c r="BA1085">
        <v>0</v>
      </c>
      <c r="BB1085">
        <v>0</v>
      </c>
      <c r="BC1085">
        <v>0</v>
      </c>
      <c r="BD1085">
        <v>0</v>
      </c>
      <c r="BE1085">
        <v>0</v>
      </c>
      <c r="BF1085">
        <v>0</v>
      </c>
      <c r="BG1085">
        <v>0</v>
      </c>
      <c r="BH1085">
        <v>0</v>
      </c>
      <c r="BI1085">
        <v>0</v>
      </c>
      <c r="BJ1085">
        <v>0</v>
      </c>
      <c r="BK1085">
        <v>0</v>
      </c>
      <c r="BL1085">
        <v>0</v>
      </c>
      <c r="BM1085">
        <v>0</v>
      </c>
      <c r="BN1085">
        <v>288.7</v>
      </c>
      <c r="BO1085">
        <v>0</v>
      </c>
      <c r="BP1085">
        <v>0</v>
      </c>
      <c r="BQ1085">
        <v>0</v>
      </c>
      <c r="BR1085">
        <v>0</v>
      </c>
      <c r="BS1085">
        <v>0</v>
      </c>
      <c r="BT1085">
        <v>0</v>
      </c>
      <c r="BU1085">
        <v>0</v>
      </c>
      <c r="BV1085">
        <v>0</v>
      </c>
      <c r="BW1085">
        <v>0</v>
      </c>
      <c r="BX1085">
        <v>0</v>
      </c>
      <c r="BY1085">
        <v>0</v>
      </c>
      <c r="BZ1085">
        <v>0</v>
      </c>
      <c r="CA1085">
        <v>0</v>
      </c>
      <c r="CB1085">
        <v>0</v>
      </c>
      <c r="CC1085">
        <v>0</v>
      </c>
      <c r="CD1085">
        <v>0</v>
      </c>
      <c r="CE108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85" s="19">
        <f>SUM(Table1[[#This Row],[Mid39]],Table1[[#This Row],[Mid36]],Table1[[#This Row],[Mid33]],Table1[[#This Row],[Mid30]],Table1[[#This Row],[Mid27]],Table1[[#This Row],[Mid24]],Table1[[#This Row],[Mid21]],Table1[[#This Row],[Mid18]],Table1[[#This Row],[Mid15]],Table1[[#This Row],[Mid12]],Table1[[#This Row],[Mid9]],Table1[[#This Row],[Mid6]],Table1[[#This Row],[Mid3]],Table1[[#This Row],[Mid]])</f>
        <v>288.7</v>
      </c>
      <c r="CG108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85" t="s">
        <v>157</v>
      </c>
      <c r="CI1085" t="s">
        <v>134</v>
      </c>
      <c r="CJ1085" t="s">
        <v>158</v>
      </c>
      <c r="CL1085" s="19">
        <f>IF(Table1[[#This Row],[Type]]="Petroleum",1,IF(ISERROR(Table1[[#This Row],[Well Density]]*Table1[[#This Row],[Single Well Discovery Area]]),"",IF(Table1[[#This Row],[Well Density]]*Table1[[#This Row],[Single Well Discovery Area]]&gt;1,1,Table1[[#This Row],[Well Density]]*Table1[[#This Row],[Single Well Discovery Area]])))</f>
        <v>1</v>
      </c>
      <c r="CN1085" s="19">
        <f>Table1[[#This Row],[Mid]]</f>
        <v>0</v>
      </c>
      <c r="CO1085" s="19">
        <f>Table1[[#This Row],[Mid3]]+Table1[[#This Row],[Mid6]]+Table1[[#This Row],[Mid9]]</f>
        <v>0</v>
      </c>
      <c r="CP1085" s="19">
        <f>Table1[[#This Row],[Mid12]]+Table1[[#This Row],[Mid15]]+Table1[[#This Row],[Mid18]]+Table1[[#This Row],[Mid21]]+Table1[[#This Row],[Mid24]]</f>
        <v>288.7</v>
      </c>
      <c r="CQ1085" s="19">
        <f>Table1[[#This Row],[Mid27]]+Table1[[#This Row],[Mid30]]+Table1[[#This Row],[Mid33]]+Table1[[#This Row],[Mid36]]+Table1[[#This Row],[Mid39]]</f>
        <v>0</v>
      </c>
      <c r="CR1085" t="s">
        <v>415</v>
      </c>
      <c r="CS1085" s="19" t="str">
        <f>IF(AND(Table1[[#This Row],[Low41]]=0, Table1[[#This Row],[High43]]=0),"N","Y")</f>
        <v>N</v>
      </c>
    </row>
    <row r="1086" spans="1:97" ht="19.5" customHeight="1" x14ac:dyDescent="0.25">
      <c r="A1086">
        <v>11085</v>
      </c>
      <c r="B1086" t="s">
        <v>3315</v>
      </c>
      <c r="C1086" t="s">
        <v>3316</v>
      </c>
      <c r="D1086">
        <v>53.63</v>
      </c>
      <c r="E1086">
        <v>15.04666667</v>
      </c>
      <c r="F1086" t="s">
        <v>3350</v>
      </c>
      <c r="G1086" t="s">
        <v>3318</v>
      </c>
      <c r="H1086" t="s">
        <v>3351</v>
      </c>
      <c r="I1086" t="s">
        <v>118</v>
      </c>
      <c r="J1086" t="s">
        <v>119</v>
      </c>
      <c r="K1086" t="s">
        <v>203</v>
      </c>
      <c r="L1086" t="s">
        <v>147</v>
      </c>
      <c r="M1086" t="s">
        <v>2710</v>
      </c>
      <c r="N1086" s="6" t="s">
        <v>3352</v>
      </c>
      <c r="O1086" t="s">
        <v>3331</v>
      </c>
      <c r="P1086" t="s">
        <v>1150</v>
      </c>
      <c r="Q1086" t="s">
        <v>255</v>
      </c>
      <c r="R1086" t="s">
        <v>3339</v>
      </c>
      <c r="S1086">
        <v>2009</v>
      </c>
      <c r="T1086" t="s">
        <v>771</v>
      </c>
      <c r="U1086" t="s">
        <v>3322</v>
      </c>
      <c r="V1086">
        <v>87</v>
      </c>
      <c r="W1086">
        <v>1930</v>
      </c>
      <c r="X1086">
        <v>40</v>
      </c>
      <c r="Z1086">
        <v>17</v>
      </c>
      <c r="AA1086">
        <v>200</v>
      </c>
      <c r="AB1086">
        <v>106000</v>
      </c>
      <c r="AD1086">
        <v>3</v>
      </c>
      <c r="AE1086">
        <v>3.4482759000000002E-2</v>
      </c>
      <c r="AF1086">
        <v>200</v>
      </c>
      <c r="AG1086">
        <v>19.3</v>
      </c>
      <c r="AH1086" t="s">
        <v>2259</v>
      </c>
      <c r="AI1086">
        <v>20</v>
      </c>
      <c r="AJ1086">
        <v>0</v>
      </c>
      <c r="AK1086">
        <v>0</v>
      </c>
      <c r="AL1086">
        <v>0</v>
      </c>
      <c r="AM1086" t="s">
        <v>3167</v>
      </c>
      <c r="AN1086" t="s">
        <v>132</v>
      </c>
      <c r="AQ1086">
        <v>0</v>
      </c>
      <c r="AR1086">
        <v>0</v>
      </c>
      <c r="AS1086">
        <v>0</v>
      </c>
      <c r="AT1086">
        <v>0</v>
      </c>
      <c r="AU1086">
        <v>0</v>
      </c>
      <c r="AV1086">
        <v>0</v>
      </c>
      <c r="AW1086">
        <v>0</v>
      </c>
      <c r="AX1086">
        <v>0</v>
      </c>
      <c r="AY1086">
        <v>0</v>
      </c>
      <c r="AZ1086">
        <v>0</v>
      </c>
      <c r="BA1086">
        <v>0</v>
      </c>
      <c r="BB1086">
        <v>0</v>
      </c>
      <c r="BC1086">
        <v>0</v>
      </c>
      <c r="BD1086">
        <v>0</v>
      </c>
      <c r="BE1086">
        <v>0</v>
      </c>
      <c r="BF1086">
        <v>0</v>
      </c>
      <c r="BG1086">
        <v>0</v>
      </c>
      <c r="BH1086">
        <v>0</v>
      </c>
      <c r="BI1086">
        <v>0</v>
      </c>
      <c r="BJ1086">
        <v>0</v>
      </c>
      <c r="BK1086">
        <v>0</v>
      </c>
      <c r="BL1086">
        <v>0</v>
      </c>
      <c r="BM1086">
        <v>0</v>
      </c>
      <c r="BN1086">
        <v>69.3</v>
      </c>
      <c r="BO1086">
        <v>0</v>
      </c>
      <c r="BP1086">
        <v>0</v>
      </c>
      <c r="BQ1086">
        <v>0</v>
      </c>
      <c r="BR1086">
        <v>0</v>
      </c>
      <c r="BS1086">
        <v>0</v>
      </c>
      <c r="BT1086">
        <v>0</v>
      </c>
      <c r="BU1086">
        <v>0</v>
      </c>
      <c r="BV1086">
        <v>0</v>
      </c>
      <c r="BW1086">
        <v>0</v>
      </c>
      <c r="BX1086">
        <v>0</v>
      </c>
      <c r="BY1086">
        <v>0</v>
      </c>
      <c r="BZ1086">
        <v>0</v>
      </c>
      <c r="CA1086">
        <v>0</v>
      </c>
      <c r="CB1086">
        <v>0</v>
      </c>
      <c r="CC1086">
        <v>0</v>
      </c>
      <c r="CD1086">
        <v>0</v>
      </c>
      <c r="CE108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86" s="19">
        <f>SUM(Table1[[#This Row],[Mid39]],Table1[[#This Row],[Mid36]],Table1[[#This Row],[Mid33]],Table1[[#This Row],[Mid30]],Table1[[#This Row],[Mid27]],Table1[[#This Row],[Mid24]],Table1[[#This Row],[Mid21]],Table1[[#This Row],[Mid18]],Table1[[#This Row],[Mid15]],Table1[[#This Row],[Mid12]],Table1[[#This Row],[Mid9]],Table1[[#This Row],[Mid6]],Table1[[#This Row],[Mid3]],Table1[[#This Row],[Mid]])</f>
        <v>69.3</v>
      </c>
      <c r="CG108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86" t="s">
        <v>157</v>
      </c>
      <c r="CI1086" t="s">
        <v>134</v>
      </c>
      <c r="CJ1086" t="s">
        <v>158</v>
      </c>
      <c r="CL1086" s="19">
        <f>IF(Table1[[#This Row],[Type]]="Petroleum",1,IF(ISERROR(Table1[[#This Row],[Well Density]]*Table1[[#This Row],[Single Well Discovery Area]]),"",IF(Table1[[#This Row],[Well Density]]*Table1[[#This Row],[Single Well Discovery Area]]&gt;1,1,Table1[[#This Row],[Well Density]]*Table1[[#This Row],[Single Well Discovery Area]])))</f>
        <v>1</v>
      </c>
      <c r="CN1086" s="19">
        <f>Table1[[#This Row],[Mid]]</f>
        <v>0</v>
      </c>
      <c r="CO1086" s="19">
        <f>Table1[[#This Row],[Mid3]]+Table1[[#This Row],[Mid6]]+Table1[[#This Row],[Mid9]]</f>
        <v>0</v>
      </c>
      <c r="CP1086" s="19">
        <f>Table1[[#This Row],[Mid12]]+Table1[[#This Row],[Mid15]]+Table1[[#This Row],[Mid18]]+Table1[[#This Row],[Mid21]]+Table1[[#This Row],[Mid24]]</f>
        <v>69.3</v>
      </c>
      <c r="CQ1086" s="19">
        <f>Table1[[#This Row],[Mid27]]+Table1[[#This Row],[Mid30]]+Table1[[#This Row],[Mid33]]+Table1[[#This Row],[Mid36]]+Table1[[#This Row],[Mid39]]</f>
        <v>0</v>
      </c>
      <c r="CR1086" t="s">
        <v>415</v>
      </c>
      <c r="CS1086" s="19" t="str">
        <f>IF(AND(Table1[[#This Row],[Low41]]=0, Table1[[#This Row],[High43]]=0),"N","Y")</f>
        <v>N</v>
      </c>
    </row>
    <row r="1087" spans="1:97" ht="19.5" customHeight="1" x14ac:dyDescent="0.25">
      <c r="A1087">
        <v>11086</v>
      </c>
      <c r="B1087" t="s">
        <v>3315</v>
      </c>
      <c r="C1087" t="s">
        <v>3316</v>
      </c>
      <c r="D1087">
        <v>53.453888890000002</v>
      </c>
      <c r="E1087">
        <v>15.641666669999999</v>
      </c>
      <c r="F1087" t="s">
        <v>3353</v>
      </c>
      <c r="G1087" t="s">
        <v>3318</v>
      </c>
      <c r="H1087" t="s">
        <v>3319</v>
      </c>
      <c r="I1087" t="s">
        <v>118</v>
      </c>
      <c r="J1087" t="s">
        <v>119</v>
      </c>
      <c r="K1087" t="s">
        <v>203</v>
      </c>
      <c r="L1087" t="s">
        <v>147</v>
      </c>
      <c r="M1087" t="s">
        <v>2710</v>
      </c>
      <c r="N1087" s="6" t="s">
        <v>3354</v>
      </c>
      <c r="O1087" t="s">
        <v>3331</v>
      </c>
      <c r="P1087" t="s">
        <v>1150</v>
      </c>
      <c r="Q1087" t="s">
        <v>255</v>
      </c>
      <c r="R1087" t="s">
        <v>3339</v>
      </c>
      <c r="S1087">
        <v>2009</v>
      </c>
      <c r="T1087" t="s">
        <v>771</v>
      </c>
      <c r="U1087" t="s">
        <v>3322</v>
      </c>
      <c r="V1087">
        <v>102</v>
      </c>
      <c r="W1087">
        <v>1235</v>
      </c>
      <c r="X1087">
        <v>168</v>
      </c>
      <c r="Z1087">
        <v>20</v>
      </c>
      <c r="AA1087">
        <v>1000</v>
      </c>
      <c r="AB1087">
        <v>112000</v>
      </c>
      <c r="AD1087">
        <v>1</v>
      </c>
      <c r="AE1087">
        <v>9.8039219999999996E-3</v>
      </c>
      <c r="AF1087">
        <v>200</v>
      </c>
      <c r="AG1087">
        <v>9.6999999999999993</v>
      </c>
      <c r="AH1087" t="s">
        <v>2259</v>
      </c>
      <c r="AI1087">
        <v>20</v>
      </c>
      <c r="AJ1087">
        <v>0</v>
      </c>
      <c r="AK1087">
        <v>0</v>
      </c>
      <c r="AL1087">
        <v>0</v>
      </c>
      <c r="AM1087" t="s">
        <v>3167</v>
      </c>
      <c r="AN1087" t="s">
        <v>132</v>
      </c>
      <c r="AQ1087">
        <v>0</v>
      </c>
      <c r="AR1087">
        <v>0</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0</v>
      </c>
      <c r="BL1087">
        <v>0</v>
      </c>
      <c r="BM1087">
        <v>0</v>
      </c>
      <c r="BN1087">
        <v>398</v>
      </c>
      <c r="BO1087">
        <v>0</v>
      </c>
      <c r="BP1087">
        <v>0</v>
      </c>
      <c r="BQ1087">
        <v>0</v>
      </c>
      <c r="BR1087">
        <v>0</v>
      </c>
      <c r="BS1087">
        <v>0</v>
      </c>
      <c r="BT1087">
        <v>0</v>
      </c>
      <c r="BU1087">
        <v>0</v>
      </c>
      <c r="BV1087">
        <v>0</v>
      </c>
      <c r="BW1087">
        <v>0</v>
      </c>
      <c r="BX1087">
        <v>0</v>
      </c>
      <c r="BY1087">
        <v>0</v>
      </c>
      <c r="BZ1087">
        <v>0</v>
      </c>
      <c r="CA1087">
        <v>0</v>
      </c>
      <c r="CB1087">
        <v>0</v>
      </c>
      <c r="CC1087">
        <v>0</v>
      </c>
      <c r="CD1087">
        <v>0</v>
      </c>
      <c r="CE108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87" s="19">
        <f>SUM(Table1[[#This Row],[Mid39]],Table1[[#This Row],[Mid36]],Table1[[#This Row],[Mid33]],Table1[[#This Row],[Mid30]],Table1[[#This Row],[Mid27]],Table1[[#This Row],[Mid24]],Table1[[#This Row],[Mid21]],Table1[[#This Row],[Mid18]],Table1[[#This Row],[Mid15]],Table1[[#This Row],[Mid12]],Table1[[#This Row],[Mid9]],Table1[[#This Row],[Mid6]],Table1[[#This Row],[Mid3]],Table1[[#This Row],[Mid]])</f>
        <v>398</v>
      </c>
      <c r="CG108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87" t="s">
        <v>157</v>
      </c>
      <c r="CI1087" t="s">
        <v>134</v>
      </c>
      <c r="CJ1087" t="s">
        <v>158</v>
      </c>
      <c r="CL1087" s="19">
        <f>IF(Table1[[#This Row],[Type]]="Petroleum",1,IF(ISERROR(Table1[[#This Row],[Well Density]]*Table1[[#This Row],[Single Well Discovery Area]]),"",IF(Table1[[#This Row],[Well Density]]*Table1[[#This Row],[Single Well Discovery Area]]&gt;1,1,Table1[[#This Row],[Well Density]]*Table1[[#This Row],[Single Well Discovery Area]])))</f>
        <v>1</v>
      </c>
      <c r="CN1087" s="19">
        <f>Table1[[#This Row],[Mid]]</f>
        <v>0</v>
      </c>
      <c r="CO1087" s="19">
        <f>Table1[[#This Row],[Mid3]]+Table1[[#This Row],[Mid6]]+Table1[[#This Row],[Mid9]]</f>
        <v>0</v>
      </c>
      <c r="CP1087" s="19">
        <f>Table1[[#This Row],[Mid12]]+Table1[[#This Row],[Mid15]]+Table1[[#This Row],[Mid18]]+Table1[[#This Row],[Mid21]]+Table1[[#This Row],[Mid24]]</f>
        <v>398</v>
      </c>
      <c r="CQ1087" s="19">
        <f>Table1[[#This Row],[Mid27]]+Table1[[#This Row],[Mid30]]+Table1[[#This Row],[Mid33]]+Table1[[#This Row],[Mid36]]+Table1[[#This Row],[Mid39]]</f>
        <v>0</v>
      </c>
      <c r="CR1087" t="s">
        <v>415</v>
      </c>
      <c r="CS1087" s="19" t="str">
        <f>IF(AND(Table1[[#This Row],[Low41]]=0, Table1[[#This Row],[High43]]=0),"N","Y")</f>
        <v>N</v>
      </c>
    </row>
    <row r="1088" spans="1:97" ht="19.5" customHeight="1" x14ac:dyDescent="0.25">
      <c r="A1088">
        <v>11087</v>
      </c>
      <c r="B1088" t="s">
        <v>3315</v>
      </c>
      <c r="C1088" t="s">
        <v>3316</v>
      </c>
      <c r="D1088">
        <v>51.814444440000003</v>
      </c>
      <c r="E1088">
        <v>19.30083333</v>
      </c>
      <c r="F1088" t="s">
        <v>3355</v>
      </c>
      <c r="G1088" t="s">
        <v>3318</v>
      </c>
      <c r="H1088" t="s">
        <v>3319</v>
      </c>
      <c r="I1088" t="s">
        <v>118</v>
      </c>
      <c r="J1088" t="s">
        <v>119</v>
      </c>
      <c r="K1088" t="s">
        <v>203</v>
      </c>
      <c r="L1088" t="s">
        <v>147</v>
      </c>
      <c r="M1088" t="s">
        <v>338</v>
      </c>
      <c r="N1088" s="6" t="s">
        <v>3356</v>
      </c>
      <c r="O1088" t="s">
        <v>3331</v>
      </c>
      <c r="P1088" t="s">
        <v>1150</v>
      </c>
      <c r="Q1088" t="s">
        <v>255</v>
      </c>
      <c r="R1088" t="s">
        <v>3339</v>
      </c>
      <c r="S1088">
        <v>2009</v>
      </c>
      <c r="T1088" t="s">
        <v>771</v>
      </c>
      <c r="U1088" t="s">
        <v>3322</v>
      </c>
      <c r="V1088"/>
      <c r="AD1088">
        <v>3</v>
      </c>
      <c r="AF1088">
        <v>200</v>
      </c>
      <c r="AH1088" t="s">
        <v>2259</v>
      </c>
      <c r="AJ1088">
        <v>0</v>
      </c>
      <c r="AK1088">
        <v>0</v>
      </c>
      <c r="AL1088">
        <v>0</v>
      </c>
      <c r="AM1088" t="s">
        <v>3167</v>
      </c>
      <c r="AN1088" t="s">
        <v>132</v>
      </c>
      <c r="AQ1088">
        <v>0</v>
      </c>
      <c r="AR1088">
        <v>0</v>
      </c>
      <c r="AS1088">
        <v>0</v>
      </c>
      <c r="AT1088">
        <v>0</v>
      </c>
      <c r="AU1088">
        <v>0</v>
      </c>
      <c r="AV1088">
        <v>0</v>
      </c>
      <c r="AW1088">
        <v>0</v>
      </c>
      <c r="AX1088">
        <v>0</v>
      </c>
      <c r="AY1088">
        <v>0</v>
      </c>
      <c r="AZ1088">
        <v>0</v>
      </c>
      <c r="BA1088">
        <v>0</v>
      </c>
      <c r="BB1088">
        <v>0</v>
      </c>
      <c r="BC1088">
        <v>0</v>
      </c>
      <c r="BD1088">
        <v>0</v>
      </c>
      <c r="BE1088">
        <v>0</v>
      </c>
      <c r="BF1088">
        <v>0</v>
      </c>
      <c r="BG1088">
        <v>0</v>
      </c>
      <c r="BH1088">
        <v>0</v>
      </c>
      <c r="BI1088">
        <v>0</v>
      </c>
      <c r="BJ1088">
        <v>0</v>
      </c>
      <c r="BK1088">
        <v>0</v>
      </c>
      <c r="BL1088">
        <v>0</v>
      </c>
      <c r="BM1088">
        <v>0</v>
      </c>
      <c r="BN1088">
        <v>0</v>
      </c>
      <c r="BO1088">
        <v>0</v>
      </c>
      <c r="BP1088">
        <v>0</v>
      </c>
      <c r="BQ1088">
        <v>0</v>
      </c>
      <c r="BR1088">
        <v>0</v>
      </c>
      <c r="BS1088">
        <v>0</v>
      </c>
      <c r="BT1088">
        <v>168.5</v>
      </c>
      <c r="BU1088">
        <v>0</v>
      </c>
      <c r="BV1088">
        <v>0</v>
      </c>
      <c r="BW1088">
        <v>0</v>
      </c>
      <c r="BX1088">
        <v>0</v>
      </c>
      <c r="BY1088">
        <v>0</v>
      </c>
      <c r="BZ1088">
        <v>0</v>
      </c>
      <c r="CA1088">
        <v>0</v>
      </c>
      <c r="CB1088">
        <v>0</v>
      </c>
      <c r="CC1088">
        <v>0</v>
      </c>
      <c r="CD1088">
        <v>0</v>
      </c>
      <c r="CE108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88" s="19">
        <f>SUM(Table1[[#This Row],[Mid39]],Table1[[#This Row],[Mid36]],Table1[[#This Row],[Mid33]],Table1[[#This Row],[Mid30]],Table1[[#This Row],[Mid27]],Table1[[#This Row],[Mid24]],Table1[[#This Row],[Mid21]],Table1[[#This Row],[Mid18]],Table1[[#This Row],[Mid15]],Table1[[#This Row],[Mid12]],Table1[[#This Row],[Mid9]],Table1[[#This Row],[Mid6]],Table1[[#This Row],[Mid3]],Table1[[#This Row],[Mid]])</f>
        <v>168.5</v>
      </c>
      <c r="CG108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88" t="s">
        <v>157</v>
      </c>
      <c r="CI1088" t="s">
        <v>134</v>
      </c>
      <c r="CJ1088" t="s">
        <v>158</v>
      </c>
      <c r="CL1088" s="19">
        <f>IF(Table1[[#This Row],[Type]]="Petroleum",1,IF(ISERROR(Table1[[#This Row],[Well Density]]*Table1[[#This Row],[Single Well Discovery Area]]),"",IF(Table1[[#This Row],[Well Density]]*Table1[[#This Row],[Single Well Discovery Area]]&gt;1,1,Table1[[#This Row],[Well Density]]*Table1[[#This Row],[Single Well Discovery Area]])))</f>
        <v>0</v>
      </c>
      <c r="CN1088" s="19">
        <f>Table1[[#This Row],[Mid]]</f>
        <v>0</v>
      </c>
      <c r="CO1088" s="19">
        <f>Table1[[#This Row],[Mid3]]+Table1[[#This Row],[Mid6]]+Table1[[#This Row],[Mid9]]</f>
        <v>0</v>
      </c>
      <c r="CP1088" s="19">
        <f>Table1[[#This Row],[Mid12]]+Table1[[#This Row],[Mid15]]+Table1[[#This Row],[Mid18]]+Table1[[#This Row],[Mid21]]+Table1[[#This Row],[Mid24]]</f>
        <v>0</v>
      </c>
      <c r="CQ1088" s="19">
        <f>Table1[[#This Row],[Mid27]]+Table1[[#This Row],[Mid30]]+Table1[[#This Row],[Mid33]]+Table1[[#This Row],[Mid36]]+Table1[[#This Row],[Mid39]]</f>
        <v>168.5</v>
      </c>
      <c r="CR1088" t="s">
        <v>415</v>
      </c>
      <c r="CS1088" s="19" t="str">
        <f>IF(AND(Table1[[#This Row],[Low41]]=0, Table1[[#This Row],[High43]]=0),"N","Y")</f>
        <v>N</v>
      </c>
    </row>
    <row r="1089" spans="1:97" ht="19.5" customHeight="1" x14ac:dyDescent="0.25">
      <c r="A1089">
        <v>11088</v>
      </c>
      <c r="B1089" t="s">
        <v>3315</v>
      </c>
      <c r="C1089" t="s">
        <v>3316</v>
      </c>
      <c r="D1089">
        <v>53.685555559999997</v>
      </c>
      <c r="E1089">
        <v>15.578055559999999</v>
      </c>
      <c r="F1089" t="s">
        <v>3357</v>
      </c>
      <c r="G1089" t="s">
        <v>3318</v>
      </c>
      <c r="H1089" t="s">
        <v>3319</v>
      </c>
      <c r="I1089" t="s">
        <v>118</v>
      </c>
      <c r="J1089" t="s">
        <v>119</v>
      </c>
      <c r="K1089" t="s">
        <v>203</v>
      </c>
      <c r="L1089" t="s">
        <v>147</v>
      </c>
      <c r="M1089" t="s">
        <v>338</v>
      </c>
      <c r="N1089" s="6" t="s">
        <v>3358</v>
      </c>
      <c r="O1089" t="s">
        <v>3331</v>
      </c>
      <c r="P1089" t="s">
        <v>1150</v>
      </c>
      <c r="Q1089" t="s">
        <v>255</v>
      </c>
      <c r="R1089" t="s">
        <v>3339</v>
      </c>
      <c r="S1089">
        <v>2009</v>
      </c>
      <c r="T1089" t="s">
        <v>771</v>
      </c>
      <c r="U1089" t="s">
        <v>3322</v>
      </c>
      <c r="V1089">
        <v>160</v>
      </c>
      <c r="W1089">
        <v>1395</v>
      </c>
      <c r="X1089">
        <v>72</v>
      </c>
      <c r="Z1089">
        <v>20</v>
      </c>
      <c r="AA1089">
        <v>1000</v>
      </c>
      <c r="AB1089">
        <v>67000</v>
      </c>
      <c r="AD1089">
        <v>3</v>
      </c>
      <c r="AE1089">
        <v>1.8749999999999999E-2</v>
      </c>
      <c r="AF1089">
        <v>200</v>
      </c>
      <c r="AG1089">
        <v>14</v>
      </c>
      <c r="AH1089" t="s">
        <v>2259</v>
      </c>
      <c r="AI1089">
        <v>20</v>
      </c>
      <c r="AJ1089">
        <v>0</v>
      </c>
      <c r="AK1089">
        <v>0</v>
      </c>
      <c r="AL1089">
        <v>0</v>
      </c>
      <c r="AM1089" t="s">
        <v>3167</v>
      </c>
      <c r="AN1089" t="s">
        <v>132</v>
      </c>
      <c r="AQ1089">
        <v>0</v>
      </c>
      <c r="AR1089">
        <v>0</v>
      </c>
      <c r="AS1089">
        <v>0</v>
      </c>
      <c r="AT1089">
        <v>0</v>
      </c>
      <c r="AU1089">
        <v>0</v>
      </c>
      <c r="AV1089">
        <v>0</v>
      </c>
      <c r="AW1089">
        <v>0</v>
      </c>
      <c r="AX1089">
        <v>0</v>
      </c>
      <c r="AY1089">
        <v>0</v>
      </c>
      <c r="AZ1089">
        <v>0</v>
      </c>
      <c r="BA1089">
        <v>0</v>
      </c>
      <c r="BB1089">
        <v>0</v>
      </c>
      <c r="BC1089">
        <v>0</v>
      </c>
      <c r="BD1089">
        <v>0</v>
      </c>
      <c r="BE1089">
        <v>0</v>
      </c>
      <c r="BF1089">
        <v>0</v>
      </c>
      <c r="BG1089">
        <v>0</v>
      </c>
      <c r="BH1089">
        <v>0</v>
      </c>
      <c r="BI1089">
        <v>0</v>
      </c>
      <c r="BJ1089">
        <v>0</v>
      </c>
      <c r="BK1089">
        <v>0</v>
      </c>
      <c r="BL1089">
        <v>0</v>
      </c>
      <c r="BM1089">
        <v>0</v>
      </c>
      <c r="BN1089">
        <v>268</v>
      </c>
      <c r="BO1089">
        <v>0</v>
      </c>
      <c r="BP1089">
        <v>0</v>
      </c>
      <c r="BQ1089">
        <v>0</v>
      </c>
      <c r="BR1089">
        <v>0</v>
      </c>
      <c r="BS1089">
        <v>0</v>
      </c>
      <c r="BT1089">
        <v>0</v>
      </c>
      <c r="BU1089">
        <v>0</v>
      </c>
      <c r="BV1089">
        <v>0</v>
      </c>
      <c r="BW1089">
        <v>0</v>
      </c>
      <c r="BX1089">
        <v>0</v>
      </c>
      <c r="BY1089">
        <v>0</v>
      </c>
      <c r="BZ1089">
        <v>0</v>
      </c>
      <c r="CA1089">
        <v>0</v>
      </c>
      <c r="CB1089">
        <v>0</v>
      </c>
      <c r="CC1089">
        <v>0</v>
      </c>
      <c r="CD1089">
        <v>0</v>
      </c>
      <c r="CE108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89" s="19">
        <f>SUM(Table1[[#This Row],[Mid39]],Table1[[#This Row],[Mid36]],Table1[[#This Row],[Mid33]],Table1[[#This Row],[Mid30]],Table1[[#This Row],[Mid27]],Table1[[#This Row],[Mid24]],Table1[[#This Row],[Mid21]],Table1[[#This Row],[Mid18]],Table1[[#This Row],[Mid15]],Table1[[#This Row],[Mid12]],Table1[[#This Row],[Mid9]],Table1[[#This Row],[Mid6]],Table1[[#This Row],[Mid3]],Table1[[#This Row],[Mid]])</f>
        <v>268</v>
      </c>
      <c r="CG108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89" t="s">
        <v>157</v>
      </c>
      <c r="CI1089" t="s">
        <v>134</v>
      </c>
      <c r="CJ1089" t="s">
        <v>158</v>
      </c>
      <c r="CL1089" s="19">
        <f>IF(Table1[[#This Row],[Type]]="Petroleum",1,IF(ISERROR(Table1[[#This Row],[Well Density]]*Table1[[#This Row],[Single Well Discovery Area]]),"",IF(Table1[[#This Row],[Well Density]]*Table1[[#This Row],[Single Well Discovery Area]]&gt;1,1,Table1[[#This Row],[Well Density]]*Table1[[#This Row],[Single Well Discovery Area]])))</f>
        <v>1</v>
      </c>
      <c r="CN1089" s="19">
        <f>Table1[[#This Row],[Mid]]</f>
        <v>0</v>
      </c>
      <c r="CO1089" s="19">
        <f>Table1[[#This Row],[Mid3]]+Table1[[#This Row],[Mid6]]+Table1[[#This Row],[Mid9]]</f>
        <v>0</v>
      </c>
      <c r="CP1089" s="19">
        <f>Table1[[#This Row],[Mid12]]+Table1[[#This Row],[Mid15]]+Table1[[#This Row],[Mid18]]+Table1[[#This Row],[Mid21]]+Table1[[#This Row],[Mid24]]</f>
        <v>268</v>
      </c>
      <c r="CQ1089" s="19">
        <f>Table1[[#This Row],[Mid27]]+Table1[[#This Row],[Mid30]]+Table1[[#This Row],[Mid33]]+Table1[[#This Row],[Mid36]]+Table1[[#This Row],[Mid39]]</f>
        <v>0</v>
      </c>
      <c r="CR1089" t="s">
        <v>415</v>
      </c>
      <c r="CS1089" s="19" t="str">
        <f>IF(AND(Table1[[#This Row],[Low41]]=0, Table1[[#This Row],[High43]]=0),"N","Y")</f>
        <v>N</v>
      </c>
    </row>
    <row r="1090" spans="1:97" ht="19.5" customHeight="1" x14ac:dyDescent="0.25">
      <c r="A1090">
        <v>11089</v>
      </c>
      <c r="B1090" t="s">
        <v>3315</v>
      </c>
      <c r="C1090" t="s">
        <v>3316</v>
      </c>
      <c r="D1090">
        <v>53.685555559999997</v>
      </c>
      <c r="E1090">
        <v>15.578055559999999</v>
      </c>
      <c r="F1090" t="s">
        <v>3359</v>
      </c>
      <c r="G1090" t="s">
        <v>3318</v>
      </c>
      <c r="H1090" t="s">
        <v>3351</v>
      </c>
      <c r="I1090" t="s">
        <v>118</v>
      </c>
      <c r="J1090" t="s">
        <v>119</v>
      </c>
      <c r="K1090" t="s">
        <v>203</v>
      </c>
      <c r="L1090" t="s">
        <v>147</v>
      </c>
      <c r="M1090" t="s">
        <v>2710</v>
      </c>
      <c r="N1090" s="6" t="s">
        <v>3360</v>
      </c>
      <c r="O1090" t="s">
        <v>3331</v>
      </c>
      <c r="P1090" t="s">
        <v>1150</v>
      </c>
      <c r="Q1090" t="s">
        <v>255</v>
      </c>
      <c r="R1090" t="s">
        <v>3339</v>
      </c>
      <c r="S1090">
        <v>2009</v>
      </c>
      <c r="T1090" t="s">
        <v>771</v>
      </c>
      <c r="U1090" t="s">
        <v>3322</v>
      </c>
      <c r="V1090">
        <v>101</v>
      </c>
      <c r="W1090">
        <v>1436</v>
      </c>
      <c r="X1090">
        <v>22</v>
      </c>
      <c r="Z1090">
        <v>15</v>
      </c>
      <c r="AA1090">
        <v>100</v>
      </c>
      <c r="AB1090">
        <v>110000</v>
      </c>
      <c r="AD1090">
        <v>3</v>
      </c>
      <c r="AE1090">
        <v>2.9702969999999999E-2</v>
      </c>
      <c r="AF1090">
        <v>200</v>
      </c>
      <c r="AG1090">
        <v>20</v>
      </c>
      <c r="AH1090" t="s">
        <v>2259</v>
      </c>
      <c r="AI1090">
        <v>20</v>
      </c>
      <c r="AJ1090">
        <v>0</v>
      </c>
      <c r="AK1090">
        <v>0</v>
      </c>
      <c r="AL1090">
        <v>0</v>
      </c>
      <c r="AM1090" t="s">
        <v>3167</v>
      </c>
      <c r="AN1090" t="s">
        <v>132</v>
      </c>
      <c r="AQ1090">
        <v>0</v>
      </c>
      <c r="AR1090">
        <v>0</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0</v>
      </c>
      <c r="BK1090">
        <v>0</v>
      </c>
      <c r="BL1090">
        <v>0</v>
      </c>
      <c r="BM1090">
        <v>0</v>
      </c>
      <c r="BN1090">
        <v>41</v>
      </c>
      <c r="BO1090">
        <v>0</v>
      </c>
      <c r="BP1090">
        <v>0</v>
      </c>
      <c r="BQ1090">
        <v>0</v>
      </c>
      <c r="BR1090">
        <v>0</v>
      </c>
      <c r="BS1090">
        <v>0</v>
      </c>
      <c r="BT1090">
        <v>0</v>
      </c>
      <c r="BU1090">
        <v>0</v>
      </c>
      <c r="BV1090">
        <v>0</v>
      </c>
      <c r="BW1090">
        <v>0</v>
      </c>
      <c r="BX1090">
        <v>0</v>
      </c>
      <c r="BY1090">
        <v>0</v>
      </c>
      <c r="BZ1090">
        <v>0</v>
      </c>
      <c r="CA1090">
        <v>0</v>
      </c>
      <c r="CB1090">
        <v>0</v>
      </c>
      <c r="CC1090">
        <v>0</v>
      </c>
      <c r="CD1090">
        <v>0</v>
      </c>
      <c r="CE109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90" s="19">
        <f>SUM(Table1[[#This Row],[Mid39]],Table1[[#This Row],[Mid36]],Table1[[#This Row],[Mid33]],Table1[[#This Row],[Mid30]],Table1[[#This Row],[Mid27]],Table1[[#This Row],[Mid24]],Table1[[#This Row],[Mid21]],Table1[[#This Row],[Mid18]],Table1[[#This Row],[Mid15]],Table1[[#This Row],[Mid12]],Table1[[#This Row],[Mid9]],Table1[[#This Row],[Mid6]],Table1[[#This Row],[Mid3]],Table1[[#This Row],[Mid]])</f>
        <v>41</v>
      </c>
      <c r="CG109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90" t="s">
        <v>157</v>
      </c>
      <c r="CI1090" t="s">
        <v>134</v>
      </c>
      <c r="CJ1090" t="s">
        <v>158</v>
      </c>
      <c r="CL1090" s="19">
        <f>IF(Table1[[#This Row],[Type]]="Petroleum",1,IF(ISERROR(Table1[[#This Row],[Well Density]]*Table1[[#This Row],[Single Well Discovery Area]]),"",IF(Table1[[#This Row],[Well Density]]*Table1[[#This Row],[Single Well Discovery Area]]&gt;1,1,Table1[[#This Row],[Well Density]]*Table1[[#This Row],[Single Well Discovery Area]])))</f>
        <v>1</v>
      </c>
      <c r="CN1090" s="19">
        <f>Table1[[#This Row],[Mid]]</f>
        <v>0</v>
      </c>
      <c r="CO1090" s="19">
        <f>Table1[[#This Row],[Mid3]]+Table1[[#This Row],[Mid6]]+Table1[[#This Row],[Mid9]]</f>
        <v>0</v>
      </c>
      <c r="CP1090" s="19">
        <f>Table1[[#This Row],[Mid12]]+Table1[[#This Row],[Mid15]]+Table1[[#This Row],[Mid18]]+Table1[[#This Row],[Mid21]]+Table1[[#This Row],[Mid24]]</f>
        <v>41</v>
      </c>
      <c r="CQ1090" s="19">
        <f>Table1[[#This Row],[Mid27]]+Table1[[#This Row],[Mid30]]+Table1[[#This Row],[Mid33]]+Table1[[#This Row],[Mid36]]+Table1[[#This Row],[Mid39]]</f>
        <v>0</v>
      </c>
      <c r="CR1090" t="s">
        <v>415</v>
      </c>
      <c r="CS1090" s="19" t="str">
        <f>IF(AND(Table1[[#This Row],[Low41]]=0, Table1[[#This Row],[High43]]=0),"N","Y")</f>
        <v>N</v>
      </c>
    </row>
    <row r="1091" spans="1:97" ht="19.5" customHeight="1" x14ac:dyDescent="0.25">
      <c r="A1091">
        <v>11090</v>
      </c>
      <c r="B1091" t="s">
        <v>3315</v>
      </c>
      <c r="C1091" t="s">
        <v>3316</v>
      </c>
      <c r="D1091">
        <v>52.946944440000003</v>
      </c>
      <c r="E1091">
        <v>18.143055560000001</v>
      </c>
      <c r="F1091" t="s">
        <v>3361</v>
      </c>
      <c r="G1091" t="s">
        <v>3318</v>
      </c>
      <c r="H1091" t="s">
        <v>3319</v>
      </c>
      <c r="I1091" t="s">
        <v>118</v>
      </c>
      <c r="J1091" t="s">
        <v>119</v>
      </c>
      <c r="K1091" t="s">
        <v>203</v>
      </c>
      <c r="L1091" t="s">
        <v>147</v>
      </c>
      <c r="M1091" t="s">
        <v>2710</v>
      </c>
      <c r="N1091" s="6" t="s">
        <v>3362</v>
      </c>
      <c r="O1091" t="s">
        <v>3331</v>
      </c>
      <c r="P1091" t="s">
        <v>1150</v>
      </c>
      <c r="Q1091" t="s">
        <v>255</v>
      </c>
      <c r="R1091" t="s">
        <v>3339</v>
      </c>
      <c r="S1091">
        <v>2009</v>
      </c>
      <c r="T1091" t="s">
        <v>771</v>
      </c>
      <c r="U1091" t="s">
        <v>3322</v>
      </c>
      <c r="V1091"/>
      <c r="AD1091">
        <v>2</v>
      </c>
      <c r="AF1091">
        <v>200</v>
      </c>
      <c r="AH1091" t="s">
        <v>2259</v>
      </c>
      <c r="AJ1091">
        <v>0</v>
      </c>
      <c r="AK1091">
        <v>0</v>
      </c>
      <c r="AL1091">
        <v>0</v>
      </c>
      <c r="AM1091" t="s">
        <v>3167</v>
      </c>
      <c r="AN1091" t="s">
        <v>132</v>
      </c>
      <c r="AQ1091">
        <v>0</v>
      </c>
      <c r="AR1091">
        <v>0</v>
      </c>
      <c r="AS1091">
        <v>0</v>
      </c>
      <c r="AT1091">
        <v>0</v>
      </c>
      <c r="AU1091">
        <v>0</v>
      </c>
      <c r="AV1091">
        <v>0</v>
      </c>
      <c r="AW1091">
        <v>0</v>
      </c>
      <c r="AX1091">
        <v>0</v>
      </c>
      <c r="AY1091">
        <v>0</v>
      </c>
      <c r="AZ1091">
        <v>0</v>
      </c>
      <c r="BA1091">
        <v>0</v>
      </c>
      <c r="BB1091">
        <v>0</v>
      </c>
      <c r="BC1091">
        <v>0</v>
      </c>
      <c r="BD1091">
        <v>0</v>
      </c>
      <c r="BE1091">
        <v>0</v>
      </c>
      <c r="BF1091">
        <v>0</v>
      </c>
      <c r="BG1091">
        <v>0</v>
      </c>
      <c r="BH1091">
        <v>0</v>
      </c>
      <c r="BI1091">
        <v>0</v>
      </c>
      <c r="BJ1091">
        <v>0</v>
      </c>
      <c r="BK1091">
        <v>0</v>
      </c>
      <c r="BL1091">
        <v>0</v>
      </c>
      <c r="BM1091">
        <v>0</v>
      </c>
      <c r="BN1091">
        <v>0</v>
      </c>
      <c r="BO1091">
        <v>0</v>
      </c>
      <c r="BP1091">
        <v>0</v>
      </c>
      <c r="BQ1091">
        <v>0</v>
      </c>
      <c r="BR1091">
        <v>0</v>
      </c>
      <c r="BS1091">
        <v>0</v>
      </c>
      <c r="BT1091">
        <v>518</v>
      </c>
      <c r="BU1091">
        <v>0</v>
      </c>
      <c r="BV1091">
        <v>0</v>
      </c>
      <c r="BW1091">
        <v>0</v>
      </c>
      <c r="BX1091">
        <v>0</v>
      </c>
      <c r="BY1091">
        <v>0</v>
      </c>
      <c r="BZ1091">
        <v>0</v>
      </c>
      <c r="CA1091">
        <v>0</v>
      </c>
      <c r="CB1091">
        <v>0</v>
      </c>
      <c r="CC1091">
        <v>0</v>
      </c>
      <c r="CD1091">
        <v>0</v>
      </c>
      <c r="CE109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91" s="19">
        <f>SUM(Table1[[#This Row],[Mid39]],Table1[[#This Row],[Mid36]],Table1[[#This Row],[Mid33]],Table1[[#This Row],[Mid30]],Table1[[#This Row],[Mid27]],Table1[[#This Row],[Mid24]],Table1[[#This Row],[Mid21]],Table1[[#This Row],[Mid18]],Table1[[#This Row],[Mid15]],Table1[[#This Row],[Mid12]],Table1[[#This Row],[Mid9]],Table1[[#This Row],[Mid6]],Table1[[#This Row],[Mid3]],Table1[[#This Row],[Mid]])</f>
        <v>518</v>
      </c>
      <c r="CG109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91" t="s">
        <v>157</v>
      </c>
      <c r="CI1091" t="s">
        <v>134</v>
      </c>
      <c r="CJ1091" t="s">
        <v>158</v>
      </c>
      <c r="CL1091" s="19">
        <f>IF(Table1[[#This Row],[Type]]="Petroleum",1,IF(ISERROR(Table1[[#This Row],[Well Density]]*Table1[[#This Row],[Single Well Discovery Area]]),"",IF(Table1[[#This Row],[Well Density]]*Table1[[#This Row],[Single Well Discovery Area]]&gt;1,1,Table1[[#This Row],[Well Density]]*Table1[[#This Row],[Single Well Discovery Area]])))</f>
        <v>0</v>
      </c>
      <c r="CN1091" s="19">
        <f>Table1[[#This Row],[Mid]]</f>
        <v>0</v>
      </c>
      <c r="CO1091" s="19">
        <f>Table1[[#This Row],[Mid3]]+Table1[[#This Row],[Mid6]]+Table1[[#This Row],[Mid9]]</f>
        <v>0</v>
      </c>
      <c r="CP1091" s="19">
        <f>Table1[[#This Row],[Mid12]]+Table1[[#This Row],[Mid15]]+Table1[[#This Row],[Mid18]]+Table1[[#This Row],[Mid21]]+Table1[[#This Row],[Mid24]]</f>
        <v>0</v>
      </c>
      <c r="CQ1091" s="19">
        <f>Table1[[#This Row],[Mid27]]+Table1[[#This Row],[Mid30]]+Table1[[#This Row],[Mid33]]+Table1[[#This Row],[Mid36]]+Table1[[#This Row],[Mid39]]</f>
        <v>518</v>
      </c>
      <c r="CR1091" t="s">
        <v>415</v>
      </c>
      <c r="CS1091" s="19" t="str">
        <f>IF(AND(Table1[[#This Row],[Low41]]=0, Table1[[#This Row],[High43]]=0),"N","Y")</f>
        <v>N</v>
      </c>
    </row>
    <row r="1092" spans="1:97" ht="19.5" customHeight="1" x14ac:dyDescent="0.25">
      <c r="A1092">
        <v>11091</v>
      </c>
      <c r="B1092" t="s">
        <v>3315</v>
      </c>
      <c r="C1092" t="s">
        <v>3316</v>
      </c>
      <c r="D1092">
        <v>53.654444439999999</v>
      </c>
      <c r="E1092">
        <v>14.509444439999999</v>
      </c>
      <c r="F1092" t="s">
        <v>3363</v>
      </c>
      <c r="G1092" t="s">
        <v>3318</v>
      </c>
      <c r="H1092" t="s">
        <v>3319</v>
      </c>
      <c r="I1092" t="s">
        <v>118</v>
      </c>
      <c r="J1092" t="s">
        <v>119</v>
      </c>
      <c r="K1092" t="s">
        <v>203</v>
      </c>
      <c r="L1092" t="s">
        <v>147</v>
      </c>
      <c r="M1092" t="s">
        <v>338</v>
      </c>
      <c r="N1092" s="6" t="s">
        <v>3364</v>
      </c>
      <c r="O1092" t="s">
        <v>3331</v>
      </c>
      <c r="P1092" t="s">
        <v>1150</v>
      </c>
      <c r="Q1092" t="s">
        <v>255</v>
      </c>
      <c r="R1092" t="s">
        <v>3339</v>
      </c>
      <c r="S1092">
        <v>2009</v>
      </c>
      <c r="T1092" t="s">
        <v>771</v>
      </c>
      <c r="U1092" t="s">
        <v>3322</v>
      </c>
      <c r="V1092">
        <v>137</v>
      </c>
      <c r="W1092">
        <v>810</v>
      </c>
      <c r="X1092">
        <v>54</v>
      </c>
      <c r="Z1092">
        <v>20</v>
      </c>
      <c r="AA1092">
        <v>700</v>
      </c>
      <c r="AB1092">
        <v>100000</v>
      </c>
      <c r="AD1092">
        <v>3</v>
      </c>
      <c r="AE1092">
        <v>2.189781E-2</v>
      </c>
      <c r="AF1092">
        <v>200</v>
      </c>
      <c r="AG1092">
        <v>8.1</v>
      </c>
      <c r="AH1092" t="s">
        <v>2259</v>
      </c>
      <c r="AI1092">
        <v>20</v>
      </c>
      <c r="AJ1092">
        <v>0</v>
      </c>
      <c r="AK1092">
        <v>0</v>
      </c>
      <c r="AL1092">
        <v>0</v>
      </c>
      <c r="AM1092" t="s">
        <v>3167</v>
      </c>
      <c r="AN1092" t="s">
        <v>132</v>
      </c>
      <c r="AQ1092">
        <v>0</v>
      </c>
      <c r="AR1092">
        <v>0</v>
      </c>
      <c r="AS1092">
        <v>0</v>
      </c>
      <c r="AT1092">
        <v>0</v>
      </c>
      <c r="AU1092">
        <v>0</v>
      </c>
      <c r="AV1092">
        <v>0</v>
      </c>
      <c r="AW1092">
        <v>0</v>
      </c>
      <c r="AX1092">
        <v>0</v>
      </c>
      <c r="AY1092">
        <v>0</v>
      </c>
      <c r="AZ1092">
        <v>0</v>
      </c>
      <c r="BA1092">
        <v>0</v>
      </c>
      <c r="BB1092">
        <v>0</v>
      </c>
      <c r="BC1092">
        <v>0</v>
      </c>
      <c r="BD1092">
        <v>0</v>
      </c>
      <c r="BE1092">
        <v>0</v>
      </c>
      <c r="BF1092">
        <v>0</v>
      </c>
      <c r="BG1092">
        <v>0</v>
      </c>
      <c r="BH1092">
        <v>0</v>
      </c>
      <c r="BI1092">
        <v>0</v>
      </c>
      <c r="BJ1092">
        <v>0</v>
      </c>
      <c r="BK1092">
        <v>0</v>
      </c>
      <c r="BL1092">
        <v>0</v>
      </c>
      <c r="BM1092">
        <v>0</v>
      </c>
      <c r="BN1092">
        <v>175.5</v>
      </c>
      <c r="BO1092">
        <v>0</v>
      </c>
      <c r="BP1092">
        <v>0</v>
      </c>
      <c r="BQ1092">
        <v>0</v>
      </c>
      <c r="BR1092">
        <v>0</v>
      </c>
      <c r="BS1092">
        <v>0</v>
      </c>
      <c r="BT1092">
        <v>0</v>
      </c>
      <c r="BU1092">
        <v>0</v>
      </c>
      <c r="BV1092">
        <v>0</v>
      </c>
      <c r="BW1092">
        <v>0</v>
      </c>
      <c r="BX1092">
        <v>0</v>
      </c>
      <c r="BY1092">
        <v>0</v>
      </c>
      <c r="BZ1092">
        <v>0</v>
      </c>
      <c r="CA1092">
        <v>0</v>
      </c>
      <c r="CB1092">
        <v>0</v>
      </c>
      <c r="CC1092">
        <v>0</v>
      </c>
      <c r="CD1092">
        <v>0</v>
      </c>
      <c r="CE109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92" s="19">
        <f>SUM(Table1[[#This Row],[Mid39]],Table1[[#This Row],[Mid36]],Table1[[#This Row],[Mid33]],Table1[[#This Row],[Mid30]],Table1[[#This Row],[Mid27]],Table1[[#This Row],[Mid24]],Table1[[#This Row],[Mid21]],Table1[[#This Row],[Mid18]],Table1[[#This Row],[Mid15]],Table1[[#This Row],[Mid12]],Table1[[#This Row],[Mid9]],Table1[[#This Row],[Mid6]],Table1[[#This Row],[Mid3]],Table1[[#This Row],[Mid]])</f>
        <v>175.5</v>
      </c>
      <c r="CG109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92" t="s">
        <v>157</v>
      </c>
      <c r="CI1092" t="s">
        <v>134</v>
      </c>
      <c r="CJ1092" t="s">
        <v>158</v>
      </c>
      <c r="CL1092" s="19">
        <f>IF(Table1[[#This Row],[Type]]="Petroleum",1,IF(ISERROR(Table1[[#This Row],[Well Density]]*Table1[[#This Row],[Single Well Discovery Area]]),"",IF(Table1[[#This Row],[Well Density]]*Table1[[#This Row],[Single Well Discovery Area]]&gt;1,1,Table1[[#This Row],[Well Density]]*Table1[[#This Row],[Single Well Discovery Area]])))</f>
        <v>1</v>
      </c>
      <c r="CN1092" s="19">
        <f>Table1[[#This Row],[Mid]]</f>
        <v>0</v>
      </c>
      <c r="CO1092" s="19">
        <f>Table1[[#This Row],[Mid3]]+Table1[[#This Row],[Mid6]]+Table1[[#This Row],[Mid9]]</f>
        <v>0</v>
      </c>
      <c r="CP1092" s="19">
        <f>Table1[[#This Row],[Mid12]]+Table1[[#This Row],[Mid15]]+Table1[[#This Row],[Mid18]]+Table1[[#This Row],[Mid21]]+Table1[[#This Row],[Mid24]]</f>
        <v>175.5</v>
      </c>
      <c r="CQ1092" s="19">
        <f>Table1[[#This Row],[Mid27]]+Table1[[#This Row],[Mid30]]+Table1[[#This Row],[Mid33]]+Table1[[#This Row],[Mid36]]+Table1[[#This Row],[Mid39]]</f>
        <v>0</v>
      </c>
      <c r="CR1092" t="s">
        <v>415</v>
      </c>
      <c r="CS1092" s="19" t="str">
        <f>IF(AND(Table1[[#This Row],[Low41]]=0, Table1[[#This Row],[High43]]=0),"N","Y")</f>
        <v>N</v>
      </c>
    </row>
    <row r="1093" spans="1:97" ht="19.5" customHeight="1" x14ac:dyDescent="0.25">
      <c r="A1093">
        <v>11092</v>
      </c>
      <c r="B1093" t="s">
        <v>3315</v>
      </c>
      <c r="C1093" t="s">
        <v>3316</v>
      </c>
      <c r="D1093">
        <v>53.010833329999997</v>
      </c>
      <c r="E1093">
        <v>17.722777780000001</v>
      </c>
      <c r="F1093" t="s">
        <v>3365</v>
      </c>
      <c r="G1093" t="s">
        <v>3318</v>
      </c>
      <c r="H1093" t="s">
        <v>3351</v>
      </c>
      <c r="I1093" t="s">
        <v>118</v>
      </c>
      <c r="J1093" t="s">
        <v>119</v>
      </c>
      <c r="K1093" t="s">
        <v>203</v>
      </c>
      <c r="L1093" t="s">
        <v>147</v>
      </c>
      <c r="M1093" t="s">
        <v>2710</v>
      </c>
      <c r="N1093" s="6" t="s">
        <v>3366</v>
      </c>
      <c r="O1093" t="s">
        <v>3331</v>
      </c>
      <c r="P1093" t="s">
        <v>1150</v>
      </c>
      <c r="Q1093" t="s">
        <v>255</v>
      </c>
      <c r="R1093" t="s">
        <v>3339</v>
      </c>
      <c r="S1093">
        <v>2009</v>
      </c>
      <c r="T1093" t="s">
        <v>771</v>
      </c>
      <c r="U1093" t="s">
        <v>3322</v>
      </c>
      <c r="V1093"/>
      <c r="AD1093">
        <v>3</v>
      </c>
      <c r="AF1093">
        <v>200</v>
      </c>
      <c r="AH1093" t="s">
        <v>2259</v>
      </c>
      <c r="AJ1093">
        <v>0</v>
      </c>
      <c r="AK1093">
        <v>0</v>
      </c>
      <c r="AL1093">
        <v>0</v>
      </c>
      <c r="AM1093" t="s">
        <v>3167</v>
      </c>
      <c r="AN1093" t="s">
        <v>132</v>
      </c>
      <c r="AQ1093">
        <v>0</v>
      </c>
      <c r="AR1093">
        <v>0</v>
      </c>
      <c r="AS1093">
        <v>0</v>
      </c>
      <c r="AT1093">
        <v>0</v>
      </c>
      <c r="AU1093">
        <v>0</v>
      </c>
      <c r="AV1093">
        <v>0</v>
      </c>
      <c r="AW1093">
        <v>0</v>
      </c>
      <c r="AX1093">
        <v>0</v>
      </c>
      <c r="AY1093">
        <v>0</v>
      </c>
      <c r="AZ1093">
        <v>0</v>
      </c>
      <c r="BA1093">
        <v>0</v>
      </c>
      <c r="BB1093">
        <v>0</v>
      </c>
      <c r="BC1093">
        <v>0</v>
      </c>
      <c r="BD1093">
        <v>0</v>
      </c>
      <c r="BE1093">
        <v>0</v>
      </c>
      <c r="BF1093">
        <v>0</v>
      </c>
      <c r="BG1093">
        <v>0</v>
      </c>
      <c r="BH1093">
        <v>0</v>
      </c>
      <c r="BI1093">
        <v>0</v>
      </c>
      <c r="BJ1093">
        <v>0</v>
      </c>
      <c r="BK1093">
        <v>0</v>
      </c>
      <c r="BL1093">
        <v>0</v>
      </c>
      <c r="BM1093">
        <v>0</v>
      </c>
      <c r="BN1093">
        <v>0</v>
      </c>
      <c r="BO1093">
        <v>0</v>
      </c>
      <c r="BP1093">
        <v>0</v>
      </c>
      <c r="BQ1093">
        <v>0</v>
      </c>
      <c r="BR1093">
        <v>0</v>
      </c>
      <c r="BS1093">
        <v>0</v>
      </c>
      <c r="BT1093">
        <v>376</v>
      </c>
      <c r="BU1093">
        <v>0</v>
      </c>
      <c r="BV1093">
        <v>0</v>
      </c>
      <c r="BW1093">
        <v>0</v>
      </c>
      <c r="BX1093">
        <v>0</v>
      </c>
      <c r="BY1093">
        <v>0</v>
      </c>
      <c r="BZ1093">
        <v>0</v>
      </c>
      <c r="CA1093">
        <v>0</v>
      </c>
      <c r="CB1093">
        <v>0</v>
      </c>
      <c r="CC1093">
        <v>0</v>
      </c>
      <c r="CD1093">
        <v>0</v>
      </c>
      <c r="CE109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93" s="19">
        <f>SUM(Table1[[#This Row],[Mid39]],Table1[[#This Row],[Mid36]],Table1[[#This Row],[Mid33]],Table1[[#This Row],[Mid30]],Table1[[#This Row],[Mid27]],Table1[[#This Row],[Mid24]],Table1[[#This Row],[Mid21]],Table1[[#This Row],[Mid18]],Table1[[#This Row],[Mid15]],Table1[[#This Row],[Mid12]],Table1[[#This Row],[Mid9]],Table1[[#This Row],[Mid6]],Table1[[#This Row],[Mid3]],Table1[[#This Row],[Mid]])</f>
        <v>376</v>
      </c>
      <c r="CG109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93" t="s">
        <v>157</v>
      </c>
      <c r="CI1093" t="s">
        <v>134</v>
      </c>
      <c r="CJ1093" t="s">
        <v>158</v>
      </c>
      <c r="CL1093" s="19">
        <f>IF(Table1[[#This Row],[Type]]="Petroleum",1,IF(ISERROR(Table1[[#This Row],[Well Density]]*Table1[[#This Row],[Single Well Discovery Area]]),"",IF(Table1[[#This Row],[Well Density]]*Table1[[#This Row],[Single Well Discovery Area]]&gt;1,1,Table1[[#This Row],[Well Density]]*Table1[[#This Row],[Single Well Discovery Area]])))</f>
        <v>0</v>
      </c>
      <c r="CN1093" s="19">
        <f>Table1[[#This Row],[Mid]]</f>
        <v>0</v>
      </c>
      <c r="CO1093" s="19">
        <f>Table1[[#This Row],[Mid3]]+Table1[[#This Row],[Mid6]]+Table1[[#This Row],[Mid9]]</f>
        <v>0</v>
      </c>
      <c r="CP1093" s="19">
        <f>Table1[[#This Row],[Mid12]]+Table1[[#This Row],[Mid15]]+Table1[[#This Row],[Mid18]]+Table1[[#This Row],[Mid21]]+Table1[[#This Row],[Mid24]]</f>
        <v>0</v>
      </c>
      <c r="CQ1093" s="19">
        <f>Table1[[#This Row],[Mid27]]+Table1[[#This Row],[Mid30]]+Table1[[#This Row],[Mid33]]+Table1[[#This Row],[Mid36]]+Table1[[#This Row],[Mid39]]</f>
        <v>376</v>
      </c>
      <c r="CR1093" t="s">
        <v>415</v>
      </c>
      <c r="CS1093" s="19" t="str">
        <f>IF(AND(Table1[[#This Row],[Low41]]=0, Table1[[#This Row],[High43]]=0),"N","Y")</f>
        <v>N</v>
      </c>
    </row>
    <row r="1094" spans="1:97" ht="19.5" customHeight="1" x14ac:dyDescent="0.25">
      <c r="A1094">
        <v>11093</v>
      </c>
      <c r="B1094" t="s">
        <v>3315</v>
      </c>
      <c r="C1094" t="s">
        <v>3316</v>
      </c>
      <c r="D1094">
        <v>51.447777780000003</v>
      </c>
      <c r="E1094">
        <v>18.771666669999998</v>
      </c>
      <c r="F1094" t="s">
        <v>3367</v>
      </c>
      <c r="G1094" t="s">
        <v>3318</v>
      </c>
      <c r="H1094" t="s">
        <v>3319</v>
      </c>
      <c r="I1094" t="s">
        <v>118</v>
      </c>
      <c r="J1094" t="s">
        <v>119</v>
      </c>
      <c r="K1094" t="s">
        <v>203</v>
      </c>
      <c r="L1094" t="s">
        <v>147</v>
      </c>
      <c r="M1094" t="s">
        <v>338</v>
      </c>
      <c r="N1094" s="6" t="s">
        <v>3368</v>
      </c>
      <c r="O1094" t="s">
        <v>3331</v>
      </c>
      <c r="P1094" t="s">
        <v>1150</v>
      </c>
      <c r="Q1094" t="s">
        <v>255</v>
      </c>
      <c r="R1094" t="s">
        <v>3339</v>
      </c>
      <c r="S1094">
        <v>2009</v>
      </c>
      <c r="T1094" t="s">
        <v>771</v>
      </c>
      <c r="U1094" t="s">
        <v>3322</v>
      </c>
      <c r="V1094">
        <v>21</v>
      </c>
      <c r="W1094">
        <v>1112</v>
      </c>
      <c r="X1094">
        <v>300</v>
      </c>
      <c r="Z1094">
        <v>20</v>
      </c>
      <c r="AA1094">
        <v>150</v>
      </c>
      <c r="AB1094">
        <v>127000</v>
      </c>
      <c r="AD1094">
        <v>5</v>
      </c>
      <c r="AE1094">
        <v>0.23809523799999999</v>
      </c>
      <c r="AF1094">
        <v>200</v>
      </c>
      <c r="AG1094">
        <v>11</v>
      </c>
      <c r="AH1094" t="s">
        <v>2259</v>
      </c>
      <c r="AI1094">
        <v>15</v>
      </c>
      <c r="AJ1094">
        <v>0</v>
      </c>
      <c r="AK1094">
        <v>0</v>
      </c>
      <c r="AL1094">
        <v>0</v>
      </c>
      <c r="AM1094" t="s">
        <v>3167</v>
      </c>
      <c r="AN1094" t="s">
        <v>132</v>
      </c>
      <c r="AQ1094">
        <v>0</v>
      </c>
      <c r="AR1094">
        <v>0</v>
      </c>
      <c r="AS1094">
        <v>0</v>
      </c>
      <c r="AT1094">
        <v>0</v>
      </c>
      <c r="AU1094">
        <v>0</v>
      </c>
      <c r="AV1094">
        <v>0</v>
      </c>
      <c r="AW1094">
        <v>0</v>
      </c>
      <c r="AX1094">
        <v>0</v>
      </c>
      <c r="AY1094">
        <v>0</v>
      </c>
      <c r="AZ1094">
        <v>0</v>
      </c>
      <c r="BA1094">
        <v>0</v>
      </c>
      <c r="BB1094">
        <v>0</v>
      </c>
      <c r="BC1094">
        <v>0</v>
      </c>
      <c r="BD1094">
        <v>0</v>
      </c>
      <c r="BE1094">
        <v>0</v>
      </c>
      <c r="BF1094">
        <v>0</v>
      </c>
      <c r="BG1094">
        <v>0</v>
      </c>
      <c r="BH1094">
        <v>0</v>
      </c>
      <c r="BI1094">
        <v>0</v>
      </c>
      <c r="BJ1094">
        <v>0</v>
      </c>
      <c r="BK1094">
        <v>0</v>
      </c>
      <c r="BL1094">
        <v>0</v>
      </c>
      <c r="BM1094">
        <v>0</v>
      </c>
      <c r="BN1094">
        <v>115</v>
      </c>
      <c r="BO1094">
        <v>0</v>
      </c>
      <c r="BP1094">
        <v>0</v>
      </c>
      <c r="BQ1094">
        <v>0</v>
      </c>
      <c r="BR1094">
        <v>0</v>
      </c>
      <c r="BS1094">
        <v>0</v>
      </c>
      <c r="BT1094">
        <v>0</v>
      </c>
      <c r="BU1094">
        <v>0</v>
      </c>
      <c r="BV1094">
        <v>0</v>
      </c>
      <c r="BW1094">
        <v>0</v>
      </c>
      <c r="BX1094">
        <v>0</v>
      </c>
      <c r="BY1094">
        <v>0</v>
      </c>
      <c r="BZ1094">
        <v>0</v>
      </c>
      <c r="CA1094">
        <v>0</v>
      </c>
      <c r="CB1094">
        <v>0</v>
      </c>
      <c r="CC1094">
        <v>0</v>
      </c>
      <c r="CD1094">
        <v>0</v>
      </c>
      <c r="CE109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94" s="19">
        <f>SUM(Table1[[#This Row],[Mid39]],Table1[[#This Row],[Mid36]],Table1[[#This Row],[Mid33]],Table1[[#This Row],[Mid30]],Table1[[#This Row],[Mid27]],Table1[[#This Row],[Mid24]],Table1[[#This Row],[Mid21]],Table1[[#This Row],[Mid18]],Table1[[#This Row],[Mid15]],Table1[[#This Row],[Mid12]],Table1[[#This Row],[Mid9]],Table1[[#This Row],[Mid6]],Table1[[#This Row],[Mid3]],Table1[[#This Row],[Mid]])</f>
        <v>115</v>
      </c>
      <c r="CG109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94" t="s">
        <v>157</v>
      </c>
      <c r="CI1094" t="s">
        <v>134</v>
      </c>
      <c r="CJ1094" t="s">
        <v>158</v>
      </c>
      <c r="CL1094" s="19">
        <f>IF(Table1[[#This Row],[Type]]="Petroleum",1,IF(ISERROR(Table1[[#This Row],[Well Density]]*Table1[[#This Row],[Single Well Discovery Area]]),"",IF(Table1[[#This Row],[Well Density]]*Table1[[#This Row],[Single Well Discovery Area]]&gt;1,1,Table1[[#This Row],[Well Density]]*Table1[[#This Row],[Single Well Discovery Area]])))</f>
        <v>1</v>
      </c>
      <c r="CN1094" s="19">
        <f>Table1[[#This Row],[Mid]]</f>
        <v>0</v>
      </c>
      <c r="CO1094" s="19">
        <f>Table1[[#This Row],[Mid3]]+Table1[[#This Row],[Mid6]]+Table1[[#This Row],[Mid9]]</f>
        <v>0</v>
      </c>
      <c r="CP1094" s="19">
        <f>Table1[[#This Row],[Mid12]]+Table1[[#This Row],[Mid15]]+Table1[[#This Row],[Mid18]]+Table1[[#This Row],[Mid21]]+Table1[[#This Row],[Mid24]]</f>
        <v>115</v>
      </c>
      <c r="CQ1094" s="19">
        <f>Table1[[#This Row],[Mid27]]+Table1[[#This Row],[Mid30]]+Table1[[#This Row],[Mid33]]+Table1[[#This Row],[Mid36]]+Table1[[#This Row],[Mid39]]</f>
        <v>0</v>
      </c>
      <c r="CR1094" t="s">
        <v>415</v>
      </c>
      <c r="CS1094" s="19" t="str">
        <f>IF(AND(Table1[[#This Row],[Low41]]=0, Table1[[#This Row],[High43]]=0),"N","Y")</f>
        <v>N</v>
      </c>
    </row>
    <row r="1095" spans="1:97" ht="19.5" customHeight="1" x14ac:dyDescent="0.25">
      <c r="A1095">
        <v>11094</v>
      </c>
      <c r="B1095" t="s">
        <v>3315</v>
      </c>
      <c r="C1095" t="s">
        <v>3316</v>
      </c>
      <c r="D1095">
        <v>52.446111109999997</v>
      </c>
      <c r="E1095">
        <v>17.051111110000001</v>
      </c>
      <c r="F1095" t="s">
        <v>3369</v>
      </c>
      <c r="G1095" t="s">
        <v>3318</v>
      </c>
      <c r="H1095" t="s">
        <v>3351</v>
      </c>
      <c r="I1095" t="s">
        <v>118</v>
      </c>
      <c r="J1095" t="s">
        <v>119</v>
      </c>
      <c r="K1095" t="s">
        <v>203</v>
      </c>
      <c r="L1095" t="s">
        <v>147</v>
      </c>
      <c r="M1095" t="s">
        <v>2710</v>
      </c>
      <c r="N1095" s="6" t="s">
        <v>3370</v>
      </c>
      <c r="O1095" t="s">
        <v>3331</v>
      </c>
      <c r="P1095" t="s">
        <v>1150</v>
      </c>
      <c r="Q1095" t="s">
        <v>255</v>
      </c>
      <c r="R1095" t="s">
        <v>3339</v>
      </c>
      <c r="S1095">
        <v>2009</v>
      </c>
      <c r="T1095" t="s">
        <v>771</v>
      </c>
      <c r="U1095" t="s">
        <v>3322</v>
      </c>
      <c r="V1095"/>
      <c r="AD1095">
        <v>3</v>
      </c>
      <c r="AF1095">
        <v>200</v>
      </c>
      <c r="AH1095" t="s">
        <v>2259</v>
      </c>
      <c r="AK1095">
        <v>0</v>
      </c>
      <c r="AL1095">
        <v>0</v>
      </c>
      <c r="AM1095" t="s">
        <v>3167</v>
      </c>
      <c r="AN1095" t="s">
        <v>132</v>
      </c>
      <c r="AQ1095">
        <v>0</v>
      </c>
      <c r="AR1095">
        <v>0</v>
      </c>
      <c r="AS1095">
        <v>0</v>
      </c>
      <c r="AT1095">
        <v>0</v>
      </c>
      <c r="AU1095">
        <v>0</v>
      </c>
      <c r="AV1095">
        <v>0</v>
      </c>
      <c r="AW1095">
        <v>0</v>
      </c>
      <c r="AX1095">
        <v>0</v>
      </c>
      <c r="AY1095">
        <v>0</v>
      </c>
      <c r="AZ1095">
        <v>0</v>
      </c>
      <c r="BA1095">
        <v>0</v>
      </c>
      <c r="BB1095">
        <v>0</v>
      </c>
      <c r="BC1095">
        <v>0</v>
      </c>
      <c r="BD1095">
        <v>0</v>
      </c>
      <c r="BE1095">
        <v>0</v>
      </c>
      <c r="BF1095">
        <v>0</v>
      </c>
      <c r="BG1095">
        <v>0</v>
      </c>
      <c r="BH1095">
        <v>0</v>
      </c>
      <c r="BI1095">
        <v>0</v>
      </c>
      <c r="BJ1095">
        <v>0</v>
      </c>
      <c r="BK1095">
        <v>0</v>
      </c>
      <c r="BL1095">
        <v>0</v>
      </c>
      <c r="BM1095">
        <v>0</v>
      </c>
      <c r="BO1095">
        <v>0</v>
      </c>
      <c r="BP1095">
        <v>0</v>
      </c>
      <c r="BQ1095">
        <v>0</v>
      </c>
      <c r="BR1095">
        <v>0</v>
      </c>
      <c r="BS1095">
        <v>0</v>
      </c>
      <c r="BT1095">
        <v>143</v>
      </c>
      <c r="BU1095">
        <v>0</v>
      </c>
      <c r="BV1095">
        <v>0</v>
      </c>
      <c r="BW1095">
        <v>0</v>
      </c>
      <c r="BX1095">
        <v>0</v>
      </c>
      <c r="BY1095">
        <v>0</v>
      </c>
      <c r="BZ1095">
        <v>0</v>
      </c>
      <c r="CA1095">
        <v>0</v>
      </c>
      <c r="CB1095">
        <v>0</v>
      </c>
      <c r="CC1095">
        <v>0</v>
      </c>
      <c r="CD1095">
        <v>0</v>
      </c>
      <c r="CE109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95" s="19">
        <f>SUM(Table1[[#This Row],[Mid39]],Table1[[#This Row],[Mid36]],Table1[[#This Row],[Mid33]],Table1[[#This Row],[Mid30]],Table1[[#This Row],[Mid27]],Table1[[#This Row],[Mid24]],Table1[[#This Row],[Mid21]],Table1[[#This Row],[Mid18]],Table1[[#This Row],[Mid15]],Table1[[#This Row],[Mid12]],Table1[[#This Row],[Mid9]],Table1[[#This Row],[Mid6]],Table1[[#This Row],[Mid3]],Table1[[#This Row],[Mid]])</f>
        <v>143</v>
      </c>
      <c r="CG109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95" t="s">
        <v>157</v>
      </c>
      <c r="CI1095" t="s">
        <v>134</v>
      </c>
      <c r="CJ1095" t="s">
        <v>158</v>
      </c>
      <c r="CL1095" s="19">
        <f>IF(Table1[[#This Row],[Type]]="Petroleum",1,IF(ISERROR(Table1[[#This Row],[Well Density]]*Table1[[#This Row],[Single Well Discovery Area]]),"",IF(Table1[[#This Row],[Well Density]]*Table1[[#This Row],[Single Well Discovery Area]]&gt;1,1,Table1[[#This Row],[Well Density]]*Table1[[#This Row],[Single Well Discovery Area]])))</f>
        <v>0</v>
      </c>
      <c r="CN1095" s="19">
        <f>Table1[[#This Row],[Mid]]</f>
        <v>0</v>
      </c>
      <c r="CO1095" s="19">
        <f>Table1[[#This Row],[Mid3]]+Table1[[#This Row],[Mid6]]+Table1[[#This Row],[Mid9]]</f>
        <v>0</v>
      </c>
      <c r="CP1095" s="19">
        <f>Table1[[#This Row],[Mid12]]+Table1[[#This Row],[Mid15]]+Table1[[#This Row],[Mid18]]+Table1[[#This Row],[Mid21]]+Table1[[#This Row],[Mid24]]</f>
        <v>0</v>
      </c>
      <c r="CQ1095" s="19">
        <f>Table1[[#This Row],[Mid27]]+Table1[[#This Row],[Mid30]]+Table1[[#This Row],[Mid33]]+Table1[[#This Row],[Mid36]]+Table1[[#This Row],[Mid39]]</f>
        <v>143</v>
      </c>
      <c r="CR1095" t="s">
        <v>415</v>
      </c>
      <c r="CS1095" s="19" t="str">
        <f>IF(AND(Table1[[#This Row],[Low41]]=0, Table1[[#This Row],[High43]]=0),"N","Y")</f>
        <v>N</v>
      </c>
    </row>
    <row r="1096" spans="1:97" ht="19.5" customHeight="1" x14ac:dyDescent="0.25">
      <c r="A1096">
        <v>11095</v>
      </c>
      <c r="B1096" t="s">
        <v>3315</v>
      </c>
      <c r="C1096" t="s">
        <v>3316</v>
      </c>
      <c r="D1096">
        <v>52.418999999999997</v>
      </c>
      <c r="E1096">
        <v>19.17777778</v>
      </c>
      <c r="F1096" t="s">
        <v>3371</v>
      </c>
      <c r="G1096" t="s">
        <v>3318</v>
      </c>
      <c r="H1096" t="s">
        <v>3319</v>
      </c>
      <c r="I1096" t="s">
        <v>118</v>
      </c>
      <c r="J1096" t="s">
        <v>119</v>
      </c>
      <c r="K1096" t="s">
        <v>120</v>
      </c>
      <c r="L1096" t="s">
        <v>18</v>
      </c>
      <c r="M1096" t="s">
        <v>338</v>
      </c>
      <c r="N1096" s="6" t="s">
        <v>3325</v>
      </c>
      <c r="O1096" t="s">
        <v>3331</v>
      </c>
      <c r="P1096" t="s">
        <v>1150</v>
      </c>
      <c r="Q1096" t="s">
        <v>255</v>
      </c>
      <c r="R1096" t="s">
        <v>3339</v>
      </c>
      <c r="S1096">
        <v>2009</v>
      </c>
      <c r="T1096" t="s">
        <v>771</v>
      </c>
      <c r="U1096" t="s">
        <v>3322</v>
      </c>
      <c r="V1096">
        <v>36000</v>
      </c>
      <c r="W1096">
        <v>2000</v>
      </c>
      <c r="X1096">
        <v>500</v>
      </c>
      <c r="Y1096">
        <v>0</v>
      </c>
      <c r="Z1096">
        <v>20</v>
      </c>
      <c r="AA1096">
        <v>800</v>
      </c>
      <c r="AB1096">
        <v>170000</v>
      </c>
      <c r="AC1096">
        <v>0</v>
      </c>
      <c r="AD1096">
        <v>700</v>
      </c>
      <c r="AE1096">
        <v>1.9444444000000002E-2</v>
      </c>
      <c r="AF1096">
        <v>200</v>
      </c>
      <c r="AG1096">
        <v>21.9</v>
      </c>
      <c r="AH1096" t="s">
        <v>2259</v>
      </c>
      <c r="AI1096">
        <v>20</v>
      </c>
      <c r="AJ1096">
        <v>0</v>
      </c>
      <c r="AK1096">
        <v>0</v>
      </c>
      <c r="AL1096">
        <v>0</v>
      </c>
      <c r="AM1096" t="s">
        <v>3167</v>
      </c>
      <c r="AN1096" t="s">
        <v>132</v>
      </c>
      <c r="AO1096">
        <v>0</v>
      </c>
      <c r="AP1096">
        <v>0</v>
      </c>
      <c r="AQ1096">
        <v>0</v>
      </c>
      <c r="AR1096">
        <v>0</v>
      </c>
      <c r="AS1096">
        <v>0</v>
      </c>
      <c r="AT1096">
        <v>0</v>
      </c>
      <c r="AU1096">
        <v>0</v>
      </c>
      <c r="AV1096">
        <v>0</v>
      </c>
      <c r="AW1096">
        <v>0</v>
      </c>
      <c r="AX1096">
        <v>0</v>
      </c>
      <c r="AY1096">
        <v>0</v>
      </c>
      <c r="AZ1096">
        <v>0</v>
      </c>
      <c r="BA1096">
        <v>0</v>
      </c>
      <c r="BB1096">
        <v>0</v>
      </c>
      <c r="BC1096">
        <v>0</v>
      </c>
      <c r="BD1096">
        <v>0</v>
      </c>
      <c r="BE1096">
        <v>0</v>
      </c>
      <c r="BF1096">
        <v>0</v>
      </c>
      <c r="BG1096">
        <v>0</v>
      </c>
      <c r="BH1096">
        <v>0</v>
      </c>
      <c r="BI1096">
        <v>0</v>
      </c>
      <c r="BJ1096">
        <v>0</v>
      </c>
      <c r="BK1096">
        <v>0</v>
      </c>
      <c r="BL1096">
        <v>0</v>
      </c>
      <c r="BM1096">
        <v>0</v>
      </c>
      <c r="BN1096">
        <v>0</v>
      </c>
      <c r="BO1096">
        <v>0</v>
      </c>
      <c r="BP1096">
        <v>0</v>
      </c>
      <c r="BQ1096">
        <v>0</v>
      </c>
      <c r="BR1096">
        <v>0</v>
      </c>
      <c r="BS1096">
        <v>0</v>
      </c>
      <c r="BT1096">
        <v>0</v>
      </c>
      <c r="BU1096">
        <v>0</v>
      </c>
      <c r="BV1096">
        <v>0</v>
      </c>
      <c r="BW1096">
        <v>43825</v>
      </c>
      <c r="BX1096">
        <v>0</v>
      </c>
      <c r="BY1096">
        <v>0</v>
      </c>
      <c r="CB1096">
        <v>0</v>
      </c>
      <c r="CC1096">
        <v>0</v>
      </c>
      <c r="CD1096">
        <v>0</v>
      </c>
      <c r="CE109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96" s="19">
        <f>SUM(Table1[[#This Row],[Mid39]],Table1[[#This Row],[Mid36]],Table1[[#This Row],[Mid33]],Table1[[#This Row],[Mid30]],Table1[[#This Row],[Mid27]],Table1[[#This Row],[Mid24]],Table1[[#This Row],[Mid21]],Table1[[#This Row],[Mid18]],Table1[[#This Row],[Mid15]],Table1[[#This Row],[Mid12]],Table1[[#This Row],[Mid9]],Table1[[#This Row],[Mid6]],Table1[[#This Row],[Mid3]],Table1[[#This Row],[Mid]])</f>
        <v>43825</v>
      </c>
      <c r="CG109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96" t="s">
        <v>157</v>
      </c>
      <c r="CI1096" t="s">
        <v>134</v>
      </c>
      <c r="CJ1096" t="s">
        <v>158</v>
      </c>
      <c r="CL1096" s="19">
        <f>IF(Table1[[#This Row],[Type]]="Petroleum",1,IF(ISERROR(Table1[[#This Row],[Well Density]]*Table1[[#This Row],[Single Well Discovery Area]]),"",IF(Table1[[#This Row],[Well Density]]*Table1[[#This Row],[Single Well Discovery Area]]&gt;1,1,Table1[[#This Row],[Well Density]]*Table1[[#This Row],[Single Well Discovery Area]])))</f>
        <v>1</v>
      </c>
      <c r="CN1096" s="19">
        <f>Table1[[#This Row],[Mid]]</f>
        <v>0</v>
      </c>
      <c r="CO1096" s="19">
        <f>Table1[[#This Row],[Mid3]]+Table1[[#This Row],[Mid6]]+Table1[[#This Row],[Mid9]]</f>
        <v>0</v>
      </c>
      <c r="CP1096" s="19">
        <f>Table1[[#This Row],[Mid12]]+Table1[[#This Row],[Mid15]]+Table1[[#This Row],[Mid18]]+Table1[[#This Row],[Mid21]]+Table1[[#This Row],[Mid24]]</f>
        <v>0</v>
      </c>
      <c r="CQ1096" s="19">
        <f>Table1[[#This Row],[Mid27]]+Table1[[#This Row],[Mid30]]+Table1[[#This Row],[Mid33]]+Table1[[#This Row],[Mid36]]+Table1[[#This Row],[Mid39]]</f>
        <v>43825</v>
      </c>
      <c r="CR1096" t="s">
        <v>415</v>
      </c>
      <c r="CS1096" s="19" t="str">
        <f>IF(AND(Table1[[#This Row],[Low41]]=0, Table1[[#This Row],[High43]]=0),"N","Y")</f>
        <v>N</v>
      </c>
    </row>
    <row r="1097" spans="1:97" ht="19.5" customHeight="1" x14ac:dyDescent="0.25">
      <c r="A1097">
        <v>11096</v>
      </c>
      <c r="B1097" t="s">
        <v>3315</v>
      </c>
      <c r="C1097" t="s">
        <v>3316</v>
      </c>
      <c r="D1097">
        <v>52.247222219999998</v>
      </c>
      <c r="E1097">
        <v>19.195555559999999</v>
      </c>
      <c r="F1097" t="s">
        <v>3372</v>
      </c>
      <c r="G1097" t="s">
        <v>3318</v>
      </c>
      <c r="H1097" t="s">
        <v>3351</v>
      </c>
      <c r="I1097" t="s">
        <v>118</v>
      </c>
      <c r="J1097" t="s">
        <v>119</v>
      </c>
      <c r="K1097" t="s">
        <v>120</v>
      </c>
      <c r="L1097" t="s">
        <v>18</v>
      </c>
      <c r="M1097" t="s">
        <v>2710</v>
      </c>
      <c r="N1097" s="6" t="s">
        <v>3325</v>
      </c>
      <c r="O1097" t="s">
        <v>3331</v>
      </c>
      <c r="P1097" t="s">
        <v>1150</v>
      </c>
      <c r="Q1097" t="s">
        <v>255</v>
      </c>
      <c r="R1097" t="s">
        <v>3339</v>
      </c>
      <c r="S1097">
        <v>2009</v>
      </c>
      <c r="T1097" t="s">
        <v>771</v>
      </c>
      <c r="U1097" t="s">
        <v>3322</v>
      </c>
      <c r="V1097">
        <v>25000</v>
      </c>
      <c r="W1097">
        <v>2500</v>
      </c>
      <c r="X1097">
        <v>30</v>
      </c>
      <c r="Y1097">
        <v>0</v>
      </c>
      <c r="Z1097">
        <v>15</v>
      </c>
      <c r="AA1097">
        <v>200</v>
      </c>
      <c r="AB1097">
        <v>200000</v>
      </c>
      <c r="AC1097">
        <v>0</v>
      </c>
      <c r="AD1097">
        <v>400</v>
      </c>
      <c r="AE1097">
        <v>1.6E-2</v>
      </c>
      <c r="AF1097">
        <v>200</v>
      </c>
      <c r="AG1097">
        <v>21.9</v>
      </c>
      <c r="AH1097" t="s">
        <v>2259</v>
      </c>
      <c r="AI1097">
        <v>20</v>
      </c>
      <c r="AJ1097">
        <v>0</v>
      </c>
      <c r="AK1097">
        <v>0</v>
      </c>
      <c r="AL1097">
        <v>0</v>
      </c>
      <c r="AM1097" t="s">
        <v>3167</v>
      </c>
      <c r="AN1097" t="s">
        <v>132</v>
      </c>
      <c r="AO1097">
        <v>0</v>
      </c>
      <c r="AP1097">
        <v>0</v>
      </c>
      <c r="AQ1097">
        <v>0</v>
      </c>
      <c r="AR1097">
        <v>0</v>
      </c>
      <c r="AS1097">
        <v>0</v>
      </c>
      <c r="AT1097">
        <v>0</v>
      </c>
      <c r="AU1097">
        <v>0</v>
      </c>
      <c r="AV1097">
        <v>0</v>
      </c>
      <c r="AW1097">
        <v>0</v>
      </c>
      <c r="AX1097">
        <v>0</v>
      </c>
      <c r="AY1097">
        <v>0</v>
      </c>
      <c r="AZ1097">
        <v>0</v>
      </c>
      <c r="BA1097">
        <v>0</v>
      </c>
      <c r="BB1097">
        <v>0</v>
      </c>
      <c r="BC1097">
        <v>0</v>
      </c>
      <c r="BD1097">
        <v>0</v>
      </c>
      <c r="BE1097">
        <v>0</v>
      </c>
      <c r="BF1097">
        <v>0</v>
      </c>
      <c r="BG1097">
        <v>0</v>
      </c>
      <c r="BH1097">
        <v>0</v>
      </c>
      <c r="BI1097">
        <v>0</v>
      </c>
      <c r="BJ1097">
        <v>0</v>
      </c>
      <c r="BK1097">
        <v>0</v>
      </c>
      <c r="BL1097">
        <v>0</v>
      </c>
      <c r="BM1097">
        <v>0</v>
      </c>
      <c r="BN1097">
        <v>0</v>
      </c>
      <c r="BO1097">
        <v>0</v>
      </c>
      <c r="BP1097">
        <v>0</v>
      </c>
      <c r="BQ1097">
        <v>0</v>
      </c>
      <c r="BR1097">
        <v>0</v>
      </c>
      <c r="BS1097">
        <v>0</v>
      </c>
      <c r="BT1097">
        <v>0</v>
      </c>
      <c r="BU1097">
        <v>0</v>
      </c>
      <c r="BV1097">
        <v>0</v>
      </c>
      <c r="BW1097">
        <v>26494</v>
      </c>
      <c r="BX1097">
        <v>0</v>
      </c>
      <c r="BY1097">
        <v>0</v>
      </c>
      <c r="CB1097">
        <v>0</v>
      </c>
      <c r="CC1097">
        <v>0</v>
      </c>
      <c r="CD1097">
        <v>0</v>
      </c>
      <c r="CE109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097" s="19">
        <f>SUM(Table1[[#This Row],[Mid39]],Table1[[#This Row],[Mid36]],Table1[[#This Row],[Mid33]],Table1[[#This Row],[Mid30]],Table1[[#This Row],[Mid27]],Table1[[#This Row],[Mid24]],Table1[[#This Row],[Mid21]],Table1[[#This Row],[Mid18]],Table1[[#This Row],[Mid15]],Table1[[#This Row],[Mid12]],Table1[[#This Row],[Mid9]],Table1[[#This Row],[Mid6]],Table1[[#This Row],[Mid3]],Table1[[#This Row],[Mid]])</f>
        <v>26494</v>
      </c>
      <c r="CG109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097" t="s">
        <v>157</v>
      </c>
      <c r="CI1097" t="s">
        <v>134</v>
      </c>
      <c r="CJ1097" t="s">
        <v>158</v>
      </c>
      <c r="CL1097" s="19">
        <f>IF(Table1[[#This Row],[Type]]="Petroleum",1,IF(ISERROR(Table1[[#This Row],[Well Density]]*Table1[[#This Row],[Single Well Discovery Area]]),"",IF(Table1[[#This Row],[Well Density]]*Table1[[#This Row],[Single Well Discovery Area]]&gt;1,1,Table1[[#This Row],[Well Density]]*Table1[[#This Row],[Single Well Discovery Area]])))</f>
        <v>1</v>
      </c>
      <c r="CN1097" s="19">
        <f>Table1[[#This Row],[Mid]]</f>
        <v>0</v>
      </c>
      <c r="CO1097" s="19">
        <f>Table1[[#This Row],[Mid3]]+Table1[[#This Row],[Mid6]]+Table1[[#This Row],[Mid9]]</f>
        <v>0</v>
      </c>
      <c r="CP1097" s="19">
        <f>Table1[[#This Row],[Mid12]]+Table1[[#This Row],[Mid15]]+Table1[[#This Row],[Mid18]]+Table1[[#This Row],[Mid21]]+Table1[[#This Row],[Mid24]]</f>
        <v>0</v>
      </c>
      <c r="CQ1097" s="19">
        <f>Table1[[#This Row],[Mid27]]+Table1[[#This Row],[Mid30]]+Table1[[#This Row],[Mid33]]+Table1[[#This Row],[Mid36]]+Table1[[#This Row],[Mid39]]</f>
        <v>26494</v>
      </c>
      <c r="CR1097" t="s">
        <v>415</v>
      </c>
      <c r="CS1097" s="19" t="str">
        <f>IF(AND(Table1[[#This Row],[Low41]]=0, Table1[[#This Row],[High43]]=0),"N","Y")</f>
        <v>N</v>
      </c>
    </row>
    <row r="1098" spans="1:97" ht="19.5" customHeight="1" x14ac:dyDescent="0.25">
      <c r="A1098">
        <v>11097</v>
      </c>
      <c r="B1098" t="s">
        <v>3373</v>
      </c>
      <c r="C1098" t="s">
        <v>3374</v>
      </c>
      <c r="D1098">
        <v>50.231111110000001</v>
      </c>
      <c r="E1098">
        <v>13.44611111</v>
      </c>
      <c r="F1098" t="s">
        <v>3375</v>
      </c>
      <c r="H1098" t="s">
        <v>167</v>
      </c>
      <c r="I1098" t="s">
        <v>118</v>
      </c>
      <c r="J1098" t="s">
        <v>119</v>
      </c>
      <c r="K1098" t="s">
        <v>167</v>
      </c>
      <c r="L1098" t="s">
        <v>18</v>
      </c>
      <c r="M1098" t="s">
        <v>3376</v>
      </c>
      <c r="N1098" s="6" t="s">
        <v>3377</v>
      </c>
      <c r="O1098" t="s">
        <v>3331</v>
      </c>
      <c r="P1098" t="s">
        <v>1150</v>
      </c>
      <c r="Q1098" t="s">
        <v>3378</v>
      </c>
      <c r="R1098" t="s">
        <v>3379</v>
      </c>
      <c r="S1098">
        <v>2013</v>
      </c>
      <c r="T1098" t="s">
        <v>771</v>
      </c>
      <c r="U1098" t="s">
        <v>1479</v>
      </c>
      <c r="V1098">
        <v>409</v>
      </c>
      <c r="W1098">
        <v>1100</v>
      </c>
      <c r="X1098">
        <v>183</v>
      </c>
      <c r="Z1098">
        <v>10</v>
      </c>
      <c r="AB1098">
        <v>15</v>
      </c>
      <c r="AC1098">
        <v>781</v>
      </c>
      <c r="AD1098">
        <v>6</v>
      </c>
      <c r="AE1098">
        <v>1.4669926999999999E-2</v>
      </c>
      <c r="AF1098">
        <v>200</v>
      </c>
      <c r="AH1098" t="s">
        <v>2259</v>
      </c>
      <c r="AI1098">
        <v>2.4</v>
      </c>
      <c r="AM1098" t="s">
        <v>3380</v>
      </c>
      <c r="AN1098" t="s">
        <v>132</v>
      </c>
      <c r="AO1098">
        <v>0</v>
      </c>
      <c r="AP1098">
        <v>0</v>
      </c>
      <c r="AQ1098">
        <v>0</v>
      </c>
      <c r="AR1098">
        <v>0</v>
      </c>
      <c r="AS1098">
        <v>0</v>
      </c>
      <c r="AT1098">
        <v>0</v>
      </c>
      <c r="AU1098">
        <v>0</v>
      </c>
      <c r="AV1098">
        <v>0</v>
      </c>
      <c r="AW1098">
        <v>0</v>
      </c>
      <c r="AX1098">
        <v>0</v>
      </c>
      <c r="AY1098">
        <v>0</v>
      </c>
      <c r="AZ1098">
        <v>0</v>
      </c>
      <c r="BA1098">
        <v>0</v>
      </c>
      <c r="BB1098">
        <v>0</v>
      </c>
      <c r="BC1098">
        <v>0</v>
      </c>
      <c r="BD1098">
        <v>0</v>
      </c>
      <c r="BE1098">
        <v>0</v>
      </c>
      <c r="BF1098">
        <v>0</v>
      </c>
      <c r="BG1098">
        <v>0</v>
      </c>
      <c r="BH1098">
        <v>0</v>
      </c>
      <c r="BI1098">
        <v>0</v>
      </c>
      <c r="BJ1098">
        <v>0</v>
      </c>
      <c r="BK1098">
        <v>0</v>
      </c>
      <c r="BL1098">
        <v>0</v>
      </c>
      <c r="BM1098">
        <v>0</v>
      </c>
      <c r="BN1098">
        <v>0</v>
      </c>
      <c r="BO1098">
        <v>0</v>
      </c>
      <c r="BP1098">
        <v>0</v>
      </c>
      <c r="BQ1098">
        <v>0</v>
      </c>
      <c r="BR1098">
        <v>0</v>
      </c>
      <c r="BS1098">
        <v>0</v>
      </c>
      <c r="BT1098">
        <v>0</v>
      </c>
      <c r="BU1098">
        <v>0</v>
      </c>
      <c r="BV1098">
        <v>0</v>
      </c>
      <c r="BW1098">
        <v>0</v>
      </c>
      <c r="BX1098">
        <v>0</v>
      </c>
      <c r="BY1098">
        <v>85</v>
      </c>
      <c r="BZ1098">
        <v>94</v>
      </c>
      <c r="CA1098">
        <v>100</v>
      </c>
      <c r="CB1098">
        <v>0</v>
      </c>
      <c r="CC1098">
        <v>0</v>
      </c>
      <c r="CD1098">
        <v>0</v>
      </c>
      <c r="CE1098" s="19">
        <f>SUM(Table1[[#This Row],[Low38]],Table1[[#This Row],[Low35]],Table1[[#This Row],[Low32]],Table1[[#This Row],[Low29]],Table1[[#This Row],[Low26]],Table1[[#This Row],[Low23]],Table1[[#This Row],[Low20]],Table1[[#This Row],[Low17]],Table1[[#This Row],[Low14]],Table1[[#This Row],[Low11]],Table1[[#This Row],[Low8]],Table1[[#This Row],[Low5]],Table1[[#This Row],[Low2]],Table1[[#This Row],[Low]])</f>
        <v>85</v>
      </c>
      <c r="CF1098" s="19">
        <f>SUM(Table1[[#This Row],[Mid39]],Table1[[#This Row],[Mid36]],Table1[[#This Row],[Mid33]],Table1[[#This Row],[Mid30]],Table1[[#This Row],[Mid27]],Table1[[#This Row],[Mid24]],Table1[[#This Row],[Mid21]],Table1[[#This Row],[Mid18]],Table1[[#This Row],[Mid15]],Table1[[#This Row],[Mid12]],Table1[[#This Row],[Mid9]],Table1[[#This Row],[Mid6]],Table1[[#This Row],[Mid3]],Table1[[#This Row],[Mid]])</f>
        <v>94</v>
      </c>
      <c r="CG109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100</v>
      </c>
      <c r="CH1098" t="s">
        <v>157</v>
      </c>
      <c r="CI1098" t="s">
        <v>134</v>
      </c>
      <c r="CJ1098" t="s">
        <v>158</v>
      </c>
      <c r="CL1098" s="19">
        <f>IF(Table1[[#This Row],[Type]]="Petroleum",1,IF(ISERROR(Table1[[#This Row],[Well Density]]*Table1[[#This Row],[Single Well Discovery Area]]),"",IF(Table1[[#This Row],[Well Density]]*Table1[[#This Row],[Single Well Discovery Area]]&gt;1,1,Table1[[#This Row],[Well Density]]*Table1[[#This Row],[Single Well Discovery Area]])))</f>
        <v>1</v>
      </c>
      <c r="CN1098" s="19">
        <f>Table1[[#This Row],[Mid]]</f>
        <v>0</v>
      </c>
      <c r="CO1098" s="19">
        <f>Table1[[#This Row],[Mid3]]+Table1[[#This Row],[Mid6]]+Table1[[#This Row],[Mid9]]</f>
        <v>0</v>
      </c>
      <c r="CP1098" s="19">
        <f>Table1[[#This Row],[Mid12]]+Table1[[#This Row],[Mid15]]+Table1[[#This Row],[Mid18]]+Table1[[#This Row],[Mid21]]+Table1[[#This Row],[Mid24]]</f>
        <v>0</v>
      </c>
      <c r="CQ1098" s="19">
        <f>Table1[[#This Row],[Mid27]]+Table1[[#This Row],[Mid30]]+Table1[[#This Row],[Mid33]]+Table1[[#This Row],[Mid36]]+Table1[[#This Row],[Mid39]]</f>
        <v>94</v>
      </c>
      <c r="CR1098" t="s">
        <v>415</v>
      </c>
      <c r="CS1098" s="19" t="str">
        <f>IF(AND(Table1[[#This Row],[Low41]]=0, Table1[[#This Row],[High43]]=0),"N","Y")</f>
        <v>Y</v>
      </c>
    </row>
    <row r="1099" spans="1:97" ht="19.5" customHeight="1" x14ac:dyDescent="0.25">
      <c r="A1099">
        <v>11098</v>
      </c>
      <c r="B1099" t="s">
        <v>3373</v>
      </c>
      <c r="C1099" t="s">
        <v>3374</v>
      </c>
      <c r="D1099">
        <v>50.425277780000002</v>
      </c>
      <c r="E1099">
        <v>14.248333329999999</v>
      </c>
      <c r="F1099" t="s">
        <v>3381</v>
      </c>
      <c r="H1099" t="s">
        <v>167</v>
      </c>
      <c r="I1099" t="s">
        <v>118</v>
      </c>
      <c r="J1099" t="s">
        <v>119</v>
      </c>
      <c r="K1099" t="s">
        <v>167</v>
      </c>
      <c r="L1099" t="s">
        <v>18</v>
      </c>
      <c r="M1099" t="s">
        <v>3376</v>
      </c>
      <c r="N1099" s="6" t="s">
        <v>3377</v>
      </c>
      <c r="O1099" t="s">
        <v>3331</v>
      </c>
      <c r="P1099" t="s">
        <v>1150</v>
      </c>
      <c r="Q1099" t="s">
        <v>3382</v>
      </c>
      <c r="R1099" t="s">
        <v>3379</v>
      </c>
      <c r="S1099">
        <v>2013</v>
      </c>
      <c r="T1099" t="s">
        <v>771</v>
      </c>
      <c r="U1099" t="s">
        <v>1479</v>
      </c>
      <c r="V1099">
        <v>1098</v>
      </c>
      <c r="W1099">
        <v>1130</v>
      </c>
      <c r="X1099">
        <v>184</v>
      </c>
      <c r="Z1099">
        <v>12</v>
      </c>
      <c r="AB1099">
        <v>30</v>
      </c>
      <c r="AC1099">
        <v>688</v>
      </c>
      <c r="AD1099">
        <v>105</v>
      </c>
      <c r="AE1099">
        <v>9.5628414999999994E-2</v>
      </c>
      <c r="AF1099">
        <v>200</v>
      </c>
      <c r="AH1099" t="s">
        <v>2259</v>
      </c>
      <c r="AI1099">
        <v>2.4</v>
      </c>
      <c r="AM1099" t="s">
        <v>3380</v>
      </c>
      <c r="AN1099" t="s">
        <v>132</v>
      </c>
      <c r="AO1099">
        <v>0</v>
      </c>
      <c r="AP1099">
        <v>0</v>
      </c>
      <c r="AQ1099">
        <v>0</v>
      </c>
      <c r="AR1099">
        <v>0</v>
      </c>
      <c r="AS1099">
        <v>0</v>
      </c>
      <c r="AT1099">
        <v>0</v>
      </c>
      <c r="AU1099">
        <v>0</v>
      </c>
      <c r="AV1099">
        <v>0</v>
      </c>
      <c r="AW1099">
        <v>0</v>
      </c>
      <c r="AX1099">
        <v>0</v>
      </c>
      <c r="AY1099">
        <v>0</v>
      </c>
      <c r="AZ1099">
        <v>0</v>
      </c>
      <c r="BA1099">
        <v>0</v>
      </c>
      <c r="BB1099">
        <v>0</v>
      </c>
      <c r="BC1099">
        <v>0</v>
      </c>
      <c r="BD1099">
        <v>0</v>
      </c>
      <c r="BE1099">
        <v>0</v>
      </c>
      <c r="BF1099">
        <v>0</v>
      </c>
      <c r="BG1099">
        <v>0</v>
      </c>
      <c r="BH1099">
        <v>0</v>
      </c>
      <c r="BI1099">
        <v>0</v>
      </c>
      <c r="BJ1099">
        <v>0</v>
      </c>
      <c r="BK1099">
        <v>0</v>
      </c>
      <c r="BL1099">
        <v>0</v>
      </c>
      <c r="BM1099">
        <v>0</v>
      </c>
      <c r="BN1099">
        <v>0</v>
      </c>
      <c r="BO1099">
        <v>0</v>
      </c>
      <c r="BP1099">
        <v>0</v>
      </c>
      <c r="BQ1099">
        <v>0</v>
      </c>
      <c r="BR1099">
        <v>0</v>
      </c>
      <c r="BS1099">
        <v>0</v>
      </c>
      <c r="BT1099">
        <v>0</v>
      </c>
      <c r="BU1099">
        <v>0</v>
      </c>
      <c r="BV1099">
        <v>0</v>
      </c>
      <c r="BW1099">
        <v>0</v>
      </c>
      <c r="BX1099">
        <v>0</v>
      </c>
      <c r="BY1099">
        <v>180</v>
      </c>
      <c r="BZ1099">
        <v>200</v>
      </c>
      <c r="CA1099">
        <v>220</v>
      </c>
      <c r="CB1099">
        <v>0</v>
      </c>
      <c r="CC1099">
        <v>0</v>
      </c>
      <c r="CD1099">
        <v>0</v>
      </c>
      <c r="CE1099" s="19">
        <f>SUM(Table1[[#This Row],[Low38]],Table1[[#This Row],[Low35]],Table1[[#This Row],[Low32]],Table1[[#This Row],[Low29]],Table1[[#This Row],[Low26]],Table1[[#This Row],[Low23]],Table1[[#This Row],[Low20]],Table1[[#This Row],[Low17]],Table1[[#This Row],[Low14]],Table1[[#This Row],[Low11]],Table1[[#This Row],[Low8]],Table1[[#This Row],[Low5]],Table1[[#This Row],[Low2]],Table1[[#This Row],[Low]])</f>
        <v>180</v>
      </c>
      <c r="CF1099" s="19">
        <f>SUM(Table1[[#This Row],[Mid39]],Table1[[#This Row],[Mid36]],Table1[[#This Row],[Mid33]],Table1[[#This Row],[Mid30]],Table1[[#This Row],[Mid27]],Table1[[#This Row],[Mid24]],Table1[[#This Row],[Mid21]],Table1[[#This Row],[Mid18]],Table1[[#This Row],[Mid15]],Table1[[#This Row],[Mid12]],Table1[[#This Row],[Mid9]],Table1[[#This Row],[Mid6]],Table1[[#This Row],[Mid3]],Table1[[#This Row],[Mid]])</f>
        <v>200</v>
      </c>
      <c r="CG109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220</v>
      </c>
      <c r="CH1099" t="s">
        <v>157</v>
      </c>
      <c r="CI1099" t="s">
        <v>134</v>
      </c>
      <c r="CJ1099" t="s">
        <v>158</v>
      </c>
      <c r="CL1099" s="19">
        <f>IF(Table1[[#This Row],[Type]]="Petroleum",1,IF(ISERROR(Table1[[#This Row],[Well Density]]*Table1[[#This Row],[Single Well Discovery Area]]),"",IF(Table1[[#This Row],[Well Density]]*Table1[[#This Row],[Single Well Discovery Area]]&gt;1,1,Table1[[#This Row],[Well Density]]*Table1[[#This Row],[Single Well Discovery Area]])))</f>
        <v>1</v>
      </c>
      <c r="CN1099" s="19">
        <f>Table1[[#This Row],[Mid]]</f>
        <v>0</v>
      </c>
      <c r="CO1099" s="19">
        <f>Table1[[#This Row],[Mid3]]+Table1[[#This Row],[Mid6]]+Table1[[#This Row],[Mid9]]</f>
        <v>0</v>
      </c>
      <c r="CP1099" s="19">
        <f>Table1[[#This Row],[Mid12]]+Table1[[#This Row],[Mid15]]+Table1[[#This Row],[Mid18]]+Table1[[#This Row],[Mid21]]+Table1[[#This Row],[Mid24]]</f>
        <v>0</v>
      </c>
      <c r="CQ1099" s="19">
        <f>Table1[[#This Row],[Mid27]]+Table1[[#This Row],[Mid30]]+Table1[[#This Row],[Mid33]]+Table1[[#This Row],[Mid36]]+Table1[[#This Row],[Mid39]]</f>
        <v>200</v>
      </c>
      <c r="CR1099" t="s">
        <v>415</v>
      </c>
      <c r="CS1099" s="19" t="str">
        <f>IF(AND(Table1[[#This Row],[Low41]]=0, Table1[[#This Row],[High43]]=0),"N","Y")</f>
        <v>Y</v>
      </c>
    </row>
    <row r="1100" spans="1:97" ht="19.5" customHeight="1" x14ac:dyDescent="0.25">
      <c r="A1100">
        <v>11099</v>
      </c>
      <c r="B1100" t="s">
        <v>3383</v>
      </c>
      <c r="C1100" t="s">
        <v>3384</v>
      </c>
      <c r="D1100">
        <v>48.613888889999998</v>
      </c>
      <c r="E1100">
        <v>21.93</v>
      </c>
      <c r="F1100" t="s">
        <v>3385</v>
      </c>
      <c r="G1100" t="s">
        <v>2789</v>
      </c>
      <c r="H1100" t="s">
        <v>167</v>
      </c>
      <c r="I1100" t="s">
        <v>520</v>
      </c>
      <c r="J1100" t="s">
        <v>202</v>
      </c>
      <c r="K1100" t="s">
        <v>167</v>
      </c>
      <c r="L1100" t="s">
        <v>121</v>
      </c>
      <c r="M1100" t="s">
        <v>252</v>
      </c>
      <c r="N1100" s="6" t="s">
        <v>3386</v>
      </c>
      <c r="O1100" t="s">
        <v>3387</v>
      </c>
      <c r="P1100" t="s">
        <v>2443</v>
      </c>
      <c r="Q1100" t="s">
        <v>255</v>
      </c>
      <c r="R1100" t="s">
        <v>3388</v>
      </c>
      <c r="S1100">
        <v>2011</v>
      </c>
      <c r="T1100" t="s">
        <v>771</v>
      </c>
      <c r="U1100" t="s">
        <v>3389</v>
      </c>
      <c r="V1100"/>
      <c r="AD1100">
        <v>0</v>
      </c>
      <c r="AF1100">
        <v>20</v>
      </c>
      <c r="AH1100" t="s">
        <v>2259</v>
      </c>
      <c r="AM1100" t="s">
        <v>3390</v>
      </c>
      <c r="BH1100">
        <v>100</v>
      </c>
      <c r="CE110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00"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110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00" t="s">
        <v>157</v>
      </c>
      <c r="CI1100" t="s">
        <v>189</v>
      </c>
      <c r="CJ1100" t="s">
        <v>158</v>
      </c>
      <c r="CL1100" s="19">
        <f>IF(Table1[[#This Row],[Type]]="Petroleum",1,IF(ISERROR(Table1[[#This Row],[Well Density]]*Table1[[#This Row],[Single Well Discovery Area]]),"",IF(Table1[[#This Row],[Well Density]]*Table1[[#This Row],[Single Well Discovery Area]]&gt;1,1,Table1[[#This Row],[Well Density]]*Table1[[#This Row],[Single Well Discovery Area]])))</f>
        <v>1</v>
      </c>
      <c r="CN1100" s="19">
        <f>Table1[[#This Row],[Mid]]</f>
        <v>0</v>
      </c>
      <c r="CO1100" s="19">
        <f>Table1[[#This Row],[Mid3]]+Table1[[#This Row],[Mid6]]+Table1[[#This Row],[Mid9]]</f>
        <v>0</v>
      </c>
      <c r="CP1100" s="19">
        <f>Table1[[#This Row],[Mid12]]+Table1[[#This Row],[Mid15]]+Table1[[#This Row],[Mid18]]+Table1[[#This Row],[Mid21]]+Table1[[#This Row],[Mid24]]</f>
        <v>100</v>
      </c>
      <c r="CQ1100" s="19">
        <f>Table1[[#This Row],[Mid27]]+Table1[[#This Row],[Mid30]]+Table1[[#This Row],[Mid33]]+Table1[[#This Row],[Mid36]]+Table1[[#This Row],[Mid39]]</f>
        <v>0</v>
      </c>
      <c r="CR1100" t="s">
        <v>415</v>
      </c>
      <c r="CS1100" s="19" t="str">
        <f>IF(AND(Table1[[#This Row],[Low41]]=0, Table1[[#This Row],[High43]]=0),"N","Y")</f>
        <v>N</v>
      </c>
    </row>
    <row r="1101" spans="1:97" ht="19.5" customHeight="1" x14ac:dyDescent="0.25">
      <c r="A1101">
        <v>11100</v>
      </c>
      <c r="B1101" t="s">
        <v>3383</v>
      </c>
      <c r="C1101" t="s">
        <v>3391</v>
      </c>
      <c r="D1101">
        <v>48.605555559999999</v>
      </c>
      <c r="E1101">
        <v>21.986388890000001</v>
      </c>
      <c r="F1101" t="s">
        <v>3392</v>
      </c>
      <c r="G1101" t="s">
        <v>2789</v>
      </c>
      <c r="H1101" t="s">
        <v>3392</v>
      </c>
      <c r="I1101" t="s">
        <v>118</v>
      </c>
      <c r="J1101" t="s">
        <v>119</v>
      </c>
      <c r="K1101" t="s">
        <v>167</v>
      </c>
      <c r="L1101" t="s">
        <v>18</v>
      </c>
      <c r="M1101" t="s">
        <v>3393</v>
      </c>
      <c r="N1101" s="6" t="s">
        <v>3394</v>
      </c>
      <c r="O1101" t="s">
        <v>3387</v>
      </c>
      <c r="P1101" t="s">
        <v>2443</v>
      </c>
      <c r="Q1101" t="s">
        <v>255</v>
      </c>
      <c r="R1101" t="s">
        <v>3395</v>
      </c>
      <c r="S1101">
        <v>2009</v>
      </c>
      <c r="T1101" t="s">
        <v>771</v>
      </c>
      <c r="U1101" t="s">
        <v>3389</v>
      </c>
      <c r="V1101"/>
      <c r="AD1101">
        <v>0</v>
      </c>
      <c r="AF1101">
        <v>200</v>
      </c>
      <c r="AH1101" t="s">
        <v>2259</v>
      </c>
      <c r="AM1101" t="s">
        <v>3390</v>
      </c>
      <c r="BW1101">
        <v>273</v>
      </c>
      <c r="CE110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01" s="19">
        <f>SUM(Table1[[#This Row],[Mid39]],Table1[[#This Row],[Mid36]],Table1[[#This Row],[Mid33]],Table1[[#This Row],[Mid30]],Table1[[#This Row],[Mid27]],Table1[[#This Row],[Mid24]],Table1[[#This Row],[Mid21]],Table1[[#This Row],[Mid18]],Table1[[#This Row],[Mid15]],Table1[[#This Row],[Mid12]],Table1[[#This Row],[Mid9]],Table1[[#This Row],[Mid6]],Table1[[#This Row],[Mid3]],Table1[[#This Row],[Mid]])</f>
        <v>273</v>
      </c>
      <c r="CG110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01" t="s">
        <v>157</v>
      </c>
      <c r="CI1101" t="s">
        <v>2471</v>
      </c>
      <c r="CJ1101" t="s">
        <v>158</v>
      </c>
      <c r="CL1101" s="19">
        <f>IF(Table1[[#This Row],[Type]]="Petroleum",1,IF(ISERROR(Table1[[#This Row],[Well Density]]*Table1[[#This Row],[Single Well Discovery Area]]),"",IF(Table1[[#This Row],[Well Density]]*Table1[[#This Row],[Single Well Discovery Area]]&gt;1,1,Table1[[#This Row],[Well Density]]*Table1[[#This Row],[Single Well Discovery Area]])))</f>
        <v>0</v>
      </c>
      <c r="CN1101" s="19">
        <f>Table1[[#This Row],[Mid]]</f>
        <v>0</v>
      </c>
      <c r="CO1101" s="19">
        <f>Table1[[#This Row],[Mid3]]+Table1[[#This Row],[Mid6]]+Table1[[#This Row],[Mid9]]</f>
        <v>0</v>
      </c>
      <c r="CP1101" s="19">
        <f>Table1[[#This Row],[Mid12]]+Table1[[#This Row],[Mid15]]+Table1[[#This Row],[Mid18]]+Table1[[#This Row],[Mid21]]+Table1[[#This Row],[Mid24]]</f>
        <v>0</v>
      </c>
      <c r="CQ1101" s="19">
        <f>Table1[[#This Row],[Mid27]]+Table1[[#This Row],[Mid30]]+Table1[[#This Row],[Mid33]]+Table1[[#This Row],[Mid36]]+Table1[[#This Row],[Mid39]]</f>
        <v>273</v>
      </c>
      <c r="CR1101" t="s">
        <v>415</v>
      </c>
      <c r="CS1101" s="19" t="str">
        <f>IF(AND(Table1[[#This Row],[Low41]]=0, Table1[[#This Row],[High43]]=0),"N","Y")</f>
        <v>N</v>
      </c>
    </row>
    <row r="1102" spans="1:97" ht="19.5" customHeight="1" x14ac:dyDescent="0.25">
      <c r="A1102">
        <v>11101</v>
      </c>
      <c r="B1102" t="s">
        <v>3383</v>
      </c>
      <c r="C1102" t="s">
        <v>3391</v>
      </c>
      <c r="D1102">
        <v>48.761000000000003</v>
      </c>
      <c r="E1102">
        <v>22.026</v>
      </c>
      <c r="F1102" t="s">
        <v>3396</v>
      </c>
      <c r="G1102" t="s">
        <v>2789</v>
      </c>
      <c r="H1102" t="s">
        <v>3396</v>
      </c>
      <c r="I1102" t="s">
        <v>118</v>
      </c>
      <c r="J1102" t="s">
        <v>119</v>
      </c>
      <c r="K1102" t="s">
        <v>167</v>
      </c>
      <c r="L1102" t="s">
        <v>18</v>
      </c>
      <c r="M1102" t="s">
        <v>3393</v>
      </c>
      <c r="N1102" s="6" t="s">
        <v>3397</v>
      </c>
      <c r="O1102" t="s">
        <v>3387</v>
      </c>
      <c r="P1102" t="s">
        <v>2443</v>
      </c>
      <c r="Q1102" t="s">
        <v>255</v>
      </c>
      <c r="R1102" t="s">
        <v>3395</v>
      </c>
      <c r="S1102">
        <v>2009</v>
      </c>
      <c r="T1102" t="s">
        <v>771</v>
      </c>
      <c r="U1102" t="s">
        <v>3389</v>
      </c>
      <c r="V1102"/>
      <c r="W1102">
        <v>2800</v>
      </c>
      <c r="Z1102">
        <v>6</v>
      </c>
      <c r="AC1102">
        <v>0.63</v>
      </c>
      <c r="AD1102">
        <v>0</v>
      </c>
      <c r="AF1102">
        <v>200</v>
      </c>
      <c r="AH1102" t="s">
        <v>2259</v>
      </c>
      <c r="AM1102" t="s">
        <v>3390</v>
      </c>
      <c r="BW1102">
        <v>446</v>
      </c>
      <c r="CE110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02" s="19">
        <f>SUM(Table1[[#This Row],[Mid39]],Table1[[#This Row],[Mid36]],Table1[[#This Row],[Mid33]],Table1[[#This Row],[Mid30]],Table1[[#This Row],[Mid27]],Table1[[#This Row],[Mid24]],Table1[[#This Row],[Mid21]],Table1[[#This Row],[Mid18]],Table1[[#This Row],[Mid15]],Table1[[#This Row],[Mid12]],Table1[[#This Row],[Mid9]],Table1[[#This Row],[Mid6]],Table1[[#This Row],[Mid3]],Table1[[#This Row],[Mid]])</f>
        <v>446</v>
      </c>
      <c r="CG110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02" t="s">
        <v>157</v>
      </c>
      <c r="CI1102" t="s">
        <v>2471</v>
      </c>
      <c r="CJ1102" t="s">
        <v>158</v>
      </c>
      <c r="CL1102" s="19">
        <f>IF(Table1[[#This Row],[Type]]="Petroleum",1,IF(ISERROR(Table1[[#This Row],[Well Density]]*Table1[[#This Row],[Single Well Discovery Area]]),"",IF(Table1[[#This Row],[Well Density]]*Table1[[#This Row],[Single Well Discovery Area]]&gt;1,1,Table1[[#This Row],[Well Density]]*Table1[[#This Row],[Single Well Discovery Area]])))</f>
        <v>0</v>
      </c>
      <c r="CN1102" s="19">
        <f>Table1[[#This Row],[Mid]]</f>
        <v>0</v>
      </c>
      <c r="CO1102" s="19">
        <f>Table1[[#This Row],[Mid3]]+Table1[[#This Row],[Mid6]]+Table1[[#This Row],[Mid9]]</f>
        <v>0</v>
      </c>
      <c r="CP1102" s="19">
        <f>Table1[[#This Row],[Mid12]]+Table1[[#This Row],[Mid15]]+Table1[[#This Row],[Mid18]]+Table1[[#This Row],[Mid21]]+Table1[[#This Row],[Mid24]]</f>
        <v>0</v>
      </c>
      <c r="CQ1102" s="19">
        <f>Table1[[#This Row],[Mid27]]+Table1[[#This Row],[Mid30]]+Table1[[#This Row],[Mid33]]+Table1[[#This Row],[Mid36]]+Table1[[#This Row],[Mid39]]</f>
        <v>446</v>
      </c>
      <c r="CR1102" t="s">
        <v>415</v>
      </c>
      <c r="CS1102" s="19" t="str">
        <f>IF(AND(Table1[[#This Row],[Low41]]=0, Table1[[#This Row],[High43]]=0),"N","Y")</f>
        <v>N</v>
      </c>
    </row>
    <row r="1103" spans="1:97" ht="19.5" customHeight="1" x14ac:dyDescent="0.25">
      <c r="A1103">
        <v>11102</v>
      </c>
      <c r="B1103" t="s">
        <v>3383</v>
      </c>
      <c r="C1103" t="s">
        <v>3398</v>
      </c>
      <c r="D1103">
        <v>48.00972222</v>
      </c>
      <c r="E1103">
        <v>17.769166670000001</v>
      </c>
      <c r="F1103" t="s">
        <v>3399</v>
      </c>
      <c r="G1103" t="s">
        <v>2789</v>
      </c>
      <c r="H1103" t="s">
        <v>3399</v>
      </c>
      <c r="I1103" t="s">
        <v>118</v>
      </c>
      <c r="J1103" t="s">
        <v>119</v>
      </c>
      <c r="K1103" t="s">
        <v>167</v>
      </c>
      <c r="L1103" t="s">
        <v>18</v>
      </c>
      <c r="M1103" t="s">
        <v>3393</v>
      </c>
      <c r="N1103" s="6" t="s">
        <v>3400</v>
      </c>
      <c r="O1103" t="s">
        <v>3387</v>
      </c>
      <c r="P1103" t="s">
        <v>2443</v>
      </c>
      <c r="Q1103" t="s">
        <v>255</v>
      </c>
      <c r="R1103" t="s">
        <v>3395</v>
      </c>
      <c r="S1103">
        <v>2009</v>
      </c>
      <c r="T1103" t="s">
        <v>771</v>
      </c>
      <c r="U1103" t="s">
        <v>3389</v>
      </c>
      <c r="V1103"/>
      <c r="W1103">
        <v>1900</v>
      </c>
      <c r="X1103">
        <v>40</v>
      </c>
      <c r="Z1103">
        <v>12</v>
      </c>
      <c r="AC1103">
        <v>0.63</v>
      </c>
      <c r="AD1103">
        <v>0</v>
      </c>
      <c r="AF1103">
        <v>200</v>
      </c>
      <c r="AH1103" t="s">
        <v>2259</v>
      </c>
      <c r="AM1103" t="s">
        <v>3390</v>
      </c>
      <c r="BW1103">
        <v>1361</v>
      </c>
      <c r="CE110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03" s="19">
        <f>SUM(Table1[[#This Row],[Mid39]],Table1[[#This Row],[Mid36]],Table1[[#This Row],[Mid33]],Table1[[#This Row],[Mid30]],Table1[[#This Row],[Mid27]],Table1[[#This Row],[Mid24]],Table1[[#This Row],[Mid21]],Table1[[#This Row],[Mid18]],Table1[[#This Row],[Mid15]],Table1[[#This Row],[Mid12]],Table1[[#This Row],[Mid9]],Table1[[#This Row],[Mid6]],Table1[[#This Row],[Mid3]],Table1[[#This Row],[Mid]])</f>
        <v>1361</v>
      </c>
      <c r="CG110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03" t="s">
        <v>157</v>
      </c>
      <c r="CI1103" t="s">
        <v>2471</v>
      </c>
      <c r="CJ1103" t="s">
        <v>158</v>
      </c>
      <c r="CL1103" s="19">
        <f>IF(Table1[[#This Row],[Type]]="Petroleum",1,IF(ISERROR(Table1[[#This Row],[Well Density]]*Table1[[#This Row],[Single Well Discovery Area]]),"",IF(Table1[[#This Row],[Well Density]]*Table1[[#This Row],[Single Well Discovery Area]]&gt;1,1,Table1[[#This Row],[Well Density]]*Table1[[#This Row],[Single Well Discovery Area]])))</f>
        <v>0</v>
      </c>
      <c r="CN1103" s="19">
        <f>Table1[[#This Row],[Mid]]</f>
        <v>0</v>
      </c>
      <c r="CO1103" s="19">
        <f>Table1[[#This Row],[Mid3]]+Table1[[#This Row],[Mid6]]+Table1[[#This Row],[Mid9]]</f>
        <v>0</v>
      </c>
      <c r="CP1103" s="19">
        <f>Table1[[#This Row],[Mid12]]+Table1[[#This Row],[Mid15]]+Table1[[#This Row],[Mid18]]+Table1[[#This Row],[Mid21]]+Table1[[#This Row],[Mid24]]</f>
        <v>0</v>
      </c>
      <c r="CQ1103" s="19">
        <f>Table1[[#This Row],[Mid27]]+Table1[[#This Row],[Mid30]]+Table1[[#This Row],[Mid33]]+Table1[[#This Row],[Mid36]]+Table1[[#This Row],[Mid39]]</f>
        <v>1361</v>
      </c>
      <c r="CR1103" t="s">
        <v>415</v>
      </c>
      <c r="CS1103" s="19" t="str">
        <f>IF(AND(Table1[[#This Row],[Low41]]=0, Table1[[#This Row],[High43]]=0),"N","Y")</f>
        <v>N</v>
      </c>
    </row>
    <row r="1104" spans="1:97" ht="19.5" customHeight="1" x14ac:dyDescent="0.25">
      <c r="A1104">
        <v>11103</v>
      </c>
      <c r="B1104" t="s">
        <v>3383</v>
      </c>
      <c r="C1104" t="s">
        <v>3398</v>
      </c>
      <c r="D1104">
        <v>48.231000000000002</v>
      </c>
      <c r="E1104">
        <v>19.056000000000001</v>
      </c>
      <c r="F1104" t="s">
        <v>3401</v>
      </c>
      <c r="G1104" t="s">
        <v>2789</v>
      </c>
      <c r="H1104" t="s">
        <v>3402</v>
      </c>
      <c r="I1104" t="s">
        <v>118</v>
      </c>
      <c r="J1104" t="s">
        <v>119</v>
      </c>
      <c r="K1104" t="s">
        <v>167</v>
      </c>
      <c r="L1104" t="s">
        <v>18</v>
      </c>
      <c r="M1104" t="s">
        <v>3403</v>
      </c>
      <c r="N1104" s="6" t="s">
        <v>3404</v>
      </c>
      <c r="O1104" t="s">
        <v>3387</v>
      </c>
      <c r="P1104" t="s">
        <v>2443</v>
      </c>
      <c r="Q1104" t="s">
        <v>255</v>
      </c>
      <c r="R1104" t="s">
        <v>3395</v>
      </c>
      <c r="S1104">
        <v>2009</v>
      </c>
      <c r="T1104" t="s">
        <v>771</v>
      </c>
      <c r="U1104" t="s">
        <v>3389</v>
      </c>
      <c r="V1104"/>
      <c r="W1104">
        <v>1710</v>
      </c>
      <c r="X1104">
        <v>120</v>
      </c>
      <c r="Z1104">
        <v>15</v>
      </c>
      <c r="AC1104">
        <v>0.63</v>
      </c>
      <c r="AD1104">
        <v>0</v>
      </c>
      <c r="AF1104">
        <v>200</v>
      </c>
      <c r="AH1104" t="s">
        <v>2259</v>
      </c>
      <c r="AM1104" t="s">
        <v>3390</v>
      </c>
      <c r="BW1104">
        <v>8165</v>
      </c>
      <c r="CE110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04" s="19">
        <f>SUM(Table1[[#This Row],[Mid39]],Table1[[#This Row],[Mid36]],Table1[[#This Row],[Mid33]],Table1[[#This Row],[Mid30]],Table1[[#This Row],[Mid27]],Table1[[#This Row],[Mid24]],Table1[[#This Row],[Mid21]],Table1[[#This Row],[Mid18]],Table1[[#This Row],[Mid15]],Table1[[#This Row],[Mid12]],Table1[[#This Row],[Mid9]],Table1[[#This Row],[Mid6]],Table1[[#This Row],[Mid3]],Table1[[#This Row],[Mid]])</f>
        <v>8165</v>
      </c>
      <c r="CG110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04" t="s">
        <v>157</v>
      </c>
      <c r="CI1104" t="s">
        <v>2471</v>
      </c>
      <c r="CJ1104" t="s">
        <v>158</v>
      </c>
      <c r="CL1104" s="19">
        <f>IF(Table1[[#This Row],[Type]]="Petroleum",1,IF(ISERROR(Table1[[#This Row],[Well Density]]*Table1[[#This Row],[Single Well Discovery Area]]),"",IF(Table1[[#This Row],[Well Density]]*Table1[[#This Row],[Single Well Discovery Area]]&gt;1,1,Table1[[#This Row],[Well Density]]*Table1[[#This Row],[Single Well Discovery Area]])))</f>
        <v>0</v>
      </c>
      <c r="CN1104" s="19">
        <f>Table1[[#This Row],[Mid]]</f>
        <v>0</v>
      </c>
      <c r="CO1104" s="19">
        <f>Table1[[#This Row],[Mid3]]+Table1[[#This Row],[Mid6]]+Table1[[#This Row],[Mid9]]</f>
        <v>0</v>
      </c>
      <c r="CP1104" s="19">
        <f>Table1[[#This Row],[Mid12]]+Table1[[#This Row],[Mid15]]+Table1[[#This Row],[Mid18]]+Table1[[#This Row],[Mid21]]+Table1[[#This Row],[Mid24]]</f>
        <v>0</v>
      </c>
      <c r="CQ1104" s="19">
        <f>Table1[[#This Row],[Mid27]]+Table1[[#This Row],[Mid30]]+Table1[[#This Row],[Mid33]]+Table1[[#This Row],[Mid36]]+Table1[[#This Row],[Mid39]]</f>
        <v>8165</v>
      </c>
      <c r="CR1104" t="s">
        <v>415</v>
      </c>
      <c r="CS1104" s="19" t="str">
        <f>IF(AND(Table1[[#This Row],[Low41]]=0, Table1[[#This Row],[High43]]=0),"N","Y")</f>
        <v>N</v>
      </c>
    </row>
    <row r="1105" spans="1:97" ht="19.5" customHeight="1" x14ac:dyDescent="0.25">
      <c r="A1105">
        <v>11104</v>
      </c>
      <c r="B1105" t="s">
        <v>3383</v>
      </c>
      <c r="C1105" t="s">
        <v>3405</v>
      </c>
      <c r="D1105">
        <v>48.316388889999999</v>
      </c>
      <c r="E1105">
        <v>19.10083333</v>
      </c>
      <c r="F1105" t="s">
        <v>3406</v>
      </c>
      <c r="G1105" t="s">
        <v>2789</v>
      </c>
      <c r="H1105" t="s">
        <v>3407</v>
      </c>
      <c r="I1105" t="s">
        <v>118</v>
      </c>
      <c r="J1105" t="s">
        <v>119</v>
      </c>
      <c r="K1105" t="s">
        <v>167</v>
      </c>
      <c r="L1105" t="s">
        <v>18</v>
      </c>
      <c r="M1105" t="s">
        <v>392</v>
      </c>
      <c r="N1105" s="6" t="s">
        <v>3408</v>
      </c>
      <c r="O1105" t="s">
        <v>3387</v>
      </c>
      <c r="P1105" t="s">
        <v>2443</v>
      </c>
      <c r="Q1105" t="s">
        <v>255</v>
      </c>
      <c r="R1105" t="s">
        <v>3395</v>
      </c>
      <c r="S1105">
        <v>2008</v>
      </c>
      <c r="T1105" t="s">
        <v>771</v>
      </c>
      <c r="U1105" t="s">
        <v>3389</v>
      </c>
      <c r="V1105"/>
      <c r="AD1105">
        <v>1</v>
      </c>
      <c r="AF1105">
        <v>20</v>
      </c>
      <c r="AH1105" t="s">
        <v>2259</v>
      </c>
      <c r="AM1105" t="s">
        <v>3390</v>
      </c>
      <c r="BW1105">
        <v>567</v>
      </c>
      <c r="CE110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05" s="19">
        <f>SUM(Table1[[#This Row],[Mid39]],Table1[[#This Row],[Mid36]],Table1[[#This Row],[Mid33]],Table1[[#This Row],[Mid30]],Table1[[#This Row],[Mid27]],Table1[[#This Row],[Mid24]],Table1[[#This Row],[Mid21]],Table1[[#This Row],[Mid18]],Table1[[#This Row],[Mid15]],Table1[[#This Row],[Mid12]],Table1[[#This Row],[Mid9]],Table1[[#This Row],[Mid6]],Table1[[#This Row],[Mid3]],Table1[[#This Row],[Mid]])</f>
        <v>567</v>
      </c>
      <c r="CG110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05" t="s">
        <v>157</v>
      </c>
      <c r="CI1105" t="s">
        <v>176</v>
      </c>
      <c r="CJ1105" t="s">
        <v>158</v>
      </c>
      <c r="CL1105" s="19">
        <f>IF(Table1[[#This Row],[Type]]="Petroleum",1,IF(ISERROR(Table1[[#This Row],[Well Density]]*Table1[[#This Row],[Single Well Discovery Area]]),"",IF(Table1[[#This Row],[Well Density]]*Table1[[#This Row],[Single Well Discovery Area]]&gt;1,1,Table1[[#This Row],[Well Density]]*Table1[[#This Row],[Single Well Discovery Area]])))</f>
        <v>0</v>
      </c>
      <c r="CN1105" s="19">
        <f>Table1[[#This Row],[Mid]]</f>
        <v>0</v>
      </c>
      <c r="CO1105" s="19">
        <f>Table1[[#This Row],[Mid3]]+Table1[[#This Row],[Mid6]]+Table1[[#This Row],[Mid9]]</f>
        <v>0</v>
      </c>
      <c r="CP1105" s="19">
        <f>Table1[[#This Row],[Mid12]]+Table1[[#This Row],[Mid15]]+Table1[[#This Row],[Mid18]]+Table1[[#This Row],[Mid21]]+Table1[[#This Row],[Mid24]]</f>
        <v>0</v>
      </c>
      <c r="CQ1105" s="19">
        <f>Table1[[#This Row],[Mid27]]+Table1[[#This Row],[Mid30]]+Table1[[#This Row],[Mid33]]+Table1[[#This Row],[Mid36]]+Table1[[#This Row],[Mid39]]</f>
        <v>567</v>
      </c>
      <c r="CR1105" t="s">
        <v>415</v>
      </c>
      <c r="CS1105" s="19" t="str">
        <f>IF(AND(Table1[[#This Row],[Low41]]=0, Table1[[#This Row],[High43]]=0),"N","Y")</f>
        <v>N</v>
      </c>
    </row>
    <row r="1106" spans="1:97" ht="19.5" customHeight="1" x14ac:dyDescent="0.25">
      <c r="A1106">
        <v>11105</v>
      </c>
      <c r="B1106" t="s">
        <v>3383</v>
      </c>
      <c r="C1106" t="s">
        <v>3405</v>
      </c>
      <c r="D1106">
        <v>48.226999999999997</v>
      </c>
      <c r="E1106">
        <v>18.97</v>
      </c>
      <c r="F1106" t="s">
        <v>3409</v>
      </c>
      <c r="G1106" t="s">
        <v>2789</v>
      </c>
      <c r="H1106" t="s">
        <v>3410</v>
      </c>
      <c r="I1106" t="s">
        <v>118</v>
      </c>
      <c r="J1106" t="s">
        <v>119</v>
      </c>
      <c r="K1106" t="s">
        <v>203</v>
      </c>
      <c r="L1106" t="s">
        <v>18</v>
      </c>
      <c r="M1106" t="s">
        <v>252</v>
      </c>
      <c r="N1106" s="6" t="s">
        <v>3411</v>
      </c>
      <c r="O1106" t="s">
        <v>3387</v>
      </c>
      <c r="P1106" t="s">
        <v>2443</v>
      </c>
      <c r="Q1106" t="s">
        <v>255</v>
      </c>
      <c r="R1106" t="s">
        <v>3395</v>
      </c>
      <c r="S1106">
        <v>2008</v>
      </c>
      <c r="T1106" t="s">
        <v>771</v>
      </c>
      <c r="U1106" t="s">
        <v>3389</v>
      </c>
      <c r="V1106"/>
      <c r="AD1106">
        <v>1</v>
      </c>
      <c r="AF1106">
        <v>20</v>
      </c>
      <c r="AH1106" t="s">
        <v>2259</v>
      </c>
      <c r="AM1106" t="s">
        <v>3390</v>
      </c>
      <c r="BV1106">
        <v>13.6</v>
      </c>
      <c r="BW1106">
        <v>406</v>
      </c>
      <c r="BX1106">
        <v>827</v>
      </c>
      <c r="CE1106" s="19">
        <f>SUM(Table1[[#This Row],[Low38]],Table1[[#This Row],[Low35]],Table1[[#This Row],[Low32]],Table1[[#This Row],[Low29]],Table1[[#This Row],[Low26]],Table1[[#This Row],[Low23]],Table1[[#This Row],[Low20]],Table1[[#This Row],[Low17]],Table1[[#This Row],[Low14]],Table1[[#This Row],[Low11]],Table1[[#This Row],[Low8]],Table1[[#This Row],[Low5]],Table1[[#This Row],[Low2]],Table1[[#This Row],[Low]])</f>
        <v>13.6</v>
      </c>
      <c r="CF1106" s="19">
        <f>SUM(Table1[[#This Row],[Mid39]],Table1[[#This Row],[Mid36]],Table1[[#This Row],[Mid33]],Table1[[#This Row],[Mid30]],Table1[[#This Row],[Mid27]],Table1[[#This Row],[Mid24]],Table1[[#This Row],[Mid21]],Table1[[#This Row],[Mid18]],Table1[[#This Row],[Mid15]],Table1[[#This Row],[Mid12]],Table1[[#This Row],[Mid9]],Table1[[#This Row],[Mid6]],Table1[[#This Row],[Mid3]],Table1[[#This Row],[Mid]])</f>
        <v>406</v>
      </c>
      <c r="CG110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827</v>
      </c>
      <c r="CH1106" t="s">
        <v>157</v>
      </c>
      <c r="CI1106" t="s">
        <v>176</v>
      </c>
      <c r="CJ1106" t="s">
        <v>158</v>
      </c>
      <c r="CL1106" s="19">
        <f>IF(Table1[[#This Row],[Type]]="Petroleum",1,IF(ISERROR(Table1[[#This Row],[Well Density]]*Table1[[#This Row],[Single Well Discovery Area]]),"",IF(Table1[[#This Row],[Well Density]]*Table1[[#This Row],[Single Well Discovery Area]]&gt;1,1,Table1[[#This Row],[Well Density]]*Table1[[#This Row],[Single Well Discovery Area]])))</f>
        <v>0</v>
      </c>
      <c r="CN1106" s="19">
        <f>Table1[[#This Row],[Mid]]</f>
        <v>0</v>
      </c>
      <c r="CO1106" s="19">
        <f>Table1[[#This Row],[Mid3]]+Table1[[#This Row],[Mid6]]+Table1[[#This Row],[Mid9]]</f>
        <v>0</v>
      </c>
      <c r="CP1106" s="19">
        <f>Table1[[#This Row],[Mid12]]+Table1[[#This Row],[Mid15]]+Table1[[#This Row],[Mid18]]+Table1[[#This Row],[Mid21]]+Table1[[#This Row],[Mid24]]</f>
        <v>0</v>
      </c>
      <c r="CQ1106" s="19">
        <f>Table1[[#This Row],[Mid27]]+Table1[[#This Row],[Mid30]]+Table1[[#This Row],[Mid33]]+Table1[[#This Row],[Mid36]]+Table1[[#This Row],[Mid39]]</f>
        <v>406</v>
      </c>
      <c r="CR1106" t="s">
        <v>415</v>
      </c>
      <c r="CS1106" s="19" t="str">
        <f>IF(AND(Table1[[#This Row],[Low41]]=0, Table1[[#This Row],[High43]]=0),"N","Y")</f>
        <v>Y</v>
      </c>
    </row>
    <row r="1107" spans="1:97" ht="19.5" customHeight="1" x14ac:dyDescent="0.25">
      <c r="A1107">
        <v>11106</v>
      </c>
      <c r="B1107" t="s">
        <v>3412</v>
      </c>
      <c r="C1107" t="s">
        <v>3413</v>
      </c>
      <c r="D1107">
        <v>47.673888890000001</v>
      </c>
      <c r="E1107">
        <v>20.127777779999999</v>
      </c>
      <c r="F1107" t="s">
        <v>3414</v>
      </c>
      <c r="G1107" t="s">
        <v>2789</v>
      </c>
      <c r="H1107" t="s">
        <v>3415</v>
      </c>
      <c r="I1107" t="s">
        <v>118</v>
      </c>
      <c r="J1107" t="s">
        <v>119</v>
      </c>
      <c r="K1107" t="s">
        <v>167</v>
      </c>
      <c r="L1107" t="s">
        <v>18</v>
      </c>
      <c r="M1107" t="s">
        <v>252</v>
      </c>
      <c r="N1107" s="6" t="s">
        <v>3416</v>
      </c>
      <c r="O1107" t="s">
        <v>3387</v>
      </c>
      <c r="P1107" t="s">
        <v>2652</v>
      </c>
      <c r="Q1107" t="s">
        <v>3417</v>
      </c>
      <c r="R1107" t="s">
        <v>3418</v>
      </c>
      <c r="S1107">
        <v>2011</v>
      </c>
      <c r="T1107" t="s">
        <v>771</v>
      </c>
      <c r="U1107" t="s">
        <v>3389</v>
      </c>
      <c r="V1107"/>
      <c r="W1107">
        <v>2250</v>
      </c>
      <c r="Z1107">
        <v>5</v>
      </c>
      <c r="AD1107">
        <v>0</v>
      </c>
      <c r="AF1107">
        <v>200</v>
      </c>
      <c r="AH1107" t="s">
        <v>2259</v>
      </c>
      <c r="AM1107" t="s">
        <v>167</v>
      </c>
      <c r="BW1107">
        <v>2000</v>
      </c>
      <c r="CE110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07" s="19">
        <f>SUM(Table1[[#This Row],[Mid39]],Table1[[#This Row],[Mid36]],Table1[[#This Row],[Mid33]],Table1[[#This Row],[Mid30]],Table1[[#This Row],[Mid27]],Table1[[#This Row],[Mid24]],Table1[[#This Row],[Mid21]],Table1[[#This Row],[Mid18]],Table1[[#This Row],[Mid15]],Table1[[#This Row],[Mid12]],Table1[[#This Row],[Mid9]],Table1[[#This Row],[Mid6]],Table1[[#This Row],[Mid3]],Table1[[#This Row],[Mid]])</f>
        <v>2000</v>
      </c>
      <c r="CG110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07" t="s">
        <v>157</v>
      </c>
      <c r="CI1107" t="s">
        <v>2471</v>
      </c>
      <c r="CJ1107" t="s">
        <v>158</v>
      </c>
      <c r="CL1107" s="19">
        <f>IF(Table1[[#This Row],[Type]]="Petroleum",1,IF(ISERROR(Table1[[#This Row],[Well Density]]*Table1[[#This Row],[Single Well Discovery Area]]),"",IF(Table1[[#This Row],[Well Density]]*Table1[[#This Row],[Single Well Discovery Area]]&gt;1,1,Table1[[#This Row],[Well Density]]*Table1[[#This Row],[Single Well Discovery Area]])))</f>
        <v>0</v>
      </c>
      <c r="CN1107" s="19">
        <f>Table1[[#This Row],[Mid]]</f>
        <v>0</v>
      </c>
      <c r="CO1107" s="19">
        <f>Table1[[#This Row],[Mid3]]+Table1[[#This Row],[Mid6]]+Table1[[#This Row],[Mid9]]</f>
        <v>0</v>
      </c>
      <c r="CP1107" s="19">
        <f>Table1[[#This Row],[Mid12]]+Table1[[#This Row],[Mid15]]+Table1[[#This Row],[Mid18]]+Table1[[#This Row],[Mid21]]+Table1[[#This Row],[Mid24]]</f>
        <v>0</v>
      </c>
      <c r="CQ1107" s="19">
        <f>Table1[[#This Row],[Mid27]]+Table1[[#This Row],[Mid30]]+Table1[[#This Row],[Mid33]]+Table1[[#This Row],[Mid36]]+Table1[[#This Row],[Mid39]]</f>
        <v>2000</v>
      </c>
      <c r="CR1107" t="s">
        <v>415</v>
      </c>
      <c r="CS1107" s="19" t="str">
        <f>IF(AND(Table1[[#This Row],[Low41]]=0, Table1[[#This Row],[High43]]=0),"N","Y")</f>
        <v>N</v>
      </c>
    </row>
    <row r="1108" spans="1:97" ht="19.5" customHeight="1" x14ac:dyDescent="0.25">
      <c r="A1108">
        <v>11107</v>
      </c>
      <c r="B1108" t="s">
        <v>3412</v>
      </c>
      <c r="C1108" t="s">
        <v>3413</v>
      </c>
      <c r="D1108">
        <v>47.22888889</v>
      </c>
      <c r="E1108">
        <v>20.059999999999999</v>
      </c>
      <c r="F1108" t="s">
        <v>3419</v>
      </c>
      <c r="G1108" t="s">
        <v>2789</v>
      </c>
      <c r="H1108" t="s">
        <v>3415</v>
      </c>
      <c r="I1108" t="s">
        <v>520</v>
      </c>
      <c r="J1108" t="s">
        <v>202</v>
      </c>
      <c r="K1108" t="s">
        <v>203</v>
      </c>
      <c r="L1108" t="s">
        <v>18</v>
      </c>
      <c r="M1108" t="s">
        <v>252</v>
      </c>
      <c r="N1108" s="6" t="s">
        <v>3416</v>
      </c>
      <c r="O1108" t="s">
        <v>3387</v>
      </c>
      <c r="P1108" t="s">
        <v>2652</v>
      </c>
      <c r="Q1108" t="s">
        <v>255</v>
      </c>
      <c r="R1108" t="s">
        <v>3418</v>
      </c>
      <c r="S1108">
        <v>2011</v>
      </c>
      <c r="T1108" t="s">
        <v>771</v>
      </c>
      <c r="U1108" t="s">
        <v>3389</v>
      </c>
      <c r="V1108"/>
      <c r="AD1108">
        <v>0</v>
      </c>
      <c r="AF1108">
        <v>200</v>
      </c>
      <c r="AH1108" t="s">
        <v>2259</v>
      </c>
      <c r="AM1108" t="s">
        <v>167</v>
      </c>
      <c r="BW1108">
        <v>400</v>
      </c>
      <c r="CE110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08" s="19">
        <f>SUM(Table1[[#This Row],[Mid39]],Table1[[#This Row],[Mid36]],Table1[[#This Row],[Mid33]],Table1[[#This Row],[Mid30]],Table1[[#This Row],[Mid27]],Table1[[#This Row],[Mid24]],Table1[[#This Row],[Mid21]],Table1[[#This Row],[Mid18]],Table1[[#This Row],[Mid15]],Table1[[#This Row],[Mid12]],Table1[[#This Row],[Mid9]],Table1[[#This Row],[Mid6]],Table1[[#This Row],[Mid3]],Table1[[#This Row],[Mid]])</f>
        <v>400</v>
      </c>
      <c r="CG110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08" t="s">
        <v>157</v>
      </c>
      <c r="CI1108" t="s">
        <v>2471</v>
      </c>
      <c r="CJ1108" t="s">
        <v>158</v>
      </c>
      <c r="CL1108" s="19">
        <f>IF(Table1[[#This Row],[Type]]="Petroleum",1,IF(ISERROR(Table1[[#This Row],[Well Density]]*Table1[[#This Row],[Single Well Discovery Area]]),"",IF(Table1[[#This Row],[Well Density]]*Table1[[#This Row],[Single Well Discovery Area]]&gt;1,1,Table1[[#This Row],[Well Density]]*Table1[[#This Row],[Single Well Discovery Area]])))</f>
        <v>1</v>
      </c>
      <c r="CN1108" s="19">
        <f>Table1[[#This Row],[Mid]]</f>
        <v>0</v>
      </c>
      <c r="CO1108" s="19">
        <f>Table1[[#This Row],[Mid3]]+Table1[[#This Row],[Mid6]]+Table1[[#This Row],[Mid9]]</f>
        <v>0</v>
      </c>
      <c r="CP1108" s="19">
        <f>Table1[[#This Row],[Mid12]]+Table1[[#This Row],[Mid15]]+Table1[[#This Row],[Mid18]]+Table1[[#This Row],[Mid21]]+Table1[[#This Row],[Mid24]]</f>
        <v>0</v>
      </c>
      <c r="CQ1108" s="19">
        <f>Table1[[#This Row],[Mid27]]+Table1[[#This Row],[Mid30]]+Table1[[#This Row],[Mid33]]+Table1[[#This Row],[Mid36]]+Table1[[#This Row],[Mid39]]</f>
        <v>400</v>
      </c>
      <c r="CR1108" t="s">
        <v>415</v>
      </c>
      <c r="CS1108" s="19" t="str">
        <f>IF(AND(Table1[[#This Row],[Low41]]=0, Table1[[#This Row],[High43]]=0),"N","Y")</f>
        <v>N</v>
      </c>
    </row>
    <row r="1109" spans="1:97" ht="19.5" customHeight="1" x14ac:dyDescent="0.25">
      <c r="A1109">
        <v>11108</v>
      </c>
      <c r="B1109" t="s">
        <v>3412</v>
      </c>
      <c r="C1109" t="s">
        <v>3413</v>
      </c>
      <c r="D1109">
        <v>46.977777779999997</v>
      </c>
      <c r="E1109">
        <v>20.366</v>
      </c>
      <c r="F1109" t="s">
        <v>3420</v>
      </c>
      <c r="G1109" t="s">
        <v>2789</v>
      </c>
      <c r="H1109" t="s">
        <v>3421</v>
      </c>
      <c r="I1109" t="s">
        <v>118</v>
      </c>
      <c r="J1109" t="s">
        <v>119</v>
      </c>
      <c r="K1109" t="s">
        <v>167</v>
      </c>
      <c r="L1109" t="s">
        <v>121</v>
      </c>
      <c r="M1109" t="s">
        <v>252</v>
      </c>
      <c r="N1109" s="6" t="s">
        <v>3422</v>
      </c>
      <c r="O1109" t="s">
        <v>3387</v>
      </c>
      <c r="P1109" t="s">
        <v>2652</v>
      </c>
      <c r="Q1109" t="s">
        <v>255</v>
      </c>
      <c r="R1109" t="s">
        <v>3423</v>
      </c>
      <c r="S1109">
        <v>2010</v>
      </c>
      <c r="T1109" t="s">
        <v>771</v>
      </c>
      <c r="U1109" t="s">
        <v>3389</v>
      </c>
      <c r="V1109"/>
      <c r="W1109">
        <v>800</v>
      </c>
      <c r="X1109">
        <v>800</v>
      </c>
      <c r="Z1109">
        <v>20</v>
      </c>
      <c r="AA1109">
        <v>60</v>
      </c>
      <c r="AD1109">
        <v>0</v>
      </c>
      <c r="AF1109">
        <v>200</v>
      </c>
      <c r="AH1109" t="s">
        <v>2259</v>
      </c>
      <c r="AM1109" t="s">
        <v>3424</v>
      </c>
      <c r="BH1109">
        <v>250</v>
      </c>
      <c r="CE110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09" s="19">
        <f>SUM(Table1[[#This Row],[Mid39]],Table1[[#This Row],[Mid36]],Table1[[#This Row],[Mid33]],Table1[[#This Row],[Mid30]],Table1[[#This Row],[Mid27]],Table1[[#This Row],[Mid24]],Table1[[#This Row],[Mid21]],Table1[[#This Row],[Mid18]],Table1[[#This Row],[Mid15]],Table1[[#This Row],[Mid12]],Table1[[#This Row],[Mid9]],Table1[[#This Row],[Mid6]],Table1[[#This Row],[Mid3]],Table1[[#This Row],[Mid]])</f>
        <v>250</v>
      </c>
      <c r="CG110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09" t="s">
        <v>157</v>
      </c>
      <c r="CI1109" t="s">
        <v>2471</v>
      </c>
      <c r="CJ1109" t="s">
        <v>158</v>
      </c>
      <c r="CL1109" s="19">
        <f>IF(Table1[[#This Row],[Type]]="Petroleum",1,IF(ISERROR(Table1[[#This Row],[Well Density]]*Table1[[#This Row],[Single Well Discovery Area]]),"",IF(Table1[[#This Row],[Well Density]]*Table1[[#This Row],[Single Well Discovery Area]]&gt;1,1,Table1[[#This Row],[Well Density]]*Table1[[#This Row],[Single Well Discovery Area]])))</f>
        <v>0</v>
      </c>
      <c r="CN1109" s="19">
        <f>Table1[[#This Row],[Mid]]</f>
        <v>0</v>
      </c>
      <c r="CO1109" s="19">
        <f>Table1[[#This Row],[Mid3]]+Table1[[#This Row],[Mid6]]+Table1[[#This Row],[Mid9]]</f>
        <v>0</v>
      </c>
      <c r="CP1109" s="19">
        <f>Table1[[#This Row],[Mid12]]+Table1[[#This Row],[Mid15]]+Table1[[#This Row],[Mid18]]+Table1[[#This Row],[Mid21]]+Table1[[#This Row],[Mid24]]</f>
        <v>250</v>
      </c>
      <c r="CQ1109" s="19">
        <f>Table1[[#This Row],[Mid27]]+Table1[[#This Row],[Mid30]]+Table1[[#This Row],[Mid33]]+Table1[[#This Row],[Mid36]]+Table1[[#This Row],[Mid39]]</f>
        <v>0</v>
      </c>
      <c r="CR1109" t="s">
        <v>415</v>
      </c>
      <c r="CS1109" s="19" t="str">
        <f>IF(AND(Table1[[#This Row],[Low41]]=0, Table1[[#This Row],[High43]]=0),"N","Y")</f>
        <v>N</v>
      </c>
    </row>
    <row r="1110" spans="1:97" ht="19.5" customHeight="1" x14ac:dyDescent="0.25">
      <c r="A1110">
        <v>11109</v>
      </c>
      <c r="B1110" t="s">
        <v>3412</v>
      </c>
      <c r="C1110" t="s">
        <v>3413</v>
      </c>
      <c r="D1110">
        <v>46.838999999999999</v>
      </c>
      <c r="E1110">
        <v>20.570555559999999</v>
      </c>
      <c r="F1110" t="s">
        <v>3420</v>
      </c>
      <c r="G1110" t="s">
        <v>2789</v>
      </c>
      <c r="H1110" t="s">
        <v>3421</v>
      </c>
      <c r="I1110" t="s">
        <v>520</v>
      </c>
      <c r="J1110" t="s">
        <v>202</v>
      </c>
      <c r="K1110" t="s">
        <v>203</v>
      </c>
      <c r="L1110" t="s">
        <v>121</v>
      </c>
      <c r="M1110" t="s">
        <v>252</v>
      </c>
      <c r="N1110" s="6" t="s">
        <v>3422</v>
      </c>
      <c r="O1110" t="s">
        <v>3387</v>
      </c>
      <c r="P1110" t="s">
        <v>2652</v>
      </c>
      <c r="Q1110" t="s">
        <v>255</v>
      </c>
      <c r="R1110" t="s">
        <v>3423</v>
      </c>
      <c r="S1110">
        <v>2010</v>
      </c>
      <c r="T1110" t="s">
        <v>771</v>
      </c>
      <c r="U1110" t="s">
        <v>3389</v>
      </c>
      <c r="V1110"/>
      <c r="AD1110">
        <v>0</v>
      </c>
      <c r="AF1110">
        <v>200</v>
      </c>
      <c r="AH1110" t="s">
        <v>2259</v>
      </c>
      <c r="AM1110" t="s">
        <v>3424</v>
      </c>
      <c r="BH1110">
        <v>15</v>
      </c>
      <c r="CE111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10" s="19">
        <f>SUM(Table1[[#This Row],[Mid39]],Table1[[#This Row],[Mid36]],Table1[[#This Row],[Mid33]],Table1[[#This Row],[Mid30]],Table1[[#This Row],[Mid27]],Table1[[#This Row],[Mid24]],Table1[[#This Row],[Mid21]],Table1[[#This Row],[Mid18]],Table1[[#This Row],[Mid15]],Table1[[#This Row],[Mid12]],Table1[[#This Row],[Mid9]],Table1[[#This Row],[Mid6]],Table1[[#This Row],[Mid3]],Table1[[#This Row],[Mid]])</f>
        <v>15</v>
      </c>
      <c r="CG11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10" t="s">
        <v>157</v>
      </c>
      <c r="CI1110" t="s">
        <v>2471</v>
      </c>
      <c r="CJ1110" t="s">
        <v>158</v>
      </c>
      <c r="CL1110" s="19">
        <f>IF(Table1[[#This Row],[Type]]="Petroleum",1,IF(ISERROR(Table1[[#This Row],[Well Density]]*Table1[[#This Row],[Single Well Discovery Area]]),"",IF(Table1[[#This Row],[Well Density]]*Table1[[#This Row],[Single Well Discovery Area]]&gt;1,1,Table1[[#This Row],[Well Density]]*Table1[[#This Row],[Single Well Discovery Area]])))</f>
        <v>1</v>
      </c>
      <c r="CN1110" s="19">
        <f>Table1[[#This Row],[Mid]]</f>
        <v>0</v>
      </c>
      <c r="CO1110" s="19">
        <f>Table1[[#This Row],[Mid3]]+Table1[[#This Row],[Mid6]]+Table1[[#This Row],[Mid9]]</f>
        <v>0</v>
      </c>
      <c r="CP1110" s="19">
        <f>Table1[[#This Row],[Mid12]]+Table1[[#This Row],[Mid15]]+Table1[[#This Row],[Mid18]]+Table1[[#This Row],[Mid21]]+Table1[[#This Row],[Mid24]]</f>
        <v>15</v>
      </c>
      <c r="CQ1110" s="19">
        <f>Table1[[#This Row],[Mid27]]+Table1[[#This Row],[Mid30]]+Table1[[#This Row],[Mid33]]+Table1[[#This Row],[Mid36]]+Table1[[#This Row],[Mid39]]</f>
        <v>0</v>
      </c>
      <c r="CR1110" t="s">
        <v>415</v>
      </c>
      <c r="CS1110" s="19" t="str">
        <f>IF(AND(Table1[[#This Row],[Low41]]=0, Table1[[#This Row],[High43]]=0),"N","Y")</f>
        <v>N</v>
      </c>
    </row>
    <row r="1111" spans="1:97" ht="19.5" customHeight="1" x14ac:dyDescent="0.25">
      <c r="A1111">
        <v>11110</v>
      </c>
      <c r="B1111" t="s">
        <v>3412</v>
      </c>
      <c r="D1111">
        <v>47.478000000000002</v>
      </c>
      <c r="E1111">
        <v>19.274999999999999</v>
      </c>
      <c r="F1111" t="s">
        <v>3425</v>
      </c>
      <c r="G1111" t="s">
        <v>2789</v>
      </c>
      <c r="H1111" t="s">
        <v>167</v>
      </c>
      <c r="I1111" t="s">
        <v>520</v>
      </c>
      <c r="J1111" t="s">
        <v>202</v>
      </c>
      <c r="K1111" t="s">
        <v>203</v>
      </c>
      <c r="L1111" t="s">
        <v>18</v>
      </c>
      <c r="M1111" t="s">
        <v>252</v>
      </c>
      <c r="N1111" s="6" t="s">
        <v>3422</v>
      </c>
      <c r="O1111" t="s">
        <v>3387</v>
      </c>
      <c r="P1111" t="s">
        <v>2652</v>
      </c>
      <c r="Q1111" t="s">
        <v>255</v>
      </c>
      <c r="R1111" t="s">
        <v>3426</v>
      </c>
      <c r="S1111">
        <v>2010</v>
      </c>
      <c r="T1111" t="s">
        <v>771</v>
      </c>
      <c r="U1111" t="s">
        <v>3389</v>
      </c>
      <c r="V1111"/>
      <c r="AD1111">
        <v>0</v>
      </c>
      <c r="AF1111">
        <v>200</v>
      </c>
      <c r="AH1111" t="s">
        <v>2259</v>
      </c>
      <c r="AM1111" t="s">
        <v>3424</v>
      </c>
      <c r="BH1111">
        <v>430</v>
      </c>
      <c r="CE111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11" s="19">
        <f>SUM(Table1[[#This Row],[Mid39]],Table1[[#This Row],[Mid36]],Table1[[#This Row],[Mid33]],Table1[[#This Row],[Mid30]],Table1[[#This Row],[Mid27]],Table1[[#This Row],[Mid24]],Table1[[#This Row],[Mid21]],Table1[[#This Row],[Mid18]],Table1[[#This Row],[Mid15]],Table1[[#This Row],[Mid12]],Table1[[#This Row],[Mid9]],Table1[[#This Row],[Mid6]],Table1[[#This Row],[Mid3]],Table1[[#This Row],[Mid]])</f>
        <v>430</v>
      </c>
      <c r="CG11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11" t="s">
        <v>157</v>
      </c>
      <c r="CI1111" t="s">
        <v>189</v>
      </c>
      <c r="CJ1111" t="s">
        <v>158</v>
      </c>
      <c r="CL1111" s="19">
        <f>IF(Table1[[#This Row],[Type]]="Petroleum",1,IF(ISERROR(Table1[[#This Row],[Well Density]]*Table1[[#This Row],[Single Well Discovery Area]]),"",IF(Table1[[#This Row],[Well Density]]*Table1[[#This Row],[Single Well Discovery Area]]&gt;1,1,Table1[[#This Row],[Well Density]]*Table1[[#This Row],[Single Well Discovery Area]])))</f>
        <v>1</v>
      </c>
      <c r="CN1111" s="19">
        <f>Table1[[#This Row],[Mid]]</f>
        <v>0</v>
      </c>
      <c r="CO1111" s="19">
        <f>Table1[[#This Row],[Mid3]]+Table1[[#This Row],[Mid6]]+Table1[[#This Row],[Mid9]]</f>
        <v>0</v>
      </c>
      <c r="CP1111" s="19">
        <f>Table1[[#This Row],[Mid12]]+Table1[[#This Row],[Mid15]]+Table1[[#This Row],[Mid18]]+Table1[[#This Row],[Mid21]]+Table1[[#This Row],[Mid24]]</f>
        <v>430</v>
      </c>
      <c r="CQ1111" s="19">
        <f>Table1[[#This Row],[Mid27]]+Table1[[#This Row],[Mid30]]+Table1[[#This Row],[Mid33]]+Table1[[#This Row],[Mid36]]+Table1[[#This Row],[Mid39]]</f>
        <v>0</v>
      </c>
      <c r="CR1111" t="s">
        <v>415</v>
      </c>
      <c r="CS1111" s="19" t="str">
        <f>IF(AND(Table1[[#This Row],[Low41]]=0, Table1[[#This Row],[High43]]=0),"N","Y")</f>
        <v>N</v>
      </c>
    </row>
    <row r="1112" spans="1:97" ht="19.5" customHeight="1" x14ac:dyDescent="0.25">
      <c r="A1112">
        <v>11111</v>
      </c>
      <c r="B1112" t="s">
        <v>3412</v>
      </c>
      <c r="D1112">
        <v>47.18</v>
      </c>
      <c r="E1112">
        <v>19.261944440000001</v>
      </c>
      <c r="F1112" t="s">
        <v>3427</v>
      </c>
      <c r="G1112" t="s">
        <v>2789</v>
      </c>
      <c r="H1112" t="s">
        <v>3428</v>
      </c>
      <c r="I1112" t="s">
        <v>118</v>
      </c>
      <c r="J1112" t="s">
        <v>119</v>
      </c>
      <c r="K1112" t="s">
        <v>167</v>
      </c>
      <c r="L1112" t="s">
        <v>18</v>
      </c>
      <c r="M1112" t="s">
        <v>252</v>
      </c>
      <c r="N1112" s="6" t="s">
        <v>3422</v>
      </c>
      <c r="O1112" t="s">
        <v>3387</v>
      </c>
      <c r="P1112" t="s">
        <v>2652</v>
      </c>
      <c r="Q1112" t="s">
        <v>255</v>
      </c>
      <c r="R1112" t="s">
        <v>3429</v>
      </c>
      <c r="S1112">
        <v>2010</v>
      </c>
      <c r="T1112" t="s">
        <v>771</v>
      </c>
      <c r="U1112" t="s">
        <v>3389</v>
      </c>
      <c r="V1112"/>
      <c r="AD1112">
        <v>0</v>
      </c>
      <c r="AF1112">
        <v>20</v>
      </c>
      <c r="AH1112" t="s">
        <v>2259</v>
      </c>
      <c r="AM1112" t="s">
        <v>3424</v>
      </c>
      <c r="BW1112">
        <v>424</v>
      </c>
      <c r="CE111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12" s="19">
        <f>SUM(Table1[[#This Row],[Mid39]],Table1[[#This Row],[Mid36]],Table1[[#This Row],[Mid33]],Table1[[#This Row],[Mid30]],Table1[[#This Row],[Mid27]],Table1[[#This Row],[Mid24]],Table1[[#This Row],[Mid21]],Table1[[#This Row],[Mid18]],Table1[[#This Row],[Mid15]],Table1[[#This Row],[Mid12]],Table1[[#This Row],[Mid9]],Table1[[#This Row],[Mid6]],Table1[[#This Row],[Mid3]],Table1[[#This Row],[Mid]])</f>
        <v>424</v>
      </c>
      <c r="CG11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12" t="s">
        <v>157</v>
      </c>
      <c r="CI1112" t="s">
        <v>2471</v>
      </c>
      <c r="CJ1112" t="s">
        <v>158</v>
      </c>
      <c r="CL1112" s="19">
        <f>IF(Table1[[#This Row],[Type]]="Petroleum",1,IF(ISERROR(Table1[[#This Row],[Well Density]]*Table1[[#This Row],[Single Well Discovery Area]]),"",IF(Table1[[#This Row],[Well Density]]*Table1[[#This Row],[Single Well Discovery Area]]&gt;1,1,Table1[[#This Row],[Well Density]]*Table1[[#This Row],[Single Well Discovery Area]])))</f>
        <v>0</v>
      </c>
      <c r="CN1112" s="19">
        <f>Table1[[#This Row],[Mid]]</f>
        <v>0</v>
      </c>
      <c r="CO1112" s="19">
        <f>Table1[[#This Row],[Mid3]]+Table1[[#This Row],[Mid6]]+Table1[[#This Row],[Mid9]]</f>
        <v>0</v>
      </c>
      <c r="CP1112" s="19">
        <f>Table1[[#This Row],[Mid12]]+Table1[[#This Row],[Mid15]]+Table1[[#This Row],[Mid18]]+Table1[[#This Row],[Mid21]]+Table1[[#This Row],[Mid24]]</f>
        <v>0</v>
      </c>
      <c r="CQ1112" s="19">
        <f>Table1[[#This Row],[Mid27]]+Table1[[#This Row],[Mid30]]+Table1[[#This Row],[Mid33]]+Table1[[#This Row],[Mid36]]+Table1[[#This Row],[Mid39]]</f>
        <v>424</v>
      </c>
      <c r="CR1112" t="s">
        <v>415</v>
      </c>
      <c r="CS1112" s="19" t="str">
        <f>IF(AND(Table1[[#This Row],[Low41]]=0, Table1[[#This Row],[High43]]=0),"N","Y")</f>
        <v>N</v>
      </c>
    </row>
    <row r="1113" spans="1:97" ht="19.5" customHeight="1" x14ac:dyDescent="0.25">
      <c r="A1113">
        <v>11112</v>
      </c>
      <c r="B1113" t="s">
        <v>3412</v>
      </c>
      <c r="C1113" t="s">
        <v>3413</v>
      </c>
      <c r="D1113">
        <v>47.229166669999998</v>
      </c>
      <c r="E1113">
        <v>20.060833330000001</v>
      </c>
      <c r="F1113" t="s">
        <v>3430</v>
      </c>
      <c r="G1113" t="s">
        <v>2789</v>
      </c>
      <c r="H1113" t="s">
        <v>3431</v>
      </c>
      <c r="I1113" t="s">
        <v>118</v>
      </c>
      <c r="J1113" t="s">
        <v>119</v>
      </c>
      <c r="K1113" t="s">
        <v>167</v>
      </c>
      <c r="L1113" t="s">
        <v>18</v>
      </c>
      <c r="M1113" t="s">
        <v>252</v>
      </c>
      <c r="N1113" s="6" t="s">
        <v>3422</v>
      </c>
      <c r="O1113" t="s">
        <v>3387</v>
      </c>
      <c r="P1113" t="s">
        <v>2652</v>
      </c>
      <c r="Q1113" t="s">
        <v>255</v>
      </c>
      <c r="R1113" t="s">
        <v>3432</v>
      </c>
      <c r="S1113">
        <v>2010</v>
      </c>
      <c r="T1113" t="s">
        <v>771</v>
      </c>
      <c r="U1113" t="s">
        <v>3389</v>
      </c>
      <c r="V1113"/>
      <c r="AD1113">
        <v>0</v>
      </c>
      <c r="AF1113">
        <v>200</v>
      </c>
      <c r="AH1113" t="s">
        <v>2259</v>
      </c>
      <c r="AM1113" t="s">
        <v>3424</v>
      </c>
      <c r="BW1113">
        <v>183</v>
      </c>
      <c r="CE111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13" s="19">
        <f>SUM(Table1[[#This Row],[Mid39]],Table1[[#This Row],[Mid36]],Table1[[#This Row],[Mid33]],Table1[[#This Row],[Mid30]],Table1[[#This Row],[Mid27]],Table1[[#This Row],[Mid24]],Table1[[#This Row],[Mid21]],Table1[[#This Row],[Mid18]],Table1[[#This Row],[Mid15]],Table1[[#This Row],[Mid12]],Table1[[#This Row],[Mid9]],Table1[[#This Row],[Mid6]],Table1[[#This Row],[Mid3]],Table1[[#This Row],[Mid]])</f>
        <v>183</v>
      </c>
      <c r="CG11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13" t="s">
        <v>157</v>
      </c>
      <c r="CI1113" t="s">
        <v>2471</v>
      </c>
      <c r="CJ1113" t="s">
        <v>158</v>
      </c>
      <c r="CL1113" s="19">
        <f>IF(Table1[[#This Row],[Type]]="Petroleum",1,IF(ISERROR(Table1[[#This Row],[Well Density]]*Table1[[#This Row],[Single Well Discovery Area]]),"",IF(Table1[[#This Row],[Well Density]]*Table1[[#This Row],[Single Well Discovery Area]]&gt;1,1,Table1[[#This Row],[Well Density]]*Table1[[#This Row],[Single Well Discovery Area]])))</f>
        <v>0</v>
      </c>
      <c r="CN1113" s="19">
        <f>Table1[[#This Row],[Mid]]</f>
        <v>0</v>
      </c>
      <c r="CO1113" s="19">
        <f>Table1[[#This Row],[Mid3]]+Table1[[#This Row],[Mid6]]+Table1[[#This Row],[Mid9]]</f>
        <v>0</v>
      </c>
      <c r="CP1113" s="19">
        <f>Table1[[#This Row],[Mid12]]+Table1[[#This Row],[Mid15]]+Table1[[#This Row],[Mid18]]+Table1[[#This Row],[Mid21]]+Table1[[#This Row],[Mid24]]</f>
        <v>0</v>
      </c>
      <c r="CQ1113" s="19">
        <f>Table1[[#This Row],[Mid27]]+Table1[[#This Row],[Mid30]]+Table1[[#This Row],[Mid33]]+Table1[[#This Row],[Mid36]]+Table1[[#This Row],[Mid39]]</f>
        <v>183</v>
      </c>
      <c r="CR1113" t="s">
        <v>415</v>
      </c>
      <c r="CS1113" s="19" t="str">
        <f>IF(AND(Table1[[#This Row],[Low41]]=0, Table1[[#This Row],[High43]]=0),"N","Y")</f>
        <v>N</v>
      </c>
    </row>
    <row r="1114" spans="1:97" ht="19.5" customHeight="1" x14ac:dyDescent="0.25">
      <c r="A1114">
        <v>11113</v>
      </c>
      <c r="B1114" t="s">
        <v>3412</v>
      </c>
      <c r="C1114" t="s">
        <v>3433</v>
      </c>
      <c r="D1114">
        <v>46.574166669999997</v>
      </c>
      <c r="E1114">
        <v>20.658000000000001</v>
      </c>
      <c r="F1114" t="s">
        <v>3434</v>
      </c>
      <c r="G1114" t="s">
        <v>2789</v>
      </c>
      <c r="H1114" t="s">
        <v>3431</v>
      </c>
      <c r="I1114" t="s">
        <v>118</v>
      </c>
      <c r="J1114" t="s">
        <v>119</v>
      </c>
      <c r="K1114" t="s">
        <v>167</v>
      </c>
      <c r="L1114" t="s">
        <v>18</v>
      </c>
      <c r="M1114" t="s">
        <v>252</v>
      </c>
      <c r="N1114" s="6" t="s">
        <v>3422</v>
      </c>
      <c r="O1114" t="s">
        <v>3387</v>
      </c>
      <c r="P1114" t="s">
        <v>2652</v>
      </c>
      <c r="Q1114" t="s">
        <v>255</v>
      </c>
      <c r="R1114" t="s">
        <v>3435</v>
      </c>
      <c r="S1114">
        <v>2010</v>
      </c>
      <c r="T1114" t="s">
        <v>771</v>
      </c>
      <c r="U1114" t="s">
        <v>3389</v>
      </c>
      <c r="V1114"/>
      <c r="AD1114">
        <v>0</v>
      </c>
      <c r="AF1114">
        <v>200</v>
      </c>
      <c r="AH1114" t="s">
        <v>2259</v>
      </c>
      <c r="AM1114" t="s">
        <v>3424</v>
      </c>
      <c r="BW1114">
        <v>197</v>
      </c>
      <c r="CE111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14" s="19">
        <f>SUM(Table1[[#This Row],[Mid39]],Table1[[#This Row],[Mid36]],Table1[[#This Row],[Mid33]],Table1[[#This Row],[Mid30]],Table1[[#This Row],[Mid27]],Table1[[#This Row],[Mid24]],Table1[[#This Row],[Mid21]],Table1[[#This Row],[Mid18]],Table1[[#This Row],[Mid15]],Table1[[#This Row],[Mid12]],Table1[[#This Row],[Mid9]],Table1[[#This Row],[Mid6]],Table1[[#This Row],[Mid3]],Table1[[#This Row],[Mid]])</f>
        <v>197</v>
      </c>
      <c r="CG11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14" t="s">
        <v>157</v>
      </c>
      <c r="CI1114" t="s">
        <v>2471</v>
      </c>
      <c r="CJ1114" t="s">
        <v>158</v>
      </c>
      <c r="CL1114" s="19">
        <f>IF(Table1[[#This Row],[Type]]="Petroleum",1,IF(ISERROR(Table1[[#This Row],[Well Density]]*Table1[[#This Row],[Single Well Discovery Area]]),"",IF(Table1[[#This Row],[Well Density]]*Table1[[#This Row],[Single Well Discovery Area]]&gt;1,1,Table1[[#This Row],[Well Density]]*Table1[[#This Row],[Single Well Discovery Area]])))</f>
        <v>0</v>
      </c>
      <c r="CN1114" s="19">
        <f>Table1[[#This Row],[Mid]]</f>
        <v>0</v>
      </c>
      <c r="CO1114" s="19">
        <f>Table1[[#This Row],[Mid3]]+Table1[[#This Row],[Mid6]]+Table1[[#This Row],[Mid9]]</f>
        <v>0</v>
      </c>
      <c r="CP1114" s="19">
        <f>Table1[[#This Row],[Mid12]]+Table1[[#This Row],[Mid15]]+Table1[[#This Row],[Mid18]]+Table1[[#This Row],[Mid21]]+Table1[[#This Row],[Mid24]]</f>
        <v>0</v>
      </c>
      <c r="CQ1114" s="19">
        <f>Table1[[#This Row],[Mid27]]+Table1[[#This Row],[Mid30]]+Table1[[#This Row],[Mid33]]+Table1[[#This Row],[Mid36]]+Table1[[#This Row],[Mid39]]</f>
        <v>197</v>
      </c>
      <c r="CR1114" t="s">
        <v>415</v>
      </c>
      <c r="CS1114" s="19" t="str">
        <f>IF(AND(Table1[[#This Row],[Low41]]=0, Table1[[#This Row],[High43]]=0),"N","Y")</f>
        <v>N</v>
      </c>
    </row>
    <row r="1115" spans="1:97" ht="19.5" customHeight="1" x14ac:dyDescent="0.25">
      <c r="A1115">
        <v>11114</v>
      </c>
      <c r="B1115" t="s">
        <v>3412</v>
      </c>
      <c r="C1115" t="s">
        <v>3433</v>
      </c>
      <c r="D1115">
        <v>46.574166669999997</v>
      </c>
      <c r="E1115">
        <v>20.854166670000001</v>
      </c>
      <c r="F1115" t="s">
        <v>3436</v>
      </c>
      <c r="G1115" t="s">
        <v>2789</v>
      </c>
      <c r="H1115" t="s">
        <v>3431</v>
      </c>
      <c r="I1115" t="s">
        <v>118</v>
      </c>
      <c r="J1115" t="s">
        <v>119</v>
      </c>
      <c r="K1115" t="s">
        <v>167</v>
      </c>
      <c r="L1115" t="s">
        <v>18</v>
      </c>
      <c r="M1115" t="s">
        <v>252</v>
      </c>
      <c r="N1115" s="6" t="s">
        <v>3422</v>
      </c>
      <c r="O1115" t="s">
        <v>3387</v>
      </c>
      <c r="P1115" t="s">
        <v>2652</v>
      </c>
      <c r="Q1115" t="s">
        <v>255</v>
      </c>
      <c r="R1115" t="s">
        <v>3435</v>
      </c>
      <c r="S1115">
        <v>2010</v>
      </c>
      <c r="T1115" t="s">
        <v>771</v>
      </c>
      <c r="U1115" t="s">
        <v>3389</v>
      </c>
      <c r="V1115"/>
      <c r="AD1115">
        <v>0</v>
      </c>
      <c r="AF1115">
        <v>200</v>
      </c>
      <c r="AH1115" t="s">
        <v>2259</v>
      </c>
      <c r="AM1115" t="s">
        <v>3424</v>
      </c>
      <c r="BW1115">
        <v>120</v>
      </c>
      <c r="CE111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15" s="19">
        <f>SUM(Table1[[#This Row],[Mid39]],Table1[[#This Row],[Mid36]],Table1[[#This Row],[Mid33]],Table1[[#This Row],[Mid30]],Table1[[#This Row],[Mid27]],Table1[[#This Row],[Mid24]],Table1[[#This Row],[Mid21]],Table1[[#This Row],[Mid18]],Table1[[#This Row],[Mid15]],Table1[[#This Row],[Mid12]],Table1[[#This Row],[Mid9]],Table1[[#This Row],[Mid6]],Table1[[#This Row],[Mid3]],Table1[[#This Row],[Mid]])</f>
        <v>120</v>
      </c>
      <c r="CG11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15" t="s">
        <v>157</v>
      </c>
      <c r="CI1115" t="s">
        <v>2471</v>
      </c>
      <c r="CJ1115" t="s">
        <v>158</v>
      </c>
      <c r="CL1115" s="19">
        <f>IF(Table1[[#This Row],[Type]]="Petroleum",1,IF(ISERROR(Table1[[#This Row],[Well Density]]*Table1[[#This Row],[Single Well Discovery Area]]),"",IF(Table1[[#This Row],[Well Density]]*Table1[[#This Row],[Single Well Discovery Area]]&gt;1,1,Table1[[#This Row],[Well Density]]*Table1[[#This Row],[Single Well Discovery Area]])))</f>
        <v>0</v>
      </c>
      <c r="CN1115" s="19">
        <f>Table1[[#This Row],[Mid]]</f>
        <v>0</v>
      </c>
      <c r="CO1115" s="19">
        <f>Table1[[#This Row],[Mid3]]+Table1[[#This Row],[Mid6]]+Table1[[#This Row],[Mid9]]</f>
        <v>0</v>
      </c>
      <c r="CP1115" s="19">
        <f>Table1[[#This Row],[Mid12]]+Table1[[#This Row],[Mid15]]+Table1[[#This Row],[Mid18]]+Table1[[#This Row],[Mid21]]+Table1[[#This Row],[Mid24]]</f>
        <v>0</v>
      </c>
      <c r="CQ1115" s="19">
        <f>Table1[[#This Row],[Mid27]]+Table1[[#This Row],[Mid30]]+Table1[[#This Row],[Mid33]]+Table1[[#This Row],[Mid36]]+Table1[[#This Row],[Mid39]]</f>
        <v>120</v>
      </c>
      <c r="CR1115" t="s">
        <v>415</v>
      </c>
      <c r="CS1115" s="19" t="str">
        <f>IF(AND(Table1[[#This Row],[Low41]]=0, Table1[[#This Row],[High43]]=0),"N","Y")</f>
        <v>N</v>
      </c>
    </row>
    <row r="1116" spans="1:97" ht="19.5" customHeight="1" x14ac:dyDescent="0.25">
      <c r="A1116">
        <v>11115</v>
      </c>
      <c r="B1116" t="s">
        <v>3412</v>
      </c>
      <c r="C1116" t="s">
        <v>3433</v>
      </c>
      <c r="D1116">
        <v>46.548055560000002</v>
      </c>
      <c r="E1116">
        <v>20.77416667</v>
      </c>
      <c r="F1116" t="s">
        <v>3437</v>
      </c>
      <c r="G1116" t="s">
        <v>2789</v>
      </c>
      <c r="H1116" t="s">
        <v>3431</v>
      </c>
      <c r="I1116" t="s">
        <v>118</v>
      </c>
      <c r="J1116" t="s">
        <v>119</v>
      </c>
      <c r="K1116" t="s">
        <v>167</v>
      </c>
      <c r="L1116" t="s">
        <v>18</v>
      </c>
      <c r="M1116" t="s">
        <v>252</v>
      </c>
      <c r="N1116" s="6" t="s">
        <v>3422</v>
      </c>
      <c r="O1116" t="s">
        <v>3387</v>
      </c>
      <c r="P1116" t="s">
        <v>2652</v>
      </c>
      <c r="Q1116" t="s">
        <v>255</v>
      </c>
      <c r="R1116" t="s">
        <v>3435</v>
      </c>
      <c r="S1116">
        <v>2010</v>
      </c>
      <c r="T1116" t="s">
        <v>771</v>
      </c>
      <c r="U1116" t="s">
        <v>3389</v>
      </c>
      <c r="V1116"/>
      <c r="AD1116">
        <v>0</v>
      </c>
      <c r="AF1116">
        <v>200</v>
      </c>
      <c r="AH1116" t="s">
        <v>2259</v>
      </c>
      <c r="AM1116" t="s">
        <v>3424</v>
      </c>
      <c r="BW1116">
        <v>204</v>
      </c>
      <c r="CE111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16" s="19">
        <f>SUM(Table1[[#This Row],[Mid39]],Table1[[#This Row],[Mid36]],Table1[[#This Row],[Mid33]],Table1[[#This Row],[Mid30]],Table1[[#This Row],[Mid27]],Table1[[#This Row],[Mid24]],Table1[[#This Row],[Mid21]],Table1[[#This Row],[Mid18]],Table1[[#This Row],[Mid15]],Table1[[#This Row],[Mid12]],Table1[[#This Row],[Mid9]],Table1[[#This Row],[Mid6]],Table1[[#This Row],[Mid3]],Table1[[#This Row],[Mid]])</f>
        <v>204</v>
      </c>
      <c r="CG11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16" t="s">
        <v>157</v>
      </c>
      <c r="CI1116" t="s">
        <v>2471</v>
      </c>
      <c r="CJ1116" t="s">
        <v>158</v>
      </c>
      <c r="CL1116" s="19">
        <f>IF(Table1[[#This Row],[Type]]="Petroleum",1,IF(ISERROR(Table1[[#This Row],[Well Density]]*Table1[[#This Row],[Single Well Discovery Area]]),"",IF(Table1[[#This Row],[Well Density]]*Table1[[#This Row],[Single Well Discovery Area]]&gt;1,1,Table1[[#This Row],[Well Density]]*Table1[[#This Row],[Single Well Discovery Area]])))</f>
        <v>0</v>
      </c>
      <c r="CN1116" s="19">
        <f>Table1[[#This Row],[Mid]]</f>
        <v>0</v>
      </c>
      <c r="CO1116" s="19">
        <f>Table1[[#This Row],[Mid3]]+Table1[[#This Row],[Mid6]]+Table1[[#This Row],[Mid9]]</f>
        <v>0</v>
      </c>
      <c r="CP1116" s="19">
        <f>Table1[[#This Row],[Mid12]]+Table1[[#This Row],[Mid15]]+Table1[[#This Row],[Mid18]]+Table1[[#This Row],[Mid21]]+Table1[[#This Row],[Mid24]]</f>
        <v>0</v>
      </c>
      <c r="CQ1116" s="19">
        <f>Table1[[#This Row],[Mid27]]+Table1[[#This Row],[Mid30]]+Table1[[#This Row],[Mid33]]+Table1[[#This Row],[Mid36]]+Table1[[#This Row],[Mid39]]</f>
        <v>204</v>
      </c>
      <c r="CR1116" t="s">
        <v>415</v>
      </c>
      <c r="CS1116" s="19" t="str">
        <f>IF(AND(Table1[[#This Row],[Low41]]=0, Table1[[#This Row],[High43]]=0),"N","Y")</f>
        <v>N</v>
      </c>
    </row>
    <row r="1117" spans="1:97" ht="19.5" customHeight="1" x14ac:dyDescent="0.25">
      <c r="A1117">
        <v>11116</v>
      </c>
      <c r="B1117" t="s">
        <v>3412</v>
      </c>
      <c r="C1117" t="s">
        <v>3438</v>
      </c>
      <c r="D1117">
        <v>46.997222219999998</v>
      </c>
      <c r="E1117">
        <v>17.639444439999998</v>
      </c>
      <c r="F1117" t="s">
        <v>3439</v>
      </c>
      <c r="G1117" t="s">
        <v>2789</v>
      </c>
      <c r="H1117" t="s">
        <v>3431</v>
      </c>
      <c r="I1117" t="s">
        <v>118</v>
      </c>
      <c r="J1117" t="s">
        <v>119</v>
      </c>
      <c r="K1117" t="s">
        <v>167</v>
      </c>
      <c r="L1117" t="s">
        <v>18</v>
      </c>
      <c r="M1117" t="s">
        <v>252</v>
      </c>
      <c r="N1117" s="6" t="s">
        <v>3422</v>
      </c>
      <c r="O1117" t="s">
        <v>3387</v>
      </c>
      <c r="P1117" t="s">
        <v>2652</v>
      </c>
      <c r="Q1117" t="s">
        <v>255</v>
      </c>
      <c r="R1117" t="s">
        <v>3435</v>
      </c>
      <c r="S1117">
        <v>2010</v>
      </c>
      <c r="T1117" t="s">
        <v>771</v>
      </c>
      <c r="U1117" t="s">
        <v>3389</v>
      </c>
      <c r="V1117"/>
      <c r="AD1117">
        <v>0</v>
      </c>
      <c r="AF1117">
        <v>200</v>
      </c>
      <c r="AH1117" t="s">
        <v>2259</v>
      </c>
      <c r="AM1117" t="s">
        <v>3424</v>
      </c>
      <c r="BW1117">
        <v>1380</v>
      </c>
      <c r="CE111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17" s="19">
        <f>SUM(Table1[[#This Row],[Mid39]],Table1[[#This Row],[Mid36]],Table1[[#This Row],[Mid33]],Table1[[#This Row],[Mid30]],Table1[[#This Row],[Mid27]],Table1[[#This Row],[Mid24]],Table1[[#This Row],[Mid21]],Table1[[#This Row],[Mid18]],Table1[[#This Row],[Mid15]],Table1[[#This Row],[Mid12]],Table1[[#This Row],[Mid9]],Table1[[#This Row],[Mid6]],Table1[[#This Row],[Mid3]],Table1[[#This Row],[Mid]])</f>
        <v>1380</v>
      </c>
      <c r="CG11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17" t="s">
        <v>157</v>
      </c>
      <c r="CI1117" t="s">
        <v>2471</v>
      </c>
      <c r="CJ1117" t="s">
        <v>158</v>
      </c>
      <c r="CL1117" s="19">
        <f>IF(Table1[[#This Row],[Type]]="Petroleum",1,IF(ISERROR(Table1[[#This Row],[Well Density]]*Table1[[#This Row],[Single Well Discovery Area]]),"",IF(Table1[[#This Row],[Well Density]]*Table1[[#This Row],[Single Well Discovery Area]]&gt;1,1,Table1[[#This Row],[Well Density]]*Table1[[#This Row],[Single Well Discovery Area]])))</f>
        <v>0</v>
      </c>
      <c r="CN1117" s="19">
        <f>Table1[[#This Row],[Mid]]</f>
        <v>0</v>
      </c>
      <c r="CO1117" s="19">
        <f>Table1[[#This Row],[Mid3]]+Table1[[#This Row],[Mid6]]+Table1[[#This Row],[Mid9]]</f>
        <v>0</v>
      </c>
      <c r="CP1117" s="19">
        <f>Table1[[#This Row],[Mid12]]+Table1[[#This Row],[Mid15]]+Table1[[#This Row],[Mid18]]+Table1[[#This Row],[Mid21]]+Table1[[#This Row],[Mid24]]</f>
        <v>0</v>
      </c>
      <c r="CQ1117" s="19">
        <f>Table1[[#This Row],[Mid27]]+Table1[[#This Row],[Mid30]]+Table1[[#This Row],[Mid33]]+Table1[[#This Row],[Mid36]]+Table1[[#This Row],[Mid39]]</f>
        <v>1380</v>
      </c>
      <c r="CR1117" t="s">
        <v>415</v>
      </c>
      <c r="CS1117" s="19" t="str">
        <f>IF(AND(Table1[[#This Row],[Low41]]=0, Table1[[#This Row],[High43]]=0),"N","Y")</f>
        <v>N</v>
      </c>
    </row>
    <row r="1118" spans="1:97" ht="19.5" customHeight="1" x14ac:dyDescent="0.25">
      <c r="A1118">
        <v>11117</v>
      </c>
      <c r="B1118" t="s">
        <v>3412</v>
      </c>
      <c r="C1118" t="s">
        <v>2789</v>
      </c>
      <c r="D1118">
        <v>47.105400000000003</v>
      </c>
      <c r="E1118">
        <v>18.895600000000002</v>
      </c>
      <c r="F1118" t="s">
        <v>3440</v>
      </c>
      <c r="G1118" t="s">
        <v>2789</v>
      </c>
      <c r="H1118" t="s">
        <v>167</v>
      </c>
      <c r="I1118" t="s">
        <v>118</v>
      </c>
      <c r="J1118" t="s">
        <v>119</v>
      </c>
      <c r="K1118" t="s">
        <v>167</v>
      </c>
      <c r="L1118" t="s">
        <v>18</v>
      </c>
      <c r="M1118" t="s">
        <v>252</v>
      </c>
      <c r="N1118" s="6" t="s">
        <v>3441</v>
      </c>
      <c r="O1118" t="s">
        <v>3387</v>
      </c>
      <c r="P1118" t="s">
        <v>2652</v>
      </c>
      <c r="Q1118" t="s">
        <v>255</v>
      </c>
      <c r="R1118" t="s">
        <v>3442</v>
      </c>
      <c r="S1118">
        <v>2011</v>
      </c>
      <c r="T1118" t="s">
        <v>771</v>
      </c>
      <c r="U1118" t="s">
        <v>3389</v>
      </c>
      <c r="V1118"/>
      <c r="Z1118">
        <v>17</v>
      </c>
      <c r="AA1118">
        <v>30</v>
      </c>
      <c r="AD1118">
        <v>0</v>
      </c>
      <c r="AF1118">
        <v>20</v>
      </c>
      <c r="AH1118" t="s">
        <v>2259</v>
      </c>
      <c r="AM1118" t="s">
        <v>3443</v>
      </c>
      <c r="BZ1118">
        <v>2000</v>
      </c>
      <c r="CE111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18" s="19">
        <f>SUM(Table1[[#This Row],[Mid39]],Table1[[#This Row],[Mid36]],Table1[[#This Row],[Mid33]],Table1[[#This Row],[Mid30]],Table1[[#This Row],[Mid27]],Table1[[#This Row],[Mid24]],Table1[[#This Row],[Mid21]],Table1[[#This Row],[Mid18]],Table1[[#This Row],[Mid15]],Table1[[#This Row],[Mid12]],Table1[[#This Row],[Mid9]],Table1[[#This Row],[Mid6]],Table1[[#This Row],[Mid3]],Table1[[#This Row],[Mid]])</f>
        <v>2000</v>
      </c>
      <c r="CG111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18" t="s">
        <v>157</v>
      </c>
      <c r="CI1118" t="s">
        <v>189</v>
      </c>
      <c r="CJ1118" t="s">
        <v>158</v>
      </c>
      <c r="CL1118" s="19">
        <f>IF(Table1[[#This Row],[Type]]="Petroleum",1,IF(ISERROR(Table1[[#This Row],[Well Density]]*Table1[[#This Row],[Single Well Discovery Area]]),"",IF(Table1[[#This Row],[Well Density]]*Table1[[#This Row],[Single Well Discovery Area]]&gt;1,1,Table1[[#This Row],[Well Density]]*Table1[[#This Row],[Single Well Discovery Area]])))</f>
        <v>0</v>
      </c>
      <c r="CN1118" s="19">
        <f>Table1[[#This Row],[Mid]]</f>
        <v>0</v>
      </c>
      <c r="CO1118" s="19">
        <f>Table1[[#This Row],[Mid3]]+Table1[[#This Row],[Mid6]]+Table1[[#This Row],[Mid9]]</f>
        <v>0</v>
      </c>
      <c r="CP1118" s="19">
        <f>Table1[[#This Row],[Mid12]]+Table1[[#This Row],[Mid15]]+Table1[[#This Row],[Mid18]]+Table1[[#This Row],[Mid21]]+Table1[[#This Row],[Mid24]]</f>
        <v>0</v>
      </c>
      <c r="CQ1118" s="19">
        <f>Table1[[#This Row],[Mid27]]+Table1[[#This Row],[Mid30]]+Table1[[#This Row],[Mid33]]+Table1[[#This Row],[Mid36]]+Table1[[#This Row],[Mid39]]</f>
        <v>2000</v>
      </c>
      <c r="CR1118" t="s">
        <v>415</v>
      </c>
      <c r="CS1118" s="19" t="str">
        <f>IF(AND(Table1[[#This Row],[Low41]]=0, Table1[[#This Row],[High43]]=0),"N","Y")</f>
        <v>N</v>
      </c>
    </row>
    <row r="1119" spans="1:97" ht="19.5" customHeight="1" x14ac:dyDescent="0.25">
      <c r="A1119">
        <v>11118</v>
      </c>
      <c r="B1119" t="s">
        <v>3412</v>
      </c>
      <c r="C1119" t="s">
        <v>2789</v>
      </c>
      <c r="D1119">
        <v>47.162777779999999</v>
      </c>
      <c r="E1119">
        <v>19.234999999999999</v>
      </c>
      <c r="F1119" t="s">
        <v>3444</v>
      </c>
      <c r="G1119" t="s">
        <v>2789</v>
      </c>
      <c r="H1119" t="s">
        <v>167</v>
      </c>
      <c r="I1119" t="s">
        <v>118</v>
      </c>
      <c r="J1119" t="s">
        <v>119</v>
      </c>
      <c r="K1119" t="s">
        <v>167</v>
      </c>
      <c r="L1119" t="s">
        <v>18</v>
      </c>
      <c r="M1119" t="s">
        <v>252</v>
      </c>
      <c r="N1119" s="6" t="s">
        <v>3441</v>
      </c>
      <c r="O1119" t="s">
        <v>3387</v>
      </c>
      <c r="P1119" t="s">
        <v>2652</v>
      </c>
      <c r="Q1119" t="s">
        <v>255</v>
      </c>
      <c r="R1119" t="s">
        <v>3442</v>
      </c>
      <c r="S1119">
        <v>2011</v>
      </c>
      <c r="T1119" t="s">
        <v>771</v>
      </c>
      <c r="U1119" t="s">
        <v>3389</v>
      </c>
      <c r="V1119"/>
      <c r="Z1119">
        <v>20</v>
      </c>
      <c r="AA1119">
        <v>300</v>
      </c>
      <c r="AD1119">
        <v>0</v>
      </c>
      <c r="AF1119">
        <v>20</v>
      </c>
      <c r="AH1119" t="s">
        <v>2259</v>
      </c>
      <c r="AM1119" t="s">
        <v>3443</v>
      </c>
      <c r="BZ1119">
        <v>400</v>
      </c>
      <c r="CE111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19" s="19">
        <f>SUM(Table1[[#This Row],[Mid39]],Table1[[#This Row],[Mid36]],Table1[[#This Row],[Mid33]],Table1[[#This Row],[Mid30]],Table1[[#This Row],[Mid27]],Table1[[#This Row],[Mid24]],Table1[[#This Row],[Mid21]],Table1[[#This Row],[Mid18]],Table1[[#This Row],[Mid15]],Table1[[#This Row],[Mid12]],Table1[[#This Row],[Mid9]],Table1[[#This Row],[Mid6]],Table1[[#This Row],[Mid3]],Table1[[#This Row],[Mid]])</f>
        <v>400</v>
      </c>
      <c r="CG11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19" t="s">
        <v>157</v>
      </c>
      <c r="CI1119" t="s">
        <v>189</v>
      </c>
      <c r="CJ1119" t="s">
        <v>158</v>
      </c>
      <c r="CL1119" s="19">
        <f>IF(Table1[[#This Row],[Type]]="Petroleum",1,IF(ISERROR(Table1[[#This Row],[Well Density]]*Table1[[#This Row],[Single Well Discovery Area]]),"",IF(Table1[[#This Row],[Well Density]]*Table1[[#This Row],[Single Well Discovery Area]]&gt;1,1,Table1[[#This Row],[Well Density]]*Table1[[#This Row],[Single Well Discovery Area]])))</f>
        <v>0</v>
      </c>
      <c r="CN1119" s="19">
        <f>Table1[[#This Row],[Mid]]</f>
        <v>0</v>
      </c>
      <c r="CO1119" s="19">
        <f>Table1[[#This Row],[Mid3]]+Table1[[#This Row],[Mid6]]+Table1[[#This Row],[Mid9]]</f>
        <v>0</v>
      </c>
      <c r="CP1119" s="19">
        <f>Table1[[#This Row],[Mid12]]+Table1[[#This Row],[Mid15]]+Table1[[#This Row],[Mid18]]+Table1[[#This Row],[Mid21]]+Table1[[#This Row],[Mid24]]</f>
        <v>0</v>
      </c>
      <c r="CQ1119" s="19">
        <f>Table1[[#This Row],[Mid27]]+Table1[[#This Row],[Mid30]]+Table1[[#This Row],[Mid33]]+Table1[[#This Row],[Mid36]]+Table1[[#This Row],[Mid39]]</f>
        <v>400</v>
      </c>
      <c r="CR1119" t="s">
        <v>415</v>
      </c>
      <c r="CS1119" s="19" t="str">
        <f>IF(AND(Table1[[#This Row],[Low41]]=0, Table1[[#This Row],[High43]]=0),"N","Y")</f>
        <v>N</v>
      </c>
    </row>
    <row r="1120" spans="1:97" ht="19.5" customHeight="1" x14ac:dyDescent="0.25">
      <c r="A1120">
        <v>11119</v>
      </c>
      <c r="B1120" t="s">
        <v>3412</v>
      </c>
      <c r="C1120" t="s">
        <v>3413</v>
      </c>
      <c r="D1120">
        <v>47.54666667</v>
      </c>
      <c r="E1120">
        <v>20.323611110000002</v>
      </c>
      <c r="F1120" t="s">
        <v>3445</v>
      </c>
      <c r="G1120" t="s">
        <v>2789</v>
      </c>
      <c r="H1120" t="s">
        <v>3445</v>
      </c>
      <c r="I1120" t="s">
        <v>520</v>
      </c>
      <c r="J1120" t="s">
        <v>202</v>
      </c>
      <c r="K1120" t="s">
        <v>203</v>
      </c>
      <c r="L1120" t="s">
        <v>121</v>
      </c>
      <c r="M1120" t="s">
        <v>252</v>
      </c>
      <c r="N1120" s="6" t="s">
        <v>3441</v>
      </c>
      <c r="O1120" t="s">
        <v>3387</v>
      </c>
      <c r="P1120" t="s">
        <v>2652</v>
      </c>
      <c r="Q1120" t="s">
        <v>255</v>
      </c>
      <c r="R1120" t="s">
        <v>3446</v>
      </c>
      <c r="S1120">
        <v>2011</v>
      </c>
      <c r="T1120" t="s">
        <v>771</v>
      </c>
      <c r="U1120" t="s">
        <v>3389</v>
      </c>
      <c r="V1120"/>
      <c r="AD1120">
        <v>0</v>
      </c>
      <c r="AF1120">
        <v>20</v>
      </c>
      <c r="AH1120" t="s">
        <v>2259</v>
      </c>
      <c r="AM1120" t="s">
        <v>3443</v>
      </c>
      <c r="BG1120">
        <v>150</v>
      </c>
      <c r="BH1120">
        <v>175</v>
      </c>
      <c r="BI1120">
        <v>200</v>
      </c>
      <c r="CE1120" s="19">
        <f>SUM(Table1[[#This Row],[Low38]],Table1[[#This Row],[Low35]],Table1[[#This Row],[Low32]],Table1[[#This Row],[Low29]],Table1[[#This Row],[Low26]],Table1[[#This Row],[Low23]],Table1[[#This Row],[Low20]],Table1[[#This Row],[Low17]],Table1[[#This Row],[Low14]],Table1[[#This Row],[Low11]],Table1[[#This Row],[Low8]],Table1[[#This Row],[Low5]],Table1[[#This Row],[Low2]],Table1[[#This Row],[Low]])</f>
        <v>150</v>
      </c>
      <c r="CF1120" s="19">
        <f>SUM(Table1[[#This Row],[Mid39]],Table1[[#This Row],[Mid36]],Table1[[#This Row],[Mid33]],Table1[[#This Row],[Mid30]],Table1[[#This Row],[Mid27]],Table1[[#This Row],[Mid24]],Table1[[#This Row],[Mid21]],Table1[[#This Row],[Mid18]],Table1[[#This Row],[Mid15]],Table1[[#This Row],[Mid12]],Table1[[#This Row],[Mid9]],Table1[[#This Row],[Mid6]],Table1[[#This Row],[Mid3]],Table1[[#This Row],[Mid]])</f>
        <v>175</v>
      </c>
      <c r="CG11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200</v>
      </c>
      <c r="CH1120" t="s">
        <v>157</v>
      </c>
      <c r="CI1120" t="s">
        <v>189</v>
      </c>
      <c r="CJ1120" t="s">
        <v>158</v>
      </c>
      <c r="CL1120" s="19">
        <f>IF(Table1[[#This Row],[Type]]="Petroleum",1,IF(ISERROR(Table1[[#This Row],[Well Density]]*Table1[[#This Row],[Single Well Discovery Area]]),"",IF(Table1[[#This Row],[Well Density]]*Table1[[#This Row],[Single Well Discovery Area]]&gt;1,1,Table1[[#This Row],[Well Density]]*Table1[[#This Row],[Single Well Discovery Area]])))</f>
        <v>1</v>
      </c>
      <c r="CN1120" s="19">
        <f>Table1[[#This Row],[Mid]]</f>
        <v>0</v>
      </c>
      <c r="CO1120" s="19">
        <f>Table1[[#This Row],[Mid3]]+Table1[[#This Row],[Mid6]]+Table1[[#This Row],[Mid9]]</f>
        <v>0</v>
      </c>
      <c r="CP1120" s="19">
        <f>Table1[[#This Row],[Mid12]]+Table1[[#This Row],[Mid15]]+Table1[[#This Row],[Mid18]]+Table1[[#This Row],[Mid21]]+Table1[[#This Row],[Mid24]]</f>
        <v>175</v>
      </c>
      <c r="CQ1120" s="19">
        <f>Table1[[#This Row],[Mid27]]+Table1[[#This Row],[Mid30]]+Table1[[#This Row],[Mid33]]+Table1[[#This Row],[Mid36]]+Table1[[#This Row],[Mid39]]</f>
        <v>0</v>
      </c>
      <c r="CR1120" t="s">
        <v>415</v>
      </c>
      <c r="CS1120" s="19" t="str">
        <f>IF(AND(Table1[[#This Row],[Low41]]=0, Table1[[#This Row],[High43]]=0),"N","Y")</f>
        <v>Y</v>
      </c>
    </row>
    <row r="1121" spans="1:97" ht="19.5" customHeight="1" x14ac:dyDescent="0.25">
      <c r="A1121">
        <v>11120</v>
      </c>
      <c r="B1121" t="s">
        <v>3412</v>
      </c>
      <c r="C1121" t="s">
        <v>3447</v>
      </c>
      <c r="D1121">
        <v>46.583055559999998</v>
      </c>
      <c r="E1121">
        <v>19.295277779999999</v>
      </c>
      <c r="F1121" t="s">
        <v>3448</v>
      </c>
      <c r="G1121" t="s">
        <v>2789</v>
      </c>
      <c r="H1121" t="s">
        <v>3421</v>
      </c>
      <c r="I1121" t="s">
        <v>520</v>
      </c>
      <c r="J1121" t="s">
        <v>202</v>
      </c>
      <c r="K1121" t="s">
        <v>203</v>
      </c>
      <c r="L1121" t="s">
        <v>121</v>
      </c>
      <c r="M1121" t="s">
        <v>252</v>
      </c>
      <c r="N1121" s="6" t="s">
        <v>3441</v>
      </c>
      <c r="O1121" t="s">
        <v>3387</v>
      </c>
      <c r="P1121" t="s">
        <v>2652</v>
      </c>
      <c r="Q1121" t="s">
        <v>255</v>
      </c>
      <c r="R1121" t="s">
        <v>3446</v>
      </c>
      <c r="S1121">
        <v>2011</v>
      </c>
      <c r="T1121" t="s">
        <v>771</v>
      </c>
      <c r="U1121" t="s">
        <v>3389</v>
      </c>
      <c r="V1121"/>
      <c r="AD1121">
        <v>0</v>
      </c>
      <c r="AF1121">
        <v>200</v>
      </c>
      <c r="AH1121" t="s">
        <v>2259</v>
      </c>
      <c r="AM1121" t="s">
        <v>3443</v>
      </c>
      <c r="BG1121">
        <v>500</v>
      </c>
      <c r="BH1121">
        <v>525</v>
      </c>
      <c r="BI1121">
        <v>550</v>
      </c>
      <c r="CE1121" s="19">
        <f>SUM(Table1[[#This Row],[Low38]],Table1[[#This Row],[Low35]],Table1[[#This Row],[Low32]],Table1[[#This Row],[Low29]],Table1[[#This Row],[Low26]],Table1[[#This Row],[Low23]],Table1[[#This Row],[Low20]],Table1[[#This Row],[Low17]],Table1[[#This Row],[Low14]],Table1[[#This Row],[Low11]],Table1[[#This Row],[Low8]],Table1[[#This Row],[Low5]],Table1[[#This Row],[Low2]],Table1[[#This Row],[Low]])</f>
        <v>500</v>
      </c>
      <c r="CF1121" s="19">
        <f>SUM(Table1[[#This Row],[Mid39]],Table1[[#This Row],[Mid36]],Table1[[#This Row],[Mid33]],Table1[[#This Row],[Mid30]],Table1[[#This Row],[Mid27]],Table1[[#This Row],[Mid24]],Table1[[#This Row],[Mid21]],Table1[[#This Row],[Mid18]],Table1[[#This Row],[Mid15]],Table1[[#This Row],[Mid12]],Table1[[#This Row],[Mid9]],Table1[[#This Row],[Mid6]],Table1[[#This Row],[Mid3]],Table1[[#This Row],[Mid]])</f>
        <v>525</v>
      </c>
      <c r="CG11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550</v>
      </c>
      <c r="CH1121" t="s">
        <v>157</v>
      </c>
      <c r="CI1121" t="s">
        <v>2471</v>
      </c>
      <c r="CJ1121" t="s">
        <v>158</v>
      </c>
      <c r="CL1121" s="19">
        <f>IF(Table1[[#This Row],[Type]]="Petroleum",1,IF(ISERROR(Table1[[#This Row],[Well Density]]*Table1[[#This Row],[Single Well Discovery Area]]),"",IF(Table1[[#This Row],[Well Density]]*Table1[[#This Row],[Single Well Discovery Area]]&gt;1,1,Table1[[#This Row],[Well Density]]*Table1[[#This Row],[Single Well Discovery Area]])))</f>
        <v>1</v>
      </c>
      <c r="CN1121" s="19">
        <f>Table1[[#This Row],[Mid]]</f>
        <v>0</v>
      </c>
      <c r="CO1121" s="19">
        <f>Table1[[#This Row],[Mid3]]+Table1[[#This Row],[Mid6]]+Table1[[#This Row],[Mid9]]</f>
        <v>0</v>
      </c>
      <c r="CP1121" s="19">
        <f>Table1[[#This Row],[Mid12]]+Table1[[#This Row],[Mid15]]+Table1[[#This Row],[Mid18]]+Table1[[#This Row],[Mid21]]+Table1[[#This Row],[Mid24]]</f>
        <v>525</v>
      </c>
      <c r="CQ1121" s="19">
        <f>Table1[[#This Row],[Mid27]]+Table1[[#This Row],[Mid30]]+Table1[[#This Row],[Mid33]]+Table1[[#This Row],[Mid36]]+Table1[[#This Row],[Mid39]]</f>
        <v>0</v>
      </c>
      <c r="CR1121" t="s">
        <v>415</v>
      </c>
      <c r="CS1121" s="19" t="str">
        <f>IF(AND(Table1[[#This Row],[Low41]]=0, Table1[[#This Row],[High43]]=0),"N","Y")</f>
        <v>Y</v>
      </c>
    </row>
    <row r="1122" spans="1:97" ht="19.5" customHeight="1" x14ac:dyDescent="0.25">
      <c r="A1122">
        <v>11121</v>
      </c>
      <c r="B1122" t="s">
        <v>3412</v>
      </c>
      <c r="C1122" t="s">
        <v>3438</v>
      </c>
      <c r="D1122">
        <v>47.18972222</v>
      </c>
      <c r="E1122">
        <v>18.56888889</v>
      </c>
      <c r="F1122" t="s">
        <v>3449</v>
      </c>
      <c r="G1122" t="s">
        <v>2789</v>
      </c>
      <c r="H1122" t="s">
        <v>3421</v>
      </c>
      <c r="I1122" t="s">
        <v>520</v>
      </c>
      <c r="J1122" t="s">
        <v>202</v>
      </c>
      <c r="K1122" t="s">
        <v>203</v>
      </c>
      <c r="L1122" t="s">
        <v>121</v>
      </c>
      <c r="M1122" t="s">
        <v>252</v>
      </c>
      <c r="N1122" s="6" t="s">
        <v>3441</v>
      </c>
      <c r="O1122" t="s">
        <v>3387</v>
      </c>
      <c r="P1122" t="s">
        <v>2652</v>
      </c>
      <c r="Q1122" t="s">
        <v>255</v>
      </c>
      <c r="R1122" t="s">
        <v>3446</v>
      </c>
      <c r="S1122">
        <v>2011</v>
      </c>
      <c r="T1122" t="s">
        <v>771</v>
      </c>
      <c r="U1122" t="s">
        <v>3389</v>
      </c>
      <c r="V1122"/>
      <c r="AD1122">
        <v>0</v>
      </c>
      <c r="AF1122">
        <v>200</v>
      </c>
      <c r="AH1122" t="s">
        <v>2259</v>
      </c>
      <c r="AM1122" t="s">
        <v>3443</v>
      </c>
      <c r="BG1122">
        <v>1000</v>
      </c>
      <c r="BH1122">
        <v>125</v>
      </c>
      <c r="BI1122">
        <v>1500</v>
      </c>
      <c r="CE1122" s="19">
        <f>SUM(Table1[[#This Row],[Low38]],Table1[[#This Row],[Low35]],Table1[[#This Row],[Low32]],Table1[[#This Row],[Low29]],Table1[[#This Row],[Low26]],Table1[[#This Row],[Low23]],Table1[[#This Row],[Low20]],Table1[[#This Row],[Low17]],Table1[[#This Row],[Low14]],Table1[[#This Row],[Low11]],Table1[[#This Row],[Low8]],Table1[[#This Row],[Low5]],Table1[[#This Row],[Low2]],Table1[[#This Row],[Low]])</f>
        <v>1000</v>
      </c>
      <c r="CF1122" s="19">
        <f>SUM(Table1[[#This Row],[Mid39]],Table1[[#This Row],[Mid36]],Table1[[#This Row],[Mid33]],Table1[[#This Row],[Mid30]],Table1[[#This Row],[Mid27]],Table1[[#This Row],[Mid24]],Table1[[#This Row],[Mid21]],Table1[[#This Row],[Mid18]],Table1[[#This Row],[Mid15]],Table1[[#This Row],[Mid12]],Table1[[#This Row],[Mid9]],Table1[[#This Row],[Mid6]],Table1[[#This Row],[Mid3]],Table1[[#This Row],[Mid]])</f>
        <v>125</v>
      </c>
      <c r="CG11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1500</v>
      </c>
      <c r="CH1122" t="s">
        <v>157</v>
      </c>
      <c r="CI1122" t="s">
        <v>2471</v>
      </c>
      <c r="CJ1122" t="s">
        <v>158</v>
      </c>
      <c r="CL1122" s="19">
        <f>IF(Table1[[#This Row],[Type]]="Petroleum",1,IF(ISERROR(Table1[[#This Row],[Well Density]]*Table1[[#This Row],[Single Well Discovery Area]]),"",IF(Table1[[#This Row],[Well Density]]*Table1[[#This Row],[Single Well Discovery Area]]&gt;1,1,Table1[[#This Row],[Well Density]]*Table1[[#This Row],[Single Well Discovery Area]])))</f>
        <v>1</v>
      </c>
      <c r="CN1122" s="19">
        <f>Table1[[#This Row],[Mid]]</f>
        <v>0</v>
      </c>
      <c r="CO1122" s="19">
        <f>Table1[[#This Row],[Mid3]]+Table1[[#This Row],[Mid6]]+Table1[[#This Row],[Mid9]]</f>
        <v>0</v>
      </c>
      <c r="CP1122" s="19">
        <f>Table1[[#This Row],[Mid12]]+Table1[[#This Row],[Mid15]]+Table1[[#This Row],[Mid18]]+Table1[[#This Row],[Mid21]]+Table1[[#This Row],[Mid24]]</f>
        <v>125</v>
      </c>
      <c r="CQ1122" s="19">
        <f>Table1[[#This Row],[Mid27]]+Table1[[#This Row],[Mid30]]+Table1[[#This Row],[Mid33]]+Table1[[#This Row],[Mid36]]+Table1[[#This Row],[Mid39]]</f>
        <v>0</v>
      </c>
      <c r="CR1122" t="s">
        <v>415</v>
      </c>
      <c r="CS1122" s="19" t="str">
        <f>IF(AND(Table1[[#This Row],[Low41]]=0, Table1[[#This Row],[High43]]=0),"N","Y")</f>
        <v>Y</v>
      </c>
    </row>
    <row r="1123" spans="1:97" ht="19.5" customHeight="1" x14ac:dyDescent="0.25">
      <c r="A1123">
        <v>11122</v>
      </c>
      <c r="B1123" t="s">
        <v>3412</v>
      </c>
      <c r="C1123" t="s">
        <v>3413</v>
      </c>
      <c r="D1123">
        <v>46.977777779999997</v>
      </c>
      <c r="E1123">
        <v>20.570555559999999</v>
      </c>
      <c r="F1123" t="s">
        <v>3450</v>
      </c>
      <c r="G1123" t="s">
        <v>2789</v>
      </c>
      <c r="H1123" t="s">
        <v>3421</v>
      </c>
      <c r="I1123" t="s">
        <v>520</v>
      </c>
      <c r="J1123" t="s">
        <v>202</v>
      </c>
      <c r="K1123" t="s">
        <v>203</v>
      </c>
      <c r="L1123" t="s">
        <v>121</v>
      </c>
      <c r="M1123" t="s">
        <v>252</v>
      </c>
      <c r="N1123" s="6" t="s">
        <v>3441</v>
      </c>
      <c r="O1123" t="s">
        <v>3387</v>
      </c>
      <c r="P1123" t="s">
        <v>2652</v>
      </c>
      <c r="Q1123" t="s">
        <v>255</v>
      </c>
      <c r="R1123" t="s">
        <v>3446</v>
      </c>
      <c r="S1123">
        <v>2011</v>
      </c>
      <c r="T1123" t="s">
        <v>771</v>
      </c>
      <c r="U1123" t="s">
        <v>3389</v>
      </c>
      <c r="V1123"/>
      <c r="AD1123">
        <v>0</v>
      </c>
      <c r="AF1123">
        <v>200</v>
      </c>
      <c r="AH1123" t="s">
        <v>2259</v>
      </c>
      <c r="AM1123" t="s">
        <v>3443</v>
      </c>
      <c r="BG1123">
        <v>1500</v>
      </c>
      <c r="BH1123">
        <v>2000</v>
      </c>
      <c r="BI1123">
        <v>2500</v>
      </c>
      <c r="CE1123" s="19">
        <f>SUM(Table1[[#This Row],[Low38]],Table1[[#This Row],[Low35]],Table1[[#This Row],[Low32]],Table1[[#This Row],[Low29]],Table1[[#This Row],[Low26]],Table1[[#This Row],[Low23]],Table1[[#This Row],[Low20]],Table1[[#This Row],[Low17]],Table1[[#This Row],[Low14]],Table1[[#This Row],[Low11]],Table1[[#This Row],[Low8]],Table1[[#This Row],[Low5]],Table1[[#This Row],[Low2]],Table1[[#This Row],[Low]])</f>
        <v>1500</v>
      </c>
      <c r="CF1123" s="19">
        <f>SUM(Table1[[#This Row],[Mid39]],Table1[[#This Row],[Mid36]],Table1[[#This Row],[Mid33]],Table1[[#This Row],[Mid30]],Table1[[#This Row],[Mid27]],Table1[[#This Row],[Mid24]],Table1[[#This Row],[Mid21]],Table1[[#This Row],[Mid18]],Table1[[#This Row],[Mid15]],Table1[[#This Row],[Mid12]],Table1[[#This Row],[Mid9]],Table1[[#This Row],[Mid6]],Table1[[#This Row],[Mid3]],Table1[[#This Row],[Mid]])</f>
        <v>2000</v>
      </c>
      <c r="CG11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2500</v>
      </c>
      <c r="CH1123" t="s">
        <v>157</v>
      </c>
      <c r="CI1123" t="s">
        <v>2471</v>
      </c>
      <c r="CJ1123" t="s">
        <v>158</v>
      </c>
      <c r="CL1123" s="19">
        <f>IF(Table1[[#This Row],[Type]]="Petroleum",1,IF(ISERROR(Table1[[#This Row],[Well Density]]*Table1[[#This Row],[Single Well Discovery Area]]),"",IF(Table1[[#This Row],[Well Density]]*Table1[[#This Row],[Single Well Discovery Area]]&gt;1,1,Table1[[#This Row],[Well Density]]*Table1[[#This Row],[Single Well Discovery Area]])))</f>
        <v>1</v>
      </c>
      <c r="CN1123" s="19">
        <f>Table1[[#This Row],[Mid]]</f>
        <v>0</v>
      </c>
      <c r="CO1123" s="19">
        <f>Table1[[#This Row],[Mid3]]+Table1[[#This Row],[Mid6]]+Table1[[#This Row],[Mid9]]</f>
        <v>0</v>
      </c>
      <c r="CP1123" s="19">
        <f>Table1[[#This Row],[Mid12]]+Table1[[#This Row],[Mid15]]+Table1[[#This Row],[Mid18]]+Table1[[#This Row],[Mid21]]+Table1[[#This Row],[Mid24]]</f>
        <v>2000</v>
      </c>
      <c r="CQ1123" s="19">
        <f>Table1[[#This Row],[Mid27]]+Table1[[#This Row],[Mid30]]+Table1[[#This Row],[Mid33]]+Table1[[#This Row],[Mid36]]+Table1[[#This Row],[Mid39]]</f>
        <v>0</v>
      </c>
      <c r="CR1123" t="s">
        <v>415</v>
      </c>
      <c r="CS1123" s="19" t="str">
        <f>IF(AND(Table1[[#This Row],[Low41]]=0, Table1[[#This Row],[High43]]=0),"N","Y")</f>
        <v>Y</v>
      </c>
    </row>
    <row r="1124" spans="1:97" ht="19.5" customHeight="1" x14ac:dyDescent="0.25">
      <c r="A1124">
        <v>11123</v>
      </c>
      <c r="B1124" t="s">
        <v>3451</v>
      </c>
      <c r="C1124" t="s">
        <v>3452</v>
      </c>
      <c r="D1124">
        <v>51.481999999999999</v>
      </c>
      <c r="E1124">
        <v>-8.1999999999999993</v>
      </c>
      <c r="F1124" t="s">
        <v>3453</v>
      </c>
      <c r="G1124" t="s">
        <v>3454</v>
      </c>
      <c r="H1124" t="s">
        <v>3455</v>
      </c>
      <c r="I1124" t="s">
        <v>520</v>
      </c>
      <c r="J1124" t="s">
        <v>202</v>
      </c>
      <c r="K1124" t="s">
        <v>203</v>
      </c>
      <c r="L1124" t="s">
        <v>121</v>
      </c>
      <c r="M1124" t="s">
        <v>3456</v>
      </c>
      <c r="N1124" s="6" t="s">
        <v>3457</v>
      </c>
      <c r="O1124" t="s">
        <v>3387</v>
      </c>
      <c r="P1124" t="s">
        <v>2652</v>
      </c>
      <c r="Q1124" t="s">
        <v>255</v>
      </c>
      <c r="R1124" t="s">
        <v>3458</v>
      </c>
      <c r="S1124">
        <v>2013</v>
      </c>
      <c r="T1124" t="s">
        <v>771</v>
      </c>
      <c r="U1124" t="s">
        <v>3389</v>
      </c>
      <c r="V1124"/>
      <c r="AD1124">
        <v>0</v>
      </c>
      <c r="AF1124">
        <v>200</v>
      </c>
      <c r="AH1124" t="s">
        <v>2259</v>
      </c>
      <c r="AM1124" t="s">
        <v>167</v>
      </c>
      <c r="BN1124">
        <v>286</v>
      </c>
      <c r="CE112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24" s="19">
        <f>SUM(Table1[[#This Row],[Mid39]],Table1[[#This Row],[Mid36]],Table1[[#This Row],[Mid33]],Table1[[#This Row],[Mid30]],Table1[[#This Row],[Mid27]],Table1[[#This Row],[Mid24]],Table1[[#This Row],[Mid21]],Table1[[#This Row],[Mid18]],Table1[[#This Row],[Mid15]],Table1[[#This Row],[Mid12]],Table1[[#This Row],[Mid9]],Table1[[#This Row],[Mid6]],Table1[[#This Row],[Mid3]],Table1[[#This Row],[Mid]])</f>
        <v>286</v>
      </c>
      <c r="CG11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24" t="s">
        <v>157</v>
      </c>
      <c r="CI1124" t="s">
        <v>2471</v>
      </c>
      <c r="CJ1124" t="s">
        <v>158</v>
      </c>
      <c r="CL1124" s="19">
        <f>IF(Table1[[#This Row],[Type]]="Petroleum",1,IF(ISERROR(Table1[[#This Row],[Well Density]]*Table1[[#This Row],[Single Well Discovery Area]]),"",IF(Table1[[#This Row],[Well Density]]*Table1[[#This Row],[Single Well Discovery Area]]&gt;1,1,Table1[[#This Row],[Well Density]]*Table1[[#This Row],[Single Well Discovery Area]])))</f>
        <v>1</v>
      </c>
      <c r="CN1124" s="19">
        <f>Table1[[#This Row],[Mid]]</f>
        <v>0</v>
      </c>
      <c r="CO1124" s="19">
        <f>Table1[[#This Row],[Mid3]]+Table1[[#This Row],[Mid6]]+Table1[[#This Row],[Mid9]]</f>
        <v>0</v>
      </c>
      <c r="CP1124" s="19">
        <f>Table1[[#This Row],[Mid12]]+Table1[[#This Row],[Mid15]]+Table1[[#This Row],[Mid18]]+Table1[[#This Row],[Mid21]]+Table1[[#This Row],[Mid24]]</f>
        <v>286</v>
      </c>
      <c r="CQ1124" s="19">
        <f>Table1[[#This Row],[Mid27]]+Table1[[#This Row],[Mid30]]+Table1[[#This Row],[Mid33]]+Table1[[#This Row],[Mid36]]+Table1[[#This Row],[Mid39]]</f>
        <v>0</v>
      </c>
      <c r="CR1124" t="s">
        <v>415</v>
      </c>
      <c r="CS1124" s="19" t="str">
        <f>IF(AND(Table1[[#This Row],[Low41]]=0, Table1[[#This Row],[High43]]=0),"N","Y")</f>
        <v>N</v>
      </c>
    </row>
    <row r="1125" spans="1:97" ht="19.5" customHeight="1" x14ac:dyDescent="0.25">
      <c r="A1125">
        <v>11124</v>
      </c>
      <c r="B1125" t="s">
        <v>3451</v>
      </c>
      <c r="C1125" t="s">
        <v>3459</v>
      </c>
      <c r="D1125">
        <v>54.93222222</v>
      </c>
      <c r="E1125">
        <v>-5.4963888890000003</v>
      </c>
      <c r="F1125" t="s">
        <v>3460</v>
      </c>
      <c r="G1125" t="s">
        <v>3461</v>
      </c>
      <c r="H1125" t="s">
        <v>3462</v>
      </c>
      <c r="I1125" t="s">
        <v>520</v>
      </c>
      <c r="J1125" t="s">
        <v>202</v>
      </c>
      <c r="K1125" t="s">
        <v>203</v>
      </c>
      <c r="L1125" t="s">
        <v>18</v>
      </c>
      <c r="M1125" t="s">
        <v>2656</v>
      </c>
      <c r="N1125" s="6" t="s">
        <v>3463</v>
      </c>
      <c r="O1125" t="s">
        <v>3387</v>
      </c>
      <c r="P1125" t="s">
        <v>2652</v>
      </c>
      <c r="Q1125" t="s">
        <v>255</v>
      </c>
      <c r="R1125" t="s">
        <v>3458</v>
      </c>
      <c r="S1125">
        <v>2009</v>
      </c>
      <c r="T1125" t="s">
        <v>771</v>
      </c>
      <c r="U1125" t="s">
        <v>3389</v>
      </c>
      <c r="V1125"/>
      <c r="AD1125">
        <v>0</v>
      </c>
      <c r="AF1125">
        <v>200</v>
      </c>
      <c r="AH1125" t="s">
        <v>2259</v>
      </c>
      <c r="AM1125" t="s">
        <v>3464</v>
      </c>
      <c r="CC1125">
        <v>37</v>
      </c>
      <c r="CE112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25" s="19">
        <f>SUM(Table1[[#This Row],[Mid39]],Table1[[#This Row],[Mid36]],Table1[[#This Row],[Mid33]],Table1[[#This Row],[Mid30]],Table1[[#This Row],[Mid27]],Table1[[#This Row],[Mid24]],Table1[[#This Row],[Mid21]],Table1[[#This Row],[Mid18]],Table1[[#This Row],[Mid15]],Table1[[#This Row],[Mid12]],Table1[[#This Row],[Mid9]],Table1[[#This Row],[Mid6]],Table1[[#This Row],[Mid3]],Table1[[#This Row],[Mid]])</f>
        <v>37</v>
      </c>
      <c r="CG11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25" t="s">
        <v>157</v>
      </c>
      <c r="CI1125" t="s">
        <v>2471</v>
      </c>
      <c r="CJ1125" t="s">
        <v>158</v>
      </c>
      <c r="CL1125" s="19">
        <f>IF(Table1[[#This Row],[Type]]="Petroleum",1,IF(ISERROR(Table1[[#This Row],[Well Density]]*Table1[[#This Row],[Single Well Discovery Area]]),"",IF(Table1[[#This Row],[Well Density]]*Table1[[#This Row],[Single Well Discovery Area]]&gt;1,1,Table1[[#This Row],[Well Density]]*Table1[[#This Row],[Single Well Discovery Area]])))</f>
        <v>1</v>
      </c>
      <c r="CN1125" s="19">
        <f>Table1[[#This Row],[Mid]]</f>
        <v>0</v>
      </c>
      <c r="CO1125" s="19">
        <f>Table1[[#This Row],[Mid3]]+Table1[[#This Row],[Mid6]]+Table1[[#This Row],[Mid9]]</f>
        <v>0</v>
      </c>
      <c r="CP1125" s="19">
        <f>Table1[[#This Row],[Mid12]]+Table1[[#This Row],[Mid15]]+Table1[[#This Row],[Mid18]]+Table1[[#This Row],[Mid21]]+Table1[[#This Row],[Mid24]]</f>
        <v>0</v>
      </c>
      <c r="CQ1125" s="19">
        <f>Table1[[#This Row],[Mid27]]+Table1[[#This Row],[Mid30]]+Table1[[#This Row],[Mid33]]+Table1[[#This Row],[Mid36]]+Table1[[#This Row],[Mid39]]</f>
        <v>37</v>
      </c>
      <c r="CR1125" t="s">
        <v>415</v>
      </c>
      <c r="CS1125" s="19" t="str">
        <f>IF(AND(Table1[[#This Row],[Low41]]=0, Table1[[#This Row],[High43]]=0),"N","Y")</f>
        <v>N</v>
      </c>
    </row>
    <row r="1126" spans="1:97" ht="19.5" customHeight="1" x14ac:dyDescent="0.25">
      <c r="A1126">
        <v>11125</v>
      </c>
      <c r="B1126" t="s">
        <v>3451</v>
      </c>
      <c r="C1126" t="s">
        <v>3452</v>
      </c>
      <c r="D1126">
        <v>51.588611110000002</v>
      </c>
      <c r="E1126">
        <v>-7.1802777779999998</v>
      </c>
      <c r="F1126" t="s">
        <v>3465</v>
      </c>
      <c r="G1126" t="s">
        <v>3454</v>
      </c>
      <c r="H1126" t="s">
        <v>3455</v>
      </c>
      <c r="I1126" t="s">
        <v>520</v>
      </c>
      <c r="J1126" t="s">
        <v>202</v>
      </c>
      <c r="K1126" t="s">
        <v>203</v>
      </c>
      <c r="L1126" t="s">
        <v>18</v>
      </c>
      <c r="M1126" t="s">
        <v>252</v>
      </c>
      <c r="N1126" s="6" t="s">
        <v>3463</v>
      </c>
      <c r="O1126" t="s">
        <v>3387</v>
      </c>
      <c r="P1126" t="s">
        <v>2652</v>
      </c>
      <c r="Q1126" t="s">
        <v>255</v>
      </c>
      <c r="R1126" t="s">
        <v>3458</v>
      </c>
      <c r="S1126">
        <v>2009</v>
      </c>
      <c r="T1126" t="s">
        <v>771</v>
      </c>
      <c r="U1126" t="s">
        <v>3389</v>
      </c>
      <c r="V1126"/>
      <c r="AD1126">
        <v>0</v>
      </c>
      <c r="AF1126">
        <v>200</v>
      </c>
      <c r="AH1126" t="s">
        <v>2259</v>
      </c>
      <c r="AM1126" t="s">
        <v>3464</v>
      </c>
      <c r="CC1126">
        <v>40</v>
      </c>
      <c r="CE112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26" s="19">
        <f>SUM(Table1[[#This Row],[Mid39]],Table1[[#This Row],[Mid36]],Table1[[#This Row],[Mid33]],Table1[[#This Row],[Mid30]],Table1[[#This Row],[Mid27]],Table1[[#This Row],[Mid24]],Table1[[#This Row],[Mid21]],Table1[[#This Row],[Mid18]],Table1[[#This Row],[Mid15]],Table1[[#This Row],[Mid12]],Table1[[#This Row],[Mid9]],Table1[[#This Row],[Mid6]],Table1[[#This Row],[Mid3]],Table1[[#This Row],[Mid]])</f>
        <v>40</v>
      </c>
      <c r="CG11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26" t="s">
        <v>157</v>
      </c>
      <c r="CI1126" t="s">
        <v>2471</v>
      </c>
      <c r="CJ1126" t="s">
        <v>158</v>
      </c>
      <c r="CL1126" s="19">
        <f>IF(Table1[[#This Row],[Type]]="Petroleum",1,IF(ISERROR(Table1[[#This Row],[Well Density]]*Table1[[#This Row],[Single Well Discovery Area]]),"",IF(Table1[[#This Row],[Well Density]]*Table1[[#This Row],[Single Well Discovery Area]]&gt;1,1,Table1[[#This Row],[Well Density]]*Table1[[#This Row],[Single Well Discovery Area]])))</f>
        <v>1</v>
      </c>
      <c r="CN1126" s="19">
        <f>Table1[[#This Row],[Mid]]</f>
        <v>0</v>
      </c>
      <c r="CO1126" s="19">
        <f>Table1[[#This Row],[Mid3]]+Table1[[#This Row],[Mid6]]+Table1[[#This Row],[Mid9]]</f>
        <v>0</v>
      </c>
      <c r="CP1126" s="19">
        <f>Table1[[#This Row],[Mid12]]+Table1[[#This Row],[Mid15]]+Table1[[#This Row],[Mid18]]+Table1[[#This Row],[Mid21]]+Table1[[#This Row],[Mid24]]</f>
        <v>0</v>
      </c>
      <c r="CQ1126" s="19">
        <f>Table1[[#This Row],[Mid27]]+Table1[[#This Row],[Mid30]]+Table1[[#This Row],[Mid33]]+Table1[[#This Row],[Mid36]]+Table1[[#This Row],[Mid39]]</f>
        <v>40</v>
      </c>
      <c r="CR1126" t="s">
        <v>415</v>
      </c>
      <c r="CS1126" s="19" t="str">
        <f>IF(AND(Table1[[#This Row],[Low41]]=0, Table1[[#This Row],[High43]]=0),"N","Y")</f>
        <v>N</v>
      </c>
    </row>
    <row r="1127" spans="1:97" ht="19.5" customHeight="1" x14ac:dyDescent="0.25">
      <c r="A1127">
        <v>11126</v>
      </c>
      <c r="B1127" t="s">
        <v>3451</v>
      </c>
      <c r="D1127">
        <v>54.122500000000002</v>
      </c>
      <c r="E1127">
        <v>-5.2083333329999997</v>
      </c>
      <c r="F1127" t="s">
        <v>3466</v>
      </c>
      <c r="G1127" t="s">
        <v>3467</v>
      </c>
      <c r="H1127" t="s">
        <v>3462</v>
      </c>
      <c r="I1127" t="s">
        <v>520</v>
      </c>
      <c r="J1127" t="s">
        <v>202</v>
      </c>
      <c r="K1127" t="s">
        <v>203</v>
      </c>
      <c r="L1127" t="s">
        <v>18</v>
      </c>
      <c r="M1127" t="s">
        <v>2656</v>
      </c>
      <c r="N1127" s="6" t="s">
        <v>3463</v>
      </c>
      <c r="O1127" t="s">
        <v>3387</v>
      </c>
      <c r="P1127" t="s">
        <v>2652</v>
      </c>
      <c r="Q1127" t="s">
        <v>255</v>
      </c>
      <c r="R1127" t="s">
        <v>3458</v>
      </c>
      <c r="S1127">
        <v>2009</v>
      </c>
      <c r="T1127" t="s">
        <v>771</v>
      </c>
      <c r="U1127" t="s">
        <v>3389</v>
      </c>
      <c r="V1127"/>
      <c r="AD1127">
        <v>0</v>
      </c>
      <c r="AF1127">
        <v>200</v>
      </c>
      <c r="AH1127" t="s">
        <v>2259</v>
      </c>
      <c r="AM1127" t="s">
        <v>3464</v>
      </c>
      <c r="CC1127">
        <v>68000</v>
      </c>
      <c r="CE112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27" s="19">
        <f>SUM(Table1[[#This Row],[Mid39]],Table1[[#This Row],[Mid36]],Table1[[#This Row],[Mid33]],Table1[[#This Row],[Mid30]],Table1[[#This Row],[Mid27]],Table1[[#This Row],[Mid24]],Table1[[#This Row],[Mid21]],Table1[[#This Row],[Mid18]],Table1[[#This Row],[Mid15]],Table1[[#This Row],[Mid12]],Table1[[#This Row],[Mid9]],Table1[[#This Row],[Mid6]],Table1[[#This Row],[Mid3]],Table1[[#This Row],[Mid]])</f>
        <v>68000</v>
      </c>
      <c r="CG11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27" t="s">
        <v>157</v>
      </c>
      <c r="CI1127" t="s">
        <v>2471</v>
      </c>
      <c r="CJ1127" t="s">
        <v>158</v>
      </c>
      <c r="CL1127" s="19">
        <f>IF(Table1[[#This Row],[Type]]="Petroleum",1,IF(ISERROR(Table1[[#This Row],[Well Density]]*Table1[[#This Row],[Single Well Discovery Area]]),"",IF(Table1[[#This Row],[Well Density]]*Table1[[#This Row],[Single Well Discovery Area]]&gt;1,1,Table1[[#This Row],[Well Density]]*Table1[[#This Row],[Single Well Discovery Area]])))</f>
        <v>1</v>
      </c>
      <c r="CN1127" s="19">
        <f>Table1[[#This Row],[Mid]]</f>
        <v>0</v>
      </c>
      <c r="CO1127" s="19">
        <f>Table1[[#This Row],[Mid3]]+Table1[[#This Row],[Mid6]]+Table1[[#This Row],[Mid9]]</f>
        <v>0</v>
      </c>
      <c r="CP1127" s="19">
        <f>Table1[[#This Row],[Mid12]]+Table1[[#This Row],[Mid15]]+Table1[[#This Row],[Mid18]]+Table1[[#This Row],[Mid21]]+Table1[[#This Row],[Mid24]]</f>
        <v>0</v>
      </c>
      <c r="CQ1127" s="19">
        <f>Table1[[#This Row],[Mid27]]+Table1[[#This Row],[Mid30]]+Table1[[#This Row],[Mid33]]+Table1[[#This Row],[Mid36]]+Table1[[#This Row],[Mid39]]</f>
        <v>68000</v>
      </c>
      <c r="CR1127" t="s">
        <v>415</v>
      </c>
      <c r="CS1127" s="19" t="str">
        <f>IF(AND(Table1[[#This Row],[Low41]]=0, Table1[[#This Row],[High43]]=0),"N","Y")</f>
        <v>N</v>
      </c>
    </row>
    <row r="1128" spans="1:97" ht="19.5" customHeight="1" x14ac:dyDescent="0.25">
      <c r="A1128">
        <v>11127</v>
      </c>
      <c r="B1128" t="s">
        <v>3451</v>
      </c>
      <c r="C1128" t="s">
        <v>3459</v>
      </c>
      <c r="D1128">
        <v>563.79399999999998</v>
      </c>
      <c r="E1128">
        <v>-5.1680000000000001</v>
      </c>
      <c r="F1128" t="s">
        <v>3468</v>
      </c>
      <c r="G1128" t="s">
        <v>3454</v>
      </c>
      <c r="H1128" t="s">
        <v>167</v>
      </c>
      <c r="I1128" t="s">
        <v>520</v>
      </c>
      <c r="J1128" t="s">
        <v>202</v>
      </c>
      <c r="K1128" t="s">
        <v>203</v>
      </c>
      <c r="L1128" t="s">
        <v>18</v>
      </c>
      <c r="M1128" t="s">
        <v>252</v>
      </c>
      <c r="N1128" s="6" t="s">
        <v>3463</v>
      </c>
      <c r="O1128" t="s">
        <v>3387</v>
      </c>
      <c r="P1128" t="s">
        <v>2652</v>
      </c>
      <c r="Q1128" t="s">
        <v>255</v>
      </c>
      <c r="R1128" t="s">
        <v>3469</v>
      </c>
      <c r="S1128">
        <v>2009</v>
      </c>
      <c r="T1128" t="s">
        <v>771</v>
      </c>
      <c r="U1128" t="s">
        <v>3389</v>
      </c>
      <c r="V1128"/>
      <c r="AD1128">
        <v>0</v>
      </c>
      <c r="AF1128">
        <v>20</v>
      </c>
      <c r="AH1128" t="s">
        <v>2259</v>
      </c>
      <c r="AM1128" t="s">
        <v>3464</v>
      </c>
      <c r="CC1128">
        <v>16673</v>
      </c>
      <c r="CE112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28" s="19">
        <f>SUM(Table1[[#This Row],[Mid39]],Table1[[#This Row],[Mid36]],Table1[[#This Row],[Mid33]],Table1[[#This Row],[Mid30]],Table1[[#This Row],[Mid27]],Table1[[#This Row],[Mid24]],Table1[[#This Row],[Mid21]],Table1[[#This Row],[Mid18]],Table1[[#This Row],[Mid15]],Table1[[#This Row],[Mid12]],Table1[[#This Row],[Mid9]],Table1[[#This Row],[Mid6]],Table1[[#This Row],[Mid3]],Table1[[#This Row],[Mid]])</f>
        <v>16673</v>
      </c>
      <c r="CG11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28" t="s">
        <v>157</v>
      </c>
      <c r="CI1128" t="s">
        <v>189</v>
      </c>
      <c r="CJ1128" t="s">
        <v>158</v>
      </c>
      <c r="CL1128" s="19">
        <f>IF(Table1[[#This Row],[Type]]="Petroleum",1,IF(ISERROR(Table1[[#This Row],[Well Density]]*Table1[[#This Row],[Single Well Discovery Area]]),"",IF(Table1[[#This Row],[Well Density]]*Table1[[#This Row],[Single Well Discovery Area]]&gt;1,1,Table1[[#This Row],[Well Density]]*Table1[[#This Row],[Single Well Discovery Area]])))</f>
        <v>1</v>
      </c>
      <c r="CN1128" s="19">
        <f>Table1[[#This Row],[Mid]]</f>
        <v>0</v>
      </c>
      <c r="CO1128" s="19">
        <f>Table1[[#This Row],[Mid3]]+Table1[[#This Row],[Mid6]]+Table1[[#This Row],[Mid9]]</f>
        <v>0</v>
      </c>
      <c r="CP1128" s="19">
        <f>Table1[[#This Row],[Mid12]]+Table1[[#This Row],[Mid15]]+Table1[[#This Row],[Mid18]]+Table1[[#This Row],[Mid21]]+Table1[[#This Row],[Mid24]]</f>
        <v>0</v>
      </c>
      <c r="CQ1128" s="19">
        <f>Table1[[#This Row],[Mid27]]+Table1[[#This Row],[Mid30]]+Table1[[#This Row],[Mid33]]+Table1[[#This Row],[Mid36]]+Table1[[#This Row],[Mid39]]</f>
        <v>16673</v>
      </c>
      <c r="CR1128" t="s">
        <v>415</v>
      </c>
      <c r="CS1128" s="19" t="str">
        <f>IF(AND(Table1[[#This Row],[Low41]]=0, Table1[[#This Row],[High43]]=0),"N","Y")</f>
        <v>N</v>
      </c>
    </row>
    <row r="1129" spans="1:97" ht="19.5" customHeight="1" x14ac:dyDescent="0.25">
      <c r="A1129">
        <v>11130</v>
      </c>
      <c r="B1129" t="s">
        <v>3451</v>
      </c>
      <c r="C1129" t="s">
        <v>3459</v>
      </c>
      <c r="D1129">
        <v>53.383333329999999</v>
      </c>
      <c r="E1129">
        <v>-5.7288888890000003</v>
      </c>
      <c r="F1129" t="s">
        <v>3470</v>
      </c>
      <c r="G1129" t="s">
        <v>3471</v>
      </c>
      <c r="H1129" t="s">
        <v>3472</v>
      </c>
      <c r="I1129" t="s">
        <v>118</v>
      </c>
      <c r="J1129" t="s">
        <v>119</v>
      </c>
      <c r="K1129" t="s">
        <v>203</v>
      </c>
      <c r="L1129" t="s">
        <v>18</v>
      </c>
      <c r="M1129" t="s">
        <v>745</v>
      </c>
      <c r="N1129" s="6" t="s">
        <v>3473</v>
      </c>
      <c r="O1129" t="s">
        <v>3387</v>
      </c>
      <c r="P1129" t="s">
        <v>2652</v>
      </c>
      <c r="Q1129" t="s">
        <v>3474</v>
      </c>
      <c r="R1129" t="s">
        <v>3458</v>
      </c>
      <c r="S1129">
        <v>2008</v>
      </c>
      <c r="T1129" t="s">
        <v>771</v>
      </c>
      <c r="U1129" t="s">
        <v>3389</v>
      </c>
      <c r="V1129">
        <v>1200</v>
      </c>
      <c r="W1129">
        <v>1166</v>
      </c>
      <c r="X1129">
        <v>240</v>
      </c>
      <c r="Y1129">
        <v>77</v>
      </c>
      <c r="Z1129">
        <v>16</v>
      </c>
      <c r="AD1129">
        <v>3</v>
      </c>
      <c r="AE1129">
        <v>2.5000000000000001E-3</v>
      </c>
      <c r="AF1129">
        <v>200</v>
      </c>
      <c r="AH1129" t="s">
        <v>2259</v>
      </c>
      <c r="AM1129" t="s">
        <v>3475</v>
      </c>
      <c r="CC1129">
        <v>270</v>
      </c>
      <c r="CE112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29" s="19">
        <f>SUM(Table1[[#This Row],[Mid39]],Table1[[#This Row],[Mid36]],Table1[[#This Row],[Mid33]],Table1[[#This Row],[Mid30]],Table1[[#This Row],[Mid27]],Table1[[#This Row],[Mid24]],Table1[[#This Row],[Mid21]],Table1[[#This Row],[Mid18]],Table1[[#This Row],[Mid15]],Table1[[#This Row],[Mid12]],Table1[[#This Row],[Mid9]],Table1[[#This Row],[Mid6]],Table1[[#This Row],[Mid3]],Table1[[#This Row],[Mid]])</f>
        <v>270</v>
      </c>
      <c r="CG11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29" t="s">
        <v>157</v>
      </c>
      <c r="CI1129" t="s">
        <v>2471</v>
      </c>
      <c r="CJ1129" t="s">
        <v>158</v>
      </c>
      <c r="CL1129" s="19">
        <f>IF(Table1[[#This Row],[Type]]="Petroleum",1,IF(ISERROR(Table1[[#This Row],[Well Density]]*Table1[[#This Row],[Single Well Discovery Area]]),"",IF(Table1[[#This Row],[Well Density]]*Table1[[#This Row],[Single Well Discovery Area]]&gt;1,1,Table1[[#This Row],[Well Density]]*Table1[[#This Row],[Single Well Discovery Area]])))</f>
        <v>0.5</v>
      </c>
      <c r="CN1129" s="19">
        <f>Table1[[#This Row],[Mid]]</f>
        <v>0</v>
      </c>
      <c r="CO1129" s="19">
        <f>Table1[[#This Row],[Mid3]]+Table1[[#This Row],[Mid6]]+Table1[[#This Row],[Mid9]]</f>
        <v>0</v>
      </c>
      <c r="CP1129" s="19">
        <f>Table1[[#This Row],[Mid12]]+Table1[[#This Row],[Mid15]]+Table1[[#This Row],[Mid18]]+Table1[[#This Row],[Mid21]]+Table1[[#This Row],[Mid24]]</f>
        <v>0</v>
      </c>
      <c r="CQ1129" s="19">
        <f>Table1[[#This Row],[Mid27]]+Table1[[#This Row],[Mid30]]+Table1[[#This Row],[Mid33]]+Table1[[#This Row],[Mid36]]+Table1[[#This Row],[Mid39]]</f>
        <v>270</v>
      </c>
      <c r="CR1129" t="s">
        <v>415</v>
      </c>
      <c r="CS1129" s="19" t="str">
        <f>IF(AND(Table1[[#This Row],[Low41]]=0, Table1[[#This Row],[High43]]=0),"N","Y")</f>
        <v>N</v>
      </c>
    </row>
    <row r="1130" spans="1:97" ht="19.5" customHeight="1" x14ac:dyDescent="0.25">
      <c r="A1130">
        <v>11131</v>
      </c>
      <c r="B1130" t="s">
        <v>3451</v>
      </c>
      <c r="C1130" t="s">
        <v>3459</v>
      </c>
      <c r="D1130">
        <v>54.844722220000001</v>
      </c>
      <c r="E1130">
        <v>-5.318333333</v>
      </c>
      <c r="F1130" t="s">
        <v>3476</v>
      </c>
      <c r="G1130" t="s">
        <v>3461</v>
      </c>
      <c r="H1130" t="s">
        <v>3462</v>
      </c>
      <c r="I1130" t="s">
        <v>118</v>
      </c>
      <c r="J1130" t="s">
        <v>119</v>
      </c>
      <c r="K1130" t="s">
        <v>167</v>
      </c>
      <c r="L1130" t="s">
        <v>18</v>
      </c>
      <c r="M1130" t="s">
        <v>252</v>
      </c>
      <c r="N1130" s="6" t="s">
        <v>3477</v>
      </c>
      <c r="O1130" t="s">
        <v>3387</v>
      </c>
      <c r="P1130" t="s">
        <v>2652</v>
      </c>
      <c r="Q1130" t="s">
        <v>255</v>
      </c>
      <c r="R1130" t="s">
        <v>3458</v>
      </c>
      <c r="S1130">
        <v>2008</v>
      </c>
      <c r="T1130" t="s">
        <v>771</v>
      </c>
      <c r="U1130" t="s">
        <v>3389</v>
      </c>
      <c r="V1130"/>
      <c r="AD1130">
        <v>4</v>
      </c>
      <c r="AF1130">
        <v>200</v>
      </c>
      <c r="AH1130" t="s">
        <v>2259</v>
      </c>
      <c r="AM1130" t="s">
        <v>3478</v>
      </c>
      <c r="CC1130">
        <v>37</v>
      </c>
      <c r="CE113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30" s="19">
        <f>SUM(Table1[[#This Row],[Mid39]],Table1[[#This Row],[Mid36]],Table1[[#This Row],[Mid33]],Table1[[#This Row],[Mid30]],Table1[[#This Row],[Mid27]],Table1[[#This Row],[Mid24]],Table1[[#This Row],[Mid21]],Table1[[#This Row],[Mid18]],Table1[[#This Row],[Mid15]],Table1[[#This Row],[Mid12]],Table1[[#This Row],[Mid9]],Table1[[#This Row],[Mid6]],Table1[[#This Row],[Mid3]],Table1[[#This Row],[Mid]])</f>
        <v>37</v>
      </c>
      <c r="CG11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30" t="s">
        <v>157</v>
      </c>
      <c r="CI1130" t="s">
        <v>2471</v>
      </c>
      <c r="CJ1130" t="s">
        <v>158</v>
      </c>
      <c r="CL1130" s="19">
        <f>IF(Table1[[#This Row],[Type]]="Petroleum",1,IF(ISERROR(Table1[[#This Row],[Well Density]]*Table1[[#This Row],[Single Well Discovery Area]]),"",IF(Table1[[#This Row],[Well Density]]*Table1[[#This Row],[Single Well Discovery Area]]&gt;1,1,Table1[[#This Row],[Well Density]]*Table1[[#This Row],[Single Well Discovery Area]])))</f>
        <v>0</v>
      </c>
      <c r="CN1130" s="19">
        <f>Table1[[#This Row],[Mid]]</f>
        <v>0</v>
      </c>
      <c r="CO1130" s="19">
        <f>Table1[[#This Row],[Mid3]]+Table1[[#This Row],[Mid6]]+Table1[[#This Row],[Mid9]]</f>
        <v>0</v>
      </c>
      <c r="CP1130" s="19">
        <f>Table1[[#This Row],[Mid12]]+Table1[[#This Row],[Mid15]]+Table1[[#This Row],[Mid18]]+Table1[[#This Row],[Mid21]]+Table1[[#This Row],[Mid24]]</f>
        <v>0</v>
      </c>
      <c r="CQ1130" s="19">
        <f>Table1[[#This Row],[Mid27]]+Table1[[#This Row],[Mid30]]+Table1[[#This Row],[Mid33]]+Table1[[#This Row],[Mid36]]+Table1[[#This Row],[Mid39]]</f>
        <v>37</v>
      </c>
      <c r="CR1130" t="s">
        <v>415</v>
      </c>
      <c r="CS1130" s="19" t="str">
        <f>IF(AND(Table1[[#This Row],[Low41]]=0, Table1[[#This Row],[High43]]=0),"N","Y")</f>
        <v>N</v>
      </c>
    </row>
    <row r="1131" spans="1:97" ht="19.5" customHeight="1" x14ac:dyDescent="0.25">
      <c r="A1131">
        <v>11132</v>
      </c>
      <c r="B1131" t="s">
        <v>3451</v>
      </c>
      <c r="D1131">
        <v>54.621111110000001</v>
      </c>
      <c r="E1131">
        <v>-6.4197222219999999</v>
      </c>
      <c r="F1131" t="s">
        <v>3479</v>
      </c>
      <c r="G1131" t="s">
        <v>3461</v>
      </c>
      <c r="H1131" t="s">
        <v>3480</v>
      </c>
      <c r="I1131" t="s">
        <v>118</v>
      </c>
      <c r="J1131" t="s">
        <v>119</v>
      </c>
      <c r="K1131" t="s">
        <v>203</v>
      </c>
      <c r="L1131" t="s">
        <v>18</v>
      </c>
      <c r="M1131" t="s">
        <v>252</v>
      </c>
      <c r="N1131" s="6" t="s">
        <v>3481</v>
      </c>
      <c r="O1131" t="s">
        <v>3387</v>
      </c>
      <c r="P1131" t="s">
        <v>2652</v>
      </c>
      <c r="Q1131" t="s">
        <v>3482</v>
      </c>
      <c r="R1131" t="s">
        <v>3458</v>
      </c>
      <c r="S1131">
        <v>2008</v>
      </c>
      <c r="T1131" t="s">
        <v>771</v>
      </c>
      <c r="U1131" t="s">
        <v>3389</v>
      </c>
      <c r="V1131">
        <v>1350</v>
      </c>
      <c r="W1131">
        <v>1447</v>
      </c>
      <c r="X1131">
        <v>400</v>
      </c>
      <c r="Z1131">
        <v>18</v>
      </c>
      <c r="AA1131">
        <v>500</v>
      </c>
      <c r="AD1131">
        <v>0</v>
      </c>
      <c r="AE1131">
        <v>0</v>
      </c>
      <c r="AF1131">
        <v>200</v>
      </c>
      <c r="AH1131" t="s">
        <v>2259</v>
      </c>
      <c r="AM1131" t="s">
        <v>3478</v>
      </c>
      <c r="CC1131">
        <v>1940</v>
      </c>
      <c r="CE11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31" s="19">
        <f>SUM(Table1[[#This Row],[Mid39]],Table1[[#This Row],[Mid36]],Table1[[#This Row],[Mid33]],Table1[[#This Row],[Mid30]],Table1[[#This Row],[Mid27]],Table1[[#This Row],[Mid24]],Table1[[#This Row],[Mid21]],Table1[[#This Row],[Mid18]],Table1[[#This Row],[Mid15]],Table1[[#This Row],[Mid12]],Table1[[#This Row],[Mid9]],Table1[[#This Row],[Mid6]],Table1[[#This Row],[Mid3]],Table1[[#This Row],[Mid]])</f>
        <v>1940</v>
      </c>
      <c r="CG11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31" t="s">
        <v>157</v>
      </c>
      <c r="CI1131" t="s">
        <v>2471</v>
      </c>
      <c r="CJ1131" t="s">
        <v>158</v>
      </c>
      <c r="CL1131" s="19">
        <f>IF(Table1[[#This Row],[Type]]="Petroleum",1,IF(ISERROR(Table1[[#This Row],[Well Density]]*Table1[[#This Row],[Single Well Discovery Area]]),"",IF(Table1[[#This Row],[Well Density]]*Table1[[#This Row],[Single Well Discovery Area]]&gt;1,1,Table1[[#This Row],[Well Density]]*Table1[[#This Row],[Single Well Discovery Area]])))</f>
        <v>0</v>
      </c>
      <c r="CN1131" s="19">
        <f>Table1[[#This Row],[Mid]]</f>
        <v>0</v>
      </c>
      <c r="CO1131" s="19">
        <f>Table1[[#This Row],[Mid3]]+Table1[[#This Row],[Mid6]]+Table1[[#This Row],[Mid9]]</f>
        <v>0</v>
      </c>
      <c r="CP1131" s="19">
        <f>Table1[[#This Row],[Mid12]]+Table1[[#This Row],[Mid15]]+Table1[[#This Row],[Mid18]]+Table1[[#This Row],[Mid21]]+Table1[[#This Row],[Mid24]]</f>
        <v>0</v>
      </c>
      <c r="CQ1131" s="19">
        <f>Table1[[#This Row],[Mid27]]+Table1[[#This Row],[Mid30]]+Table1[[#This Row],[Mid33]]+Table1[[#This Row],[Mid36]]+Table1[[#This Row],[Mid39]]</f>
        <v>1940</v>
      </c>
      <c r="CR1131" t="s">
        <v>415</v>
      </c>
      <c r="CS1131" s="19" t="str">
        <f>IF(AND(Table1[[#This Row],[Low41]]=0, Table1[[#This Row],[High43]]=0),"N","Y")</f>
        <v>N</v>
      </c>
    </row>
    <row r="1132" spans="1:97" ht="19.5" customHeight="1" x14ac:dyDescent="0.25">
      <c r="A1132">
        <v>11133</v>
      </c>
      <c r="B1132" t="s">
        <v>3451</v>
      </c>
      <c r="D1132">
        <v>54.27861111</v>
      </c>
      <c r="E1132">
        <v>-7.9480555559999999</v>
      </c>
      <c r="F1132" t="s">
        <v>3483</v>
      </c>
      <c r="H1132" t="s">
        <v>3484</v>
      </c>
      <c r="I1132" t="s">
        <v>118</v>
      </c>
      <c r="J1132" t="s">
        <v>119</v>
      </c>
      <c r="K1132" t="s">
        <v>203</v>
      </c>
      <c r="L1132" t="s">
        <v>18</v>
      </c>
      <c r="M1132" t="s">
        <v>252</v>
      </c>
      <c r="N1132" s="6" t="s">
        <v>3485</v>
      </c>
      <c r="O1132" t="s">
        <v>3387</v>
      </c>
      <c r="P1132" t="s">
        <v>2652</v>
      </c>
      <c r="Q1132" t="s">
        <v>3486</v>
      </c>
      <c r="R1132" t="s">
        <v>3458</v>
      </c>
      <c r="S1132">
        <v>2008</v>
      </c>
      <c r="T1132" t="s">
        <v>771</v>
      </c>
      <c r="U1132" t="s">
        <v>3389</v>
      </c>
      <c r="V1132">
        <v>610</v>
      </c>
      <c r="W1132">
        <v>1185</v>
      </c>
      <c r="X1132">
        <v>53</v>
      </c>
      <c r="Z1132">
        <v>2</v>
      </c>
      <c r="AA1132">
        <v>0.11</v>
      </c>
      <c r="AD1132">
        <v>0</v>
      </c>
      <c r="AE1132">
        <v>0</v>
      </c>
      <c r="AF1132">
        <v>200</v>
      </c>
      <c r="AH1132" t="s">
        <v>2259</v>
      </c>
      <c r="AM1132" t="s">
        <v>3478</v>
      </c>
      <c r="CC1132">
        <v>730</v>
      </c>
      <c r="CE113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32" s="19">
        <f>SUM(Table1[[#This Row],[Mid39]],Table1[[#This Row],[Mid36]],Table1[[#This Row],[Mid33]],Table1[[#This Row],[Mid30]],Table1[[#This Row],[Mid27]],Table1[[#This Row],[Mid24]],Table1[[#This Row],[Mid21]],Table1[[#This Row],[Mid18]],Table1[[#This Row],[Mid15]],Table1[[#This Row],[Mid12]],Table1[[#This Row],[Mid9]],Table1[[#This Row],[Mid6]],Table1[[#This Row],[Mid3]],Table1[[#This Row],[Mid]])</f>
        <v>730</v>
      </c>
      <c r="CG11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32" t="s">
        <v>157</v>
      </c>
      <c r="CI1132" t="s">
        <v>2471</v>
      </c>
      <c r="CJ1132" t="s">
        <v>158</v>
      </c>
      <c r="CL1132" s="19">
        <f>IF(Table1[[#This Row],[Type]]="Petroleum",1,IF(ISERROR(Table1[[#This Row],[Well Density]]*Table1[[#This Row],[Single Well Discovery Area]]),"",IF(Table1[[#This Row],[Well Density]]*Table1[[#This Row],[Single Well Discovery Area]]&gt;1,1,Table1[[#This Row],[Well Density]]*Table1[[#This Row],[Single Well Discovery Area]])))</f>
        <v>0</v>
      </c>
      <c r="CN1132" s="19">
        <f>Table1[[#This Row],[Mid]]</f>
        <v>0</v>
      </c>
      <c r="CO1132" s="19">
        <f>Table1[[#This Row],[Mid3]]+Table1[[#This Row],[Mid6]]+Table1[[#This Row],[Mid9]]</f>
        <v>0</v>
      </c>
      <c r="CP1132" s="19">
        <f>Table1[[#This Row],[Mid12]]+Table1[[#This Row],[Mid15]]+Table1[[#This Row],[Mid18]]+Table1[[#This Row],[Mid21]]+Table1[[#This Row],[Mid24]]</f>
        <v>0</v>
      </c>
      <c r="CQ1132" s="19">
        <f>Table1[[#This Row],[Mid27]]+Table1[[#This Row],[Mid30]]+Table1[[#This Row],[Mid33]]+Table1[[#This Row],[Mid36]]+Table1[[#This Row],[Mid39]]</f>
        <v>730</v>
      </c>
      <c r="CR1132" t="s">
        <v>415</v>
      </c>
      <c r="CS1132" s="19" t="str">
        <f>IF(AND(Table1[[#This Row],[Low41]]=0, Table1[[#This Row],[High43]]=0),"N","Y")</f>
        <v>N</v>
      </c>
    </row>
    <row r="1133" spans="1:97" ht="19.5" customHeight="1" x14ac:dyDescent="0.25">
      <c r="A1133">
        <v>11134</v>
      </c>
      <c r="B1133" t="s">
        <v>3451</v>
      </c>
      <c r="C1133" t="s">
        <v>3487</v>
      </c>
      <c r="D1133">
        <v>52.783055560000001</v>
      </c>
      <c r="E1133">
        <v>-12.510833330000001</v>
      </c>
      <c r="F1133" t="s">
        <v>3488</v>
      </c>
      <c r="G1133" t="s">
        <v>3489</v>
      </c>
      <c r="H1133" t="s">
        <v>167</v>
      </c>
      <c r="I1133" t="s">
        <v>520</v>
      </c>
      <c r="J1133" t="s">
        <v>202</v>
      </c>
      <c r="K1133" t="s">
        <v>203</v>
      </c>
      <c r="L1133" t="s">
        <v>121</v>
      </c>
      <c r="M1133" t="s">
        <v>252</v>
      </c>
      <c r="N1133" s="6" t="s">
        <v>3490</v>
      </c>
      <c r="O1133" t="s">
        <v>3387</v>
      </c>
      <c r="P1133" t="s">
        <v>2652</v>
      </c>
      <c r="Q1133" t="s">
        <v>3491</v>
      </c>
      <c r="R1133" t="s">
        <v>3458</v>
      </c>
      <c r="S1133">
        <v>2008</v>
      </c>
      <c r="T1133" t="s">
        <v>771</v>
      </c>
      <c r="U1133" t="s">
        <v>3389</v>
      </c>
      <c r="V1133"/>
      <c r="W1133">
        <v>3971</v>
      </c>
      <c r="X1133">
        <v>62</v>
      </c>
      <c r="Y1133">
        <v>56</v>
      </c>
      <c r="AA1133">
        <v>11</v>
      </c>
      <c r="AF1133">
        <v>200</v>
      </c>
      <c r="AH1133" t="s">
        <v>2259</v>
      </c>
      <c r="AM1133" s="21" t="s">
        <v>3492</v>
      </c>
      <c r="BN1133">
        <v>115</v>
      </c>
      <c r="CC1133">
        <v>41.07</v>
      </c>
      <c r="CE113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33" s="19">
        <f>SUM(Table1[[#This Row],[Mid39]],Table1[[#This Row],[Mid36]],Table1[[#This Row],[Mid33]],Table1[[#This Row],[Mid30]],Table1[[#This Row],[Mid27]],Table1[[#This Row],[Mid24]],Table1[[#This Row],[Mid21]],Table1[[#This Row],[Mid18]],Table1[[#This Row],[Mid15]],Table1[[#This Row],[Mid12]],Table1[[#This Row],[Mid9]],Table1[[#This Row],[Mid6]],Table1[[#This Row],[Mid3]],Table1[[#This Row],[Mid]])</f>
        <v>156.07</v>
      </c>
      <c r="CG11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33" t="s">
        <v>157</v>
      </c>
      <c r="CI1133" t="s">
        <v>189</v>
      </c>
      <c r="CJ1133" t="s">
        <v>158</v>
      </c>
      <c r="CL1133" s="19">
        <f>IF(Table1[[#This Row],[Type]]="Petroleum",1,IF(ISERROR(Table1[[#This Row],[Well Density]]*Table1[[#This Row],[Single Well Discovery Area]]),"",IF(Table1[[#This Row],[Well Density]]*Table1[[#This Row],[Single Well Discovery Area]]&gt;1,1,Table1[[#This Row],[Well Density]]*Table1[[#This Row],[Single Well Discovery Area]])))</f>
        <v>1</v>
      </c>
      <c r="CN1133" s="19">
        <f>Table1[[#This Row],[Mid]]</f>
        <v>0</v>
      </c>
      <c r="CO1133" s="19">
        <f>Table1[[#This Row],[Mid3]]+Table1[[#This Row],[Mid6]]+Table1[[#This Row],[Mid9]]</f>
        <v>0</v>
      </c>
      <c r="CP1133" s="19">
        <f>Table1[[#This Row],[Mid12]]+Table1[[#This Row],[Mid15]]+Table1[[#This Row],[Mid18]]+Table1[[#This Row],[Mid21]]+Table1[[#This Row],[Mid24]]</f>
        <v>115</v>
      </c>
      <c r="CQ1133" s="19">
        <f>Table1[[#This Row],[Mid27]]+Table1[[#This Row],[Mid30]]+Table1[[#This Row],[Mid33]]+Table1[[#This Row],[Mid36]]+Table1[[#This Row],[Mid39]]</f>
        <v>41.07</v>
      </c>
      <c r="CR1133" t="s">
        <v>415</v>
      </c>
      <c r="CS1133" s="19" t="str">
        <f>IF(AND(Table1[[#This Row],[Low41]]=0, Table1[[#This Row],[High43]]=0),"N","Y")</f>
        <v>N</v>
      </c>
    </row>
    <row r="1134" spans="1:97" ht="19.5" customHeight="1" x14ac:dyDescent="0.25">
      <c r="A1134">
        <v>11135</v>
      </c>
      <c r="B1134" t="s">
        <v>3451</v>
      </c>
      <c r="C1134" t="s">
        <v>3459</v>
      </c>
      <c r="D1134">
        <v>53.383333329999999</v>
      </c>
      <c r="E1134">
        <v>-5.7288888890000003</v>
      </c>
      <c r="F1134" t="s">
        <v>3493</v>
      </c>
      <c r="G1134" t="s">
        <v>3471</v>
      </c>
      <c r="H1134" t="s">
        <v>3462</v>
      </c>
      <c r="I1134" t="s">
        <v>118</v>
      </c>
      <c r="J1134" t="s">
        <v>119</v>
      </c>
      <c r="K1134" t="s">
        <v>1435</v>
      </c>
      <c r="L1134" t="s">
        <v>18</v>
      </c>
      <c r="M1134" t="s">
        <v>252</v>
      </c>
      <c r="N1134" s="6" t="s">
        <v>3494</v>
      </c>
      <c r="O1134" t="s">
        <v>3387</v>
      </c>
      <c r="P1134" t="s">
        <v>2652</v>
      </c>
      <c r="Q1134" t="s">
        <v>255</v>
      </c>
      <c r="R1134" t="s">
        <v>3458</v>
      </c>
      <c r="S1134">
        <v>2008</v>
      </c>
      <c r="T1134" t="s">
        <v>771</v>
      </c>
      <c r="U1134" t="s">
        <v>3389</v>
      </c>
      <c r="V1134"/>
      <c r="W1134">
        <v>1166</v>
      </c>
      <c r="X1134">
        <v>240</v>
      </c>
      <c r="Y1134">
        <v>77</v>
      </c>
      <c r="Z1134" t="s">
        <v>3495</v>
      </c>
      <c r="AD1134">
        <v>3</v>
      </c>
      <c r="AF1134">
        <v>200</v>
      </c>
      <c r="AH1134" t="s">
        <v>2259</v>
      </c>
      <c r="AM1134" t="s">
        <v>3478</v>
      </c>
      <c r="CC1134">
        <v>41.07</v>
      </c>
      <c r="CE113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34" s="19">
        <f>SUM(Table1[[#This Row],[Mid39]],Table1[[#This Row],[Mid36]],Table1[[#This Row],[Mid33]],Table1[[#This Row],[Mid30]],Table1[[#This Row],[Mid27]],Table1[[#This Row],[Mid24]],Table1[[#This Row],[Mid21]],Table1[[#This Row],[Mid18]],Table1[[#This Row],[Mid15]],Table1[[#This Row],[Mid12]],Table1[[#This Row],[Mid9]],Table1[[#This Row],[Mid6]],Table1[[#This Row],[Mid3]],Table1[[#This Row],[Mid]])</f>
        <v>41.07</v>
      </c>
      <c r="CG11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34" t="s">
        <v>157</v>
      </c>
      <c r="CI1134" t="s">
        <v>2471</v>
      </c>
      <c r="CJ1134" t="s">
        <v>158</v>
      </c>
      <c r="CL1134" s="19">
        <f>IF(Table1[[#This Row],[Type]]="Petroleum",1,IF(ISERROR(Table1[[#This Row],[Well Density]]*Table1[[#This Row],[Single Well Discovery Area]]),"",IF(Table1[[#This Row],[Well Density]]*Table1[[#This Row],[Single Well Discovery Area]]&gt;1,1,Table1[[#This Row],[Well Density]]*Table1[[#This Row],[Single Well Discovery Area]])))</f>
        <v>0</v>
      </c>
      <c r="CN1134" s="19">
        <f>Table1[[#This Row],[Mid]]</f>
        <v>0</v>
      </c>
      <c r="CO1134" s="19">
        <f>Table1[[#This Row],[Mid3]]+Table1[[#This Row],[Mid6]]+Table1[[#This Row],[Mid9]]</f>
        <v>0</v>
      </c>
      <c r="CP1134" s="19">
        <f>Table1[[#This Row],[Mid12]]+Table1[[#This Row],[Mid15]]+Table1[[#This Row],[Mid18]]+Table1[[#This Row],[Mid21]]+Table1[[#This Row],[Mid24]]</f>
        <v>0</v>
      </c>
      <c r="CQ1134" s="19">
        <f>Table1[[#This Row],[Mid27]]+Table1[[#This Row],[Mid30]]+Table1[[#This Row],[Mid33]]+Table1[[#This Row],[Mid36]]+Table1[[#This Row],[Mid39]]</f>
        <v>41.07</v>
      </c>
      <c r="CR1134" t="s">
        <v>415</v>
      </c>
      <c r="CS1134" s="19" t="str">
        <f>IF(AND(Table1[[#This Row],[Low41]]=0, Table1[[#This Row],[High43]]=0),"N","Y")</f>
        <v>N</v>
      </c>
    </row>
    <row r="1135" spans="1:97" ht="19.5" customHeight="1" x14ac:dyDescent="0.25">
      <c r="A1135">
        <v>11136</v>
      </c>
      <c r="B1135" t="s">
        <v>3451</v>
      </c>
      <c r="C1135" t="s">
        <v>3459</v>
      </c>
      <c r="D1135">
        <v>53.383333329999999</v>
      </c>
      <c r="E1135">
        <v>-5.7288888890000003</v>
      </c>
      <c r="F1135" t="s">
        <v>3496</v>
      </c>
      <c r="G1135" t="s">
        <v>3471</v>
      </c>
      <c r="H1135" t="s">
        <v>3462</v>
      </c>
      <c r="I1135" t="s">
        <v>118</v>
      </c>
      <c r="J1135" t="s">
        <v>119</v>
      </c>
      <c r="K1135" t="s">
        <v>1435</v>
      </c>
      <c r="L1135" t="s">
        <v>18</v>
      </c>
      <c r="M1135" t="s">
        <v>252</v>
      </c>
      <c r="N1135" s="6" t="s">
        <v>3497</v>
      </c>
      <c r="O1135" t="s">
        <v>3387</v>
      </c>
      <c r="P1135" t="s">
        <v>2652</v>
      </c>
      <c r="Q1135" t="s">
        <v>255</v>
      </c>
      <c r="R1135" t="s">
        <v>3458</v>
      </c>
      <c r="S1135">
        <v>2008</v>
      </c>
      <c r="T1135" t="s">
        <v>771</v>
      </c>
      <c r="U1135" t="s">
        <v>3389</v>
      </c>
      <c r="V1135"/>
      <c r="W1135">
        <v>1166</v>
      </c>
      <c r="X1135">
        <v>240</v>
      </c>
      <c r="Y1135">
        <v>77</v>
      </c>
      <c r="Z1135" t="s">
        <v>3495</v>
      </c>
      <c r="AD1135">
        <v>3</v>
      </c>
      <c r="AF1135">
        <v>200</v>
      </c>
      <c r="AH1135" t="s">
        <v>2259</v>
      </c>
      <c r="AM1135" t="s">
        <v>3498</v>
      </c>
      <c r="CC1135">
        <v>11.78</v>
      </c>
      <c r="CE113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35" s="19">
        <f>SUM(Table1[[#This Row],[Mid39]],Table1[[#This Row],[Mid36]],Table1[[#This Row],[Mid33]],Table1[[#This Row],[Mid30]],Table1[[#This Row],[Mid27]],Table1[[#This Row],[Mid24]],Table1[[#This Row],[Mid21]],Table1[[#This Row],[Mid18]],Table1[[#This Row],[Mid15]],Table1[[#This Row],[Mid12]],Table1[[#This Row],[Mid9]],Table1[[#This Row],[Mid6]],Table1[[#This Row],[Mid3]],Table1[[#This Row],[Mid]])</f>
        <v>11.78</v>
      </c>
      <c r="CG11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35" t="s">
        <v>157</v>
      </c>
      <c r="CI1135" t="s">
        <v>2471</v>
      </c>
      <c r="CJ1135" t="s">
        <v>158</v>
      </c>
      <c r="CL1135" s="19">
        <f>IF(Table1[[#This Row],[Type]]="Petroleum",1,IF(ISERROR(Table1[[#This Row],[Well Density]]*Table1[[#This Row],[Single Well Discovery Area]]),"",IF(Table1[[#This Row],[Well Density]]*Table1[[#This Row],[Single Well Discovery Area]]&gt;1,1,Table1[[#This Row],[Well Density]]*Table1[[#This Row],[Single Well Discovery Area]])))</f>
        <v>0</v>
      </c>
      <c r="CN1135" s="19">
        <f>Table1[[#This Row],[Mid]]</f>
        <v>0</v>
      </c>
      <c r="CO1135" s="19">
        <f>Table1[[#This Row],[Mid3]]+Table1[[#This Row],[Mid6]]+Table1[[#This Row],[Mid9]]</f>
        <v>0</v>
      </c>
      <c r="CP1135" s="19">
        <f>Table1[[#This Row],[Mid12]]+Table1[[#This Row],[Mid15]]+Table1[[#This Row],[Mid18]]+Table1[[#This Row],[Mid21]]+Table1[[#This Row],[Mid24]]</f>
        <v>0</v>
      </c>
      <c r="CQ1135" s="19">
        <f>Table1[[#This Row],[Mid27]]+Table1[[#This Row],[Mid30]]+Table1[[#This Row],[Mid33]]+Table1[[#This Row],[Mid36]]+Table1[[#This Row],[Mid39]]</f>
        <v>11.78</v>
      </c>
      <c r="CR1135" t="s">
        <v>415</v>
      </c>
      <c r="CS1135" s="19" t="str">
        <f>IF(AND(Table1[[#This Row],[Low41]]=0, Table1[[#This Row],[High43]]=0),"N","Y")</f>
        <v>N</v>
      </c>
    </row>
    <row r="1136" spans="1:97" ht="19.5" customHeight="1" x14ac:dyDescent="0.25">
      <c r="A1136">
        <v>11137</v>
      </c>
      <c r="B1136" t="s">
        <v>3451</v>
      </c>
      <c r="C1136" t="s">
        <v>3459</v>
      </c>
      <c r="D1136">
        <v>53.383333329999999</v>
      </c>
      <c r="E1136">
        <v>-5.7288888890000003</v>
      </c>
      <c r="F1136" t="s">
        <v>3499</v>
      </c>
      <c r="G1136" t="s">
        <v>3471</v>
      </c>
      <c r="H1136" t="s">
        <v>3462</v>
      </c>
      <c r="I1136" t="s">
        <v>118</v>
      </c>
      <c r="J1136" t="s">
        <v>119</v>
      </c>
      <c r="K1136" t="s">
        <v>1435</v>
      </c>
      <c r="L1136" t="s">
        <v>18</v>
      </c>
      <c r="M1136" t="s">
        <v>252</v>
      </c>
      <c r="N1136" s="6" t="s">
        <v>3500</v>
      </c>
      <c r="O1136" t="s">
        <v>3387</v>
      </c>
      <c r="P1136" t="s">
        <v>2652</v>
      </c>
      <c r="Q1136" t="s">
        <v>255</v>
      </c>
      <c r="R1136" t="s">
        <v>3458</v>
      </c>
      <c r="S1136">
        <v>2008</v>
      </c>
      <c r="T1136" t="s">
        <v>771</v>
      </c>
      <c r="U1136" t="s">
        <v>3389</v>
      </c>
      <c r="V1136"/>
      <c r="W1136">
        <v>1166</v>
      </c>
      <c r="X1136">
        <v>240</v>
      </c>
      <c r="Y1136">
        <v>77</v>
      </c>
      <c r="Z1136" t="s">
        <v>3495</v>
      </c>
      <c r="AD1136">
        <v>3</v>
      </c>
      <c r="AF1136">
        <v>200</v>
      </c>
      <c r="AH1136" t="s">
        <v>2259</v>
      </c>
      <c r="AM1136" t="s">
        <v>3501</v>
      </c>
      <c r="CC1136">
        <v>52.52</v>
      </c>
      <c r="CE11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36" s="19">
        <f>SUM(Table1[[#This Row],[Mid39]],Table1[[#This Row],[Mid36]],Table1[[#This Row],[Mid33]],Table1[[#This Row],[Mid30]],Table1[[#This Row],[Mid27]],Table1[[#This Row],[Mid24]],Table1[[#This Row],[Mid21]],Table1[[#This Row],[Mid18]],Table1[[#This Row],[Mid15]],Table1[[#This Row],[Mid12]],Table1[[#This Row],[Mid9]],Table1[[#This Row],[Mid6]],Table1[[#This Row],[Mid3]],Table1[[#This Row],[Mid]])</f>
        <v>52.52</v>
      </c>
      <c r="CG11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36" t="s">
        <v>157</v>
      </c>
      <c r="CI1136" t="s">
        <v>2471</v>
      </c>
      <c r="CJ1136" t="s">
        <v>158</v>
      </c>
      <c r="CL1136" s="19">
        <f>IF(Table1[[#This Row],[Type]]="Petroleum",1,IF(ISERROR(Table1[[#This Row],[Well Density]]*Table1[[#This Row],[Single Well Discovery Area]]),"",IF(Table1[[#This Row],[Well Density]]*Table1[[#This Row],[Single Well Discovery Area]]&gt;1,1,Table1[[#This Row],[Well Density]]*Table1[[#This Row],[Single Well Discovery Area]])))</f>
        <v>0</v>
      </c>
      <c r="CN1136" s="19">
        <f>Table1[[#This Row],[Mid]]</f>
        <v>0</v>
      </c>
      <c r="CO1136" s="19">
        <f>Table1[[#This Row],[Mid3]]+Table1[[#This Row],[Mid6]]+Table1[[#This Row],[Mid9]]</f>
        <v>0</v>
      </c>
      <c r="CP1136" s="19">
        <f>Table1[[#This Row],[Mid12]]+Table1[[#This Row],[Mid15]]+Table1[[#This Row],[Mid18]]+Table1[[#This Row],[Mid21]]+Table1[[#This Row],[Mid24]]</f>
        <v>0</v>
      </c>
      <c r="CQ1136" s="19">
        <f>Table1[[#This Row],[Mid27]]+Table1[[#This Row],[Mid30]]+Table1[[#This Row],[Mid33]]+Table1[[#This Row],[Mid36]]+Table1[[#This Row],[Mid39]]</f>
        <v>52.52</v>
      </c>
      <c r="CR1136" t="s">
        <v>415</v>
      </c>
      <c r="CS1136" s="19" t="str">
        <f>IF(AND(Table1[[#This Row],[Low41]]=0, Table1[[#This Row],[High43]]=0),"N","Y")</f>
        <v>N</v>
      </c>
    </row>
    <row r="1137" spans="1:97" ht="19.5" customHeight="1" x14ac:dyDescent="0.25">
      <c r="A1137">
        <v>11138</v>
      </c>
      <c r="B1137" t="s">
        <v>3451</v>
      </c>
      <c r="C1137" t="s">
        <v>3459</v>
      </c>
      <c r="D1137">
        <v>53.383333329999999</v>
      </c>
      <c r="E1137">
        <v>-5.7288888890000003</v>
      </c>
      <c r="F1137" t="s">
        <v>3502</v>
      </c>
      <c r="G1137" t="s">
        <v>3471</v>
      </c>
      <c r="H1137" t="s">
        <v>3462</v>
      </c>
      <c r="I1137" t="s">
        <v>118</v>
      </c>
      <c r="J1137" t="s">
        <v>119</v>
      </c>
      <c r="K1137" t="s">
        <v>1435</v>
      </c>
      <c r="L1137" t="s">
        <v>18</v>
      </c>
      <c r="M1137" t="s">
        <v>252</v>
      </c>
      <c r="N1137" s="6" t="s">
        <v>3503</v>
      </c>
      <c r="O1137" t="s">
        <v>3387</v>
      </c>
      <c r="P1137" t="s">
        <v>2652</v>
      </c>
      <c r="Q1137" t="s">
        <v>255</v>
      </c>
      <c r="R1137" t="s">
        <v>3458</v>
      </c>
      <c r="S1137">
        <v>2008</v>
      </c>
      <c r="T1137" t="s">
        <v>771</v>
      </c>
      <c r="U1137" t="s">
        <v>3389</v>
      </c>
      <c r="V1137"/>
      <c r="W1137">
        <v>1166</v>
      </c>
      <c r="X1137">
        <v>240</v>
      </c>
      <c r="Y1137">
        <v>77</v>
      </c>
      <c r="Z1137" t="s">
        <v>3495</v>
      </c>
      <c r="AD1137">
        <v>3</v>
      </c>
      <c r="AF1137">
        <v>200</v>
      </c>
      <c r="AH1137" t="s">
        <v>2259</v>
      </c>
      <c r="AM1137" t="s">
        <v>3504</v>
      </c>
      <c r="CC1137">
        <v>34.520000000000003</v>
      </c>
      <c r="CE113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37" s="19">
        <f>SUM(Table1[[#This Row],[Mid39]],Table1[[#This Row],[Mid36]],Table1[[#This Row],[Mid33]],Table1[[#This Row],[Mid30]],Table1[[#This Row],[Mid27]],Table1[[#This Row],[Mid24]],Table1[[#This Row],[Mid21]],Table1[[#This Row],[Mid18]],Table1[[#This Row],[Mid15]],Table1[[#This Row],[Mid12]],Table1[[#This Row],[Mid9]],Table1[[#This Row],[Mid6]],Table1[[#This Row],[Mid3]],Table1[[#This Row],[Mid]])</f>
        <v>34.520000000000003</v>
      </c>
      <c r="CG11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37" t="s">
        <v>157</v>
      </c>
      <c r="CI1137" t="s">
        <v>2471</v>
      </c>
      <c r="CJ1137" t="s">
        <v>158</v>
      </c>
      <c r="CL1137" s="19">
        <f>IF(Table1[[#This Row],[Type]]="Petroleum",1,IF(ISERROR(Table1[[#This Row],[Well Density]]*Table1[[#This Row],[Single Well Discovery Area]]),"",IF(Table1[[#This Row],[Well Density]]*Table1[[#This Row],[Single Well Discovery Area]]&gt;1,1,Table1[[#This Row],[Well Density]]*Table1[[#This Row],[Single Well Discovery Area]])))</f>
        <v>0</v>
      </c>
      <c r="CN1137" s="19">
        <f>Table1[[#This Row],[Mid]]</f>
        <v>0</v>
      </c>
      <c r="CO1137" s="19">
        <f>Table1[[#This Row],[Mid3]]+Table1[[#This Row],[Mid6]]+Table1[[#This Row],[Mid9]]</f>
        <v>0</v>
      </c>
      <c r="CP1137" s="19">
        <f>Table1[[#This Row],[Mid12]]+Table1[[#This Row],[Mid15]]+Table1[[#This Row],[Mid18]]+Table1[[#This Row],[Mid21]]+Table1[[#This Row],[Mid24]]</f>
        <v>0</v>
      </c>
      <c r="CQ1137" s="19">
        <f>Table1[[#This Row],[Mid27]]+Table1[[#This Row],[Mid30]]+Table1[[#This Row],[Mid33]]+Table1[[#This Row],[Mid36]]+Table1[[#This Row],[Mid39]]</f>
        <v>34.520000000000003</v>
      </c>
      <c r="CR1137" t="s">
        <v>415</v>
      </c>
      <c r="CS1137" s="19" t="str">
        <f>IF(AND(Table1[[#This Row],[Low41]]=0, Table1[[#This Row],[High43]]=0),"N","Y")</f>
        <v>N</v>
      </c>
    </row>
    <row r="1138" spans="1:97" ht="19.5" customHeight="1" x14ac:dyDescent="0.25">
      <c r="A1138">
        <v>11139</v>
      </c>
      <c r="B1138" t="s">
        <v>3451</v>
      </c>
      <c r="C1138" t="s">
        <v>3459</v>
      </c>
      <c r="D1138">
        <v>53.383333329999999</v>
      </c>
      <c r="E1138">
        <v>-5.7288888890000003</v>
      </c>
      <c r="F1138" t="s">
        <v>3505</v>
      </c>
      <c r="G1138" t="s">
        <v>3471</v>
      </c>
      <c r="H1138" t="s">
        <v>3462</v>
      </c>
      <c r="I1138" t="s">
        <v>118</v>
      </c>
      <c r="J1138" t="s">
        <v>119</v>
      </c>
      <c r="K1138" t="s">
        <v>1435</v>
      </c>
      <c r="L1138" t="s">
        <v>18</v>
      </c>
      <c r="M1138" t="s">
        <v>252</v>
      </c>
      <c r="N1138" s="6" t="s">
        <v>3506</v>
      </c>
      <c r="O1138" t="s">
        <v>3387</v>
      </c>
      <c r="P1138" t="s">
        <v>2652</v>
      </c>
      <c r="Q1138" t="s">
        <v>255</v>
      </c>
      <c r="R1138" t="s">
        <v>3458</v>
      </c>
      <c r="S1138">
        <v>2008</v>
      </c>
      <c r="T1138" t="s">
        <v>771</v>
      </c>
      <c r="U1138" t="s">
        <v>3389</v>
      </c>
      <c r="V1138"/>
      <c r="W1138">
        <v>1166</v>
      </c>
      <c r="X1138">
        <v>240</v>
      </c>
      <c r="Y1138">
        <v>77</v>
      </c>
      <c r="Z1138" t="s">
        <v>3495</v>
      </c>
      <c r="AD1138">
        <v>3</v>
      </c>
      <c r="AF1138">
        <v>200</v>
      </c>
      <c r="AH1138" t="s">
        <v>2259</v>
      </c>
      <c r="AM1138" t="s">
        <v>3507</v>
      </c>
      <c r="CC1138">
        <v>36.33</v>
      </c>
      <c r="CE113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38" s="19">
        <f>SUM(Table1[[#This Row],[Mid39]],Table1[[#This Row],[Mid36]],Table1[[#This Row],[Mid33]],Table1[[#This Row],[Mid30]],Table1[[#This Row],[Mid27]],Table1[[#This Row],[Mid24]],Table1[[#This Row],[Mid21]],Table1[[#This Row],[Mid18]],Table1[[#This Row],[Mid15]],Table1[[#This Row],[Mid12]],Table1[[#This Row],[Mid9]],Table1[[#This Row],[Mid6]],Table1[[#This Row],[Mid3]],Table1[[#This Row],[Mid]])</f>
        <v>36.33</v>
      </c>
      <c r="CG11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38" t="s">
        <v>157</v>
      </c>
      <c r="CI1138" t="s">
        <v>2471</v>
      </c>
      <c r="CJ1138" t="s">
        <v>158</v>
      </c>
      <c r="CL1138" s="19">
        <f>IF(Table1[[#This Row],[Type]]="Petroleum",1,IF(ISERROR(Table1[[#This Row],[Well Density]]*Table1[[#This Row],[Single Well Discovery Area]]),"",IF(Table1[[#This Row],[Well Density]]*Table1[[#This Row],[Single Well Discovery Area]]&gt;1,1,Table1[[#This Row],[Well Density]]*Table1[[#This Row],[Single Well Discovery Area]])))</f>
        <v>0</v>
      </c>
      <c r="CN1138" s="19">
        <f>Table1[[#This Row],[Mid]]</f>
        <v>0</v>
      </c>
      <c r="CO1138" s="19">
        <f>Table1[[#This Row],[Mid3]]+Table1[[#This Row],[Mid6]]+Table1[[#This Row],[Mid9]]</f>
        <v>0</v>
      </c>
      <c r="CP1138" s="19">
        <f>Table1[[#This Row],[Mid12]]+Table1[[#This Row],[Mid15]]+Table1[[#This Row],[Mid18]]+Table1[[#This Row],[Mid21]]+Table1[[#This Row],[Mid24]]</f>
        <v>0</v>
      </c>
      <c r="CQ1138" s="19">
        <f>Table1[[#This Row],[Mid27]]+Table1[[#This Row],[Mid30]]+Table1[[#This Row],[Mid33]]+Table1[[#This Row],[Mid36]]+Table1[[#This Row],[Mid39]]</f>
        <v>36.33</v>
      </c>
      <c r="CR1138" t="s">
        <v>415</v>
      </c>
      <c r="CS1138" s="19" t="str">
        <f>IF(AND(Table1[[#This Row],[Low41]]=0, Table1[[#This Row],[High43]]=0),"N","Y")</f>
        <v>N</v>
      </c>
    </row>
    <row r="1139" spans="1:97" ht="19.5" customHeight="1" x14ac:dyDescent="0.25">
      <c r="A1139">
        <v>11140</v>
      </c>
      <c r="B1139" t="s">
        <v>3451</v>
      </c>
      <c r="C1139" t="s">
        <v>3459</v>
      </c>
      <c r="D1139">
        <v>53.383333329999999</v>
      </c>
      <c r="E1139">
        <v>-5.7288888890000003</v>
      </c>
      <c r="F1139" t="s">
        <v>3508</v>
      </c>
      <c r="G1139" t="s">
        <v>3471</v>
      </c>
      <c r="H1139" t="s">
        <v>3462</v>
      </c>
      <c r="I1139" t="s">
        <v>118</v>
      </c>
      <c r="J1139" t="s">
        <v>119</v>
      </c>
      <c r="K1139" t="s">
        <v>1435</v>
      </c>
      <c r="L1139" t="s">
        <v>18</v>
      </c>
      <c r="M1139" t="s">
        <v>252</v>
      </c>
      <c r="N1139" s="6" t="s">
        <v>3509</v>
      </c>
      <c r="O1139" t="s">
        <v>3387</v>
      </c>
      <c r="P1139" t="s">
        <v>2652</v>
      </c>
      <c r="Q1139" t="s">
        <v>255</v>
      </c>
      <c r="R1139" t="s">
        <v>3458</v>
      </c>
      <c r="S1139">
        <v>2008</v>
      </c>
      <c r="T1139" t="s">
        <v>771</v>
      </c>
      <c r="U1139" t="s">
        <v>3389</v>
      </c>
      <c r="V1139"/>
      <c r="W1139">
        <v>1166</v>
      </c>
      <c r="X1139">
        <v>240</v>
      </c>
      <c r="Y1139">
        <v>77</v>
      </c>
      <c r="Z1139" t="s">
        <v>3495</v>
      </c>
      <c r="AD1139">
        <v>3</v>
      </c>
      <c r="AF1139">
        <v>200</v>
      </c>
      <c r="AH1139" t="s">
        <v>2259</v>
      </c>
      <c r="AM1139" t="s">
        <v>3510</v>
      </c>
      <c r="CC1139">
        <v>57.23</v>
      </c>
      <c r="CE113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39" s="19">
        <f>SUM(Table1[[#This Row],[Mid39]],Table1[[#This Row],[Mid36]],Table1[[#This Row],[Mid33]],Table1[[#This Row],[Mid30]],Table1[[#This Row],[Mid27]],Table1[[#This Row],[Mid24]],Table1[[#This Row],[Mid21]],Table1[[#This Row],[Mid18]],Table1[[#This Row],[Mid15]],Table1[[#This Row],[Mid12]],Table1[[#This Row],[Mid9]],Table1[[#This Row],[Mid6]],Table1[[#This Row],[Mid3]],Table1[[#This Row],[Mid]])</f>
        <v>57.23</v>
      </c>
      <c r="CG11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39" t="s">
        <v>157</v>
      </c>
      <c r="CI1139" t="s">
        <v>2471</v>
      </c>
      <c r="CJ1139" t="s">
        <v>158</v>
      </c>
      <c r="CL1139" s="19">
        <f>IF(Table1[[#This Row],[Type]]="Petroleum",1,IF(ISERROR(Table1[[#This Row],[Well Density]]*Table1[[#This Row],[Single Well Discovery Area]]),"",IF(Table1[[#This Row],[Well Density]]*Table1[[#This Row],[Single Well Discovery Area]]&gt;1,1,Table1[[#This Row],[Well Density]]*Table1[[#This Row],[Single Well Discovery Area]])))</f>
        <v>0</v>
      </c>
      <c r="CN1139" s="19">
        <f>Table1[[#This Row],[Mid]]</f>
        <v>0</v>
      </c>
      <c r="CO1139" s="19">
        <f>Table1[[#This Row],[Mid3]]+Table1[[#This Row],[Mid6]]+Table1[[#This Row],[Mid9]]</f>
        <v>0</v>
      </c>
      <c r="CP1139" s="19">
        <f>Table1[[#This Row],[Mid12]]+Table1[[#This Row],[Mid15]]+Table1[[#This Row],[Mid18]]+Table1[[#This Row],[Mid21]]+Table1[[#This Row],[Mid24]]</f>
        <v>0</v>
      </c>
      <c r="CQ1139" s="19">
        <f>Table1[[#This Row],[Mid27]]+Table1[[#This Row],[Mid30]]+Table1[[#This Row],[Mid33]]+Table1[[#This Row],[Mid36]]+Table1[[#This Row],[Mid39]]</f>
        <v>57.23</v>
      </c>
      <c r="CR1139" t="s">
        <v>415</v>
      </c>
      <c r="CS1139" s="19" t="str">
        <f>IF(AND(Table1[[#This Row],[Low41]]=0, Table1[[#This Row],[High43]]=0),"N","Y")</f>
        <v>N</v>
      </c>
    </row>
    <row r="1140" spans="1:97" ht="19.5" customHeight="1" x14ac:dyDescent="0.25">
      <c r="A1140">
        <v>11141</v>
      </c>
      <c r="B1140" t="s">
        <v>3451</v>
      </c>
      <c r="C1140" t="s">
        <v>3459</v>
      </c>
      <c r="D1140">
        <v>53.225000000000001</v>
      </c>
      <c r="E1140">
        <v>-5.9233333330000004</v>
      </c>
      <c r="F1140" t="s">
        <v>3511</v>
      </c>
      <c r="G1140" t="s">
        <v>3471</v>
      </c>
      <c r="H1140" t="s">
        <v>3462</v>
      </c>
      <c r="I1140" t="s">
        <v>118</v>
      </c>
      <c r="J1140" t="s">
        <v>119</v>
      </c>
      <c r="K1140" t="s">
        <v>1435</v>
      </c>
      <c r="L1140" t="s">
        <v>18</v>
      </c>
      <c r="M1140" t="s">
        <v>252</v>
      </c>
      <c r="N1140" s="6" t="s">
        <v>3512</v>
      </c>
      <c r="O1140" t="s">
        <v>3387</v>
      </c>
      <c r="P1140" t="s">
        <v>2652</v>
      </c>
      <c r="Q1140" t="s">
        <v>255</v>
      </c>
      <c r="R1140" t="s">
        <v>3458</v>
      </c>
      <c r="S1140">
        <v>2008</v>
      </c>
      <c r="T1140" t="s">
        <v>771</v>
      </c>
      <c r="U1140" t="s">
        <v>3389</v>
      </c>
      <c r="V1140"/>
      <c r="W1140">
        <v>1166</v>
      </c>
      <c r="X1140">
        <v>240</v>
      </c>
      <c r="Y1140">
        <v>77</v>
      </c>
      <c r="Z1140" t="s">
        <v>3495</v>
      </c>
      <c r="AD1140">
        <v>3</v>
      </c>
      <c r="AF1140">
        <v>200</v>
      </c>
      <c r="AH1140" t="s">
        <v>2259</v>
      </c>
      <c r="AM1140" t="s">
        <v>3513</v>
      </c>
      <c r="CC1140">
        <v>16.399999999999999</v>
      </c>
      <c r="CE114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40" s="19">
        <f>SUM(Table1[[#This Row],[Mid39]],Table1[[#This Row],[Mid36]],Table1[[#This Row],[Mid33]],Table1[[#This Row],[Mid30]],Table1[[#This Row],[Mid27]],Table1[[#This Row],[Mid24]],Table1[[#This Row],[Mid21]],Table1[[#This Row],[Mid18]],Table1[[#This Row],[Mid15]],Table1[[#This Row],[Mid12]],Table1[[#This Row],[Mid9]],Table1[[#This Row],[Mid6]],Table1[[#This Row],[Mid3]],Table1[[#This Row],[Mid]])</f>
        <v>16.399999999999999</v>
      </c>
      <c r="CG11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40" t="s">
        <v>157</v>
      </c>
      <c r="CI1140" t="s">
        <v>2471</v>
      </c>
      <c r="CJ1140" t="s">
        <v>158</v>
      </c>
      <c r="CL1140" s="19">
        <f>IF(Table1[[#This Row],[Type]]="Petroleum",1,IF(ISERROR(Table1[[#This Row],[Well Density]]*Table1[[#This Row],[Single Well Discovery Area]]),"",IF(Table1[[#This Row],[Well Density]]*Table1[[#This Row],[Single Well Discovery Area]]&gt;1,1,Table1[[#This Row],[Well Density]]*Table1[[#This Row],[Single Well Discovery Area]])))</f>
        <v>0</v>
      </c>
      <c r="CN1140" s="19">
        <f>Table1[[#This Row],[Mid]]</f>
        <v>0</v>
      </c>
      <c r="CO1140" s="19">
        <f>Table1[[#This Row],[Mid3]]+Table1[[#This Row],[Mid6]]+Table1[[#This Row],[Mid9]]</f>
        <v>0</v>
      </c>
      <c r="CP1140" s="19">
        <f>Table1[[#This Row],[Mid12]]+Table1[[#This Row],[Mid15]]+Table1[[#This Row],[Mid18]]+Table1[[#This Row],[Mid21]]+Table1[[#This Row],[Mid24]]</f>
        <v>0</v>
      </c>
      <c r="CQ1140" s="19">
        <f>Table1[[#This Row],[Mid27]]+Table1[[#This Row],[Mid30]]+Table1[[#This Row],[Mid33]]+Table1[[#This Row],[Mid36]]+Table1[[#This Row],[Mid39]]</f>
        <v>16.399999999999999</v>
      </c>
      <c r="CR1140" t="s">
        <v>415</v>
      </c>
      <c r="CS1140" s="19" t="str">
        <f>IF(AND(Table1[[#This Row],[Low41]]=0, Table1[[#This Row],[High43]]=0),"N","Y")</f>
        <v>N</v>
      </c>
    </row>
    <row r="1141" spans="1:97" ht="19.5" customHeight="1" x14ac:dyDescent="0.25">
      <c r="A1141">
        <v>11142</v>
      </c>
      <c r="B1141" t="s">
        <v>3451</v>
      </c>
      <c r="C1141" t="s">
        <v>3459</v>
      </c>
      <c r="D1141">
        <v>52.81027778</v>
      </c>
      <c r="E1141">
        <v>-5.3372222220000003</v>
      </c>
      <c r="F1141" t="s">
        <v>3514</v>
      </c>
      <c r="G1141" t="s">
        <v>3454</v>
      </c>
      <c r="H1141" t="s">
        <v>3462</v>
      </c>
      <c r="I1141" t="s">
        <v>118</v>
      </c>
      <c r="J1141" t="s">
        <v>119</v>
      </c>
      <c r="K1141" t="s">
        <v>1435</v>
      </c>
      <c r="L1141" t="s">
        <v>18</v>
      </c>
      <c r="M1141" t="s">
        <v>252</v>
      </c>
      <c r="N1141" s="6" t="s">
        <v>3515</v>
      </c>
      <c r="O1141" t="s">
        <v>3387</v>
      </c>
      <c r="P1141" t="s">
        <v>2652</v>
      </c>
      <c r="Q1141" t="s">
        <v>255</v>
      </c>
      <c r="R1141" t="s">
        <v>3458</v>
      </c>
      <c r="S1141">
        <v>2008</v>
      </c>
      <c r="T1141" t="s">
        <v>771</v>
      </c>
      <c r="U1141" t="s">
        <v>3389</v>
      </c>
      <c r="V1141"/>
      <c r="W1141">
        <v>1163</v>
      </c>
      <c r="X1141">
        <v>639</v>
      </c>
      <c r="Y1141">
        <v>73</v>
      </c>
      <c r="Z1141">
        <v>12.2</v>
      </c>
      <c r="AA1141">
        <v>0.22</v>
      </c>
      <c r="AD1141">
        <v>0</v>
      </c>
      <c r="AF1141">
        <v>200</v>
      </c>
      <c r="AH1141" t="s">
        <v>2259</v>
      </c>
      <c r="AM1141" t="s">
        <v>3516</v>
      </c>
      <c r="CC1141">
        <v>100.1</v>
      </c>
      <c r="CE114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41" s="19">
        <f>SUM(Table1[[#This Row],[Mid39]],Table1[[#This Row],[Mid36]],Table1[[#This Row],[Mid33]],Table1[[#This Row],[Mid30]],Table1[[#This Row],[Mid27]],Table1[[#This Row],[Mid24]],Table1[[#This Row],[Mid21]],Table1[[#This Row],[Mid18]],Table1[[#This Row],[Mid15]],Table1[[#This Row],[Mid12]],Table1[[#This Row],[Mid9]],Table1[[#This Row],[Mid6]],Table1[[#This Row],[Mid3]],Table1[[#This Row],[Mid]])</f>
        <v>100.1</v>
      </c>
      <c r="CG11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41" t="s">
        <v>157</v>
      </c>
      <c r="CI1141" t="s">
        <v>2471</v>
      </c>
      <c r="CJ1141" t="s">
        <v>158</v>
      </c>
      <c r="CL1141" s="19">
        <f>IF(Table1[[#This Row],[Type]]="Petroleum",1,IF(ISERROR(Table1[[#This Row],[Well Density]]*Table1[[#This Row],[Single Well Discovery Area]]),"",IF(Table1[[#This Row],[Well Density]]*Table1[[#This Row],[Single Well Discovery Area]]&gt;1,1,Table1[[#This Row],[Well Density]]*Table1[[#This Row],[Single Well Discovery Area]])))</f>
        <v>0</v>
      </c>
      <c r="CN1141" s="19">
        <f>Table1[[#This Row],[Mid]]</f>
        <v>0</v>
      </c>
      <c r="CO1141" s="19">
        <f>Table1[[#This Row],[Mid3]]+Table1[[#This Row],[Mid6]]+Table1[[#This Row],[Mid9]]</f>
        <v>0</v>
      </c>
      <c r="CP1141" s="19">
        <f>Table1[[#This Row],[Mid12]]+Table1[[#This Row],[Mid15]]+Table1[[#This Row],[Mid18]]+Table1[[#This Row],[Mid21]]+Table1[[#This Row],[Mid24]]</f>
        <v>0</v>
      </c>
      <c r="CQ1141" s="19">
        <f>Table1[[#This Row],[Mid27]]+Table1[[#This Row],[Mid30]]+Table1[[#This Row],[Mid33]]+Table1[[#This Row],[Mid36]]+Table1[[#This Row],[Mid39]]</f>
        <v>100.1</v>
      </c>
      <c r="CR1141" t="s">
        <v>415</v>
      </c>
      <c r="CS1141" s="19" t="str">
        <f>IF(AND(Table1[[#This Row],[Low41]]=0, Table1[[#This Row],[High43]]=0),"N","Y")</f>
        <v>N</v>
      </c>
    </row>
    <row r="1142" spans="1:97" ht="19.5" customHeight="1" x14ac:dyDescent="0.25">
      <c r="A1142">
        <v>11143</v>
      </c>
      <c r="B1142" t="s">
        <v>3451</v>
      </c>
      <c r="C1142" t="s">
        <v>3459</v>
      </c>
      <c r="D1142">
        <v>52.81027778</v>
      </c>
      <c r="E1142">
        <v>-5.3372222220000003</v>
      </c>
      <c r="F1142" t="s">
        <v>3517</v>
      </c>
      <c r="G1142" t="s">
        <v>3454</v>
      </c>
      <c r="H1142" t="s">
        <v>3462</v>
      </c>
      <c r="I1142" t="s">
        <v>118</v>
      </c>
      <c r="J1142" t="s">
        <v>119</v>
      </c>
      <c r="K1142" t="s">
        <v>1435</v>
      </c>
      <c r="L1142" t="s">
        <v>18</v>
      </c>
      <c r="M1142" t="s">
        <v>252</v>
      </c>
      <c r="N1142" s="6" t="s">
        <v>3518</v>
      </c>
      <c r="O1142" t="s">
        <v>3387</v>
      </c>
      <c r="P1142" t="s">
        <v>2652</v>
      </c>
      <c r="Q1142" t="s">
        <v>255</v>
      </c>
      <c r="R1142" t="s">
        <v>3458</v>
      </c>
      <c r="S1142">
        <v>2008</v>
      </c>
      <c r="T1142" t="s">
        <v>771</v>
      </c>
      <c r="U1142" t="s">
        <v>3389</v>
      </c>
      <c r="V1142"/>
      <c r="W1142">
        <v>1163</v>
      </c>
      <c r="X1142">
        <v>639</v>
      </c>
      <c r="Y1142">
        <v>73</v>
      </c>
      <c r="Z1142">
        <v>12.2</v>
      </c>
      <c r="AA1142">
        <v>0.22</v>
      </c>
      <c r="AD1142">
        <v>0</v>
      </c>
      <c r="AF1142">
        <v>200</v>
      </c>
      <c r="AH1142" t="s">
        <v>2259</v>
      </c>
      <c r="AM1142" t="s">
        <v>3519</v>
      </c>
      <c r="CC1142">
        <v>28.79</v>
      </c>
      <c r="CE11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42" s="19">
        <f>SUM(Table1[[#This Row],[Mid39]],Table1[[#This Row],[Mid36]],Table1[[#This Row],[Mid33]],Table1[[#This Row],[Mid30]],Table1[[#This Row],[Mid27]],Table1[[#This Row],[Mid24]],Table1[[#This Row],[Mid21]],Table1[[#This Row],[Mid18]],Table1[[#This Row],[Mid15]],Table1[[#This Row],[Mid12]],Table1[[#This Row],[Mid9]],Table1[[#This Row],[Mid6]],Table1[[#This Row],[Mid3]],Table1[[#This Row],[Mid]])</f>
        <v>28.79</v>
      </c>
      <c r="CG11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42" t="s">
        <v>157</v>
      </c>
      <c r="CI1142" t="s">
        <v>2471</v>
      </c>
      <c r="CJ1142" t="s">
        <v>158</v>
      </c>
      <c r="CL1142" s="19">
        <f>IF(Table1[[#This Row],[Type]]="Petroleum",1,IF(ISERROR(Table1[[#This Row],[Well Density]]*Table1[[#This Row],[Single Well Discovery Area]]),"",IF(Table1[[#This Row],[Well Density]]*Table1[[#This Row],[Single Well Discovery Area]]&gt;1,1,Table1[[#This Row],[Well Density]]*Table1[[#This Row],[Single Well Discovery Area]])))</f>
        <v>0</v>
      </c>
      <c r="CN1142" s="19">
        <f>Table1[[#This Row],[Mid]]</f>
        <v>0</v>
      </c>
      <c r="CO1142" s="19">
        <f>Table1[[#This Row],[Mid3]]+Table1[[#This Row],[Mid6]]+Table1[[#This Row],[Mid9]]</f>
        <v>0</v>
      </c>
      <c r="CP1142" s="19">
        <f>Table1[[#This Row],[Mid12]]+Table1[[#This Row],[Mid15]]+Table1[[#This Row],[Mid18]]+Table1[[#This Row],[Mid21]]+Table1[[#This Row],[Mid24]]</f>
        <v>0</v>
      </c>
      <c r="CQ1142" s="19">
        <f>Table1[[#This Row],[Mid27]]+Table1[[#This Row],[Mid30]]+Table1[[#This Row],[Mid33]]+Table1[[#This Row],[Mid36]]+Table1[[#This Row],[Mid39]]</f>
        <v>28.79</v>
      </c>
      <c r="CR1142" t="s">
        <v>415</v>
      </c>
      <c r="CS1142" s="19" t="str">
        <f>IF(AND(Table1[[#This Row],[Low41]]=0, Table1[[#This Row],[High43]]=0),"N","Y")</f>
        <v>N</v>
      </c>
    </row>
    <row r="1143" spans="1:97" ht="19.5" customHeight="1" x14ac:dyDescent="0.25">
      <c r="A1143">
        <v>11144</v>
      </c>
      <c r="B1143" t="s">
        <v>3451</v>
      </c>
      <c r="C1143" t="s">
        <v>3459</v>
      </c>
      <c r="D1143">
        <v>52.81027778</v>
      </c>
      <c r="E1143">
        <v>-5.3372222220000003</v>
      </c>
      <c r="F1143" t="s">
        <v>3520</v>
      </c>
      <c r="G1143" t="s">
        <v>3454</v>
      </c>
      <c r="H1143" t="s">
        <v>3462</v>
      </c>
      <c r="I1143" t="s">
        <v>118</v>
      </c>
      <c r="J1143" t="s">
        <v>119</v>
      </c>
      <c r="K1143" t="s">
        <v>1435</v>
      </c>
      <c r="L1143" t="s">
        <v>18</v>
      </c>
      <c r="M1143" t="s">
        <v>252</v>
      </c>
      <c r="N1143" s="6" t="s">
        <v>3521</v>
      </c>
      <c r="O1143" t="s">
        <v>3387</v>
      </c>
      <c r="P1143" t="s">
        <v>2652</v>
      </c>
      <c r="Q1143" t="s">
        <v>255</v>
      </c>
      <c r="R1143" t="s">
        <v>3458</v>
      </c>
      <c r="S1143">
        <v>2008</v>
      </c>
      <c r="T1143" t="s">
        <v>771</v>
      </c>
      <c r="U1143" t="s">
        <v>3389</v>
      </c>
      <c r="V1143"/>
      <c r="W1143">
        <v>1163</v>
      </c>
      <c r="X1143">
        <v>639</v>
      </c>
      <c r="Y1143">
        <v>73</v>
      </c>
      <c r="Z1143">
        <v>12.2</v>
      </c>
      <c r="AA1143">
        <v>0.22</v>
      </c>
      <c r="AD1143">
        <v>0</v>
      </c>
      <c r="AF1143">
        <v>200</v>
      </c>
      <c r="AH1143" t="s">
        <v>2259</v>
      </c>
      <c r="AM1143" t="s">
        <v>3522</v>
      </c>
      <c r="CC1143">
        <v>166.41</v>
      </c>
      <c r="CE114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43" s="19">
        <f>SUM(Table1[[#This Row],[Mid39]],Table1[[#This Row],[Mid36]],Table1[[#This Row],[Mid33]],Table1[[#This Row],[Mid30]],Table1[[#This Row],[Mid27]],Table1[[#This Row],[Mid24]],Table1[[#This Row],[Mid21]],Table1[[#This Row],[Mid18]],Table1[[#This Row],[Mid15]],Table1[[#This Row],[Mid12]],Table1[[#This Row],[Mid9]],Table1[[#This Row],[Mid6]],Table1[[#This Row],[Mid3]],Table1[[#This Row],[Mid]])</f>
        <v>166.41</v>
      </c>
      <c r="CG11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43" t="s">
        <v>157</v>
      </c>
      <c r="CI1143" t="s">
        <v>2471</v>
      </c>
      <c r="CJ1143" t="s">
        <v>158</v>
      </c>
      <c r="CL1143" s="19">
        <f>IF(Table1[[#This Row],[Type]]="Petroleum",1,IF(ISERROR(Table1[[#This Row],[Well Density]]*Table1[[#This Row],[Single Well Discovery Area]]),"",IF(Table1[[#This Row],[Well Density]]*Table1[[#This Row],[Single Well Discovery Area]]&gt;1,1,Table1[[#This Row],[Well Density]]*Table1[[#This Row],[Single Well Discovery Area]])))</f>
        <v>0</v>
      </c>
      <c r="CN1143" s="19">
        <f>Table1[[#This Row],[Mid]]</f>
        <v>0</v>
      </c>
      <c r="CO1143" s="19">
        <f>Table1[[#This Row],[Mid3]]+Table1[[#This Row],[Mid6]]+Table1[[#This Row],[Mid9]]</f>
        <v>0</v>
      </c>
      <c r="CP1143" s="19">
        <f>Table1[[#This Row],[Mid12]]+Table1[[#This Row],[Mid15]]+Table1[[#This Row],[Mid18]]+Table1[[#This Row],[Mid21]]+Table1[[#This Row],[Mid24]]</f>
        <v>0</v>
      </c>
      <c r="CQ1143" s="19">
        <f>Table1[[#This Row],[Mid27]]+Table1[[#This Row],[Mid30]]+Table1[[#This Row],[Mid33]]+Table1[[#This Row],[Mid36]]+Table1[[#This Row],[Mid39]]</f>
        <v>166.41</v>
      </c>
      <c r="CR1143" t="s">
        <v>415</v>
      </c>
      <c r="CS1143" s="19" t="str">
        <f>IF(AND(Table1[[#This Row],[Low41]]=0, Table1[[#This Row],[High43]]=0),"N","Y")</f>
        <v>N</v>
      </c>
    </row>
    <row r="1144" spans="1:97" ht="19.5" customHeight="1" x14ac:dyDescent="0.25">
      <c r="A1144">
        <v>11145</v>
      </c>
      <c r="B1144" t="s">
        <v>3451</v>
      </c>
      <c r="C1144" t="s">
        <v>3459</v>
      </c>
      <c r="D1144">
        <v>52.81027778</v>
      </c>
      <c r="E1144">
        <v>-5.3372222220000003</v>
      </c>
      <c r="F1144" t="s">
        <v>3493</v>
      </c>
      <c r="G1144" t="s">
        <v>3454</v>
      </c>
      <c r="H1144" t="s">
        <v>3462</v>
      </c>
      <c r="I1144" t="s">
        <v>118</v>
      </c>
      <c r="J1144" t="s">
        <v>119</v>
      </c>
      <c r="K1144" t="s">
        <v>1435</v>
      </c>
      <c r="L1144" t="s">
        <v>18</v>
      </c>
      <c r="M1144" t="s">
        <v>252</v>
      </c>
      <c r="N1144" s="6" t="s">
        <v>3523</v>
      </c>
      <c r="O1144" t="s">
        <v>3387</v>
      </c>
      <c r="P1144" t="s">
        <v>2652</v>
      </c>
      <c r="Q1144" t="s">
        <v>255</v>
      </c>
      <c r="R1144" t="s">
        <v>3458</v>
      </c>
      <c r="S1144">
        <v>2008</v>
      </c>
      <c r="T1144" t="s">
        <v>771</v>
      </c>
      <c r="U1144" t="s">
        <v>3389</v>
      </c>
      <c r="V1144"/>
      <c r="W1144">
        <v>1163</v>
      </c>
      <c r="X1144">
        <v>639</v>
      </c>
      <c r="Y1144">
        <v>73</v>
      </c>
      <c r="Z1144">
        <v>12.2</v>
      </c>
      <c r="AA1144">
        <v>0.22</v>
      </c>
      <c r="AD1144">
        <v>0</v>
      </c>
      <c r="AF1144">
        <v>200</v>
      </c>
      <c r="AH1144" t="s">
        <v>2259</v>
      </c>
      <c r="AM1144" t="s">
        <v>3524</v>
      </c>
      <c r="CC1144">
        <v>141.1</v>
      </c>
      <c r="CE114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44" s="19">
        <f>SUM(Table1[[#This Row],[Mid39]],Table1[[#This Row],[Mid36]],Table1[[#This Row],[Mid33]],Table1[[#This Row],[Mid30]],Table1[[#This Row],[Mid27]],Table1[[#This Row],[Mid24]],Table1[[#This Row],[Mid21]],Table1[[#This Row],[Mid18]],Table1[[#This Row],[Mid15]],Table1[[#This Row],[Mid12]],Table1[[#This Row],[Mid9]],Table1[[#This Row],[Mid6]],Table1[[#This Row],[Mid3]],Table1[[#This Row],[Mid]])</f>
        <v>141.1</v>
      </c>
      <c r="CG11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44" t="s">
        <v>157</v>
      </c>
      <c r="CI1144" t="s">
        <v>2471</v>
      </c>
      <c r="CJ1144" t="s">
        <v>158</v>
      </c>
      <c r="CL1144" s="19">
        <f>IF(Table1[[#This Row],[Type]]="Petroleum",1,IF(ISERROR(Table1[[#This Row],[Well Density]]*Table1[[#This Row],[Single Well Discovery Area]]),"",IF(Table1[[#This Row],[Well Density]]*Table1[[#This Row],[Single Well Discovery Area]]&gt;1,1,Table1[[#This Row],[Well Density]]*Table1[[#This Row],[Single Well Discovery Area]])))</f>
        <v>0</v>
      </c>
      <c r="CN1144" s="19">
        <f>Table1[[#This Row],[Mid]]</f>
        <v>0</v>
      </c>
      <c r="CO1144" s="19">
        <f>Table1[[#This Row],[Mid3]]+Table1[[#This Row],[Mid6]]+Table1[[#This Row],[Mid9]]</f>
        <v>0</v>
      </c>
      <c r="CP1144" s="19">
        <f>Table1[[#This Row],[Mid12]]+Table1[[#This Row],[Mid15]]+Table1[[#This Row],[Mid18]]+Table1[[#This Row],[Mid21]]+Table1[[#This Row],[Mid24]]</f>
        <v>0</v>
      </c>
      <c r="CQ1144" s="19">
        <f>Table1[[#This Row],[Mid27]]+Table1[[#This Row],[Mid30]]+Table1[[#This Row],[Mid33]]+Table1[[#This Row],[Mid36]]+Table1[[#This Row],[Mid39]]</f>
        <v>141.1</v>
      </c>
      <c r="CR1144" t="s">
        <v>415</v>
      </c>
      <c r="CS1144" s="19" t="str">
        <f>IF(AND(Table1[[#This Row],[Low41]]=0, Table1[[#This Row],[High43]]=0),"N","Y")</f>
        <v>N</v>
      </c>
    </row>
    <row r="1145" spans="1:97" ht="19.5" customHeight="1" x14ac:dyDescent="0.25">
      <c r="A1145">
        <v>11146</v>
      </c>
      <c r="B1145" t="s">
        <v>3451</v>
      </c>
      <c r="C1145" t="s">
        <v>3459</v>
      </c>
      <c r="D1145">
        <v>52.81027778</v>
      </c>
      <c r="E1145">
        <v>-5.3372222220000003</v>
      </c>
      <c r="F1145" t="s">
        <v>3525</v>
      </c>
      <c r="G1145" t="s">
        <v>3454</v>
      </c>
      <c r="H1145" t="s">
        <v>3462</v>
      </c>
      <c r="I1145" t="s">
        <v>118</v>
      </c>
      <c r="J1145" t="s">
        <v>119</v>
      </c>
      <c r="K1145" t="s">
        <v>1435</v>
      </c>
      <c r="L1145" t="s">
        <v>18</v>
      </c>
      <c r="M1145" t="s">
        <v>252</v>
      </c>
      <c r="N1145" s="6" t="s">
        <v>3526</v>
      </c>
      <c r="O1145" t="s">
        <v>3387</v>
      </c>
      <c r="P1145" t="s">
        <v>2652</v>
      </c>
      <c r="Q1145" t="s">
        <v>255</v>
      </c>
      <c r="R1145" t="s">
        <v>3458</v>
      </c>
      <c r="S1145">
        <v>2008</v>
      </c>
      <c r="T1145" t="s">
        <v>771</v>
      </c>
      <c r="U1145" t="s">
        <v>3389</v>
      </c>
      <c r="V1145"/>
      <c r="W1145">
        <v>1163</v>
      </c>
      <c r="X1145">
        <v>639</v>
      </c>
      <c r="Y1145">
        <v>73</v>
      </c>
      <c r="Z1145">
        <v>12.2</v>
      </c>
      <c r="AA1145">
        <v>0.22</v>
      </c>
      <c r="AD1145">
        <v>0</v>
      </c>
      <c r="AF1145">
        <v>200</v>
      </c>
      <c r="AH1145" t="s">
        <v>2259</v>
      </c>
      <c r="AM1145" t="s">
        <v>3527</v>
      </c>
      <c r="CC1145">
        <v>190.76</v>
      </c>
      <c r="CE114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45" s="19">
        <f>SUM(Table1[[#This Row],[Mid39]],Table1[[#This Row],[Mid36]],Table1[[#This Row],[Mid33]],Table1[[#This Row],[Mid30]],Table1[[#This Row],[Mid27]],Table1[[#This Row],[Mid24]],Table1[[#This Row],[Mid21]],Table1[[#This Row],[Mid18]],Table1[[#This Row],[Mid15]],Table1[[#This Row],[Mid12]],Table1[[#This Row],[Mid9]],Table1[[#This Row],[Mid6]],Table1[[#This Row],[Mid3]],Table1[[#This Row],[Mid]])</f>
        <v>190.76</v>
      </c>
      <c r="CG11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45" t="s">
        <v>157</v>
      </c>
      <c r="CI1145" t="s">
        <v>2471</v>
      </c>
      <c r="CJ1145" t="s">
        <v>158</v>
      </c>
      <c r="CL1145" s="19">
        <f>IF(Table1[[#This Row],[Type]]="Petroleum",1,IF(ISERROR(Table1[[#This Row],[Well Density]]*Table1[[#This Row],[Single Well Discovery Area]]),"",IF(Table1[[#This Row],[Well Density]]*Table1[[#This Row],[Single Well Discovery Area]]&gt;1,1,Table1[[#This Row],[Well Density]]*Table1[[#This Row],[Single Well Discovery Area]])))</f>
        <v>0</v>
      </c>
      <c r="CN1145" s="19">
        <f>Table1[[#This Row],[Mid]]</f>
        <v>0</v>
      </c>
      <c r="CO1145" s="19">
        <f>Table1[[#This Row],[Mid3]]+Table1[[#This Row],[Mid6]]+Table1[[#This Row],[Mid9]]</f>
        <v>0</v>
      </c>
      <c r="CP1145" s="19">
        <f>Table1[[#This Row],[Mid12]]+Table1[[#This Row],[Mid15]]+Table1[[#This Row],[Mid18]]+Table1[[#This Row],[Mid21]]+Table1[[#This Row],[Mid24]]</f>
        <v>0</v>
      </c>
      <c r="CQ1145" s="19">
        <f>Table1[[#This Row],[Mid27]]+Table1[[#This Row],[Mid30]]+Table1[[#This Row],[Mid33]]+Table1[[#This Row],[Mid36]]+Table1[[#This Row],[Mid39]]</f>
        <v>190.76</v>
      </c>
      <c r="CR1145" t="s">
        <v>415</v>
      </c>
      <c r="CS1145" s="19" t="str">
        <f>IF(AND(Table1[[#This Row],[Low41]]=0, Table1[[#This Row],[High43]]=0),"N","Y")</f>
        <v>N</v>
      </c>
    </row>
    <row r="1146" spans="1:97" ht="19.5" customHeight="1" x14ac:dyDescent="0.25">
      <c r="A1146">
        <v>11147</v>
      </c>
      <c r="B1146" t="s">
        <v>3451</v>
      </c>
      <c r="C1146" t="s">
        <v>3459</v>
      </c>
      <c r="D1146">
        <v>54.322777780000003</v>
      </c>
      <c r="E1146">
        <v>-11.047499999999999</v>
      </c>
      <c r="F1146" t="s">
        <v>3528</v>
      </c>
      <c r="G1146" t="s">
        <v>3529</v>
      </c>
      <c r="H1146" t="s">
        <v>3530</v>
      </c>
      <c r="I1146" t="s">
        <v>2245</v>
      </c>
      <c r="J1146" t="s">
        <v>202</v>
      </c>
      <c r="K1146" t="s">
        <v>203</v>
      </c>
      <c r="L1146" t="s">
        <v>121</v>
      </c>
      <c r="M1146" t="s">
        <v>2710</v>
      </c>
      <c r="N1146" s="6" t="s">
        <v>3531</v>
      </c>
      <c r="O1146" t="s">
        <v>3387</v>
      </c>
      <c r="P1146" t="s">
        <v>2652</v>
      </c>
      <c r="Q1146" t="s">
        <v>3532</v>
      </c>
      <c r="R1146" t="s">
        <v>3533</v>
      </c>
      <c r="S1146">
        <v>2023</v>
      </c>
      <c r="T1146" t="s">
        <v>771</v>
      </c>
      <c r="U1146" t="s">
        <v>3389</v>
      </c>
      <c r="V1146"/>
      <c r="W1146">
        <v>1724</v>
      </c>
      <c r="X1146">
        <v>418</v>
      </c>
      <c r="Y1146">
        <v>34</v>
      </c>
      <c r="Z1146">
        <v>16</v>
      </c>
      <c r="AC1146">
        <v>709</v>
      </c>
      <c r="AD1146">
        <v>7</v>
      </c>
      <c r="AF1146">
        <v>200</v>
      </c>
      <c r="AH1146" t="s">
        <v>2259</v>
      </c>
      <c r="AM1146" t="s">
        <v>3534</v>
      </c>
      <c r="BM1146">
        <v>11</v>
      </c>
      <c r="BN1146">
        <v>48</v>
      </c>
      <c r="BO1146">
        <v>136</v>
      </c>
      <c r="CB1146">
        <v>3</v>
      </c>
      <c r="CC1146">
        <v>11</v>
      </c>
      <c r="CD1146">
        <v>29</v>
      </c>
      <c r="CE1146" s="19">
        <f>SUM(Table1[[#This Row],[Low38]],Table1[[#This Row],[Low35]],Table1[[#This Row],[Low32]],Table1[[#This Row],[Low29]],Table1[[#This Row],[Low26]],Table1[[#This Row],[Low23]],Table1[[#This Row],[Low20]],Table1[[#This Row],[Low17]],Table1[[#This Row],[Low14]],Table1[[#This Row],[Low11]],Table1[[#This Row],[Low8]],Table1[[#This Row],[Low5]],Table1[[#This Row],[Low2]],Table1[[#This Row],[Low]])</f>
        <v>14</v>
      </c>
      <c r="CF1146" s="19">
        <f>SUM(Table1[[#This Row],[Mid39]],Table1[[#This Row],[Mid36]],Table1[[#This Row],[Mid33]],Table1[[#This Row],[Mid30]],Table1[[#This Row],[Mid27]],Table1[[#This Row],[Mid24]],Table1[[#This Row],[Mid21]],Table1[[#This Row],[Mid18]],Table1[[#This Row],[Mid15]],Table1[[#This Row],[Mid12]],Table1[[#This Row],[Mid9]],Table1[[#This Row],[Mid6]],Table1[[#This Row],[Mid3]],Table1[[#This Row],[Mid]])</f>
        <v>59</v>
      </c>
      <c r="CG11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165</v>
      </c>
      <c r="CH1146" t="s">
        <v>157</v>
      </c>
      <c r="CI1146" t="s">
        <v>2471</v>
      </c>
      <c r="CJ1146" t="s">
        <v>158</v>
      </c>
      <c r="CL1146" s="19">
        <f>IF(Table1[[#This Row],[Type]]="Petroleum",1,IF(ISERROR(Table1[[#This Row],[Well Density]]*Table1[[#This Row],[Single Well Discovery Area]]),"",IF(Table1[[#This Row],[Well Density]]*Table1[[#This Row],[Single Well Discovery Area]]&gt;1,1,Table1[[#This Row],[Well Density]]*Table1[[#This Row],[Single Well Discovery Area]])))</f>
        <v>1</v>
      </c>
      <c r="CN1146" s="19">
        <f>Table1[[#This Row],[Mid]]</f>
        <v>0</v>
      </c>
      <c r="CO1146" s="19">
        <f>Table1[[#This Row],[Mid3]]+Table1[[#This Row],[Mid6]]+Table1[[#This Row],[Mid9]]</f>
        <v>0</v>
      </c>
      <c r="CP1146" s="19">
        <f>Table1[[#This Row],[Mid12]]+Table1[[#This Row],[Mid15]]+Table1[[#This Row],[Mid18]]+Table1[[#This Row],[Mid21]]+Table1[[#This Row],[Mid24]]</f>
        <v>48</v>
      </c>
      <c r="CQ1146" s="19">
        <f>Table1[[#This Row],[Mid27]]+Table1[[#This Row],[Mid30]]+Table1[[#This Row],[Mid33]]+Table1[[#This Row],[Mid36]]+Table1[[#This Row],[Mid39]]</f>
        <v>11</v>
      </c>
      <c r="CR1146" t="s">
        <v>415</v>
      </c>
      <c r="CS1146" s="19" t="str">
        <f>IF(AND(Table1[[#This Row],[Low41]]=0, Table1[[#This Row],[High43]]=0),"N","Y")</f>
        <v>Y</v>
      </c>
    </row>
    <row r="1147" spans="1:97" ht="19.5" customHeight="1" x14ac:dyDescent="0.25">
      <c r="A1147">
        <v>11148</v>
      </c>
      <c r="B1147" t="s">
        <v>3451</v>
      </c>
      <c r="C1147" t="s">
        <v>3459</v>
      </c>
      <c r="D1147">
        <v>54.322777780000003</v>
      </c>
      <c r="E1147">
        <v>-11.047499999999999</v>
      </c>
      <c r="F1147" t="s">
        <v>3535</v>
      </c>
      <c r="G1147" t="s">
        <v>3529</v>
      </c>
      <c r="H1147" t="s">
        <v>3530</v>
      </c>
      <c r="I1147" t="s">
        <v>520</v>
      </c>
      <c r="J1147" t="s">
        <v>202</v>
      </c>
      <c r="K1147" t="s">
        <v>203</v>
      </c>
      <c r="L1147" t="s">
        <v>121</v>
      </c>
      <c r="M1147" t="s">
        <v>745</v>
      </c>
      <c r="N1147" s="6" t="s">
        <v>3531</v>
      </c>
      <c r="O1147" t="s">
        <v>3387</v>
      </c>
      <c r="P1147" t="s">
        <v>2652</v>
      </c>
      <c r="Q1147" t="s">
        <v>3532</v>
      </c>
      <c r="R1147" t="s">
        <v>3533</v>
      </c>
      <c r="S1147">
        <v>2023</v>
      </c>
      <c r="T1147" t="s">
        <v>771</v>
      </c>
      <c r="U1147" t="s">
        <v>3389</v>
      </c>
      <c r="V1147"/>
      <c r="W1147">
        <v>3231</v>
      </c>
      <c r="X1147">
        <v>369</v>
      </c>
      <c r="Y1147">
        <v>67</v>
      </c>
      <c r="Z1147">
        <v>6.5</v>
      </c>
      <c r="AC1147">
        <v>683</v>
      </c>
      <c r="AD1147">
        <v>7</v>
      </c>
      <c r="AF1147">
        <v>200</v>
      </c>
      <c r="AH1147" t="s">
        <v>2259</v>
      </c>
      <c r="AM1147" t="s">
        <v>3534</v>
      </c>
      <c r="BM1147">
        <v>15</v>
      </c>
      <c r="BN1147">
        <v>54</v>
      </c>
      <c r="BO1147">
        <v>119</v>
      </c>
      <c r="CB1147">
        <v>60</v>
      </c>
      <c r="CC1147">
        <v>242</v>
      </c>
      <c r="CD1147">
        <v>566</v>
      </c>
      <c r="CE1147" s="19">
        <f>SUM(Table1[[#This Row],[Low38]],Table1[[#This Row],[Low35]],Table1[[#This Row],[Low32]],Table1[[#This Row],[Low29]],Table1[[#This Row],[Low26]],Table1[[#This Row],[Low23]],Table1[[#This Row],[Low20]],Table1[[#This Row],[Low17]],Table1[[#This Row],[Low14]],Table1[[#This Row],[Low11]],Table1[[#This Row],[Low8]],Table1[[#This Row],[Low5]],Table1[[#This Row],[Low2]],Table1[[#This Row],[Low]])</f>
        <v>75</v>
      </c>
      <c r="CF1147" s="19">
        <f>SUM(Table1[[#This Row],[Mid39]],Table1[[#This Row],[Mid36]],Table1[[#This Row],[Mid33]],Table1[[#This Row],[Mid30]],Table1[[#This Row],[Mid27]],Table1[[#This Row],[Mid24]],Table1[[#This Row],[Mid21]],Table1[[#This Row],[Mid18]],Table1[[#This Row],[Mid15]],Table1[[#This Row],[Mid12]],Table1[[#This Row],[Mid9]],Table1[[#This Row],[Mid6]],Table1[[#This Row],[Mid3]],Table1[[#This Row],[Mid]])</f>
        <v>296</v>
      </c>
      <c r="CG11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685</v>
      </c>
      <c r="CH1147" t="s">
        <v>157</v>
      </c>
      <c r="CI1147" t="s">
        <v>2471</v>
      </c>
      <c r="CJ1147" t="s">
        <v>158</v>
      </c>
      <c r="CL1147" s="19">
        <f>IF(Table1[[#This Row],[Type]]="Petroleum",1,IF(ISERROR(Table1[[#This Row],[Well Density]]*Table1[[#This Row],[Single Well Discovery Area]]),"",IF(Table1[[#This Row],[Well Density]]*Table1[[#This Row],[Single Well Discovery Area]]&gt;1,1,Table1[[#This Row],[Well Density]]*Table1[[#This Row],[Single Well Discovery Area]])))</f>
        <v>1</v>
      </c>
      <c r="CN1147" s="19">
        <f>Table1[[#This Row],[Mid]]</f>
        <v>0</v>
      </c>
      <c r="CO1147" s="19">
        <f>Table1[[#This Row],[Mid3]]+Table1[[#This Row],[Mid6]]+Table1[[#This Row],[Mid9]]</f>
        <v>0</v>
      </c>
      <c r="CP1147" s="19">
        <f>Table1[[#This Row],[Mid12]]+Table1[[#This Row],[Mid15]]+Table1[[#This Row],[Mid18]]+Table1[[#This Row],[Mid21]]+Table1[[#This Row],[Mid24]]</f>
        <v>54</v>
      </c>
      <c r="CQ1147" s="19">
        <f>Table1[[#This Row],[Mid27]]+Table1[[#This Row],[Mid30]]+Table1[[#This Row],[Mid33]]+Table1[[#This Row],[Mid36]]+Table1[[#This Row],[Mid39]]</f>
        <v>242</v>
      </c>
      <c r="CR1147" t="s">
        <v>415</v>
      </c>
      <c r="CS1147" s="19" t="str">
        <f>IF(AND(Table1[[#This Row],[Low41]]=0, Table1[[#This Row],[High43]]=0),"N","Y")</f>
        <v>Y</v>
      </c>
    </row>
    <row r="1148" spans="1:97" ht="19.5" customHeight="1" x14ac:dyDescent="0.25">
      <c r="A1148">
        <v>11149</v>
      </c>
      <c r="B1148" t="s">
        <v>3451</v>
      </c>
      <c r="C1148" t="s">
        <v>3459</v>
      </c>
      <c r="D1148">
        <v>54.322777780000003</v>
      </c>
      <c r="E1148">
        <v>-11.047499999999999</v>
      </c>
      <c r="F1148" t="s">
        <v>3536</v>
      </c>
      <c r="G1148" t="s">
        <v>3529</v>
      </c>
      <c r="H1148" t="s">
        <v>3530</v>
      </c>
      <c r="I1148" t="s">
        <v>520</v>
      </c>
      <c r="J1148" t="s">
        <v>202</v>
      </c>
      <c r="K1148" t="s">
        <v>203</v>
      </c>
      <c r="L1148" t="s">
        <v>121</v>
      </c>
      <c r="M1148" t="s">
        <v>745</v>
      </c>
      <c r="N1148" s="6" t="s">
        <v>3531</v>
      </c>
      <c r="O1148" t="s">
        <v>3387</v>
      </c>
      <c r="P1148" t="s">
        <v>2652</v>
      </c>
      <c r="Q1148" t="s">
        <v>3532</v>
      </c>
      <c r="R1148" t="s">
        <v>3533</v>
      </c>
      <c r="S1148">
        <v>2023</v>
      </c>
      <c r="T1148" t="s">
        <v>771</v>
      </c>
      <c r="U1148" t="s">
        <v>3389</v>
      </c>
      <c r="V1148"/>
      <c r="W1148">
        <v>3231</v>
      </c>
      <c r="X1148">
        <v>765</v>
      </c>
      <c r="Y1148">
        <v>67</v>
      </c>
      <c r="Z1148">
        <v>6.5</v>
      </c>
      <c r="AC1148">
        <v>682</v>
      </c>
      <c r="AD1148">
        <v>7</v>
      </c>
      <c r="AF1148">
        <v>200</v>
      </c>
      <c r="AH1148" t="s">
        <v>2259</v>
      </c>
      <c r="AM1148" t="s">
        <v>3534</v>
      </c>
      <c r="BM1148">
        <v>62</v>
      </c>
      <c r="BN1148">
        <v>232</v>
      </c>
      <c r="BO1148">
        <v>497</v>
      </c>
      <c r="CC1148">
        <v>18</v>
      </c>
      <c r="CE1148" s="19">
        <f>SUM(Table1[[#This Row],[Low38]],Table1[[#This Row],[Low35]],Table1[[#This Row],[Low32]],Table1[[#This Row],[Low29]],Table1[[#This Row],[Low26]],Table1[[#This Row],[Low23]],Table1[[#This Row],[Low20]],Table1[[#This Row],[Low17]],Table1[[#This Row],[Low14]],Table1[[#This Row],[Low11]],Table1[[#This Row],[Low8]],Table1[[#This Row],[Low5]],Table1[[#This Row],[Low2]],Table1[[#This Row],[Low]])</f>
        <v>62</v>
      </c>
      <c r="CF1148" s="19">
        <f>SUM(Table1[[#This Row],[Mid39]],Table1[[#This Row],[Mid36]],Table1[[#This Row],[Mid33]],Table1[[#This Row],[Mid30]],Table1[[#This Row],[Mid27]],Table1[[#This Row],[Mid24]],Table1[[#This Row],[Mid21]],Table1[[#This Row],[Mid18]],Table1[[#This Row],[Mid15]],Table1[[#This Row],[Mid12]],Table1[[#This Row],[Mid9]],Table1[[#This Row],[Mid6]],Table1[[#This Row],[Mid3]],Table1[[#This Row],[Mid]])</f>
        <v>250</v>
      </c>
      <c r="CG114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497</v>
      </c>
      <c r="CH1148" t="s">
        <v>157</v>
      </c>
      <c r="CI1148" t="s">
        <v>2471</v>
      </c>
      <c r="CJ1148" t="s">
        <v>158</v>
      </c>
      <c r="CL1148" s="19">
        <f>IF(Table1[[#This Row],[Type]]="Petroleum",1,IF(ISERROR(Table1[[#This Row],[Well Density]]*Table1[[#This Row],[Single Well Discovery Area]]),"",IF(Table1[[#This Row],[Well Density]]*Table1[[#This Row],[Single Well Discovery Area]]&gt;1,1,Table1[[#This Row],[Well Density]]*Table1[[#This Row],[Single Well Discovery Area]])))</f>
        <v>1</v>
      </c>
      <c r="CN1148" s="19">
        <f>Table1[[#This Row],[Mid]]</f>
        <v>0</v>
      </c>
      <c r="CO1148" s="19">
        <f>Table1[[#This Row],[Mid3]]+Table1[[#This Row],[Mid6]]+Table1[[#This Row],[Mid9]]</f>
        <v>0</v>
      </c>
      <c r="CP1148" s="19">
        <f>Table1[[#This Row],[Mid12]]+Table1[[#This Row],[Mid15]]+Table1[[#This Row],[Mid18]]+Table1[[#This Row],[Mid21]]+Table1[[#This Row],[Mid24]]</f>
        <v>232</v>
      </c>
      <c r="CQ1148" s="19">
        <f>Table1[[#This Row],[Mid27]]+Table1[[#This Row],[Mid30]]+Table1[[#This Row],[Mid33]]+Table1[[#This Row],[Mid36]]+Table1[[#This Row],[Mid39]]</f>
        <v>18</v>
      </c>
      <c r="CR1148" t="s">
        <v>415</v>
      </c>
      <c r="CS1148" s="19" t="str">
        <f>IF(AND(Table1[[#This Row],[Low41]]=0, Table1[[#This Row],[High43]]=0),"N","Y")</f>
        <v>Y</v>
      </c>
    </row>
    <row r="1149" spans="1:97" ht="19.5" customHeight="1" x14ac:dyDescent="0.25">
      <c r="A1149">
        <v>11150</v>
      </c>
      <c r="B1149" t="s">
        <v>3451</v>
      </c>
      <c r="C1149" t="s">
        <v>3452</v>
      </c>
      <c r="D1149">
        <v>53.505833330000002</v>
      </c>
      <c r="E1149">
        <v>-11.50361111</v>
      </c>
      <c r="F1149" t="s">
        <v>3537</v>
      </c>
      <c r="G1149" t="s">
        <v>3454</v>
      </c>
      <c r="H1149" t="s">
        <v>3538</v>
      </c>
      <c r="I1149" t="s">
        <v>520</v>
      </c>
      <c r="J1149" t="s">
        <v>202</v>
      </c>
      <c r="K1149" t="s">
        <v>203</v>
      </c>
      <c r="L1149" t="s">
        <v>18</v>
      </c>
      <c r="M1149" t="s">
        <v>745</v>
      </c>
      <c r="N1149" s="6" t="s">
        <v>3531</v>
      </c>
      <c r="O1149" t="s">
        <v>3387</v>
      </c>
      <c r="P1149" t="s">
        <v>2652</v>
      </c>
      <c r="Q1149" t="s">
        <v>3539</v>
      </c>
      <c r="R1149" t="s">
        <v>3458</v>
      </c>
      <c r="S1149">
        <v>2023</v>
      </c>
      <c r="T1149" t="s">
        <v>771</v>
      </c>
      <c r="U1149" t="s">
        <v>3389</v>
      </c>
      <c r="V1149"/>
      <c r="W1149">
        <v>818</v>
      </c>
      <c r="X1149">
        <v>530</v>
      </c>
      <c r="Y1149">
        <v>67</v>
      </c>
      <c r="Z1149">
        <v>19</v>
      </c>
      <c r="AC1149">
        <v>750</v>
      </c>
      <c r="AD1149">
        <v>0</v>
      </c>
      <c r="AF1149">
        <v>200</v>
      </c>
      <c r="AH1149" t="s">
        <v>2259</v>
      </c>
      <c r="AM1149" t="s">
        <v>3534</v>
      </c>
      <c r="CB1149">
        <v>92</v>
      </c>
      <c r="CC1149">
        <v>174</v>
      </c>
      <c r="CD1149">
        <v>310</v>
      </c>
      <c r="CE1149" s="19">
        <f>SUM(Table1[[#This Row],[Low38]],Table1[[#This Row],[Low35]],Table1[[#This Row],[Low32]],Table1[[#This Row],[Low29]],Table1[[#This Row],[Low26]],Table1[[#This Row],[Low23]],Table1[[#This Row],[Low20]],Table1[[#This Row],[Low17]],Table1[[#This Row],[Low14]],Table1[[#This Row],[Low11]],Table1[[#This Row],[Low8]],Table1[[#This Row],[Low5]],Table1[[#This Row],[Low2]],Table1[[#This Row],[Low]])</f>
        <v>92</v>
      </c>
      <c r="CF1149" s="19">
        <f>SUM(Table1[[#This Row],[Mid39]],Table1[[#This Row],[Mid36]],Table1[[#This Row],[Mid33]],Table1[[#This Row],[Mid30]],Table1[[#This Row],[Mid27]],Table1[[#This Row],[Mid24]],Table1[[#This Row],[Mid21]],Table1[[#This Row],[Mid18]],Table1[[#This Row],[Mid15]],Table1[[#This Row],[Mid12]],Table1[[#This Row],[Mid9]],Table1[[#This Row],[Mid6]],Table1[[#This Row],[Mid3]],Table1[[#This Row],[Mid]])</f>
        <v>174</v>
      </c>
      <c r="CG11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310</v>
      </c>
      <c r="CH1149" t="s">
        <v>157</v>
      </c>
      <c r="CI1149" t="s">
        <v>2471</v>
      </c>
      <c r="CJ1149" t="s">
        <v>158</v>
      </c>
      <c r="CL1149" s="19">
        <f>IF(Table1[[#This Row],[Type]]="Petroleum",1,IF(ISERROR(Table1[[#This Row],[Well Density]]*Table1[[#This Row],[Single Well Discovery Area]]),"",IF(Table1[[#This Row],[Well Density]]*Table1[[#This Row],[Single Well Discovery Area]]&gt;1,1,Table1[[#This Row],[Well Density]]*Table1[[#This Row],[Single Well Discovery Area]])))</f>
        <v>1</v>
      </c>
      <c r="CN1149" s="19">
        <f>Table1[[#This Row],[Mid]]</f>
        <v>0</v>
      </c>
      <c r="CO1149" s="19">
        <f>Table1[[#This Row],[Mid3]]+Table1[[#This Row],[Mid6]]+Table1[[#This Row],[Mid9]]</f>
        <v>0</v>
      </c>
      <c r="CP1149" s="19">
        <f>Table1[[#This Row],[Mid12]]+Table1[[#This Row],[Mid15]]+Table1[[#This Row],[Mid18]]+Table1[[#This Row],[Mid21]]+Table1[[#This Row],[Mid24]]</f>
        <v>0</v>
      </c>
      <c r="CQ1149" s="19">
        <f>Table1[[#This Row],[Mid27]]+Table1[[#This Row],[Mid30]]+Table1[[#This Row],[Mid33]]+Table1[[#This Row],[Mid36]]+Table1[[#This Row],[Mid39]]</f>
        <v>174</v>
      </c>
      <c r="CR1149" t="s">
        <v>415</v>
      </c>
      <c r="CS1149" s="19" t="str">
        <f>IF(AND(Table1[[#This Row],[Low41]]=0, Table1[[#This Row],[High43]]=0),"N","Y")</f>
        <v>Y</v>
      </c>
    </row>
    <row r="1150" spans="1:97" ht="19.5" customHeight="1" x14ac:dyDescent="0.25">
      <c r="A1150">
        <v>11151</v>
      </c>
      <c r="B1150" t="s">
        <v>3451</v>
      </c>
      <c r="C1150" t="s">
        <v>3452</v>
      </c>
      <c r="D1150">
        <v>53.505833330000002</v>
      </c>
      <c r="E1150">
        <v>-11.50361111</v>
      </c>
      <c r="F1150" t="s">
        <v>3540</v>
      </c>
      <c r="G1150" t="s">
        <v>3454</v>
      </c>
      <c r="H1150" t="s">
        <v>3538</v>
      </c>
      <c r="I1150" t="s">
        <v>520</v>
      </c>
      <c r="J1150" t="s">
        <v>202</v>
      </c>
      <c r="K1150" t="s">
        <v>203</v>
      </c>
      <c r="L1150" t="s">
        <v>18</v>
      </c>
      <c r="M1150" t="s">
        <v>3541</v>
      </c>
      <c r="N1150" s="6" t="s">
        <v>3531</v>
      </c>
      <c r="O1150" t="s">
        <v>3387</v>
      </c>
      <c r="P1150" t="s">
        <v>2652</v>
      </c>
      <c r="Q1150" t="s">
        <v>3539</v>
      </c>
      <c r="R1150" t="s">
        <v>3458</v>
      </c>
      <c r="S1150">
        <v>2023</v>
      </c>
      <c r="T1150" t="s">
        <v>771</v>
      </c>
      <c r="U1150" t="s">
        <v>3389</v>
      </c>
      <c r="V1150"/>
      <c r="W1150">
        <v>2177</v>
      </c>
      <c r="X1150">
        <v>190</v>
      </c>
      <c r="Y1150">
        <v>41</v>
      </c>
      <c r="Z1150">
        <v>10</v>
      </c>
      <c r="AC1150">
        <v>699</v>
      </c>
      <c r="AD1150">
        <v>0</v>
      </c>
      <c r="AF1150">
        <v>200</v>
      </c>
      <c r="AH1150" t="s">
        <v>2259</v>
      </c>
      <c r="AM1150" t="s">
        <v>3534</v>
      </c>
      <c r="CB1150">
        <v>3</v>
      </c>
      <c r="CC1150">
        <v>11</v>
      </c>
      <c r="CD1150">
        <v>29</v>
      </c>
      <c r="CE1150" s="19">
        <f>SUM(Table1[[#This Row],[Low38]],Table1[[#This Row],[Low35]],Table1[[#This Row],[Low32]],Table1[[#This Row],[Low29]],Table1[[#This Row],[Low26]],Table1[[#This Row],[Low23]],Table1[[#This Row],[Low20]],Table1[[#This Row],[Low17]],Table1[[#This Row],[Low14]],Table1[[#This Row],[Low11]],Table1[[#This Row],[Low8]],Table1[[#This Row],[Low5]],Table1[[#This Row],[Low2]],Table1[[#This Row],[Low]])</f>
        <v>3</v>
      </c>
      <c r="CF1150" s="19">
        <f>SUM(Table1[[#This Row],[Mid39]],Table1[[#This Row],[Mid36]],Table1[[#This Row],[Mid33]],Table1[[#This Row],[Mid30]],Table1[[#This Row],[Mid27]],Table1[[#This Row],[Mid24]],Table1[[#This Row],[Mid21]],Table1[[#This Row],[Mid18]],Table1[[#This Row],[Mid15]],Table1[[#This Row],[Mid12]],Table1[[#This Row],[Mid9]],Table1[[#This Row],[Mid6]],Table1[[#This Row],[Mid3]],Table1[[#This Row],[Mid]])</f>
        <v>11</v>
      </c>
      <c r="CG11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29</v>
      </c>
      <c r="CH1150" t="s">
        <v>157</v>
      </c>
      <c r="CI1150" t="s">
        <v>2471</v>
      </c>
      <c r="CJ1150" t="s">
        <v>158</v>
      </c>
      <c r="CL1150" s="19">
        <f>IF(Table1[[#This Row],[Type]]="Petroleum",1,IF(ISERROR(Table1[[#This Row],[Well Density]]*Table1[[#This Row],[Single Well Discovery Area]]),"",IF(Table1[[#This Row],[Well Density]]*Table1[[#This Row],[Single Well Discovery Area]]&gt;1,1,Table1[[#This Row],[Well Density]]*Table1[[#This Row],[Single Well Discovery Area]])))</f>
        <v>1</v>
      </c>
      <c r="CN1150" s="19">
        <f>Table1[[#This Row],[Mid]]</f>
        <v>0</v>
      </c>
      <c r="CO1150" s="19">
        <f>Table1[[#This Row],[Mid3]]+Table1[[#This Row],[Mid6]]+Table1[[#This Row],[Mid9]]</f>
        <v>0</v>
      </c>
      <c r="CP1150" s="19">
        <f>Table1[[#This Row],[Mid12]]+Table1[[#This Row],[Mid15]]+Table1[[#This Row],[Mid18]]+Table1[[#This Row],[Mid21]]+Table1[[#This Row],[Mid24]]</f>
        <v>0</v>
      </c>
      <c r="CQ1150" s="19">
        <f>Table1[[#This Row],[Mid27]]+Table1[[#This Row],[Mid30]]+Table1[[#This Row],[Mid33]]+Table1[[#This Row],[Mid36]]+Table1[[#This Row],[Mid39]]</f>
        <v>11</v>
      </c>
      <c r="CR1150" t="s">
        <v>415</v>
      </c>
      <c r="CS1150" s="19" t="str">
        <f>IF(AND(Table1[[#This Row],[Low41]]=0, Table1[[#This Row],[High43]]=0),"N","Y")</f>
        <v>Y</v>
      </c>
    </row>
    <row r="1151" spans="1:97" ht="19.5" customHeight="1" x14ac:dyDescent="0.25">
      <c r="A1151">
        <v>11152</v>
      </c>
      <c r="B1151" t="s">
        <v>3451</v>
      </c>
      <c r="D1151">
        <v>55.624722220000002</v>
      </c>
      <c r="E1151">
        <v>-8.7263888890000008</v>
      </c>
      <c r="F1151" t="s">
        <v>3542</v>
      </c>
      <c r="G1151" t="s">
        <v>3529</v>
      </c>
      <c r="H1151" t="s">
        <v>3538</v>
      </c>
      <c r="I1151" t="s">
        <v>520</v>
      </c>
      <c r="J1151" t="s">
        <v>202</v>
      </c>
      <c r="K1151" t="s">
        <v>203</v>
      </c>
      <c r="L1151" t="s">
        <v>18</v>
      </c>
      <c r="M1151" t="s">
        <v>3541</v>
      </c>
      <c r="N1151" s="6" t="s">
        <v>3531</v>
      </c>
      <c r="O1151" t="s">
        <v>3387</v>
      </c>
      <c r="P1151" t="s">
        <v>2652</v>
      </c>
      <c r="Q1151" t="s">
        <v>3543</v>
      </c>
      <c r="R1151" t="s">
        <v>3458</v>
      </c>
      <c r="S1151">
        <v>2023</v>
      </c>
      <c r="T1151" t="s">
        <v>771</v>
      </c>
      <c r="U1151" t="s">
        <v>3389</v>
      </c>
      <c r="V1151"/>
      <c r="W1151">
        <v>800</v>
      </c>
      <c r="X1151">
        <v>419</v>
      </c>
      <c r="Y1151">
        <v>41</v>
      </c>
      <c r="Z1151">
        <v>18</v>
      </c>
      <c r="AC1151">
        <v>750</v>
      </c>
      <c r="AD1151">
        <v>1</v>
      </c>
      <c r="AF1151">
        <v>200</v>
      </c>
      <c r="AH1151" t="s">
        <v>2259</v>
      </c>
      <c r="AM1151" t="s">
        <v>3534</v>
      </c>
      <c r="CB1151">
        <v>60</v>
      </c>
      <c r="CC1151">
        <v>242</v>
      </c>
      <c r="CD1151">
        <v>566</v>
      </c>
      <c r="CE1151" s="19">
        <f>SUM(Table1[[#This Row],[Low38]],Table1[[#This Row],[Low35]],Table1[[#This Row],[Low32]],Table1[[#This Row],[Low29]],Table1[[#This Row],[Low26]],Table1[[#This Row],[Low23]],Table1[[#This Row],[Low20]],Table1[[#This Row],[Low17]],Table1[[#This Row],[Low14]],Table1[[#This Row],[Low11]],Table1[[#This Row],[Low8]],Table1[[#This Row],[Low5]],Table1[[#This Row],[Low2]],Table1[[#This Row],[Low]])</f>
        <v>60</v>
      </c>
      <c r="CF1151" s="19">
        <f>SUM(Table1[[#This Row],[Mid39]],Table1[[#This Row],[Mid36]],Table1[[#This Row],[Mid33]],Table1[[#This Row],[Mid30]],Table1[[#This Row],[Mid27]],Table1[[#This Row],[Mid24]],Table1[[#This Row],[Mid21]],Table1[[#This Row],[Mid18]],Table1[[#This Row],[Mid15]],Table1[[#This Row],[Mid12]],Table1[[#This Row],[Mid9]],Table1[[#This Row],[Mid6]],Table1[[#This Row],[Mid3]],Table1[[#This Row],[Mid]])</f>
        <v>242</v>
      </c>
      <c r="CG11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566</v>
      </c>
      <c r="CH1151" t="s">
        <v>157</v>
      </c>
      <c r="CI1151" t="s">
        <v>2471</v>
      </c>
      <c r="CJ1151" t="s">
        <v>158</v>
      </c>
      <c r="CL1151" s="19">
        <f>IF(Table1[[#This Row],[Type]]="Petroleum",1,IF(ISERROR(Table1[[#This Row],[Well Density]]*Table1[[#This Row],[Single Well Discovery Area]]),"",IF(Table1[[#This Row],[Well Density]]*Table1[[#This Row],[Single Well Discovery Area]]&gt;1,1,Table1[[#This Row],[Well Density]]*Table1[[#This Row],[Single Well Discovery Area]])))</f>
        <v>1</v>
      </c>
      <c r="CN1151" s="19">
        <f>Table1[[#This Row],[Mid]]</f>
        <v>0</v>
      </c>
      <c r="CO1151" s="19">
        <f>Table1[[#This Row],[Mid3]]+Table1[[#This Row],[Mid6]]+Table1[[#This Row],[Mid9]]</f>
        <v>0</v>
      </c>
      <c r="CP1151" s="19">
        <f>Table1[[#This Row],[Mid12]]+Table1[[#This Row],[Mid15]]+Table1[[#This Row],[Mid18]]+Table1[[#This Row],[Mid21]]+Table1[[#This Row],[Mid24]]</f>
        <v>0</v>
      </c>
      <c r="CQ1151" s="19">
        <f>Table1[[#This Row],[Mid27]]+Table1[[#This Row],[Mid30]]+Table1[[#This Row],[Mid33]]+Table1[[#This Row],[Mid36]]+Table1[[#This Row],[Mid39]]</f>
        <v>242</v>
      </c>
      <c r="CR1151" t="s">
        <v>415</v>
      </c>
      <c r="CS1151" s="19" t="str">
        <f>IF(AND(Table1[[#This Row],[Low41]]=0, Table1[[#This Row],[High43]]=0),"N","Y")</f>
        <v>Y</v>
      </c>
    </row>
    <row r="1152" spans="1:97" ht="19.5" customHeight="1" x14ac:dyDescent="0.25">
      <c r="A1152">
        <v>11153</v>
      </c>
      <c r="B1152" t="s">
        <v>3451</v>
      </c>
      <c r="C1152" t="s">
        <v>3452</v>
      </c>
      <c r="D1152">
        <v>51.361388890000001</v>
      </c>
      <c r="E1152">
        <v>-7.9969444440000004</v>
      </c>
      <c r="F1152" t="s">
        <v>3544</v>
      </c>
      <c r="G1152" t="s">
        <v>3454</v>
      </c>
      <c r="H1152" t="s">
        <v>3545</v>
      </c>
      <c r="I1152" t="s">
        <v>2245</v>
      </c>
      <c r="J1152" t="s">
        <v>202</v>
      </c>
      <c r="K1152" t="s">
        <v>203</v>
      </c>
      <c r="L1152" t="s">
        <v>121</v>
      </c>
      <c r="M1152" t="s">
        <v>2670</v>
      </c>
      <c r="N1152" s="6" t="s">
        <v>3546</v>
      </c>
      <c r="O1152" t="s">
        <v>3387</v>
      </c>
      <c r="P1152" t="s">
        <v>2652</v>
      </c>
      <c r="Q1152" t="s">
        <v>3547</v>
      </c>
      <c r="R1152" t="s">
        <v>3548</v>
      </c>
      <c r="S1152">
        <v>2022</v>
      </c>
      <c r="T1152" t="s">
        <v>771</v>
      </c>
      <c r="U1152" t="s">
        <v>3389</v>
      </c>
      <c r="V1152">
        <v>109</v>
      </c>
      <c r="W1152">
        <v>870</v>
      </c>
      <c r="X1152">
        <v>38</v>
      </c>
      <c r="Y1152">
        <v>82</v>
      </c>
      <c r="Z1152">
        <v>21</v>
      </c>
      <c r="AA1152">
        <v>350</v>
      </c>
      <c r="AC1152">
        <v>720</v>
      </c>
      <c r="AD1152">
        <v>2</v>
      </c>
      <c r="AE1152">
        <v>1.8348624000000001E-2</v>
      </c>
      <c r="AF1152">
        <v>200</v>
      </c>
      <c r="AH1152" t="s">
        <v>2259</v>
      </c>
      <c r="AM1152" t="s">
        <v>3549</v>
      </c>
      <c r="BN1152">
        <v>321</v>
      </c>
      <c r="CE11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52" s="19">
        <f>SUM(Table1[[#This Row],[Mid39]],Table1[[#This Row],[Mid36]],Table1[[#This Row],[Mid33]],Table1[[#This Row],[Mid30]],Table1[[#This Row],[Mid27]],Table1[[#This Row],[Mid24]],Table1[[#This Row],[Mid21]],Table1[[#This Row],[Mid18]],Table1[[#This Row],[Mid15]],Table1[[#This Row],[Mid12]],Table1[[#This Row],[Mid9]],Table1[[#This Row],[Mid6]],Table1[[#This Row],[Mid3]],Table1[[#This Row],[Mid]])</f>
        <v>321</v>
      </c>
      <c r="CG11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52" t="s">
        <v>157</v>
      </c>
      <c r="CI1152" t="s">
        <v>2471</v>
      </c>
      <c r="CJ1152" t="s">
        <v>158</v>
      </c>
      <c r="CL1152" s="19">
        <f>IF(Table1[[#This Row],[Type]]="Petroleum",1,IF(ISERROR(Table1[[#This Row],[Well Density]]*Table1[[#This Row],[Single Well Discovery Area]]),"",IF(Table1[[#This Row],[Well Density]]*Table1[[#This Row],[Single Well Discovery Area]]&gt;1,1,Table1[[#This Row],[Well Density]]*Table1[[#This Row],[Single Well Discovery Area]])))</f>
        <v>1</v>
      </c>
      <c r="CN1152" s="19">
        <f>Table1[[#This Row],[Mid]]</f>
        <v>0</v>
      </c>
      <c r="CO1152" s="19">
        <f>Table1[[#This Row],[Mid3]]+Table1[[#This Row],[Mid6]]+Table1[[#This Row],[Mid9]]</f>
        <v>0</v>
      </c>
      <c r="CP1152" s="19">
        <f>Table1[[#This Row],[Mid12]]+Table1[[#This Row],[Mid15]]+Table1[[#This Row],[Mid18]]+Table1[[#This Row],[Mid21]]+Table1[[#This Row],[Mid24]]</f>
        <v>321</v>
      </c>
      <c r="CQ1152" s="19">
        <f>Table1[[#This Row],[Mid27]]+Table1[[#This Row],[Mid30]]+Table1[[#This Row],[Mid33]]+Table1[[#This Row],[Mid36]]+Table1[[#This Row],[Mid39]]</f>
        <v>0</v>
      </c>
      <c r="CR1152" t="s">
        <v>415</v>
      </c>
      <c r="CS1152" s="19" t="str">
        <f>IF(AND(Table1[[#This Row],[Low41]]=0, Table1[[#This Row],[High43]]=0),"N","Y")</f>
        <v>N</v>
      </c>
    </row>
    <row r="1153" spans="1:97" ht="19.5" customHeight="1" x14ac:dyDescent="0.25">
      <c r="A1153">
        <v>11154</v>
      </c>
      <c r="B1153" t="s">
        <v>3451</v>
      </c>
      <c r="C1153" t="s">
        <v>3487</v>
      </c>
      <c r="D1153">
        <v>54.331388889999999</v>
      </c>
      <c r="E1153">
        <v>-11.053055560000001</v>
      </c>
      <c r="F1153" t="s">
        <v>3550</v>
      </c>
      <c r="G1153" t="s">
        <v>3529</v>
      </c>
      <c r="H1153" t="s">
        <v>3551</v>
      </c>
      <c r="I1153" t="s">
        <v>2245</v>
      </c>
      <c r="J1153" t="s">
        <v>202</v>
      </c>
      <c r="K1153" t="s">
        <v>203</v>
      </c>
      <c r="L1153" t="s">
        <v>121</v>
      </c>
      <c r="M1153" t="s">
        <v>745</v>
      </c>
      <c r="N1153" s="6" t="s">
        <v>3552</v>
      </c>
      <c r="O1153" t="s">
        <v>3387</v>
      </c>
      <c r="P1153" t="s">
        <v>2652</v>
      </c>
      <c r="Q1153" t="s">
        <v>3553</v>
      </c>
      <c r="R1153" t="s">
        <v>3533</v>
      </c>
      <c r="S1153">
        <v>2022</v>
      </c>
      <c r="T1153" t="s">
        <v>771</v>
      </c>
      <c r="U1153" t="s">
        <v>3389</v>
      </c>
      <c r="V1153">
        <v>15</v>
      </c>
      <c r="W1153">
        <v>3300</v>
      </c>
      <c r="X1153">
        <v>381</v>
      </c>
      <c r="Y1153">
        <v>72</v>
      </c>
      <c r="Z1153">
        <v>8.5000000000000006E-2</v>
      </c>
      <c r="AA1153">
        <v>15.2</v>
      </c>
      <c r="AC1153">
        <v>740</v>
      </c>
      <c r="AD1153">
        <v>7</v>
      </c>
      <c r="AE1153">
        <v>0.46666666699999998</v>
      </c>
      <c r="AF1153">
        <v>200</v>
      </c>
      <c r="AH1153" t="s">
        <v>2259</v>
      </c>
      <c r="AM1153" t="s">
        <v>3554</v>
      </c>
      <c r="BN1153">
        <v>44</v>
      </c>
      <c r="CE11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53" s="19">
        <f>SUM(Table1[[#This Row],[Mid39]],Table1[[#This Row],[Mid36]],Table1[[#This Row],[Mid33]],Table1[[#This Row],[Mid30]],Table1[[#This Row],[Mid27]],Table1[[#This Row],[Mid24]],Table1[[#This Row],[Mid21]],Table1[[#This Row],[Mid18]],Table1[[#This Row],[Mid15]],Table1[[#This Row],[Mid12]],Table1[[#This Row],[Mid9]],Table1[[#This Row],[Mid6]],Table1[[#This Row],[Mid3]],Table1[[#This Row],[Mid]])</f>
        <v>44</v>
      </c>
      <c r="CG11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53" t="s">
        <v>157</v>
      </c>
      <c r="CI1153" t="s">
        <v>2471</v>
      </c>
      <c r="CJ1153" t="s">
        <v>158</v>
      </c>
      <c r="CL1153" s="19">
        <f>IF(Table1[[#This Row],[Type]]="Petroleum",1,IF(ISERROR(Table1[[#This Row],[Well Density]]*Table1[[#This Row],[Single Well Discovery Area]]),"",IF(Table1[[#This Row],[Well Density]]*Table1[[#This Row],[Single Well Discovery Area]]&gt;1,1,Table1[[#This Row],[Well Density]]*Table1[[#This Row],[Single Well Discovery Area]])))</f>
        <v>1</v>
      </c>
      <c r="CN1153" s="19">
        <f>Table1[[#This Row],[Mid]]</f>
        <v>0</v>
      </c>
      <c r="CO1153" s="19">
        <f>Table1[[#This Row],[Mid3]]+Table1[[#This Row],[Mid6]]+Table1[[#This Row],[Mid9]]</f>
        <v>0</v>
      </c>
      <c r="CP1153" s="19">
        <f>Table1[[#This Row],[Mid12]]+Table1[[#This Row],[Mid15]]+Table1[[#This Row],[Mid18]]+Table1[[#This Row],[Mid21]]+Table1[[#This Row],[Mid24]]</f>
        <v>44</v>
      </c>
      <c r="CQ1153" s="19">
        <f>Table1[[#This Row],[Mid27]]+Table1[[#This Row],[Mid30]]+Table1[[#This Row],[Mid33]]+Table1[[#This Row],[Mid36]]+Table1[[#This Row],[Mid39]]</f>
        <v>0</v>
      </c>
      <c r="CR1153" t="s">
        <v>415</v>
      </c>
      <c r="CS1153" s="19" t="str">
        <f>IF(AND(Table1[[#This Row],[Low41]]=0, Table1[[#This Row],[High43]]=0),"N","Y")</f>
        <v>N</v>
      </c>
    </row>
    <row r="1154" spans="1:97" ht="19.5" customHeight="1" x14ac:dyDescent="0.25">
      <c r="A1154">
        <v>11155</v>
      </c>
      <c r="B1154" t="s">
        <v>3451</v>
      </c>
      <c r="C1154" t="s">
        <v>223</v>
      </c>
      <c r="D1154">
        <v>52.52638889</v>
      </c>
      <c r="E1154">
        <v>-9.3880555559999994</v>
      </c>
      <c r="F1154" t="s">
        <v>3555</v>
      </c>
      <c r="G1154" t="s">
        <v>3556</v>
      </c>
      <c r="H1154" t="s">
        <v>3557</v>
      </c>
      <c r="I1154" t="s">
        <v>118</v>
      </c>
      <c r="J1154" t="s">
        <v>119</v>
      </c>
      <c r="K1154" t="s">
        <v>203</v>
      </c>
      <c r="L1154" t="s">
        <v>18</v>
      </c>
      <c r="M1154" t="s">
        <v>2621</v>
      </c>
      <c r="N1154" s="6" t="s">
        <v>3558</v>
      </c>
      <c r="O1154" t="s">
        <v>3387</v>
      </c>
      <c r="P1154" t="s">
        <v>2652</v>
      </c>
      <c r="Q1154" t="s">
        <v>3559</v>
      </c>
      <c r="R1154" t="s">
        <v>3458</v>
      </c>
      <c r="S1154">
        <v>2011</v>
      </c>
      <c r="T1154" t="s">
        <v>771</v>
      </c>
      <c r="U1154" t="s">
        <v>3389</v>
      </c>
      <c r="V1154"/>
      <c r="Z1154">
        <v>1.2E-2</v>
      </c>
      <c r="AD1154">
        <v>0</v>
      </c>
      <c r="AF1154">
        <v>200</v>
      </c>
      <c r="AH1154" t="s">
        <v>2259</v>
      </c>
      <c r="AI1154">
        <v>2</v>
      </c>
      <c r="AM1154" t="s">
        <v>167</v>
      </c>
      <c r="CC1154">
        <v>18</v>
      </c>
      <c r="CE115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54" s="19">
        <f>SUM(Table1[[#This Row],[Mid39]],Table1[[#This Row],[Mid36]],Table1[[#This Row],[Mid33]],Table1[[#This Row],[Mid30]],Table1[[#This Row],[Mid27]],Table1[[#This Row],[Mid24]],Table1[[#This Row],[Mid21]],Table1[[#This Row],[Mid18]],Table1[[#This Row],[Mid15]],Table1[[#This Row],[Mid12]],Table1[[#This Row],[Mid9]],Table1[[#This Row],[Mid6]],Table1[[#This Row],[Mid3]],Table1[[#This Row],[Mid]])</f>
        <v>18</v>
      </c>
      <c r="CG115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54" t="s">
        <v>157</v>
      </c>
      <c r="CI1154" t="s">
        <v>2471</v>
      </c>
      <c r="CJ1154" t="s">
        <v>158</v>
      </c>
      <c r="CL1154" s="19">
        <f>IF(Table1[[#This Row],[Type]]="Petroleum",1,IF(ISERROR(Table1[[#This Row],[Well Density]]*Table1[[#This Row],[Single Well Discovery Area]]),"",IF(Table1[[#This Row],[Well Density]]*Table1[[#This Row],[Single Well Discovery Area]]&gt;1,1,Table1[[#This Row],[Well Density]]*Table1[[#This Row],[Single Well Discovery Area]])))</f>
        <v>0</v>
      </c>
      <c r="CN1154" s="19">
        <f>Table1[[#This Row],[Mid]]</f>
        <v>0</v>
      </c>
      <c r="CO1154" s="19">
        <f>Table1[[#This Row],[Mid3]]+Table1[[#This Row],[Mid6]]+Table1[[#This Row],[Mid9]]</f>
        <v>0</v>
      </c>
      <c r="CP1154" s="19">
        <f>Table1[[#This Row],[Mid12]]+Table1[[#This Row],[Mid15]]+Table1[[#This Row],[Mid18]]+Table1[[#This Row],[Mid21]]+Table1[[#This Row],[Mid24]]</f>
        <v>0</v>
      </c>
      <c r="CQ1154" s="19">
        <f>Table1[[#This Row],[Mid27]]+Table1[[#This Row],[Mid30]]+Table1[[#This Row],[Mid33]]+Table1[[#This Row],[Mid36]]+Table1[[#This Row],[Mid39]]</f>
        <v>18</v>
      </c>
      <c r="CR1154" t="s">
        <v>415</v>
      </c>
      <c r="CS1154" s="19" t="str">
        <f>IF(AND(Table1[[#This Row],[Low41]]=0, Table1[[#This Row],[High43]]=0),"N","Y")</f>
        <v>N</v>
      </c>
    </row>
    <row r="1155" spans="1:97" ht="19.5" customHeight="1" x14ac:dyDescent="0.25">
      <c r="A1155">
        <v>11156</v>
      </c>
      <c r="B1155" t="s">
        <v>3451</v>
      </c>
      <c r="C1155" t="s">
        <v>223</v>
      </c>
      <c r="D1155">
        <v>52.834722220000003</v>
      </c>
      <c r="E1155">
        <v>-8.9547222219999991</v>
      </c>
      <c r="F1155" t="s">
        <v>3560</v>
      </c>
      <c r="G1155" t="s">
        <v>3556</v>
      </c>
      <c r="H1155" t="s">
        <v>3561</v>
      </c>
      <c r="I1155" t="s">
        <v>118</v>
      </c>
      <c r="J1155" t="s">
        <v>119</v>
      </c>
      <c r="K1155" t="s">
        <v>203</v>
      </c>
      <c r="L1155" t="s">
        <v>18</v>
      </c>
      <c r="M1155" t="s">
        <v>2621</v>
      </c>
      <c r="N1155" s="6" t="s">
        <v>3562</v>
      </c>
      <c r="O1155" t="s">
        <v>3387</v>
      </c>
      <c r="P1155" t="s">
        <v>2652</v>
      </c>
      <c r="Q1155" t="s">
        <v>3563</v>
      </c>
      <c r="R1155" t="s">
        <v>3458</v>
      </c>
      <c r="S1155">
        <v>2011</v>
      </c>
      <c r="T1155" t="s">
        <v>771</v>
      </c>
      <c r="U1155" t="s">
        <v>3389</v>
      </c>
      <c r="V1155"/>
      <c r="Z1155">
        <v>1.4999999999999999E-2</v>
      </c>
      <c r="AD1155">
        <v>0</v>
      </c>
      <c r="AF1155">
        <v>20</v>
      </c>
      <c r="AH1155" t="s">
        <v>2259</v>
      </c>
      <c r="AI1155">
        <v>2</v>
      </c>
      <c r="AM1155" t="s">
        <v>167</v>
      </c>
      <c r="CC1155">
        <v>42</v>
      </c>
      <c r="CE115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55" s="19">
        <f>SUM(Table1[[#This Row],[Mid39]],Table1[[#This Row],[Mid36]],Table1[[#This Row],[Mid33]],Table1[[#This Row],[Mid30]],Table1[[#This Row],[Mid27]],Table1[[#This Row],[Mid24]],Table1[[#This Row],[Mid21]],Table1[[#This Row],[Mid18]],Table1[[#This Row],[Mid15]],Table1[[#This Row],[Mid12]],Table1[[#This Row],[Mid9]],Table1[[#This Row],[Mid6]],Table1[[#This Row],[Mid3]],Table1[[#This Row],[Mid]])</f>
        <v>42</v>
      </c>
      <c r="CG115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55" t="s">
        <v>157</v>
      </c>
      <c r="CI1155" t="s">
        <v>176</v>
      </c>
      <c r="CJ1155" t="s">
        <v>158</v>
      </c>
      <c r="CL1155" s="19">
        <f>IF(Table1[[#This Row],[Type]]="Petroleum",1,IF(ISERROR(Table1[[#This Row],[Well Density]]*Table1[[#This Row],[Single Well Discovery Area]]),"",IF(Table1[[#This Row],[Well Density]]*Table1[[#This Row],[Single Well Discovery Area]]&gt;1,1,Table1[[#This Row],[Well Density]]*Table1[[#This Row],[Single Well Discovery Area]])))</f>
        <v>0</v>
      </c>
      <c r="CN1155" s="19">
        <f>Table1[[#This Row],[Mid]]</f>
        <v>0</v>
      </c>
      <c r="CO1155" s="19">
        <f>Table1[[#This Row],[Mid3]]+Table1[[#This Row],[Mid6]]+Table1[[#This Row],[Mid9]]</f>
        <v>0</v>
      </c>
      <c r="CP1155" s="19">
        <f>Table1[[#This Row],[Mid12]]+Table1[[#This Row],[Mid15]]+Table1[[#This Row],[Mid18]]+Table1[[#This Row],[Mid21]]+Table1[[#This Row],[Mid24]]</f>
        <v>0</v>
      </c>
      <c r="CQ1155" s="19">
        <f>Table1[[#This Row],[Mid27]]+Table1[[#This Row],[Mid30]]+Table1[[#This Row],[Mid33]]+Table1[[#This Row],[Mid36]]+Table1[[#This Row],[Mid39]]</f>
        <v>42</v>
      </c>
      <c r="CR1155" t="s">
        <v>415</v>
      </c>
      <c r="CS1155" s="19" t="str">
        <f>IF(AND(Table1[[#This Row],[Low41]]=0, Table1[[#This Row],[High43]]=0),"N","Y")</f>
        <v>N</v>
      </c>
    </row>
    <row r="1156" spans="1:97" ht="19.5" customHeight="1" x14ac:dyDescent="0.25">
      <c r="A1156">
        <v>11157</v>
      </c>
      <c r="B1156" t="s">
        <v>3451</v>
      </c>
      <c r="C1156" t="s">
        <v>223</v>
      </c>
      <c r="D1156">
        <v>52.834722220000003</v>
      </c>
      <c r="E1156">
        <v>-8.9547222219999991</v>
      </c>
      <c r="F1156" t="s">
        <v>3564</v>
      </c>
      <c r="G1156" t="s">
        <v>3556</v>
      </c>
      <c r="H1156" t="s">
        <v>3561</v>
      </c>
      <c r="I1156" t="s">
        <v>118</v>
      </c>
      <c r="J1156" t="s">
        <v>119</v>
      </c>
      <c r="K1156" t="s">
        <v>203</v>
      </c>
      <c r="L1156" t="s">
        <v>18</v>
      </c>
      <c r="M1156" t="s">
        <v>2621</v>
      </c>
      <c r="N1156" s="6" t="s">
        <v>3565</v>
      </c>
      <c r="O1156" t="s">
        <v>3387</v>
      </c>
      <c r="P1156" t="s">
        <v>2652</v>
      </c>
      <c r="Q1156" t="s">
        <v>3563</v>
      </c>
      <c r="R1156" t="s">
        <v>3458</v>
      </c>
      <c r="S1156">
        <v>2011</v>
      </c>
      <c r="T1156" t="s">
        <v>771</v>
      </c>
      <c r="U1156" t="s">
        <v>3389</v>
      </c>
      <c r="V1156"/>
      <c r="Z1156">
        <v>1.4999999999999999E-2</v>
      </c>
      <c r="AD1156">
        <v>0</v>
      </c>
      <c r="AF1156">
        <v>20</v>
      </c>
      <c r="AH1156" t="s">
        <v>2259</v>
      </c>
      <c r="AI1156">
        <v>2</v>
      </c>
      <c r="AM1156" t="s">
        <v>167</v>
      </c>
      <c r="CC1156">
        <v>11</v>
      </c>
      <c r="CE115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56" s="19">
        <f>SUM(Table1[[#This Row],[Mid39]],Table1[[#This Row],[Mid36]],Table1[[#This Row],[Mid33]],Table1[[#This Row],[Mid30]],Table1[[#This Row],[Mid27]],Table1[[#This Row],[Mid24]],Table1[[#This Row],[Mid21]],Table1[[#This Row],[Mid18]],Table1[[#This Row],[Mid15]],Table1[[#This Row],[Mid12]],Table1[[#This Row],[Mid9]],Table1[[#This Row],[Mid6]],Table1[[#This Row],[Mid3]],Table1[[#This Row],[Mid]])</f>
        <v>11</v>
      </c>
      <c r="CG115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56" t="s">
        <v>157</v>
      </c>
      <c r="CI1156" t="s">
        <v>176</v>
      </c>
      <c r="CJ1156" t="s">
        <v>158</v>
      </c>
      <c r="CL1156" s="19">
        <f>IF(Table1[[#This Row],[Type]]="Petroleum",1,IF(ISERROR(Table1[[#This Row],[Well Density]]*Table1[[#This Row],[Single Well Discovery Area]]),"",IF(Table1[[#This Row],[Well Density]]*Table1[[#This Row],[Single Well Discovery Area]]&gt;1,1,Table1[[#This Row],[Well Density]]*Table1[[#This Row],[Single Well Discovery Area]])))</f>
        <v>0</v>
      </c>
      <c r="CN1156" s="19">
        <f>Table1[[#This Row],[Mid]]</f>
        <v>0</v>
      </c>
      <c r="CO1156" s="19">
        <f>Table1[[#This Row],[Mid3]]+Table1[[#This Row],[Mid6]]+Table1[[#This Row],[Mid9]]</f>
        <v>0</v>
      </c>
      <c r="CP1156" s="19">
        <f>Table1[[#This Row],[Mid12]]+Table1[[#This Row],[Mid15]]+Table1[[#This Row],[Mid18]]+Table1[[#This Row],[Mid21]]+Table1[[#This Row],[Mid24]]</f>
        <v>0</v>
      </c>
      <c r="CQ1156" s="19">
        <f>Table1[[#This Row],[Mid27]]+Table1[[#This Row],[Mid30]]+Table1[[#This Row],[Mid33]]+Table1[[#This Row],[Mid36]]+Table1[[#This Row],[Mid39]]</f>
        <v>11</v>
      </c>
      <c r="CR1156" t="s">
        <v>415</v>
      </c>
      <c r="CS1156" s="19" t="str">
        <f>IF(AND(Table1[[#This Row],[Low41]]=0, Table1[[#This Row],[High43]]=0),"N","Y")</f>
        <v>N</v>
      </c>
    </row>
    <row r="1157" spans="1:97" ht="19.5" customHeight="1" x14ac:dyDescent="0.25">
      <c r="A1157">
        <v>11158</v>
      </c>
      <c r="B1157" t="s">
        <v>408</v>
      </c>
      <c r="C1157" t="s">
        <v>1449</v>
      </c>
      <c r="D1157">
        <v>57.178055559999997</v>
      </c>
      <c r="E1157">
        <v>7.1811111109999999</v>
      </c>
      <c r="F1157" t="s">
        <v>3566</v>
      </c>
      <c r="G1157" t="s">
        <v>1463</v>
      </c>
      <c r="H1157" t="s">
        <v>3567</v>
      </c>
      <c r="I1157" t="s">
        <v>520</v>
      </c>
      <c r="J1157" t="s">
        <v>202</v>
      </c>
      <c r="L1157" t="s">
        <v>121</v>
      </c>
      <c r="M1157" t="s">
        <v>252</v>
      </c>
      <c r="N1157" s="6" t="s">
        <v>3568</v>
      </c>
      <c r="O1157" t="s">
        <v>3387</v>
      </c>
      <c r="P1157" t="s">
        <v>3569</v>
      </c>
      <c r="Q1157" t="s">
        <v>3570</v>
      </c>
      <c r="R1157" t="s">
        <v>3571</v>
      </c>
      <c r="S1157">
        <v>2014</v>
      </c>
      <c r="T1157" t="s">
        <v>771</v>
      </c>
      <c r="U1157" t="s">
        <v>3389</v>
      </c>
      <c r="V1157"/>
      <c r="W1157">
        <v>1900</v>
      </c>
      <c r="AF1157">
        <v>200</v>
      </c>
      <c r="AH1157" t="s">
        <v>167</v>
      </c>
      <c r="AM1157" t="s">
        <v>167</v>
      </c>
      <c r="AX1157">
        <v>100</v>
      </c>
      <c r="AY1157">
        <v>125</v>
      </c>
      <c r="AZ1157">
        <v>150</v>
      </c>
      <c r="CE1157" s="19">
        <f>SUM(Table1[[#This Row],[Low38]],Table1[[#This Row],[Low35]],Table1[[#This Row],[Low32]],Table1[[#This Row],[Low29]],Table1[[#This Row],[Low26]],Table1[[#This Row],[Low23]],Table1[[#This Row],[Low20]],Table1[[#This Row],[Low17]],Table1[[#This Row],[Low14]],Table1[[#This Row],[Low11]],Table1[[#This Row],[Low8]],Table1[[#This Row],[Low5]],Table1[[#This Row],[Low2]],Table1[[#This Row],[Low]])</f>
        <v>100</v>
      </c>
      <c r="CF1157" s="19">
        <f>SUM(Table1[[#This Row],[Mid39]],Table1[[#This Row],[Mid36]],Table1[[#This Row],[Mid33]],Table1[[#This Row],[Mid30]],Table1[[#This Row],[Mid27]],Table1[[#This Row],[Mid24]],Table1[[#This Row],[Mid21]],Table1[[#This Row],[Mid18]],Table1[[#This Row],[Mid15]],Table1[[#This Row],[Mid12]],Table1[[#This Row],[Mid9]],Table1[[#This Row],[Mid6]],Table1[[#This Row],[Mid3]],Table1[[#This Row],[Mid]])</f>
        <v>125</v>
      </c>
      <c r="CG115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150</v>
      </c>
      <c r="CH1157" t="s">
        <v>157</v>
      </c>
      <c r="CI1157" t="s">
        <v>2471</v>
      </c>
      <c r="CJ1157" t="s">
        <v>133</v>
      </c>
      <c r="CL1157" s="19">
        <f>IF(Table1[[#This Row],[Type]]="Petroleum",1,IF(ISERROR(Table1[[#This Row],[Well Density]]*Table1[[#This Row],[Single Well Discovery Area]]),"",IF(Table1[[#This Row],[Well Density]]*Table1[[#This Row],[Single Well Discovery Area]]&gt;1,1,Table1[[#This Row],[Well Density]]*Table1[[#This Row],[Single Well Discovery Area]])))</f>
        <v>1</v>
      </c>
      <c r="CN1157" s="19">
        <f>Table1[[#This Row],[Mid]]</f>
        <v>0</v>
      </c>
      <c r="CO1157" s="19">
        <f>Table1[[#This Row],[Mid3]]+Table1[[#This Row],[Mid6]]+Table1[[#This Row],[Mid9]]</f>
        <v>125</v>
      </c>
      <c r="CP1157" s="19">
        <f>Table1[[#This Row],[Mid12]]+Table1[[#This Row],[Mid15]]+Table1[[#This Row],[Mid18]]+Table1[[#This Row],[Mid21]]+Table1[[#This Row],[Mid24]]</f>
        <v>0</v>
      </c>
      <c r="CQ1157" s="19">
        <f>Table1[[#This Row],[Mid27]]+Table1[[#This Row],[Mid30]]+Table1[[#This Row],[Mid33]]+Table1[[#This Row],[Mid36]]+Table1[[#This Row],[Mid39]]</f>
        <v>0</v>
      </c>
      <c r="CR1157" t="s">
        <v>415</v>
      </c>
      <c r="CS1157" s="19" t="str">
        <f>IF(AND(Table1[[#This Row],[Low41]]=0, Table1[[#This Row],[High43]]=0),"N","Y")</f>
        <v>Y</v>
      </c>
    </row>
    <row r="1158" spans="1:97" ht="19.5" customHeight="1" x14ac:dyDescent="0.25">
      <c r="A1158">
        <v>11159</v>
      </c>
      <c r="B1158" t="s">
        <v>408</v>
      </c>
      <c r="C1158" t="s">
        <v>1449</v>
      </c>
      <c r="D1158">
        <v>55.704166669999999</v>
      </c>
      <c r="E1158">
        <v>4.8105555559999997</v>
      </c>
      <c r="F1158" t="s">
        <v>3572</v>
      </c>
      <c r="G1158" t="s">
        <v>1779</v>
      </c>
      <c r="H1158" t="s">
        <v>167</v>
      </c>
      <c r="I1158" t="s">
        <v>582</v>
      </c>
      <c r="J1158" t="s">
        <v>202</v>
      </c>
      <c r="K1158" t="s">
        <v>203</v>
      </c>
      <c r="L1158" t="s">
        <v>121</v>
      </c>
      <c r="M1158" t="s">
        <v>252</v>
      </c>
      <c r="N1158" s="6" t="s">
        <v>3573</v>
      </c>
      <c r="O1158" t="s">
        <v>3387</v>
      </c>
      <c r="P1158" t="s">
        <v>2652</v>
      </c>
      <c r="Q1158" t="s">
        <v>255</v>
      </c>
      <c r="R1158" t="s">
        <v>3574</v>
      </c>
      <c r="S1158">
        <v>2021</v>
      </c>
      <c r="T1158" t="s">
        <v>771</v>
      </c>
      <c r="U1158" t="s">
        <v>3389</v>
      </c>
      <c r="V1158"/>
      <c r="AD1158">
        <v>0</v>
      </c>
      <c r="AF1158">
        <v>20</v>
      </c>
      <c r="AH1158" t="s">
        <v>3575</v>
      </c>
      <c r="AI1158">
        <v>6</v>
      </c>
      <c r="AM1158" t="s">
        <v>3576</v>
      </c>
      <c r="BH1158">
        <v>211.1</v>
      </c>
      <c r="CE115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58" s="19">
        <f>SUM(Table1[[#This Row],[Mid39]],Table1[[#This Row],[Mid36]],Table1[[#This Row],[Mid33]],Table1[[#This Row],[Mid30]],Table1[[#This Row],[Mid27]],Table1[[#This Row],[Mid24]],Table1[[#This Row],[Mid21]],Table1[[#This Row],[Mid18]],Table1[[#This Row],[Mid15]],Table1[[#This Row],[Mid12]],Table1[[#This Row],[Mid9]],Table1[[#This Row],[Mid6]],Table1[[#This Row],[Mid3]],Table1[[#This Row],[Mid]])</f>
        <v>211.1</v>
      </c>
      <c r="CG115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58" t="s">
        <v>157</v>
      </c>
      <c r="CI1158" t="s">
        <v>176</v>
      </c>
      <c r="CJ1158" t="s">
        <v>158</v>
      </c>
      <c r="CL1158" s="19">
        <f>IF(Table1[[#This Row],[Type]]="Petroleum",1,IF(ISERROR(Table1[[#This Row],[Well Density]]*Table1[[#This Row],[Single Well Discovery Area]]),"",IF(Table1[[#This Row],[Well Density]]*Table1[[#This Row],[Single Well Discovery Area]]&gt;1,1,Table1[[#This Row],[Well Density]]*Table1[[#This Row],[Single Well Discovery Area]])))</f>
        <v>1</v>
      </c>
      <c r="CN1158" s="19">
        <f>Table1[[#This Row],[Mid]]</f>
        <v>0</v>
      </c>
      <c r="CO1158" s="19">
        <f>Table1[[#This Row],[Mid3]]+Table1[[#This Row],[Mid6]]+Table1[[#This Row],[Mid9]]</f>
        <v>0</v>
      </c>
      <c r="CP1158" s="19">
        <f>Table1[[#This Row],[Mid12]]+Table1[[#This Row],[Mid15]]+Table1[[#This Row],[Mid18]]+Table1[[#This Row],[Mid21]]+Table1[[#This Row],[Mid24]]</f>
        <v>211.1</v>
      </c>
      <c r="CQ1158" s="19">
        <f>Table1[[#This Row],[Mid27]]+Table1[[#This Row],[Mid30]]+Table1[[#This Row],[Mid33]]+Table1[[#This Row],[Mid36]]+Table1[[#This Row],[Mid39]]</f>
        <v>0</v>
      </c>
      <c r="CR1158" t="s">
        <v>415</v>
      </c>
      <c r="CS1158" s="19" t="str">
        <f>IF(AND(Table1[[#This Row],[Low41]]=0, Table1[[#This Row],[High43]]=0),"N","Y")</f>
        <v>N</v>
      </c>
    </row>
    <row r="1159" spans="1:97" ht="19.5" customHeight="1" x14ac:dyDescent="0.25">
      <c r="A1159">
        <v>11160</v>
      </c>
      <c r="B1159" t="s">
        <v>408</v>
      </c>
      <c r="C1159" t="s">
        <v>1449</v>
      </c>
      <c r="D1159">
        <v>55.464444440000001</v>
      </c>
      <c r="E1159">
        <v>5.1219444440000004</v>
      </c>
      <c r="F1159" t="s">
        <v>3577</v>
      </c>
      <c r="G1159" t="s">
        <v>1779</v>
      </c>
      <c r="H1159" t="s">
        <v>167</v>
      </c>
      <c r="I1159" t="s">
        <v>582</v>
      </c>
      <c r="J1159" t="s">
        <v>202</v>
      </c>
      <c r="K1159" t="s">
        <v>203</v>
      </c>
      <c r="L1159" t="s">
        <v>121</v>
      </c>
      <c r="M1159" t="s">
        <v>252</v>
      </c>
      <c r="N1159" s="6" t="s">
        <v>3578</v>
      </c>
      <c r="O1159" t="s">
        <v>3387</v>
      </c>
      <c r="P1159" t="s">
        <v>2652</v>
      </c>
      <c r="Q1159" t="s">
        <v>255</v>
      </c>
      <c r="R1159" t="s">
        <v>3579</v>
      </c>
      <c r="S1159">
        <v>2021</v>
      </c>
      <c r="T1159" t="s">
        <v>771</v>
      </c>
      <c r="U1159" t="s">
        <v>3389</v>
      </c>
      <c r="V1159"/>
      <c r="AD1159">
        <v>0</v>
      </c>
      <c r="AF1159">
        <v>20</v>
      </c>
      <c r="AH1159" t="s">
        <v>3575</v>
      </c>
      <c r="AI1159">
        <v>6</v>
      </c>
      <c r="AM1159" t="s">
        <v>3576</v>
      </c>
      <c r="BH1159">
        <v>174.1</v>
      </c>
      <c r="CE115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59" s="19">
        <f>SUM(Table1[[#This Row],[Mid39]],Table1[[#This Row],[Mid36]],Table1[[#This Row],[Mid33]],Table1[[#This Row],[Mid30]],Table1[[#This Row],[Mid27]],Table1[[#This Row],[Mid24]],Table1[[#This Row],[Mid21]],Table1[[#This Row],[Mid18]],Table1[[#This Row],[Mid15]],Table1[[#This Row],[Mid12]],Table1[[#This Row],[Mid9]],Table1[[#This Row],[Mid6]],Table1[[#This Row],[Mid3]],Table1[[#This Row],[Mid]])</f>
        <v>174.1</v>
      </c>
      <c r="CG115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59" t="s">
        <v>157</v>
      </c>
      <c r="CI1159" t="s">
        <v>176</v>
      </c>
      <c r="CJ1159" t="s">
        <v>158</v>
      </c>
      <c r="CL1159" s="19">
        <f>IF(Table1[[#This Row],[Type]]="Petroleum",1,IF(ISERROR(Table1[[#This Row],[Well Density]]*Table1[[#This Row],[Single Well Discovery Area]]),"",IF(Table1[[#This Row],[Well Density]]*Table1[[#This Row],[Single Well Discovery Area]]&gt;1,1,Table1[[#This Row],[Well Density]]*Table1[[#This Row],[Single Well Discovery Area]])))</f>
        <v>1</v>
      </c>
      <c r="CN1159" s="19">
        <f>Table1[[#This Row],[Mid]]</f>
        <v>0</v>
      </c>
      <c r="CO1159" s="19">
        <f>Table1[[#This Row],[Mid3]]+Table1[[#This Row],[Mid6]]+Table1[[#This Row],[Mid9]]</f>
        <v>0</v>
      </c>
      <c r="CP1159" s="19">
        <f>Table1[[#This Row],[Mid12]]+Table1[[#This Row],[Mid15]]+Table1[[#This Row],[Mid18]]+Table1[[#This Row],[Mid21]]+Table1[[#This Row],[Mid24]]</f>
        <v>174.1</v>
      </c>
      <c r="CQ1159" s="19">
        <f>Table1[[#This Row],[Mid27]]+Table1[[#This Row],[Mid30]]+Table1[[#This Row],[Mid33]]+Table1[[#This Row],[Mid36]]+Table1[[#This Row],[Mid39]]</f>
        <v>0</v>
      </c>
      <c r="CR1159" t="s">
        <v>415</v>
      </c>
      <c r="CS1159" s="19" t="str">
        <f>IF(AND(Table1[[#This Row],[Low41]]=0, Table1[[#This Row],[High43]]=0),"N","Y")</f>
        <v>N</v>
      </c>
    </row>
    <row r="1160" spans="1:97" ht="19.5" customHeight="1" x14ac:dyDescent="0.25">
      <c r="A1160">
        <v>11161</v>
      </c>
      <c r="B1160" t="s">
        <v>408</v>
      </c>
      <c r="C1160" t="s">
        <v>1449</v>
      </c>
      <c r="D1160">
        <v>55.563888890000001</v>
      </c>
      <c r="E1160">
        <v>5.1838888890000003</v>
      </c>
      <c r="F1160" t="s">
        <v>3580</v>
      </c>
      <c r="G1160" t="s">
        <v>1779</v>
      </c>
      <c r="H1160" t="s">
        <v>167</v>
      </c>
      <c r="I1160" t="s">
        <v>582</v>
      </c>
      <c r="J1160" t="s">
        <v>202</v>
      </c>
      <c r="K1160" t="s">
        <v>203</v>
      </c>
      <c r="L1160" t="s">
        <v>121</v>
      </c>
      <c r="M1160" t="s">
        <v>252</v>
      </c>
      <c r="N1160" s="6" t="s">
        <v>3581</v>
      </c>
      <c r="O1160" t="s">
        <v>3387</v>
      </c>
      <c r="P1160" t="s">
        <v>2652</v>
      </c>
      <c r="Q1160" t="s">
        <v>255</v>
      </c>
      <c r="R1160" t="s">
        <v>3582</v>
      </c>
      <c r="S1160">
        <v>2021</v>
      </c>
      <c r="T1160" t="s">
        <v>771</v>
      </c>
      <c r="U1160" t="s">
        <v>3389</v>
      </c>
      <c r="V1160"/>
      <c r="AD1160">
        <v>0</v>
      </c>
      <c r="AF1160">
        <v>20</v>
      </c>
      <c r="AH1160" t="s">
        <v>3575</v>
      </c>
      <c r="AI1160">
        <v>6</v>
      </c>
      <c r="AM1160" t="s">
        <v>3576</v>
      </c>
      <c r="BH1160">
        <v>83.5</v>
      </c>
      <c r="CE116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60" s="19">
        <f>SUM(Table1[[#This Row],[Mid39]],Table1[[#This Row],[Mid36]],Table1[[#This Row],[Mid33]],Table1[[#This Row],[Mid30]],Table1[[#This Row],[Mid27]],Table1[[#This Row],[Mid24]],Table1[[#This Row],[Mid21]],Table1[[#This Row],[Mid18]],Table1[[#This Row],[Mid15]],Table1[[#This Row],[Mid12]],Table1[[#This Row],[Mid9]],Table1[[#This Row],[Mid6]],Table1[[#This Row],[Mid3]],Table1[[#This Row],[Mid]])</f>
        <v>83.5</v>
      </c>
      <c r="CG116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60" t="s">
        <v>157</v>
      </c>
      <c r="CI1160" t="s">
        <v>176</v>
      </c>
      <c r="CJ1160" t="s">
        <v>158</v>
      </c>
      <c r="CL1160" s="19">
        <f>IF(Table1[[#This Row],[Type]]="Petroleum",1,IF(ISERROR(Table1[[#This Row],[Well Density]]*Table1[[#This Row],[Single Well Discovery Area]]),"",IF(Table1[[#This Row],[Well Density]]*Table1[[#This Row],[Single Well Discovery Area]]&gt;1,1,Table1[[#This Row],[Well Density]]*Table1[[#This Row],[Single Well Discovery Area]])))</f>
        <v>1</v>
      </c>
      <c r="CN1160" s="19">
        <f>Table1[[#This Row],[Mid]]</f>
        <v>0</v>
      </c>
      <c r="CO1160" s="19">
        <f>Table1[[#This Row],[Mid3]]+Table1[[#This Row],[Mid6]]+Table1[[#This Row],[Mid9]]</f>
        <v>0</v>
      </c>
      <c r="CP1160" s="19">
        <f>Table1[[#This Row],[Mid12]]+Table1[[#This Row],[Mid15]]+Table1[[#This Row],[Mid18]]+Table1[[#This Row],[Mid21]]+Table1[[#This Row],[Mid24]]</f>
        <v>83.5</v>
      </c>
      <c r="CQ1160" s="19">
        <f>Table1[[#This Row],[Mid27]]+Table1[[#This Row],[Mid30]]+Table1[[#This Row],[Mid33]]+Table1[[#This Row],[Mid36]]+Table1[[#This Row],[Mid39]]</f>
        <v>0</v>
      </c>
      <c r="CR1160" t="s">
        <v>415</v>
      </c>
      <c r="CS1160" s="19" t="str">
        <f>IF(AND(Table1[[#This Row],[Low41]]=0, Table1[[#This Row],[High43]]=0),"N","Y")</f>
        <v>N</v>
      </c>
    </row>
    <row r="1161" spans="1:97" ht="19.5" customHeight="1" x14ac:dyDescent="0.25">
      <c r="A1161">
        <v>11162</v>
      </c>
      <c r="B1161" t="s">
        <v>408</v>
      </c>
      <c r="C1161" t="s">
        <v>1449</v>
      </c>
      <c r="D1161">
        <v>55.564166669999999</v>
      </c>
      <c r="E1161">
        <v>4.7908333330000001</v>
      </c>
      <c r="F1161" t="s">
        <v>3583</v>
      </c>
      <c r="G1161" t="s">
        <v>1779</v>
      </c>
      <c r="H1161" t="s">
        <v>167</v>
      </c>
      <c r="I1161" t="s">
        <v>582</v>
      </c>
      <c r="J1161" t="s">
        <v>202</v>
      </c>
      <c r="K1161" t="s">
        <v>203</v>
      </c>
      <c r="L1161" t="s">
        <v>121</v>
      </c>
      <c r="M1161" t="s">
        <v>252</v>
      </c>
      <c r="N1161" s="6" t="s">
        <v>3584</v>
      </c>
      <c r="O1161" t="s">
        <v>3387</v>
      </c>
      <c r="P1161" t="s">
        <v>2652</v>
      </c>
      <c r="Q1161" t="s">
        <v>255</v>
      </c>
      <c r="R1161" t="s">
        <v>3574</v>
      </c>
      <c r="S1161">
        <v>2021</v>
      </c>
      <c r="T1161" t="s">
        <v>771</v>
      </c>
      <c r="U1161" t="s">
        <v>3389</v>
      </c>
      <c r="V1161"/>
      <c r="AD1161">
        <v>0</v>
      </c>
      <c r="AF1161">
        <v>20</v>
      </c>
      <c r="AH1161" t="s">
        <v>3575</v>
      </c>
      <c r="AI1161">
        <v>6</v>
      </c>
      <c r="AM1161" t="s">
        <v>3576</v>
      </c>
      <c r="BH1161">
        <v>73.5</v>
      </c>
      <c r="CE116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61" s="19">
        <f>SUM(Table1[[#This Row],[Mid39]],Table1[[#This Row],[Mid36]],Table1[[#This Row],[Mid33]],Table1[[#This Row],[Mid30]],Table1[[#This Row],[Mid27]],Table1[[#This Row],[Mid24]],Table1[[#This Row],[Mid21]],Table1[[#This Row],[Mid18]],Table1[[#This Row],[Mid15]],Table1[[#This Row],[Mid12]],Table1[[#This Row],[Mid9]],Table1[[#This Row],[Mid6]],Table1[[#This Row],[Mid3]],Table1[[#This Row],[Mid]])</f>
        <v>73.5</v>
      </c>
      <c r="CG116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61" t="s">
        <v>157</v>
      </c>
      <c r="CI1161" t="s">
        <v>176</v>
      </c>
      <c r="CJ1161" t="s">
        <v>158</v>
      </c>
      <c r="CL1161" s="19">
        <f>IF(Table1[[#This Row],[Type]]="Petroleum",1,IF(ISERROR(Table1[[#This Row],[Well Density]]*Table1[[#This Row],[Single Well Discovery Area]]),"",IF(Table1[[#This Row],[Well Density]]*Table1[[#This Row],[Single Well Discovery Area]]&gt;1,1,Table1[[#This Row],[Well Density]]*Table1[[#This Row],[Single Well Discovery Area]])))</f>
        <v>1</v>
      </c>
      <c r="CN1161" s="19">
        <f>Table1[[#This Row],[Mid]]</f>
        <v>0</v>
      </c>
      <c r="CO1161" s="19">
        <f>Table1[[#This Row],[Mid3]]+Table1[[#This Row],[Mid6]]+Table1[[#This Row],[Mid9]]</f>
        <v>0</v>
      </c>
      <c r="CP1161" s="19">
        <f>Table1[[#This Row],[Mid12]]+Table1[[#This Row],[Mid15]]+Table1[[#This Row],[Mid18]]+Table1[[#This Row],[Mid21]]+Table1[[#This Row],[Mid24]]</f>
        <v>73.5</v>
      </c>
      <c r="CQ1161" s="19">
        <f>Table1[[#This Row],[Mid27]]+Table1[[#This Row],[Mid30]]+Table1[[#This Row],[Mid33]]+Table1[[#This Row],[Mid36]]+Table1[[#This Row],[Mid39]]</f>
        <v>0</v>
      </c>
      <c r="CR1161" t="s">
        <v>415</v>
      </c>
      <c r="CS1161" s="19" t="str">
        <f>IF(AND(Table1[[#This Row],[Low41]]=0, Table1[[#This Row],[High43]]=0),"N","Y")</f>
        <v>N</v>
      </c>
    </row>
    <row r="1162" spans="1:97" ht="19.5" customHeight="1" x14ac:dyDescent="0.25">
      <c r="A1162">
        <v>11163</v>
      </c>
      <c r="B1162" t="s">
        <v>408</v>
      </c>
      <c r="C1162" t="s">
        <v>1449</v>
      </c>
      <c r="D1162">
        <v>56.33666667</v>
      </c>
      <c r="E1162">
        <v>4.2497222219999999</v>
      </c>
      <c r="F1162" t="s">
        <v>3585</v>
      </c>
      <c r="G1162" t="s">
        <v>1779</v>
      </c>
      <c r="H1162" t="s">
        <v>167</v>
      </c>
      <c r="I1162" t="s">
        <v>582</v>
      </c>
      <c r="J1162" t="s">
        <v>202</v>
      </c>
      <c r="K1162" t="s">
        <v>203</v>
      </c>
      <c r="L1162" t="s">
        <v>121</v>
      </c>
      <c r="M1162" t="s">
        <v>252</v>
      </c>
      <c r="N1162" s="6" t="s">
        <v>3586</v>
      </c>
      <c r="O1162" t="s">
        <v>3587</v>
      </c>
      <c r="P1162" t="s">
        <v>2652</v>
      </c>
      <c r="Q1162" t="s">
        <v>255</v>
      </c>
      <c r="R1162" t="s">
        <v>3588</v>
      </c>
      <c r="S1162">
        <v>2021</v>
      </c>
      <c r="T1162" t="s">
        <v>771</v>
      </c>
      <c r="U1162" t="s">
        <v>1479</v>
      </c>
      <c r="V1162"/>
      <c r="AD1162">
        <v>0</v>
      </c>
      <c r="AF1162">
        <v>20</v>
      </c>
      <c r="AH1162" t="s">
        <v>3575</v>
      </c>
      <c r="AI1162">
        <v>6</v>
      </c>
      <c r="AM1162" t="s">
        <v>3576</v>
      </c>
      <c r="BE1162">
        <v>66.8</v>
      </c>
      <c r="CE116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62" s="19">
        <f>SUM(Table1[[#This Row],[Mid39]],Table1[[#This Row],[Mid36]],Table1[[#This Row],[Mid33]],Table1[[#This Row],[Mid30]],Table1[[#This Row],[Mid27]],Table1[[#This Row],[Mid24]],Table1[[#This Row],[Mid21]],Table1[[#This Row],[Mid18]],Table1[[#This Row],[Mid15]],Table1[[#This Row],[Mid12]],Table1[[#This Row],[Mid9]],Table1[[#This Row],[Mid6]],Table1[[#This Row],[Mid3]],Table1[[#This Row],[Mid]])</f>
        <v>66.8</v>
      </c>
      <c r="CG116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62" t="s">
        <v>157</v>
      </c>
      <c r="CI1162" t="s">
        <v>176</v>
      </c>
      <c r="CJ1162" t="s">
        <v>133</v>
      </c>
      <c r="CL1162" s="19">
        <f>IF(Table1[[#This Row],[Type]]="Petroleum",1,IF(ISERROR(Table1[[#This Row],[Well Density]]*Table1[[#This Row],[Single Well Discovery Area]]),"",IF(Table1[[#This Row],[Well Density]]*Table1[[#This Row],[Single Well Discovery Area]]&gt;1,1,Table1[[#This Row],[Well Density]]*Table1[[#This Row],[Single Well Discovery Area]])))</f>
        <v>1</v>
      </c>
      <c r="CN1162" s="19">
        <f>Table1[[#This Row],[Mid]]</f>
        <v>0</v>
      </c>
      <c r="CO1162" s="19">
        <f>Table1[[#This Row],[Mid3]]+Table1[[#This Row],[Mid6]]+Table1[[#This Row],[Mid9]]</f>
        <v>0</v>
      </c>
      <c r="CP1162" s="19">
        <f>Table1[[#This Row],[Mid12]]+Table1[[#This Row],[Mid15]]+Table1[[#This Row],[Mid18]]+Table1[[#This Row],[Mid21]]+Table1[[#This Row],[Mid24]]</f>
        <v>66.8</v>
      </c>
      <c r="CQ1162" s="19">
        <f>Table1[[#This Row],[Mid27]]+Table1[[#This Row],[Mid30]]+Table1[[#This Row],[Mid33]]+Table1[[#This Row],[Mid36]]+Table1[[#This Row],[Mid39]]</f>
        <v>0</v>
      </c>
      <c r="CR1162" t="s">
        <v>415</v>
      </c>
      <c r="CS1162" s="19" t="str">
        <f>IF(AND(Table1[[#This Row],[Low41]]=0, Table1[[#This Row],[High43]]=0),"N","Y")</f>
        <v>N</v>
      </c>
    </row>
    <row r="1163" spans="1:97" ht="19.5" customHeight="1" x14ac:dyDescent="0.25">
      <c r="A1163">
        <v>11164</v>
      </c>
      <c r="B1163" t="s">
        <v>408</v>
      </c>
      <c r="C1163" t="s">
        <v>1449</v>
      </c>
      <c r="D1163">
        <v>56.054722220000002</v>
      </c>
      <c r="E1163">
        <v>4.2649999999999997</v>
      </c>
      <c r="F1163" t="s">
        <v>3589</v>
      </c>
      <c r="G1163" t="s">
        <v>1779</v>
      </c>
      <c r="H1163" t="s">
        <v>167</v>
      </c>
      <c r="I1163" t="s">
        <v>582</v>
      </c>
      <c r="J1163" t="s">
        <v>202</v>
      </c>
      <c r="K1163" t="s">
        <v>203</v>
      </c>
      <c r="L1163" t="s">
        <v>121</v>
      </c>
      <c r="M1163" t="s">
        <v>252</v>
      </c>
      <c r="N1163" s="6" t="s">
        <v>3590</v>
      </c>
      <c r="O1163" t="s">
        <v>3387</v>
      </c>
      <c r="P1163" t="s">
        <v>2652</v>
      </c>
      <c r="Q1163" t="s">
        <v>255</v>
      </c>
      <c r="R1163" t="s">
        <v>3574</v>
      </c>
      <c r="S1163">
        <v>2021</v>
      </c>
      <c r="T1163" t="s">
        <v>771</v>
      </c>
      <c r="U1163" t="s">
        <v>3389</v>
      </c>
      <c r="V1163"/>
      <c r="AD1163">
        <v>0</v>
      </c>
      <c r="AF1163">
        <v>20</v>
      </c>
      <c r="AH1163" t="s">
        <v>3575</v>
      </c>
      <c r="AI1163">
        <v>6</v>
      </c>
      <c r="AM1163" t="s">
        <v>3576</v>
      </c>
      <c r="BH1163">
        <v>52</v>
      </c>
      <c r="CE116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63" s="19">
        <f>SUM(Table1[[#This Row],[Mid39]],Table1[[#This Row],[Mid36]],Table1[[#This Row],[Mid33]],Table1[[#This Row],[Mid30]],Table1[[#This Row],[Mid27]],Table1[[#This Row],[Mid24]],Table1[[#This Row],[Mid21]],Table1[[#This Row],[Mid18]],Table1[[#This Row],[Mid15]],Table1[[#This Row],[Mid12]],Table1[[#This Row],[Mid9]],Table1[[#This Row],[Mid6]],Table1[[#This Row],[Mid3]],Table1[[#This Row],[Mid]])</f>
        <v>52</v>
      </c>
      <c r="CG116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63" t="s">
        <v>157</v>
      </c>
      <c r="CI1163" t="s">
        <v>176</v>
      </c>
      <c r="CJ1163" t="s">
        <v>158</v>
      </c>
      <c r="CL1163" s="19">
        <f>IF(Table1[[#This Row],[Type]]="Petroleum",1,IF(ISERROR(Table1[[#This Row],[Well Density]]*Table1[[#This Row],[Single Well Discovery Area]]),"",IF(Table1[[#This Row],[Well Density]]*Table1[[#This Row],[Single Well Discovery Area]]&gt;1,1,Table1[[#This Row],[Well Density]]*Table1[[#This Row],[Single Well Discovery Area]])))</f>
        <v>1</v>
      </c>
      <c r="CN1163" s="19">
        <f>Table1[[#This Row],[Mid]]</f>
        <v>0</v>
      </c>
      <c r="CO1163" s="19">
        <f>Table1[[#This Row],[Mid3]]+Table1[[#This Row],[Mid6]]+Table1[[#This Row],[Mid9]]</f>
        <v>0</v>
      </c>
      <c r="CP1163" s="19">
        <f>Table1[[#This Row],[Mid12]]+Table1[[#This Row],[Mid15]]+Table1[[#This Row],[Mid18]]+Table1[[#This Row],[Mid21]]+Table1[[#This Row],[Mid24]]</f>
        <v>52</v>
      </c>
      <c r="CQ1163" s="19">
        <f>Table1[[#This Row],[Mid27]]+Table1[[#This Row],[Mid30]]+Table1[[#This Row],[Mid33]]+Table1[[#This Row],[Mid36]]+Table1[[#This Row],[Mid39]]</f>
        <v>0</v>
      </c>
      <c r="CR1163" t="s">
        <v>415</v>
      </c>
      <c r="CS1163" s="19" t="str">
        <f>IF(AND(Table1[[#This Row],[Low41]]=0, Table1[[#This Row],[High43]]=0),"N","Y")</f>
        <v>N</v>
      </c>
    </row>
    <row r="1164" spans="1:97" ht="19.5" customHeight="1" x14ac:dyDescent="0.25">
      <c r="A1164">
        <v>11165</v>
      </c>
      <c r="B1164" t="s">
        <v>408</v>
      </c>
      <c r="C1164" t="s">
        <v>1449</v>
      </c>
      <c r="D1164">
        <v>55.734444439999997</v>
      </c>
      <c r="E1164">
        <v>4.6791666669999996</v>
      </c>
      <c r="F1164" t="s">
        <v>3591</v>
      </c>
      <c r="G1164" t="s">
        <v>1779</v>
      </c>
      <c r="H1164" t="s">
        <v>167</v>
      </c>
      <c r="I1164" t="s">
        <v>582</v>
      </c>
      <c r="J1164" t="s">
        <v>202</v>
      </c>
      <c r="K1164" t="s">
        <v>203</v>
      </c>
      <c r="L1164" t="s">
        <v>121</v>
      </c>
      <c r="M1164" t="s">
        <v>252</v>
      </c>
      <c r="N1164" s="6" t="s">
        <v>3592</v>
      </c>
      <c r="O1164" t="s">
        <v>3387</v>
      </c>
      <c r="P1164" t="s">
        <v>2652</v>
      </c>
      <c r="Q1164" t="s">
        <v>255</v>
      </c>
      <c r="R1164" t="s">
        <v>3574</v>
      </c>
      <c r="S1164">
        <v>2021</v>
      </c>
      <c r="T1164" t="s">
        <v>771</v>
      </c>
      <c r="U1164" t="s">
        <v>3389</v>
      </c>
      <c r="V1164"/>
      <c r="AD1164">
        <v>0</v>
      </c>
      <c r="AF1164">
        <v>20</v>
      </c>
      <c r="AH1164" t="s">
        <v>3575</v>
      </c>
      <c r="AI1164">
        <v>6</v>
      </c>
      <c r="AM1164" t="s">
        <v>3576</v>
      </c>
      <c r="BH1164">
        <v>48.5</v>
      </c>
      <c r="CE116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64" s="19">
        <f>SUM(Table1[[#This Row],[Mid39]],Table1[[#This Row],[Mid36]],Table1[[#This Row],[Mid33]],Table1[[#This Row],[Mid30]],Table1[[#This Row],[Mid27]],Table1[[#This Row],[Mid24]],Table1[[#This Row],[Mid21]],Table1[[#This Row],[Mid18]],Table1[[#This Row],[Mid15]],Table1[[#This Row],[Mid12]],Table1[[#This Row],[Mid9]],Table1[[#This Row],[Mid6]],Table1[[#This Row],[Mid3]],Table1[[#This Row],[Mid]])</f>
        <v>48.5</v>
      </c>
      <c r="CG116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64" t="s">
        <v>157</v>
      </c>
      <c r="CI1164" t="s">
        <v>176</v>
      </c>
      <c r="CJ1164" t="s">
        <v>158</v>
      </c>
      <c r="CL1164" s="19">
        <f>IF(Table1[[#This Row],[Type]]="Petroleum",1,IF(ISERROR(Table1[[#This Row],[Well Density]]*Table1[[#This Row],[Single Well Discovery Area]]),"",IF(Table1[[#This Row],[Well Density]]*Table1[[#This Row],[Single Well Discovery Area]]&gt;1,1,Table1[[#This Row],[Well Density]]*Table1[[#This Row],[Single Well Discovery Area]])))</f>
        <v>1</v>
      </c>
      <c r="CN1164" s="19">
        <f>Table1[[#This Row],[Mid]]</f>
        <v>0</v>
      </c>
      <c r="CO1164" s="19">
        <f>Table1[[#This Row],[Mid3]]+Table1[[#This Row],[Mid6]]+Table1[[#This Row],[Mid9]]</f>
        <v>0</v>
      </c>
      <c r="CP1164" s="19">
        <f>Table1[[#This Row],[Mid12]]+Table1[[#This Row],[Mid15]]+Table1[[#This Row],[Mid18]]+Table1[[#This Row],[Mid21]]+Table1[[#This Row],[Mid24]]</f>
        <v>48.5</v>
      </c>
      <c r="CQ1164" s="19">
        <f>Table1[[#This Row],[Mid27]]+Table1[[#This Row],[Mid30]]+Table1[[#This Row],[Mid33]]+Table1[[#This Row],[Mid36]]+Table1[[#This Row],[Mid39]]</f>
        <v>0</v>
      </c>
      <c r="CR1164" t="s">
        <v>415</v>
      </c>
      <c r="CS1164" s="19" t="str">
        <f>IF(AND(Table1[[#This Row],[Low41]]=0, Table1[[#This Row],[High43]]=0),"N","Y")</f>
        <v>N</v>
      </c>
    </row>
    <row r="1165" spans="1:97" ht="19.5" customHeight="1" x14ac:dyDescent="0.25">
      <c r="A1165">
        <v>11166</v>
      </c>
      <c r="B1165" t="s">
        <v>408</v>
      </c>
      <c r="C1165" t="s">
        <v>1449</v>
      </c>
      <c r="D1165">
        <v>55.515277779999998</v>
      </c>
      <c r="E1165">
        <v>4.9388888890000002</v>
      </c>
      <c r="F1165" t="s">
        <v>3593</v>
      </c>
      <c r="G1165" t="s">
        <v>1779</v>
      </c>
      <c r="H1165" t="s">
        <v>167</v>
      </c>
      <c r="I1165" t="s">
        <v>582</v>
      </c>
      <c r="J1165" t="s">
        <v>202</v>
      </c>
      <c r="K1165" t="s">
        <v>203</v>
      </c>
      <c r="L1165" t="s">
        <v>121</v>
      </c>
      <c r="M1165" t="s">
        <v>252</v>
      </c>
      <c r="N1165" s="6" t="s">
        <v>3594</v>
      </c>
      <c r="O1165" t="s">
        <v>3387</v>
      </c>
      <c r="P1165" t="s">
        <v>2652</v>
      </c>
      <c r="Q1165" t="s">
        <v>255</v>
      </c>
      <c r="R1165" t="s">
        <v>3574</v>
      </c>
      <c r="S1165">
        <v>2021</v>
      </c>
      <c r="T1165" t="s">
        <v>771</v>
      </c>
      <c r="U1165" t="s">
        <v>3389</v>
      </c>
      <c r="V1165"/>
      <c r="AD1165">
        <v>0</v>
      </c>
      <c r="AF1165">
        <v>20</v>
      </c>
      <c r="AH1165" t="s">
        <v>3575</v>
      </c>
      <c r="AI1165">
        <v>6</v>
      </c>
      <c r="AM1165" t="s">
        <v>3576</v>
      </c>
      <c r="BH1165">
        <v>44</v>
      </c>
      <c r="CE116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65" s="19">
        <f>SUM(Table1[[#This Row],[Mid39]],Table1[[#This Row],[Mid36]],Table1[[#This Row],[Mid33]],Table1[[#This Row],[Mid30]],Table1[[#This Row],[Mid27]],Table1[[#This Row],[Mid24]],Table1[[#This Row],[Mid21]],Table1[[#This Row],[Mid18]],Table1[[#This Row],[Mid15]],Table1[[#This Row],[Mid12]],Table1[[#This Row],[Mid9]],Table1[[#This Row],[Mid6]],Table1[[#This Row],[Mid3]],Table1[[#This Row],[Mid]])</f>
        <v>44</v>
      </c>
      <c r="CG116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65" t="s">
        <v>157</v>
      </c>
      <c r="CI1165" t="s">
        <v>176</v>
      </c>
      <c r="CJ1165" t="s">
        <v>158</v>
      </c>
      <c r="CL1165" s="19">
        <f>IF(Table1[[#This Row],[Type]]="Petroleum",1,IF(ISERROR(Table1[[#This Row],[Well Density]]*Table1[[#This Row],[Single Well Discovery Area]]),"",IF(Table1[[#This Row],[Well Density]]*Table1[[#This Row],[Single Well Discovery Area]]&gt;1,1,Table1[[#This Row],[Well Density]]*Table1[[#This Row],[Single Well Discovery Area]])))</f>
        <v>1</v>
      </c>
      <c r="CN1165" s="19">
        <f>Table1[[#This Row],[Mid]]</f>
        <v>0</v>
      </c>
      <c r="CO1165" s="19">
        <f>Table1[[#This Row],[Mid3]]+Table1[[#This Row],[Mid6]]+Table1[[#This Row],[Mid9]]</f>
        <v>0</v>
      </c>
      <c r="CP1165" s="19">
        <f>Table1[[#This Row],[Mid12]]+Table1[[#This Row],[Mid15]]+Table1[[#This Row],[Mid18]]+Table1[[#This Row],[Mid21]]+Table1[[#This Row],[Mid24]]</f>
        <v>44</v>
      </c>
      <c r="CQ1165" s="19">
        <f>Table1[[#This Row],[Mid27]]+Table1[[#This Row],[Mid30]]+Table1[[#This Row],[Mid33]]+Table1[[#This Row],[Mid36]]+Table1[[#This Row],[Mid39]]</f>
        <v>0</v>
      </c>
      <c r="CR1165" t="s">
        <v>415</v>
      </c>
      <c r="CS1165" s="19" t="str">
        <f>IF(AND(Table1[[#This Row],[Low41]]=0, Table1[[#This Row],[High43]]=0),"N","Y")</f>
        <v>N</v>
      </c>
    </row>
    <row r="1166" spans="1:97" ht="19.5" customHeight="1" x14ac:dyDescent="0.25">
      <c r="A1166">
        <v>11167</v>
      </c>
      <c r="B1166" t="s">
        <v>408</v>
      </c>
      <c r="C1166" t="s">
        <v>1449</v>
      </c>
      <c r="D1166">
        <v>55.787222219999997</v>
      </c>
      <c r="E1166">
        <v>4.5744444440000001</v>
      </c>
      <c r="F1166" t="s">
        <v>3595</v>
      </c>
      <c r="G1166" t="s">
        <v>1779</v>
      </c>
      <c r="H1166" t="s">
        <v>167</v>
      </c>
      <c r="I1166" t="s">
        <v>582</v>
      </c>
      <c r="J1166" t="s">
        <v>202</v>
      </c>
      <c r="K1166" t="s">
        <v>203</v>
      </c>
      <c r="L1166" t="s">
        <v>121</v>
      </c>
      <c r="M1166" t="s">
        <v>252</v>
      </c>
      <c r="N1166" s="6" t="s">
        <v>3596</v>
      </c>
      <c r="O1166" t="s">
        <v>3387</v>
      </c>
      <c r="P1166" t="s">
        <v>2652</v>
      </c>
      <c r="Q1166" t="s">
        <v>255</v>
      </c>
      <c r="R1166" t="s">
        <v>3574</v>
      </c>
      <c r="S1166">
        <v>2021</v>
      </c>
      <c r="T1166" t="s">
        <v>771</v>
      </c>
      <c r="U1166" t="s">
        <v>3389</v>
      </c>
      <c r="V1166"/>
      <c r="AD1166">
        <v>0</v>
      </c>
      <c r="AF1166">
        <v>20</v>
      </c>
      <c r="AH1166" t="s">
        <v>3575</v>
      </c>
      <c r="AI1166">
        <v>6</v>
      </c>
      <c r="AM1166" t="s">
        <v>3576</v>
      </c>
      <c r="BH1166">
        <v>23.9</v>
      </c>
      <c r="CE116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66" s="19">
        <f>SUM(Table1[[#This Row],[Mid39]],Table1[[#This Row],[Mid36]],Table1[[#This Row],[Mid33]],Table1[[#This Row],[Mid30]],Table1[[#This Row],[Mid27]],Table1[[#This Row],[Mid24]],Table1[[#This Row],[Mid21]],Table1[[#This Row],[Mid18]],Table1[[#This Row],[Mid15]],Table1[[#This Row],[Mid12]],Table1[[#This Row],[Mid9]],Table1[[#This Row],[Mid6]],Table1[[#This Row],[Mid3]],Table1[[#This Row],[Mid]])</f>
        <v>23.9</v>
      </c>
      <c r="CG116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66" t="s">
        <v>157</v>
      </c>
      <c r="CI1166" t="s">
        <v>176</v>
      </c>
      <c r="CJ1166" t="s">
        <v>158</v>
      </c>
      <c r="CL1166" s="19">
        <f>IF(Table1[[#This Row],[Type]]="Petroleum",1,IF(ISERROR(Table1[[#This Row],[Well Density]]*Table1[[#This Row],[Single Well Discovery Area]]),"",IF(Table1[[#This Row],[Well Density]]*Table1[[#This Row],[Single Well Discovery Area]]&gt;1,1,Table1[[#This Row],[Well Density]]*Table1[[#This Row],[Single Well Discovery Area]])))</f>
        <v>1</v>
      </c>
      <c r="CN1166" s="19">
        <f>Table1[[#This Row],[Mid]]</f>
        <v>0</v>
      </c>
      <c r="CO1166" s="19">
        <f>Table1[[#This Row],[Mid3]]+Table1[[#This Row],[Mid6]]+Table1[[#This Row],[Mid9]]</f>
        <v>0</v>
      </c>
      <c r="CP1166" s="19">
        <f>Table1[[#This Row],[Mid12]]+Table1[[#This Row],[Mid15]]+Table1[[#This Row],[Mid18]]+Table1[[#This Row],[Mid21]]+Table1[[#This Row],[Mid24]]</f>
        <v>23.9</v>
      </c>
      <c r="CQ1166" s="19">
        <f>Table1[[#This Row],[Mid27]]+Table1[[#This Row],[Mid30]]+Table1[[#This Row],[Mid33]]+Table1[[#This Row],[Mid36]]+Table1[[#This Row],[Mid39]]</f>
        <v>0</v>
      </c>
      <c r="CR1166" t="s">
        <v>415</v>
      </c>
      <c r="CS1166" s="19" t="str">
        <f>IF(AND(Table1[[#This Row],[Low41]]=0, Table1[[#This Row],[High43]]=0),"N","Y")</f>
        <v>N</v>
      </c>
    </row>
    <row r="1167" spans="1:97" ht="19.5" customHeight="1" x14ac:dyDescent="0.25">
      <c r="A1167">
        <v>11168</v>
      </c>
      <c r="B1167" t="s">
        <v>408</v>
      </c>
      <c r="C1167" t="s">
        <v>1449</v>
      </c>
      <c r="D1167">
        <v>55.396944439999999</v>
      </c>
      <c r="E1167">
        <v>5.1150000000000002</v>
      </c>
      <c r="F1167" t="s">
        <v>3597</v>
      </c>
      <c r="G1167" t="s">
        <v>1779</v>
      </c>
      <c r="H1167" t="s">
        <v>167</v>
      </c>
      <c r="I1167" t="s">
        <v>582</v>
      </c>
      <c r="J1167" t="s">
        <v>202</v>
      </c>
      <c r="K1167" t="s">
        <v>203</v>
      </c>
      <c r="L1167" t="s">
        <v>121</v>
      </c>
      <c r="M1167" t="s">
        <v>252</v>
      </c>
      <c r="N1167" s="6" t="s">
        <v>3598</v>
      </c>
      <c r="O1167" t="s">
        <v>3387</v>
      </c>
      <c r="P1167" t="s">
        <v>2652</v>
      </c>
      <c r="Q1167" t="s">
        <v>255</v>
      </c>
      <c r="R1167" t="s">
        <v>3574</v>
      </c>
      <c r="S1167">
        <v>2021</v>
      </c>
      <c r="T1167" t="s">
        <v>771</v>
      </c>
      <c r="U1167" t="s">
        <v>3389</v>
      </c>
      <c r="V1167"/>
      <c r="AD1167">
        <v>0</v>
      </c>
      <c r="AF1167">
        <v>20</v>
      </c>
      <c r="AH1167" t="s">
        <v>3575</v>
      </c>
      <c r="AI1167">
        <v>6</v>
      </c>
      <c r="AM1167" t="s">
        <v>3576</v>
      </c>
      <c r="BH1167">
        <v>11</v>
      </c>
      <c r="CE116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67" s="19">
        <f>SUM(Table1[[#This Row],[Mid39]],Table1[[#This Row],[Mid36]],Table1[[#This Row],[Mid33]],Table1[[#This Row],[Mid30]],Table1[[#This Row],[Mid27]],Table1[[#This Row],[Mid24]],Table1[[#This Row],[Mid21]],Table1[[#This Row],[Mid18]],Table1[[#This Row],[Mid15]],Table1[[#This Row],[Mid12]],Table1[[#This Row],[Mid9]],Table1[[#This Row],[Mid6]],Table1[[#This Row],[Mid3]],Table1[[#This Row],[Mid]])</f>
        <v>11</v>
      </c>
      <c r="CG116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67" t="s">
        <v>157</v>
      </c>
      <c r="CI1167" t="s">
        <v>176</v>
      </c>
      <c r="CJ1167" t="s">
        <v>158</v>
      </c>
      <c r="CL1167" s="19">
        <f>IF(Table1[[#This Row],[Type]]="Petroleum",1,IF(ISERROR(Table1[[#This Row],[Well Density]]*Table1[[#This Row],[Single Well Discovery Area]]),"",IF(Table1[[#This Row],[Well Density]]*Table1[[#This Row],[Single Well Discovery Area]]&gt;1,1,Table1[[#This Row],[Well Density]]*Table1[[#This Row],[Single Well Discovery Area]])))</f>
        <v>1</v>
      </c>
      <c r="CN1167" s="19">
        <f>Table1[[#This Row],[Mid]]</f>
        <v>0</v>
      </c>
      <c r="CO1167" s="19">
        <f>Table1[[#This Row],[Mid3]]+Table1[[#This Row],[Mid6]]+Table1[[#This Row],[Mid9]]</f>
        <v>0</v>
      </c>
      <c r="CP1167" s="19">
        <f>Table1[[#This Row],[Mid12]]+Table1[[#This Row],[Mid15]]+Table1[[#This Row],[Mid18]]+Table1[[#This Row],[Mid21]]+Table1[[#This Row],[Mid24]]</f>
        <v>11</v>
      </c>
      <c r="CQ1167" s="19">
        <f>Table1[[#This Row],[Mid27]]+Table1[[#This Row],[Mid30]]+Table1[[#This Row],[Mid33]]+Table1[[#This Row],[Mid36]]+Table1[[#This Row],[Mid39]]</f>
        <v>0</v>
      </c>
      <c r="CR1167" t="s">
        <v>415</v>
      </c>
      <c r="CS1167" s="19" t="str">
        <f>IF(AND(Table1[[#This Row],[Low41]]=0, Table1[[#This Row],[High43]]=0),"N","Y")</f>
        <v>N</v>
      </c>
    </row>
    <row r="1168" spans="1:97" ht="19.5" customHeight="1" x14ac:dyDescent="0.25">
      <c r="A1168">
        <v>11169</v>
      </c>
      <c r="B1168" t="s">
        <v>408</v>
      </c>
      <c r="C1168" t="s">
        <v>3599</v>
      </c>
      <c r="D1168">
        <v>55.94805556</v>
      </c>
      <c r="E1168">
        <v>10.063888889999999</v>
      </c>
      <c r="F1168" t="s">
        <v>3600</v>
      </c>
      <c r="G1168" t="s">
        <v>1463</v>
      </c>
      <c r="H1168" t="s">
        <v>1468</v>
      </c>
      <c r="I1168" t="s">
        <v>118</v>
      </c>
      <c r="J1168" t="s">
        <v>119</v>
      </c>
      <c r="K1168" t="s">
        <v>203</v>
      </c>
      <c r="L1168" t="s">
        <v>3601</v>
      </c>
      <c r="M1168" t="s">
        <v>2710</v>
      </c>
      <c r="N1168" s="6" t="s">
        <v>3602</v>
      </c>
      <c r="O1168" t="s">
        <v>3387</v>
      </c>
      <c r="P1168" t="s">
        <v>2652</v>
      </c>
      <c r="Q1168" t="s">
        <v>255</v>
      </c>
      <c r="R1168" t="s">
        <v>3603</v>
      </c>
      <c r="S1168">
        <v>2006</v>
      </c>
      <c r="T1168" t="s">
        <v>771</v>
      </c>
      <c r="U1168" t="s">
        <v>3389</v>
      </c>
      <c r="V1168">
        <v>318</v>
      </c>
      <c r="W1168">
        <v>1506</v>
      </c>
      <c r="X1168">
        <v>94</v>
      </c>
      <c r="Y1168">
        <v>0.26</v>
      </c>
      <c r="Z1168">
        <v>25</v>
      </c>
      <c r="AC1168">
        <v>630</v>
      </c>
      <c r="AD1168">
        <v>1</v>
      </c>
      <c r="AE1168">
        <v>3.1446540000000002E-3</v>
      </c>
      <c r="AF1168">
        <v>200</v>
      </c>
      <c r="AH1168" t="s">
        <v>167</v>
      </c>
      <c r="AM1168" t="s">
        <v>3604</v>
      </c>
      <c r="BH1168">
        <v>307.83999999999997</v>
      </c>
      <c r="BT1168">
        <v>182.2</v>
      </c>
      <c r="CE116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68" s="19">
        <f>SUM(Table1[[#This Row],[Mid39]],Table1[[#This Row],[Mid36]],Table1[[#This Row],[Mid33]],Table1[[#This Row],[Mid30]],Table1[[#This Row],[Mid27]],Table1[[#This Row],[Mid24]],Table1[[#This Row],[Mid21]],Table1[[#This Row],[Mid18]],Table1[[#This Row],[Mid15]],Table1[[#This Row],[Mid12]],Table1[[#This Row],[Mid9]],Table1[[#This Row],[Mid6]],Table1[[#This Row],[Mid3]],Table1[[#This Row],[Mid]])</f>
        <v>490.03999999999996</v>
      </c>
      <c r="CG116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68" t="s">
        <v>157</v>
      </c>
      <c r="CI1168" t="s">
        <v>2471</v>
      </c>
      <c r="CJ1168" t="s">
        <v>158</v>
      </c>
      <c r="CL1168" s="19">
        <f>IF(Table1[[#This Row],[Type]]="Petroleum",1,IF(ISERROR(Table1[[#This Row],[Well Density]]*Table1[[#This Row],[Single Well Discovery Area]]),"",IF(Table1[[#This Row],[Well Density]]*Table1[[#This Row],[Single Well Discovery Area]]&gt;1,1,Table1[[#This Row],[Well Density]]*Table1[[#This Row],[Single Well Discovery Area]])))</f>
        <v>0.62893080000000001</v>
      </c>
      <c r="CN1168" s="19">
        <f>Table1[[#This Row],[Mid]]</f>
        <v>0</v>
      </c>
      <c r="CO1168" s="19">
        <f>Table1[[#This Row],[Mid3]]+Table1[[#This Row],[Mid6]]+Table1[[#This Row],[Mid9]]</f>
        <v>0</v>
      </c>
      <c r="CP1168" s="19">
        <f>Table1[[#This Row],[Mid12]]+Table1[[#This Row],[Mid15]]+Table1[[#This Row],[Mid18]]+Table1[[#This Row],[Mid21]]+Table1[[#This Row],[Mid24]]</f>
        <v>307.83999999999997</v>
      </c>
      <c r="CQ1168" s="19">
        <f>Table1[[#This Row],[Mid27]]+Table1[[#This Row],[Mid30]]+Table1[[#This Row],[Mid33]]+Table1[[#This Row],[Mid36]]+Table1[[#This Row],[Mid39]]</f>
        <v>182.2</v>
      </c>
      <c r="CR1168" t="s">
        <v>415</v>
      </c>
      <c r="CS1168" s="19" t="str">
        <f>IF(AND(Table1[[#This Row],[Low41]]=0, Table1[[#This Row],[High43]]=0),"N","Y")</f>
        <v>N</v>
      </c>
    </row>
    <row r="1169" spans="1:97" ht="19.5" customHeight="1" x14ac:dyDescent="0.25">
      <c r="A1169">
        <v>11170</v>
      </c>
      <c r="B1169" t="s">
        <v>408</v>
      </c>
      <c r="C1169" t="s">
        <v>3599</v>
      </c>
      <c r="D1169">
        <v>56.257222220000003</v>
      </c>
      <c r="E1169">
        <v>9.3288888889999999</v>
      </c>
      <c r="F1169" t="s">
        <v>3605</v>
      </c>
      <c r="G1169" t="s">
        <v>1463</v>
      </c>
      <c r="H1169" t="s">
        <v>1468</v>
      </c>
      <c r="I1169" t="s">
        <v>118</v>
      </c>
      <c r="J1169" t="s">
        <v>119</v>
      </c>
      <c r="K1169" t="s">
        <v>203</v>
      </c>
      <c r="L1169" t="s">
        <v>18</v>
      </c>
      <c r="M1169" t="s">
        <v>2710</v>
      </c>
      <c r="N1169" s="6" t="s">
        <v>3606</v>
      </c>
      <c r="O1169" t="s">
        <v>3387</v>
      </c>
      <c r="P1169" t="s">
        <v>2652</v>
      </c>
      <c r="Q1169" t="s">
        <v>255</v>
      </c>
      <c r="R1169" t="s">
        <v>3607</v>
      </c>
      <c r="S1169">
        <v>2006</v>
      </c>
      <c r="T1169" t="s">
        <v>771</v>
      </c>
      <c r="U1169" t="s">
        <v>3389</v>
      </c>
      <c r="V1169">
        <v>121</v>
      </c>
      <c r="W1169">
        <v>1550</v>
      </c>
      <c r="X1169">
        <v>130</v>
      </c>
      <c r="Y1169">
        <v>0.23</v>
      </c>
      <c r="Z1169">
        <v>10</v>
      </c>
      <c r="AC1169">
        <v>625</v>
      </c>
      <c r="AE1169">
        <v>0</v>
      </c>
      <c r="AF1169">
        <v>200</v>
      </c>
      <c r="AH1169" t="s">
        <v>167</v>
      </c>
      <c r="AM1169" t="s">
        <v>3604</v>
      </c>
      <c r="BT1169">
        <v>90</v>
      </c>
      <c r="CE116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69" s="19">
        <f>SUM(Table1[[#This Row],[Mid39]],Table1[[#This Row],[Mid36]],Table1[[#This Row],[Mid33]],Table1[[#This Row],[Mid30]],Table1[[#This Row],[Mid27]],Table1[[#This Row],[Mid24]],Table1[[#This Row],[Mid21]],Table1[[#This Row],[Mid18]],Table1[[#This Row],[Mid15]],Table1[[#This Row],[Mid12]],Table1[[#This Row],[Mid9]],Table1[[#This Row],[Mid6]],Table1[[#This Row],[Mid3]],Table1[[#This Row],[Mid]])</f>
        <v>90</v>
      </c>
      <c r="CG116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69" t="s">
        <v>157</v>
      </c>
      <c r="CI1169" t="s">
        <v>2471</v>
      </c>
      <c r="CJ1169" t="s">
        <v>158</v>
      </c>
      <c r="CL1169" s="19">
        <f>IF(Table1[[#This Row],[Type]]="Petroleum",1,IF(ISERROR(Table1[[#This Row],[Well Density]]*Table1[[#This Row],[Single Well Discovery Area]]),"",IF(Table1[[#This Row],[Well Density]]*Table1[[#This Row],[Single Well Discovery Area]]&gt;1,1,Table1[[#This Row],[Well Density]]*Table1[[#This Row],[Single Well Discovery Area]])))</f>
        <v>0</v>
      </c>
      <c r="CN1169" s="19">
        <f>Table1[[#This Row],[Mid]]</f>
        <v>0</v>
      </c>
      <c r="CO1169" s="19">
        <f>Table1[[#This Row],[Mid3]]+Table1[[#This Row],[Mid6]]+Table1[[#This Row],[Mid9]]</f>
        <v>0</v>
      </c>
      <c r="CP1169" s="19">
        <f>Table1[[#This Row],[Mid12]]+Table1[[#This Row],[Mid15]]+Table1[[#This Row],[Mid18]]+Table1[[#This Row],[Mid21]]+Table1[[#This Row],[Mid24]]</f>
        <v>0</v>
      </c>
      <c r="CQ1169" s="19">
        <f>Table1[[#This Row],[Mid27]]+Table1[[#This Row],[Mid30]]+Table1[[#This Row],[Mid33]]+Table1[[#This Row],[Mid36]]+Table1[[#This Row],[Mid39]]</f>
        <v>90</v>
      </c>
      <c r="CR1169" t="s">
        <v>415</v>
      </c>
      <c r="CS1169" s="19" t="str">
        <f>IF(AND(Table1[[#This Row],[Low41]]=0, Table1[[#This Row],[High43]]=0),"N","Y")</f>
        <v>N</v>
      </c>
    </row>
    <row r="1170" spans="1:97" ht="19.5" customHeight="1" x14ac:dyDescent="0.25">
      <c r="A1170">
        <v>11171</v>
      </c>
      <c r="B1170" t="s">
        <v>408</v>
      </c>
      <c r="C1170" t="s">
        <v>3608</v>
      </c>
      <c r="D1170">
        <v>54.698611110000002</v>
      </c>
      <c r="E1170">
        <v>11.39916667</v>
      </c>
      <c r="F1170" t="s">
        <v>3609</v>
      </c>
      <c r="G1170" t="s">
        <v>410</v>
      </c>
      <c r="H1170" t="s">
        <v>3610</v>
      </c>
      <c r="I1170" t="s">
        <v>118</v>
      </c>
      <c r="J1170" t="s">
        <v>119</v>
      </c>
      <c r="K1170" t="s">
        <v>203</v>
      </c>
      <c r="L1170" t="s">
        <v>18</v>
      </c>
      <c r="M1170" t="s">
        <v>412</v>
      </c>
      <c r="N1170" s="6" t="s">
        <v>3611</v>
      </c>
      <c r="O1170" t="s">
        <v>3387</v>
      </c>
      <c r="P1170" t="s">
        <v>2652</v>
      </c>
      <c r="Q1170" t="s">
        <v>255</v>
      </c>
      <c r="R1170" t="s">
        <v>3607</v>
      </c>
      <c r="S1170">
        <v>2006</v>
      </c>
      <c r="T1170" t="s">
        <v>771</v>
      </c>
      <c r="U1170" t="s">
        <v>3389</v>
      </c>
      <c r="V1170">
        <v>55</v>
      </c>
      <c r="W1170">
        <v>1125</v>
      </c>
      <c r="X1170">
        <v>256</v>
      </c>
      <c r="Y1170">
        <v>0.18</v>
      </c>
      <c r="Z1170">
        <v>24</v>
      </c>
      <c r="AC1170">
        <v>620</v>
      </c>
      <c r="AE1170">
        <v>0</v>
      </c>
      <c r="AF1170">
        <v>200</v>
      </c>
      <c r="AH1170" t="s">
        <v>167</v>
      </c>
      <c r="AM1170" t="s">
        <v>3604</v>
      </c>
      <c r="BT1170">
        <v>151</v>
      </c>
      <c r="CE117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70" s="19">
        <f>SUM(Table1[[#This Row],[Mid39]],Table1[[#This Row],[Mid36]],Table1[[#This Row],[Mid33]],Table1[[#This Row],[Mid30]],Table1[[#This Row],[Mid27]],Table1[[#This Row],[Mid24]],Table1[[#This Row],[Mid21]],Table1[[#This Row],[Mid18]],Table1[[#This Row],[Mid15]],Table1[[#This Row],[Mid12]],Table1[[#This Row],[Mid9]],Table1[[#This Row],[Mid6]],Table1[[#This Row],[Mid3]],Table1[[#This Row],[Mid]])</f>
        <v>151</v>
      </c>
      <c r="CG117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70" t="s">
        <v>157</v>
      </c>
      <c r="CI1170" t="s">
        <v>2471</v>
      </c>
      <c r="CJ1170" t="s">
        <v>158</v>
      </c>
      <c r="CL1170" s="19">
        <f>IF(Table1[[#This Row],[Type]]="Petroleum",1,IF(ISERROR(Table1[[#This Row],[Well Density]]*Table1[[#This Row],[Single Well Discovery Area]]),"",IF(Table1[[#This Row],[Well Density]]*Table1[[#This Row],[Single Well Discovery Area]]&gt;1,1,Table1[[#This Row],[Well Density]]*Table1[[#This Row],[Single Well Discovery Area]])))</f>
        <v>0</v>
      </c>
      <c r="CN1170" s="19">
        <f>Table1[[#This Row],[Mid]]</f>
        <v>0</v>
      </c>
      <c r="CO1170" s="19">
        <f>Table1[[#This Row],[Mid3]]+Table1[[#This Row],[Mid6]]+Table1[[#This Row],[Mid9]]</f>
        <v>0</v>
      </c>
      <c r="CP1170" s="19">
        <f>Table1[[#This Row],[Mid12]]+Table1[[#This Row],[Mid15]]+Table1[[#This Row],[Mid18]]+Table1[[#This Row],[Mid21]]+Table1[[#This Row],[Mid24]]</f>
        <v>0</v>
      </c>
      <c r="CQ1170" s="19">
        <f>Table1[[#This Row],[Mid27]]+Table1[[#This Row],[Mid30]]+Table1[[#This Row],[Mid33]]+Table1[[#This Row],[Mid36]]+Table1[[#This Row],[Mid39]]</f>
        <v>151</v>
      </c>
      <c r="CR1170" t="s">
        <v>415</v>
      </c>
      <c r="CS1170" s="19" t="str">
        <f>IF(AND(Table1[[#This Row],[Low41]]=0, Table1[[#This Row],[High43]]=0),"N","Y")</f>
        <v>N</v>
      </c>
    </row>
    <row r="1171" spans="1:97" ht="19.5" customHeight="1" x14ac:dyDescent="0.25">
      <c r="A1171">
        <v>11172</v>
      </c>
      <c r="B1171" t="s">
        <v>408</v>
      </c>
      <c r="C1171" t="s">
        <v>3599</v>
      </c>
      <c r="D1171">
        <v>54.955833329999997</v>
      </c>
      <c r="E1171">
        <v>8.8766666670000003</v>
      </c>
      <c r="F1171" t="s">
        <v>3612</v>
      </c>
      <c r="G1171" t="s">
        <v>410</v>
      </c>
      <c r="H1171" t="s">
        <v>3610</v>
      </c>
      <c r="I1171" t="s">
        <v>118</v>
      </c>
      <c r="J1171" t="s">
        <v>119</v>
      </c>
      <c r="K1171" t="s">
        <v>203</v>
      </c>
      <c r="L1171" t="s">
        <v>18</v>
      </c>
      <c r="M1171" t="s">
        <v>412</v>
      </c>
      <c r="N1171" s="6" t="s">
        <v>3613</v>
      </c>
      <c r="O1171" t="s">
        <v>3387</v>
      </c>
      <c r="P1171" t="s">
        <v>2652</v>
      </c>
      <c r="Q1171" t="s">
        <v>255</v>
      </c>
      <c r="R1171" t="s">
        <v>3607</v>
      </c>
      <c r="S1171">
        <v>2006</v>
      </c>
      <c r="T1171" t="s">
        <v>771</v>
      </c>
      <c r="U1171" t="s">
        <v>3389</v>
      </c>
      <c r="V1171">
        <v>53</v>
      </c>
      <c r="W1171">
        <v>1615</v>
      </c>
      <c r="X1171">
        <v>203</v>
      </c>
      <c r="Y1171">
        <v>0.17</v>
      </c>
      <c r="Z1171">
        <v>20</v>
      </c>
      <c r="AC1171">
        <v>634</v>
      </c>
      <c r="AE1171">
        <v>0</v>
      </c>
      <c r="AF1171">
        <v>200</v>
      </c>
      <c r="AH1171" t="s">
        <v>167</v>
      </c>
      <c r="AM1171" t="s">
        <v>3604</v>
      </c>
      <c r="BT1171">
        <v>93</v>
      </c>
      <c r="CE117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71" s="19">
        <f>SUM(Table1[[#This Row],[Mid39]],Table1[[#This Row],[Mid36]],Table1[[#This Row],[Mid33]],Table1[[#This Row],[Mid30]],Table1[[#This Row],[Mid27]],Table1[[#This Row],[Mid24]],Table1[[#This Row],[Mid21]],Table1[[#This Row],[Mid18]],Table1[[#This Row],[Mid15]],Table1[[#This Row],[Mid12]],Table1[[#This Row],[Mid9]],Table1[[#This Row],[Mid6]],Table1[[#This Row],[Mid3]],Table1[[#This Row],[Mid]])</f>
        <v>93</v>
      </c>
      <c r="CG117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71" t="s">
        <v>157</v>
      </c>
      <c r="CI1171" t="s">
        <v>2471</v>
      </c>
      <c r="CJ1171" t="s">
        <v>158</v>
      </c>
      <c r="CL1171" s="19">
        <f>IF(Table1[[#This Row],[Type]]="Petroleum",1,IF(ISERROR(Table1[[#This Row],[Well Density]]*Table1[[#This Row],[Single Well Discovery Area]]),"",IF(Table1[[#This Row],[Well Density]]*Table1[[#This Row],[Single Well Discovery Area]]&gt;1,1,Table1[[#This Row],[Well Density]]*Table1[[#This Row],[Single Well Discovery Area]])))</f>
        <v>0</v>
      </c>
      <c r="CN1171" s="19">
        <f>Table1[[#This Row],[Mid]]</f>
        <v>0</v>
      </c>
      <c r="CO1171" s="19">
        <f>Table1[[#This Row],[Mid3]]+Table1[[#This Row],[Mid6]]+Table1[[#This Row],[Mid9]]</f>
        <v>0</v>
      </c>
      <c r="CP1171" s="19">
        <f>Table1[[#This Row],[Mid12]]+Table1[[#This Row],[Mid15]]+Table1[[#This Row],[Mid18]]+Table1[[#This Row],[Mid21]]+Table1[[#This Row],[Mid24]]</f>
        <v>0</v>
      </c>
      <c r="CQ1171" s="19">
        <f>Table1[[#This Row],[Mid27]]+Table1[[#This Row],[Mid30]]+Table1[[#This Row],[Mid33]]+Table1[[#This Row],[Mid36]]+Table1[[#This Row],[Mid39]]</f>
        <v>93</v>
      </c>
      <c r="CR1171" t="s">
        <v>415</v>
      </c>
      <c r="CS1171" s="19" t="str">
        <f>IF(AND(Table1[[#This Row],[Low41]]=0, Table1[[#This Row],[High43]]=0),"N","Y")</f>
        <v>N</v>
      </c>
    </row>
    <row r="1172" spans="1:97" ht="19.5" customHeight="1" x14ac:dyDescent="0.25">
      <c r="A1172">
        <v>11173</v>
      </c>
      <c r="B1172" t="s">
        <v>408</v>
      </c>
      <c r="C1172" t="s">
        <v>3614</v>
      </c>
      <c r="D1172">
        <v>55.758888890000001</v>
      </c>
      <c r="E1172">
        <v>10.843888890000001</v>
      </c>
      <c r="F1172" t="s">
        <v>3615</v>
      </c>
      <c r="G1172" t="s">
        <v>1460</v>
      </c>
      <c r="H1172" t="s">
        <v>1468</v>
      </c>
      <c r="I1172" t="s">
        <v>118</v>
      </c>
      <c r="J1172" t="s">
        <v>119</v>
      </c>
      <c r="K1172" t="s">
        <v>203</v>
      </c>
      <c r="L1172" t="s">
        <v>18</v>
      </c>
      <c r="M1172" t="s">
        <v>2710</v>
      </c>
      <c r="N1172" s="6" t="s">
        <v>3616</v>
      </c>
      <c r="O1172" t="s">
        <v>3387</v>
      </c>
      <c r="P1172" t="s">
        <v>2652</v>
      </c>
      <c r="Q1172" t="s">
        <v>255</v>
      </c>
      <c r="R1172" t="s">
        <v>3607</v>
      </c>
      <c r="S1172">
        <v>2006</v>
      </c>
      <c r="T1172" t="s">
        <v>771</v>
      </c>
      <c r="U1172" t="s">
        <v>3389</v>
      </c>
      <c r="V1172">
        <v>90</v>
      </c>
      <c r="W1172">
        <v>1700</v>
      </c>
      <c r="X1172">
        <v>100</v>
      </c>
      <c r="Y1172">
        <v>0.5</v>
      </c>
      <c r="Z1172">
        <v>20</v>
      </c>
      <c r="AA1172">
        <v>200</v>
      </c>
      <c r="AC1172">
        <v>631</v>
      </c>
      <c r="AE1172">
        <v>0</v>
      </c>
      <c r="AF1172">
        <v>200</v>
      </c>
      <c r="AG1172">
        <v>17</v>
      </c>
      <c r="AH1172" t="s">
        <v>167</v>
      </c>
      <c r="AM1172" t="s">
        <v>3604</v>
      </c>
      <c r="BT1172">
        <v>227</v>
      </c>
      <c r="CE117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72" s="19">
        <f>SUM(Table1[[#This Row],[Mid39]],Table1[[#This Row],[Mid36]],Table1[[#This Row],[Mid33]],Table1[[#This Row],[Mid30]],Table1[[#This Row],[Mid27]],Table1[[#This Row],[Mid24]],Table1[[#This Row],[Mid21]],Table1[[#This Row],[Mid18]],Table1[[#This Row],[Mid15]],Table1[[#This Row],[Mid12]],Table1[[#This Row],[Mid9]],Table1[[#This Row],[Mid6]],Table1[[#This Row],[Mid3]],Table1[[#This Row],[Mid]])</f>
        <v>227</v>
      </c>
      <c r="CG117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72" t="s">
        <v>157</v>
      </c>
      <c r="CI1172" t="s">
        <v>2471</v>
      </c>
      <c r="CJ1172" t="s">
        <v>158</v>
      </c>
      <c r="CL1172" s="19">
        <f>IF(Table1[[#This Row],[Type]]="Petroleum",1,IF(ISERROR(Table1[[#This Row],[Well Density]]*Table1[[#This Row],[Single Well Discovery Area]]),"",IF(Table1[[#This Row],[Well Density]]*Table1[[#This Row],[Single Well Discovery Area]]&gt;1,1,Table1[[#This Row],[Well Density]]*Table1[[#This Row],[Single Well Discovery Area]])))</f>
        <v>0</v>
      </c>
      <c r="CN1172" s="19">
        <f>Table1[[#This Row],[Mid]]</f>
        <v>0</v>
      </c>
      <c r="CO1172" s="19">
        <f>Table1[[#This Row],[Mid3]]+Table1[[#This Row],[Mid6]]+Table1[[#This Row],[Mid9]]</f>
        <v>0</v>
      </c>
      <c r="CP1172" s="19">
        <f>Table1[[#This Row],[Mid12]]+Table1[[#This Row],[Mid15]]+Table1[[#This Row],[Mid18]]+Table1[[#This Row],[Mid21]]+Table1[[#This Row],[Mid24]]</f>
        <v>0</v>
      </c>
      <c r="CQ1172" s="19">
        <f>Table1[[#This Row],[Mid27]]+Table1[[#This Row],[Mid30]]+Table1[[#This Row],[Mid33]]+Table1[[#This Row],[Mid36]]+Table1[[#This Row],[Mid39]]</f>
        <v>227</v>
      </c>
      <c r="CR1172" t="s">
        <v>415</v>
      </c>
      <c r="CS1172" s="19" t="str">
        <f>IF(AND(Table1[[#This Row],[Low41]]=0, Table1[[#This Row],[High43]]=0),"N","Y")</f>
        <v>N</v>
      </c>
    </row>
    <row r="1173" spans="1:97" ht="19.5" customHeight="1" x14ac:dyDescent="0.25">
      <c r="A1173">
        <v>11174</v>
      </c>
      <c r="B1173" t="s">
        <v>408</v>
      </c>
      <c r="C1173" t="s">
        <v>3599</v>
      </c>
      <c r="D1173">
        <v>56.548888890000001</v>
      </c>
      <c r="E1173">
        <v>10.02055556</v>
      </c>
      <c r="F1173" t="s">
        <v>3617</v>
      </c>
      <c r="G1173" t="s">
        <v>1463</v>
      </c>
      <c r="H1173" t="s">
        <v>1468</v>
      </c>
      <c r="I1173" t="s">
        <v>118</v>
      </c>
      <c r="J1173" t="s">
        <v>119</v>
      </c>
      <c r="K1173" t="s">
        <v>203</v>
      </c>
      <c r="L1173" t="s">
        <v>121</v>
      </c>
      <c r="M1173" t="s">
        <v>2710</v>
      </c>
      <c r="N1173" s="6" t="s">
        <v>3618</v>
      </c>
      <c r="O1173" t="s">
        <v>3387</v>
      </c>
      <c r="P1173" t="s">
        <v>2652</v>
      </c>
      <c r="Q1173" t="s">
        <v>3619</v>
      </c>
      <c r="R1173" t="s">
        <v>3620</v>
      </c>
      <c r="S1173">
        <v>2022</v>
      </c>
      <c r="T1173" t="s">
        <v>771</v>
      </c>
      <c r="U1173" t="s">
        <v>3389</v>
      </c>
      <c r="V1173">
        <v>233</v>
      </c>
      <c r="W1173">
        <v>1802</v>
      </c>
      <c r="X1173">
        <v>130</v>
      </c>
      <c r="Y1173">
        <v>0.37</v>
      </c>
      <c r="Z1173">
        <v>25</v>
      </c>
      <c r="AA1173">
        <v>461</v>
      </c>
      <c r="AC1173">
        <v>752</v>
      </c>
      <c r="AD1173">
        <v>1</v>
      </c>
      <c r="AE1173">
        <v>4.2918449999999999E-3</v>
      </c>
      <c r="AF1173">
        <v>200</v>
      </c>
      <c r="AH1173" s="21" t="s">
        <v>3621</v>
      </c>
      <c r="AM1173" t="s">
        <v>3622</v>
      </c>
      <c r="BG1173">
        <v>412</v>
      </c>
      <c r="BH1173">
        <v>586</v>
      </c>
      <c r="BI1173">
        <v>777</v>
      </c>
      <c r="CE1173" s="19">
        <f>SUM(Table1[[#This Row],[Low38]],Table1[[#This Row],[Low35]],Table1[[#This Row],[Low32]],Table1[[#This Row],[Low29]],Table1[[#This Row],[Low26]],Table1[[#This Row],[Low23]],Table1[[#This Row],[Low20]],Table1[[#This Row],[Low17]],Table1[[#This Row],[Low14]],Table1[[#This Row],[Low11]],Table1[[#This Row],[Low8]],Table1[[#This Row],[Low5]],Table1[[#This Row],[Low2]],Table1[[#This Row],[Low]])</f>
        <v>412</v>
      </c>
      <c r="CF1173" s="19">
        <f>SUM(Table1[[#This Row],[Mid39]],Table1[[#This Row],[Mid36]],Table1[[#This Row],[Mid33]],Table1[[#This Row],[Mid30]],Table1[[#This Row],[Mid27]],Table1[[#This Row],[Mid24]],Table1[[#This Row],[Mid21]],Table1[[#This Row],[Mid18]],Table1[[#This Row],[Mid15]],Table1[[#This Row],[Mid12]],Table1[[#This Row],[Mid9]],Table1[[#This Row],[Mid6]],Table1[[#This Row],[Mid3]],Table1[[#This Row],[Mid]])</f>
        <v>586</v>
      </c>
      <c r="CG117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777</v>
      </c>
      <c r="CH1173" t="s">
        <v>157</v>
      </c>
      <c r="CI1173" t="s">
        <v>2471</v>
      </c>
      <c r="CJ1173" t="s">
        <v>158</v>
      </c>
      <c r="CL1173" s="19">
        <f>IF(Table1[[#This Row],[Type]]="Petroleum",1,IF(ISERROR(Table1[[#This Row],[Well Density]]*Table1[[#This Row],[Single Well Discovery Area]]),"",IF(Table1[[#This Row],[Well Density]]*Table1[[#This Row],[Single Well Discovery Area]]&gt;1,1,Table1[[#This Row],[Well Density]]*Table1[[#This Row],[Single Well Discovery Area]])))</f>
        <v>0.85836899999999994</v>
      </c>
      <c r="CN1173" s="19">
        <f>Table1[[#This Row],[Mid]]</f>
        <v>0</v>
      </c>
      <c r="CO1173" s="19">
        <f>Table1[[#This Row],[Mid3]]+Table1[[#This Row],[Mid6]]+Table1[[#This Row],[Mid9]]</f>
        <v>0</v>
      </c>
      <c r="CP1173" s="19">
        <f>Table1[[#This Row],[Mid12]]+Table1[[#This Row],[Mid15]]+Table1[[#This Row],[Mid18]]+Table1[[#This Row],[Mid21]]+Table1[[#This Row],[Mid24]]</f>
        <v>586</v>
      </c>
      <c r="CQ1173" s="19">
        <f>Table1[[#This Row],[Mid27]]+Table1[[#This Row],[Mid30]]+Table1[[#This Row],[Mid33]]+Table1[[#This Row],[Mid36]]+Table1[[#This Row],[Mid39]]</f>
        <v>0</v>
      </c>
      <c r="CR1173" t="s">
        <v>415</v>
      </c>
      <c r="CS1173" s="19" t="str">
        <f>IF(AND(Table1[[#This Row],[Low41]]=0, Table1[[#This Row],[High43]]=0),"N","Y")</f>
        <v>Y</v>
      </c>
    </row>
    <row r="1174" spans="1:97" ht="19.5" customHeight="1" x14ac:dyDescent="0.25">
      <c r="A1174">
        <v>11175</v>
      </c>
      <c r="B1174" t="s">
        <v>408</v>
      </c>
      <c r="C1174" t="s">
        <v>3623</v>
      </c>
      <c r="D1174">
        <v>55.72888889</v>
      </c>
      <c r="E1174">
        <v>11.25972222</v>
      </c>
      <c r="F1174" t="s">
        <v>3624</v>
      </c>
      <c r="G1174" t="s">
        <v>1460</v>
      </c>
      <c r="H1174" t="s">
        <v>1468</v>
      </c>
      <c r="I1174" t="s">
        <v>118</v>
      </c>
      <c r="J1174" t="s">
        <v>119</v>
      </c>
      <c r="K1174" t="s">
        <v>203</v>
      </c>
      <c r="L1174" t="s">
        <v>18</v>
      </c>
      <c r="M1174" t="s">
        <v>2710</v>
      </c>
      <c r="N1174" s="6" t="s">
        <v>3625</v>
      </c>
      <c r="O1174" t="s">
        <v>3626</v>
      </c>
      <c r="P1174" t="s">
        <v>3627</v>
      </c>
      <c r="Q1174" t="s">
        <v>3628</v>
      </c>
      <c r="R1174" t="s">
        <v>3607</v>
      </c>
      <c r="S1174">
        <v>2022</v>
      </c>
      <c r="T1174" t="s">
        <v>771</v>
      </c>
      <c r="U1174" t="s">
        <v>3389</v>
      </c>
      <c r="V1174">
        <v>166</v>
      </c>
      <c r="W1174">
        <v>1500</v>
      </c>
      <c r="X1174">
        <v>100</v>
      </c>
      <c r="Y1174">
        <v>0.46</v>
      </c>
      <c r="Z1174">
        <v>22</v>
      </c>
      <c r="AA1174">
        <v>263</v>
      </c>
      <c r="AC1174">
        <v>630</v>
      </c>
      <c r="AD1174">
        <v>0</v>
      </c>
      <c r="AE1174">
        <v>0</v>
      </c>
      <c r="AF1174">
        <v>200</v>
      </c>
      <c r="AH1174" s="21" t="s">
        <v>3621</v>
      </c>
      <c r="AI1174">
        <v>12</v>
      </c>
      <c r="AM1174" t="s">
        <v>3629</v>
      </c>
      <c r="BS1174">
        <v>260</v>
      </c>
      <c r="BT1174">
        <v>290</v>
      </c>
      <c r="BU1174">
        <v>310</v>
      </c>
      <c r="CE1174" s="19">
        <f>SUM(Table1[[#This Row],[Low38]],Table1[[#This Row],[Low35]],Table1[[#This Row],[Low32]],Table1[[#This Row],[Low29]],Table1[[#This Row],[Low26]],Table1[[#This Row],[Low23]],Table1[[#This Row],[Low20]],Table1[[#This Row],[Low17]],Table1[[#This Row],[Low14]],Table1[[#This Row],[Low11]],Table1[[#This Row],[Low8]],Table1[[#This Row],[Low5]],Table1[[#This Row],[Low2]],Table1[[#This Row],[Low]])</f>
        <v>260</v>
      </c>
      <c r="CF1174" s="19">
        <f>SUM(Table1[[#This Row],[Mid39]],Table1[[#This Row],[Mid36]],Table1[[#This Row],[Mid33]],Table1[[#This Row],[Mid30]],Table1[[#This Row],[Mid27]],Table1[[#This Row],[Mid24]],Table1[[#This Row],[Mid21]],Table1[[#This Row],[Mid18]],Table1[[#This Row],[Mid15]],Table1[[#This Row],[Mid12]],Table1[[#This Row],[Mid9]],Table1[[#This Row],[Mid6]],Table1[[#This Row],[Mid3]],Table1[[#This Row],[Mid]])</f>
        <v>290</v>
      </c>
      <c r="CG117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310</v>
      </c>
      <c r="CH1174" t="s">
        <v>157</v>
      </c>
      <c r="CI1174" t="s">
        <v>2471</v>
      </c>
      <c r="CJ1174" t="s">
        <v>158</v>
      </c>
      <c r="CL1174" s="19">
        <f>IF(Table1[[#This Row],[Type]]="Petroleum",1,IF(ISERROR(Table1[[#This Row],[Well Density]]*Table1[[#This Row],[Single Well Discovery Area]]),"",IF(Table1[[#This Row],[Well Density]]*Table1[[#This Row],[Single Well Discovery Area]]&gt;1,1,Table1[[#This Row],[Well Density]]*Table1[[#This Row],[Single Well Discovery Area]])))</f>
        <v>0</v>
      </c>
      <c r="CN1174" s="19">
        <f>Table1[[#This Row],[Mid]]</f>
        <v>0</v>
      </c>
      <c r="CO1174" s="19">
        <f>Table1[[#This Row],[Mid3]]+Table1[[#This Row],[Mid6]]+Table1[[#This Row],[Mid9]]</f>
        <v>0</v>
      </c>
      <c r="CP1174" s="19">
        <f>Table1[[#This Row],[Mid12]]+Table1[[#This Row],[Mid15]]+Table1[[#This Row],[Mid18]]+Table1[[#This Row],[Mid21]]+Table1[[#This Row],[Mid24]]</f>
        <v>0</v>
      </c>
      <c r="CQ1174" s="19">
        <f>Table1[[#This Row],[Mid27]]+Table1[[#This Row],[Mid30]]+Table1[[#This Row],[Mid33]]+Table1[[#This Row],[Mid36]]+Table1[[#This Row],[Mid39]]</f>
        <v>290</v>
      </c>
      <c r="CR1174" t="s">
        <v>415</v>
      </c>
      <c r="CS1174" s="19" t="str">
        <f>IF(AND(Table1[[#This Row],[Low41]]=0, Table1[[#This Row],[High43]]=0),"N","Y")</f>
        <v>Y</v>
      </c>
    </row>
    <row r="1175" spans="1:97" ht="19.5" customHeight="1" x14ac:dyDescent="0.25">
      <c r="A1175">
        <v>11176</v>
      </c>
      <c r="B1175" t="s">
        <v>408</v>
      </c>
      <c r="C1175" t="s">
        <v>1449</v>
      </c>
      <c r="D1175">
        <v>57.294444439999999</v>
      </c>
      <c r="E1175">
        <v>8.2186111109999995</v>
      </c>
      <c r="F1175" t="s">
        <v>3630</v>
      </c>
      <c r="G1175" t="s">
        <v>1463</v>
      </c>
      <c r="H1175" t="s">
        <v>1468</v>
      </c>
      <c r="I1175" t="s">
        <v>118</v>
      </c>
      <c r="J1175" t="s">
        <v>119</v>
      </c>
      <c r="K1175" t="s">
        <v>203</v>
      </c>
      <c r="L1175" t="s">
        <v>121</v>
      </c>
      <c r="M1175" t="s">
        <v>2710</v>
      </c>
      <c r="N1175" s="6" t="s">
        <v>3631</v>
      </c>
      <c r="O1175" t="s">
        <v>3387</v>
      </c>
      <c r="P1175" t="s">
        <v>2652</v>
      </c>
      <c r="Q1175" t="s">
        <v>3632</v>
      </c>
      <c r="R1175" t="s">
        <v>3620</v>
      </c>
      <c r="S1175">
        <v>2022</v>
      </c>
      <c r="T1175" t="s">
        <v>771</v>
      </c>
      <c r="U1175" t="s">
        <v>3389</v>
      </c>
      <c r="V1175">
        <v>364</v>
      </c>
      <c r="W1175">
        <v>959</v>
      </c>
      <c r="X1175">
        <v>250</v>
      </c>
      <c r="Y1175">
        <v>0.4</v>
      </c>
      <c r="Z1175">
        <v>20</v>
      </c>
      <c r="AA1175">
        <v>173</v>
      </c>
      <c r="AC1175">
        <v>687</v>
      </c>
      <c r="AD1175">
        <v>4</v>
      </c>
      <c r="AE1175">
        <v>1.0989011E-2</v>
      </c>
      <c r="AF1175">
        <v>200</v>
      </c>
      <c r="AH1175" s="21" t="s">
        <v>3621</v>
      </c>
      <c r="AM1175" t="s">
        <v>3622</v>
      </c>
      <c r="BG1175">
        <v>927</v>
      </c>
      <c r="BH1175">
        <v>1333</v>
      </c>
      <c r="BI1175">
        <v>1801</v>
      </c>
      <c r="CE1175" s="19">
        <f>SUM(Table1[[#This Row],[Low38]],Table1[[#This Row],[Low35]],Table1[[#This Row],[Low32]],Table1[[#This Row],[Low29]],Table1[[#This Row],[Low26]],Table1[[#This Row],[Low23]],Table1[[#This Row],[Low20]],Table1[[#This Row],[Low17]],Table1[[#This Row],[Low14]],Table1[[#This Row],[Low11]],Table1[[#This Row],[Low8]],Table1[[#This Row],[Low5]],Table1[[#This Row],[Low2]],Table1[[#This Row],[Low]])</f>
        <v>927</v>
      </c>
      <c r="CF1175" s="19">
        <f>SUM(Table1[[#This Row],[Mid39]],Table1[[#This Row],[Mid36]],Table1[[#This Row],[Mid33]],Table1[[#This Row],[Mid30]],Table1[[#This Row],[Mid27]],Table1[[#This Row],[Mid24]],Table1[[#This Row],[Mid21]],Table1[[#This Row],[Mid18]],Table1[[#This Row],[Mid15]],Table1[[#This Row],[Mid12]],Table1[[#This Row],[Mid9]],Table1[[#This Row],[Mid6]],Table1[[#This Row],[Mid3]],Table1[[#This Row],[Mid]])</f>
        <v>1333</v>
      </c>
      <c r="CG117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1801</v>
      </c>
      <c r="CH1175" t="s">
        <v>157</v>
      </c>
      <c r="CI1175" t="s">
        <v>2471</v>
      </c>
      <c r="CJ1175" t="s">
        <v>158</v>
      </c>
      <c r="CL1175" s="19">
        <f>IF(Table1[[#This Row],[Type]]="Petroleum",1,IF(ISERROR(Table1[[#This Row],[Well Density]]*Table1[[#This Row],[Single Well Discovery Area]]),"",IF(Table1[[#This Row],[Well Density]]*Table1[[#This Row],[Single Well Discovery Area]]&gt;1,1,Table1[[#This Row],[Well Density]]*Table1[[#This Row],[Single Well Discovery Area]])))</f>
        <v>1</v>
      </c>
      <c r="CN1175" s="19">
        <f>Table1[[#This Row],[Mid]]</f>
        <v>0</v>
      </c>
      <c r="CO1175" s="19">
        <f>Table1[[#This Row],[Mid3]]+Table1[[#This Row],[Mid6]]+Table1[[#This Row],[Mid9]]</f>
        <v>0</v>
      </c>
      <c r="CP1175" s="19">
        <f>Table1[[#This Row],[Mid12]]+Table1[[#This Row],[Mid15]]+Table1[[#This Row],[Mid18]]+Table1[[#This Row],[Mid21]]+Table1[[#This Row],[Mid24]]</f>
        <v>1333</v>
      </c>
      <c r="CQ1175" s="19">
        <f>Table1[[#This Row],[Mid27]]+Table1[[#This Row],[Mid30]]+Table1[[#This Row],[Mid33]]+Table1[[#This Row],[Mid36]]+Table1[[#This Row],[Mid39]]</f>
        <v>0</v>
      </c>
      <c r="CR1175" t="s">
        <v>415</v>
      </c>
      <c r="CS1175" s="19" t="str">
        <f>IF(AND(Table1[[#This Row],[Low41]]=0, Table1[[#This Row],[High43]]=0),"N","Y")</f>
        <v>Y</v>
      </c>
    </row>
    <row r="1176" spans="1:97" ht="19.5" customHeight="1" x14ac:dyDescent="0.25">
      <c r="A1176">
        <v>11177</v>
      </c>
      <c r="B1176" t="s">
        <v>408</v>
      </c>
      <c r="C1176" t="s">
        <v>3599</v>
      </c>
      <c r="D1176">
        <v>57.022777779999998</v>
      </c>
      <c r="E1176">
        <v>8.6188888890000008</v>
      </c>
      <c r="F1176" t="s">
        <v>3633</v>
      </c>
      <c r="G1176" t="s">
        <v>1463</v>
      </c>
      <c r="H1176" t="s">
        <v>3634</v>
      </c>
      <c r="I1176" t="s">
        <v>118</v>
      </c>
      <c r="J1176" t="s">
        <v>119</v>
      </c>
      <c r="K1176" t="s">
        <v>203</v>
      </c>
      <c r="L1176" t="s">
        <v>3635</v>
      </c>
      <c r="M1176" t="s">
        <v>392</v>
      </c>
      <c r="N1176" s="6" t="s">
        <v>3636</v>
      </c>
      <c r="O1176" t="s">
        <v>3387</v>
      </c>
      <c r="P1176" t="s">
        <v>2652</v>
      </c>
      <c r="Q1176" t="s">
        <v>3637</v>
      </c>
      <c r="R1176" t="s">
        <v>3638</v>
      </c>
      <c r="S1176">
        <v>2022</v>
      </c>
      <c r="T1176" t="s">
        <v>771</v>
      </c>
      <c r="U1176" t="s">
        <v>3389</v>
      </c>
      <c r="V1176">
        <v>231</v>
      </c>
      <c r="X1176">
        <v>747</v>
      </c>
      <c r="Y1176">
        <v>0.52</v>
      </c>
      <c r="Z1176">
        <v>20</v>
      </c>
      <c r="AC1176">
        <v>750</v>
      </c>
      <c r="AD1176">
        <v>1</v>
      </c>
      <c r="AE1176">
        <v>4.329004E-3</v>
      </c>
      <c r="AF1176">
        <v>200</v>
      </c>
      <c r="AH1176" s="21" t="s">
        <v>3621</v>
      </c>
      <c r="AM1176" t="s">
        <v>3622</v>
      </c>
      <c r="BG1176">
        <v>1479.46</v>
      </c>
      <c r="BH1176">
        <v>2093</v>
      </c>
      <c r="BI1176">
        <v>2768.83</v>
      </c>
      <c r="BS1176">
        <v>228.54</v>
      </c>
      <c r="BT1176">
        <v>324.5</v>
      </c>
      <c r="BU1176">
        <v>429.17</v>
      </c>
      <c r="CE1176" s="19">
        <f>SUM(Table1[[#This Row],[Low38]],Table1[[#This Row],[Low35]],Table1[[#This Row],[Low32]],Table1[[#This Row],[Low29]],Table1[[#This Row],[Low26]],Table1[[#This Row],[Low23]],Table1[[#This Row],[Low20]],Table1[[#This Row],[Low17]],Table1[[#This Row],[Low14]],Table1[[#This Row],[Low11]],Table1[[#This Row],[Low8]],Table1[[#This Row],[Low5]],Table1[[#This Row],[Low2]],Table1[[#This Row],[Low]])</f>
        <v>1708</v>
      </c>
      <c r="CF1176" s="19">
        <f>SUM(Table1[[#This Row],[Mid39]],Table1[[#This Row],[Mid36]],Table1[[#This Row],[Mid33]],Table1[[#This Row],[Mid30]],Table1[[#This Row],[Mid27]],Table1[[#This Row],[Mid24]],Table1[[#This Row],[Mid21]],Table1[[#This Row],[Mid18]],Table1[[#This Row],[Mid15]],Table1[[#This Row],[Mid12]],Table1[[#This Row],[Mid9]],Table1[[#This Row],[Mid6]],Table1[[#This Row],[Mid3]],Table1[[#This Row],[Mid]])</f>
        <v>2417.5</v>
      </c>
      <c r="CG117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3198</v>
      </c>
      <c r="CH1176" t="s">
        <v>157</v>
      </c>
      <c r="CI1176" t="s">
        <v>2471</v>
      </c>
      <c r="CJ1176" t="s">
        <v>158</v>
      </c>
      <c r="CL1176" s="19">
        <f>IF(Table1[[#This Row],[Type]]="Petroleum",1,IF(ISERROR(Table1[[#This Row],[Well Density]]*Table1[[#This Row],[Single Well Discovery Area]]),"",IF(Table1[[#This Row],[Well Density]]*Table1[[#This Row],[Single Well Discovery Area]]&gt;1,1,Table1[[#This Row],[Well Density]]*Table1[[#This Row],[Single Well Discovery Area]])))</f>
        <v>0.86580080000000004</v>
      </c>
      <c r="CN1176" s="19">
        <f>Table1[[#This Row],[Mid]]</f>
        <v>0</v>
      </c>
      <c r="CO1176" s="19">
        <f>Table1[[#This Row],[Mid3]]+Table1[[#This Row],[Mid6]]+Table1[[#This Row],[Mid9]]</f>
        <v>0</v>
      </c>
      <c r="CP1176" s="19">
        <f>Table1[[#This Row],[Mid12]]+Table1[[#This Row],[Mid15]]+Table1[[#This Row],[Mid18]]+Table1[[#This Row],[Mid21]]+Table1[[#This Row],[Mid24]]</f>
        <v>2093</v>
      </c>
      <c r="CQ1176" s="19">
        <f>Table1[[#This Row],[Mid27]]+Table1[[#This Row],[Mid30]]+Table1[[#This Row],[Mid33]]+Table1[[#This Row],[Mid36]]+Table1[[#This Row],[Mid39]]</f>
        <v>324.5</v>
      </c>
      <c r="CR1176" t="s">
        <v>415</v>
      </c>
      <c r="CS1176" s="19" t="str">
        <f>IF(AND(Table1[[#This Row],[Low41]]=0, Table1[[#This Row],[High43]]=0),"N","Y")</f>
        <v>Y</v>
      </c>
    </row>
    <row r="1177" spans="1:97" ht="19.5" customHeight="1" x14ac:dyDescent="0.25">
      <c r="A1177">
        <v>11178</v>
      </c>
      <c r="B1177" t="s">
        <v>408</v>
      </c>
      <c r="C1177" t="s">
        <v>3599</v>
      </c>
      <c r="D1177">
        <v>56.326388889999997</v>
      </c>
      <c r="E1177">
        <v>10.056944440000001</v>
      </c>
      <c r="F1177" t="s">
        <v>3639</v>
      </c>
      <c r="G1177" t="s">
        <v>1463</v>
      </c>
      <c r="H1177" t="s">
        <v>1468</v>
      </c>
      <c r="I1177" t="s">
        <v>118</v>
      </c>
      <c r="J1177" t="s">
        <v>119</v>
      </c>
      <c r="K1177" t="s">
        <v>203</v>
      </c>
      <c r="L1177" t="s">
        <v>18</v>
      </c>
      <c r="M1177" t="s">
        <v>2710</v>
      </c>
      <c r="N1177" s="6" t="s">
        <v>3640</v>
      </c>
      <c r="O1177" t="s">
        <v>3387</v>
      </c>
      <c r="P1177" t="s">
        <v>2652</v>
      </c>
      <c r="Q1177" t="s">
        <v>3641</v>
      </c>
      <c r="R1177" t="s">
        <v>3607</v>
      </c>
      <c r="S1177">
        <v>2022</v>
      </c>
      <c r="T1177" t="s">
        <v>771</v>
      </c>
      <c r="U1177" t="s">
        <v>3389</v>
      </c>
      <c r="V1177">
        <v>560</v>
      </c>
      <c r="W1177">
        <v>1898</v>
      </c>
      <c r="X1177">
        <v>128</v>
      </c>
      <c r="Y1177">
        <v>0.23</v>
      </c>
      <c r="Z1177">
        <v>25</v>
      </c>
      <c r="AA1177">
        <v>461</v>
      </c>
      <c r="AC1177">
        <v>637</v>
      </c>
      <c r="AD1177">
        <v>0</v>
      </c>
      <c r="AE1177">
        <v>0</v>
      </c>
      <c r="AF1177">
        <v>200</v>
      </c>
      <c r="AH1177" s="21" t="s">
        <v>3621</v>
      </c>
      <c r="AM1177" t="s">
        <v>3622</v>
      </c>
      <c r="BS1177">
        <v>531</v>
      </c>
      <c r="BT1177">
        <v>854</v>
      </c>
      <c r="BU1177">
        <v>1224</v>
      </c>
      <c r="CE1177" s="19">
        <f>SUM(Table1[[#This Row],[Low38]],Table1[[#This Row],[Low35]],Table1[[#This Row],[Low32]],Table1[[#This Row],[Low29]],Table1[[#This Row],[Low26]],Table1[[#This Row],[Low23]],Table1[[#This Row],[Low20]],Table1[[#This Row],[Low17]],Table1[[#This Row],[Low14]],Table1[[#This Row],[Low11]],Table1[[#This Row],[Low8]],Table1[[#This Row],[Low5]],Table1[[#This Row],[Low2]],Table1[[#This Row],[Low]])</f>
        <v>531</v>
      </c>
      <c r="CF1177" s="19">
        <f>SUM(Table1[[#This Row],[Mid39]],Table1[[#This Row],[Mid36]],Table1[[#This Row],[Mid33]],Table1[[#This Row],[Mid30]],Table1[[#This Row],[Mid27]],Table1[[#This Row],[Mid24]],Table1[[#This Row],[Mid21]],Table1[[#This Row],[Mid18]],Table1[[#This Row],[Mid15]],Table1[[#This Row],[Mid12]],Table1[[#This Row],[Mid9]],Table1[[#This Row],[Mid6]],Table1[[#This Row],[Mid3]],Table1[[#This Row],[Mid]])</f>
        <v>854</v>
      </c>
      <c r="CG117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1224</v>
      </c>
      <c r="CH1177" t="s">
        <v>157</v>
      </c>
      <c r="CI1177" t="s">
        <v>2471</v>
      </c>
      <c r="CJ1177" t="s">
        <v>158</v>
      </c>
      <c r="CL1177" s="19">
        <f>IF(Table1[[#This Row],[Type]]="Petroleum",1,IF(ISERROR(Table1[[#This Row],[Well Density]]*Table1[[#This Row],[Single Well Discovery Area]]),"",IF(Table1[[#This Row],[Well Density]]*Table1[[#This Row],[Single Well Discovery Area]]&gt;1,1,Table1[[#This Row],[Well Density]]*Table1[[#This Row],[Single Well Discovery Area]])))</f>
        <v>0</v>
      </c>
      <c r="CN1177" s="19">
        <f>Table1[[#This Row],[Mid]]</f>
        <v>0</v>
      </c>
      <c r="CO1177" s="19">
        <f>Table1[[#This Row],[Mid3]]+Table1[[#This Row],[Mid6]]+Table1[[#This Row],[Mid9]]</f>
        <v>0</v>
      </c>
      <c r="CP1177" s="19">
        <f>Table1[[#This Row],[Mid12]]+Table1[[#This Row],[Mid15]]+Table1[[#This Row],[Mid18]]+Table1[[#This Row],[Mid21]]+Table1[[#This Row],[Mid24]]</f>
        <v>0</v>
      </c>
      <c r="CQ1177" s="19">
        <f>Table1[[#This Row],[Mid27]]+Table1[[#This Row],[Mid30]]+Table1[[#This Row],[Mid33]]+Table1[[#This Row],[Mid36]]+Table1[[#This Row],[Mid39]]</f>
        <v>854</v>
      </c>
      <c r="CR1177" t="s">
        <v>415</v>
      </c>
      <c r="CS1177" s="19" t="str">
        <f>IF(AND(Table1[[#This Row],[Low41]]=0, Table1[[#This Row],[High43]]=0),"N","Y")</f>
        <v>Y</v>
      </c>
    </row>
    <row r="1178" spans="1:97" ht="19.5" customHeight="1" x14ac:dyDescent="0.25">
      <c r="A1178">
        <v>11179</v>
      </c>
      <c r="B1178" t="s">
        <v>408</v>
      </c>
      <c r="C1178" t="s">
        <v>3599</v>
      </c>
      <c r="D1178">
        <v>54.943055559999998</v>
      </c>
      <c r="E1178">
        <v>8.7419444439999996</v>
      </c>
      <c r="F1178" t="s">
        <v>3642</v>
      </c>
      <c r="G1178" t="s">
        <v>410</v>
      </c>
      <c r="H1178" t="s">
        <v>3610</v>
      </c>
      <c r="I1178" t="s">
        <v>118</v>
      </c>
      <c r="J1178" t="s">
        <v>119</v>
      </c>
      <c r="K1178" t="s">
        <v>203</v>
      </c>
      <c r="L1178" t="s">
        <v>121</v>
      </c>
      <c r="M1178" t="s">
        <v>412</v>
      </c>
      <c r="N1178" s="6" t="s">
        <v>3643</v>
      </c>
      <c r="O1178" t="s">
        <v>3387</v>
      </c>
      <c r="P1178" t="s">
        <v>2652</v>
      </c>
      <c r="Q1178" t="s">
        <v>3644</v>
      </c>
      <c r="R1178" t="s">
        <v>3620</v>
      </c>
      <c r="S1178">
        <v>2022</v>
      </c>
      <c r="T1178" t="s">
        <v>771</v>
      </c>
      <c r="U1178" t="s">
        <v>3389</v>
      </c>
      <c r="V1178">
        <v>59</v>
      </c>
      <c r="W1178">
        <v>1735</v>
      </c>
      <c r="X1178">
        <v>203</v>
      </c>
      <c r="Y1178">
        <v>0.74</v>
      </c>
      <c r="Z1178">
        <v>20</v>
      </c>
      <c r="AA1178">
        <v>173</v>
      </c>
      <c r="AC1178">
        <v>620</v>
      </c>
      <c r="AD1178">
        <v>5</v>
      </c>
      <c r="AE1178">
        <v>8.4745763000000002E-2</v>
      </c>
      <c r="AF1178">
        <v>200</v>
      </c>
      <c r="AH1178" s="21" t="s">
        <v>3621</v>
      </c>
      <c r="AM1178" t="s">
        <v>3622</v>
      </c>
      <c r="BG1178">
        <v>162</v>
      </c>
      <c r="BH1178">
        <v>229</v>
      </c>
      <c r="BI1178">
        <v>304</v>
      </c>
      <c r="CE1178" s="19">
        <f>SUM(Table1[[#This Row],[Low38]],Table1[[#This Row],[Low35]],Table1[[#This Row],[Low32]],Table1[[#This Row],[Low29]],Table1[[#This Row],[Low26]],Table1[[#This Row],[Low23]],Table1[[#This Row],[Low20]],Table1[[#This Row],[Low17]],Table1[[#This Row],[Low14]],Table1[[#This Row],[Low11]],Table1[[#This Row],[Low8]],Table1[[#This Row],[Low5]],Table1[[#This Row],[Low2]],Table1[[#This Row],[Low]])</f>
        <v>162</v>
      </c>
      <c r="CF1178" s="19">
        <f>SUM(Table1[[#This Row],[Mid39]],Table1[[#This Row],[Mid36]],Table1[[#This Row],[Mid33]],Table1[[#This Row],[Mid30]],Table1[[#This Row],[Mid27]],Table1[[#This Row],[Mid24]],Table1[[#This Row],[Mid21]],Table1[[#This Row],[Mid18]],Table1[[#This Row],[Mid15]],Table1[[#This Row],[Mid12]],Table1[[#This Row],[Mid9]],Table1[[#This Row],[Mid6]],Table1[[#This Row],[Mid3]],Table1[[#This Row],[Mid]])</f>
        <v>229</v>
      </c>
      <c r="CG117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304</v>
      </c>
      <c r="CH1178" t="s">
        <v>157</v>
      </c>
      <c r="CI1178" t="s">
        <v>2471</v>
      </c>
      <c r="CJ1178" t="s">
        <v>158</v>
      </c>
      <c r="CL1178" s="19">
        <f>IF(Table1[[#This Row],[Type]]="Petroleum",1,IF(ISERROR(Table1[[#This Row],[Well Density]]*Table1[[#This Row],[Single Well Discovery Area]]),"",IF(Table1[[#This Row],[Well Density]]*Table1[[#This Row],[Single Well Discovery Area]]&gt;1,1,Table1[[#This Row],[Well Density]]*Table1[[#This Row],[Single Well Discovery Area]])))</f>
        <v>1</v>
      </c>
      <c r="CN1178" s="19">
        <f>Table1[[#This Row],[Mid]]</f>
        <v>0</v>
      </c>
      <c r="CO1178" s="19">
        <f>Table1[[#This Row],[Mid3]]+Table1[[#This Row],[Mid6]]+Table1[[#This Row],[Mid9]]</f>
        <v>0</v>
      </c>
      <c r="CP1178" s="19">
        <f>Table1[[#This Row],[Mid12]]+Table1[[#This Row],[Mid15]]+Table1[[#This Row],[Mid18]]+Table1[[#This Row],[Mid21]]+Table1[[#This Row],[Mid24]]</f>
        <v>229</v>
      </c>
      <c r="CQ1178" s="19">
        <f>Table1[[#This Row],[Mid27]]+Table1[[#This Row],[Mid30]]+Table1[[#This Row],[Mid33]]+Table1[[#This Row],[Mid36]]+Table1[[#This Row],[Mid39]]</f>
        <v>0</v>
      </c>
      <c r="CR1178" t="s">
        <v>415</v>
      </c>
      <c r="CS1178" s="19" t="str">
        <f>IF(AND(Table1[[#This Row],[Low41]]=0, Table1[[#This Row],[High43]]=0),"N","Y")</f>
        <v>Y</v>
      </c>
    </row>
    <row r="1179" spans="1:97" ht="19.5" customHeight="1" x14ac:dyDescent="0.25">
      <c r="A1179">
        <v>11180</v>
      </c>
      <c r="B1179" t="s">
        <v>408</v>
      </c>
      <c r="C1179" t="s">
        <v>3599</v>
      </c>
      <c r="D1179">
        <v>57.14</v>
      </c>
      <c r="E1179">
        <v>9.6872222220000008</v>
      </c>
      <c r="F1179" t="s">
        <v>3645</v>
      </c>
      <c r="G1179" t="s">
        <v>1460</v>
      </c>
      <c r="H1179" t="s">
        <v>1468</v>
      </c>
      <c r="I1179" t="s">
        <v>118</v>
      </c>
      <c r="J1179" t="s">
        <v>119</v>
      </c>
      <c r="K1179" t="s">
        <v>203</v>
      </c>
      <c r="L1179" t="s">
        <v>18</v>
      </c>
      <c r="M1179" t="s">
        <v>2710</v>
      </c>
      <c r="N1179" s="6" t="s">
        <v>3646</v>
      </c>
      <c r="O1179" t="s">
        <v>3387</v>
      </c>
      <c r="P1179" t="s">
        <v>2652</v>
      </c>
      <c r="Q1179" t="s">
        <v>3647</v>
      </c>
      <c r="R1179" t="s">
        <v>3607</v>
      </c>
      <c r="S1179">
        <v>2022</v>
      </c>
      <c r="T1179" t="s">
        <v>771</v>
      </c>
      <c r="U1179" t="s">
        <v>3389</v>
      </c>
      <c r="V1179">
        <v>11</v>
      </c>
      <c r="W1179">
        <v>1789</v>
      </c>
      <c r="X1179">
        <v>195</v>
      </c>
      <c r="Y1179">
        <v>0.56000000000000005</v>
      </c>
      <c r="Z1179">
        <v>20</v>
      </c>
      <c r="AA1179">
        <v>173</v>
      </c>
      <c r="AC1179">
        <v>542</v>
      </c>
      <c r="AD1179">
        <v>0</v>
      </c>
      <c r="AE1179">
        <v>0</v>
      </c>
      <c r="AF1179">
        <v>200</v>
      </c>
      <c r="AH1179" s="21" t="s">
        <v>3621</v>
      </c>
      <c r="AM1179" t="s">
        <v>3622</v>
      </c>
      <c r="BS1179">
        <v>18</v>
      </c>
      <c r="BT1179">
        <v>39</v>
      </c>
      <c r="BU1179">
        <v>64</v>
      </c>
      <c r="CE1179" s="19">
        <f>SUM(Table1[[#This Row],[Low38]],Table1[[#This Row],[Low35]],Table1[[#This Row],[Low32]],Table1[[#This Row],[Low29]],Table1[[#This Row],[Low26]],Table1[[#This Row],[Low23]],Table1[[#This Row],[Low20]],Table1[[#This Row],[Low17]],Table1[[#This Row],[Low14]],Table1[[#This Row],[Low11]],Table1[[#This Row],[Low8]],Table1[[#This Row],[Low5]],Table1[[#This Row],[Low2]],Table1[[#This Row],[Low]])</f>
        <v>18</v>
      </c>
      <c r="CF1179" s="19">
        <f>SUM(Table1[[#This Row],[Mid39]],Table1[[#This Row],[Mid36]],Table1[[#This Row],[Mid33]],Table1[[#This Row],[Mid30]],Table1[[#This Row],[Mid27]],Table1[[#This Row],[Mid24]],Table1[[#This Row],[Mid21]],Table1[[#This Row],[Mid18]],Table1[[#This Row],[Mid15]],Table1[[#This Row],[Mid12]],Table1[[#This Row],[Mid9]],Table1[[#This Row],[Mid6]],Table1[[#This Row],[Mid3]],Table1[[#This Row],[Mid]])</f>
        <v>39</v>
      </c>
      <c r="CG117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64</v>
      </c>
      <c r="CH1179" t="s">
        <v>157</v>
      </c>
      <c r="CI1179" t="s">
        <v>2471</v>
      </c>
      <c r="CJ1179" t="s">
        <v>158</v>
      </c>
      <c r="CL1179" s="19">
        <f>IF(Table1[[#This Row],[Type]]="Petroleum",1,IF(ISERROR(Table1[[#This Row],[Well Density]]*Table1[[#This Row],[Single Well Discovery Area]]),"",IF(Table1[[#This Row],[Well Density]]*Table1[[#This Row],[Single Well Discovery Area]]&gt;1,1,Table1[[#This Row],[Well Density]]*Table1[[#This Row],[Single Well Discovery Area]])))</f>
        <v>0</v>
      </c>
      <c r="CN1179" s="19">
        <f>Table1[[#This Row],[Mid]]</f>
        <v>0</v>
      </c>
      <c r="CO1179" s="19">
        <f>Table1[[#This Row],[Mid3]]+Table1[[#This Row],[Mid6]]+Table1[[#This Row],[Mid9]]</f>
        <v>0</v>
      </c>
      <c r="CP1179" s="19">
        <f>Table1[[#This Row],[Mid12]]+Table1[[#This Row],[Mid15]]+Table1[[#This Row],[Mid18]]+Table1[[#This Row],[Mid21]]+Table1[[#This Row],[Mid24]]</f>
        <v>0</v>
      </c>
      <c r="CQ1179" s="19">
        <f>Table1[[#This Row],[Mid27]]+Table1[[#This Row],[Mid30]]+Table1[[#This Row],[Mid33]]+Table1[[#This Row],[Mid36]]+Table1[[#This Row],[Mid39]]</f>
        <v>39</v>
      </c>
      <c r="CR1179" t="s">
        <v>415</v>
      </c>
      <c r="CS1179" s="19" t="str">
        <f>IF(AND(Table1[[#This Row],[Low41]]=0, Table1[[#This Row],[High43]]=0),"N","Y")</f>
        <v>Y</v>
      </c>
    </row>
    <row r="1180" spans="1:97" ht="19.5" customHeight="1" x14ac:dyDescent="0.25">
      <c r="A1180">
        <v>11181</v>
      </c>
      <c r="B1180" t="s">
        <v>408</v>
      </c>
      <c r="C1180" t="s">
        <v>3599</v>
      </c>
      <c r="D1180">
        <v>56.249444439999998</v>
      </c>
      <c r="E1180">
        <v>9.3091666669999995</v>
      </c>
      <c r="F1180" t="s">
        <v>3648</v>
      </c>
      <c r="G1180" t="s">
        <v>1463</v>
      </c>
      <c r="H1180" t="s">
        <v>1468</v>
      </c>
      <c r="I1180" t="s">
        <v>118</v>
      </c>
      <c r="J1180" t="s">
        <v>119</v>
      </c>
      <c r="K1180" t="s">
        <v>203</v>
      </c>
      <c r="L1180" t="s">
        <v>18</v>
      </c>
      <c r="M1180" t="s">
        <v>2710</v>
      </c>
      <c r="N1180" s="6" t="s">
        <v>3649</v>
      </c>
      <c r="O1180" t="s">
        <v>3387</v>
      </c>
      <c r="P1180" t="s">
        <v>2652</v>
      </c>
      <c r="Q1180" t="s">
        <v>3650</v>
      </c>
      <c r="R1180" t="s">
        <v>3607</v>
      </c>
      <c r="S1180">
        <v>2022</v>
      </c>
      <c r="T1180" t="s">
        <v>771</v>
      </c>
      <c r="U1180" t="s">
        <v>3389</v>
      </c>
      <c r="V1180">
        <v>210</v>
      </c>
      <c r="W1180">
        <v>1670</v>
      </c>
      <c r="X1180">
        <v>130</v>
      </c>
      <c r="Y1180">
        <v>0.4</v>
      </c>
      <c r="Z1180">
        <v>18</v>
      </c>
      <c r="AA1180">
        <v>109</v>
      </c>
      <c r="AC1180">
        <v>615</v>
      </c>
      <c r="AD1180">
        <v>0</v>
      </c>
      <c r="AE1180">
        <v>0</v>
      </c>
      <c r="AF1180">
        <v>200</v>
      </c>
      <c r="AH1180" s="21" t="s">
        <v>3621</v>
      </c>
      <c r="AM1180" t="s">
        <v>3622</v>
      </c>
      <c r="BS1180">
        <v>202</v>
      </c>
      <c r="BT1180">
        <v>296</v>
      </c>
      <c r="BU1180">
        <v>397</v>
      </c>
      <c r="CE1180" s="19">
        <f>SUM(Table1[[#This Row],[Low38]],Table1[[#This Row],[Low35]],Table1[[#This Row],[Low32]],Table1[[#This Row],[Low29]],Table1[[#This Row],[Low26]],Table1[[#This Row],[Low23]],Table1[[#This Row],[Low20]],Table1[[#This Row],[Low17]],Table1[[#This Row],[Low14]],Table1[[#This Row],[Low11]],Table1[[#This Row],[Low8]],Table1[[#This Row],[Low5]],Table1[[#This Row],[Low2]],Table1[[#This Row],[Low]])</f>
        <v>202</v>
      </c>
      <c r="CF1180" s="19">
        <f>SUM(Table1[[#This Row],[Mid39]],Table1[[#This Row],[Mid36]],Table1[[#This Row],[Mid33]],Table1[[#This Row],[Mid30]],Table1[[#This Row],[Mid27]],Table1[[#This Row],[Mid24]],Table1[[#This Row],[Mid21]],Table1[[#This Row],[Mid18]],Table1[[#This Row],[Mid15]],Table1[[#This Row],[Mid12]],Table1[[#This Row],[Mid9]],Table1[[#This Row],[Mid6]],Table1[[#This Row],[Mid3]],Table1[[#This Row],[Mid]])</f>
        <v>296</v>
      </c>
      <c r="CG118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397</v>
      </c>
      <c r="CH1180" t="s">
        <v>157</v>
      </c>
      <c r="CI1180" t="s">
        <v>2471</v>
      </c>
      <c r="CJ1180" t="s">
        <v>158</v>
      </c>
      <c r="CL1180" s="19">
        <f>IF(Table1[[#This Row],[Type]]="Petroleum",1,IF(ISERROR(Table1[[#This Row],[Well Density]]*Table1[[#This Row],[Single Well Discovery Area]]),"",IF(Table1[[#This Row],[Well Density]]*Table1[[#This Row],[Single Well Discovery Area]]&gt;1,1,Table1[[#This Row],[Well Density]]*Table1[[#This Row],[Single Well Discovery Area]])))</f>
        <v>0</v>
      </c>
      <c r="CN1180" s="19">
        <f>Table1[[#This Row],[Mid]]</f>
        <v>0</v>
      </c>
      <c r="CO1180" s="19">
        <f>Table1[[#This Row],[Mid3]]+Table1[[#This Row],[Mid6]]+Table1[[#This Row],[Mid9]]</f>
        <v>0</v>
      </c>
      <c r="CP1180" s="19">
        <f>Table1[[#This Row],[Mid12]]+Table1[[#This Row],[Mid15]]+Table1[[#This Row],[Mid18]]+Table1[[#This Row],[Mid21]]+Table1[[#This Row],[Mid24]]</f>
        <v>0</v>
      </c>
      <c r="CQ1180" s="19">
        <f>Table1[[#This Row],[Mid27]]+Table1[[#This Row],[Mid30]]+Table1[[#This Row],[Mid33]]+Table1[[#This Row],[Mid36]]+Table1[[#This Row],[Mid39]]</f>
        <v>296</v>
      </c>
      <c r="CR1180" t="s">
        <v>415</v>
      </c>
      <c r="CS1180" s="19" t="str">
        <f>IF(AND(Table1[[#This Row],[Low41]]=0, Table1[[#This Row],[High43]]=0),"N","Y")</f>
        <v>Y</v>
      </c>
    </row>
    <row r="1181" spans="1:97" ht="19.5" customHeight="1" x14ac:dyDescent="0.25">
      <c r="A1181">
        <v>11182</v>
      </c>
      <c r="B1181" t="s">
        <v>408</v>
      </c>
      <c r="C1181" t="s">
        <v>3614</v>
      </c>
      <c r="D1181">
        <v>55.789444439999997</v>
      </c>
      <c r="E1181">
        <v>10.832777780000001</v>
      </c>
      <c r="F1181" t="s">
        <v>3651</v>
      </c>
      <c r="G1181" t="s">
        <v>1460</v>
      </c>
      <c r="H1181" t="s">
        <v>1468</v>
      </c>
      <c r="I1181" t="s">
        <v>118</v>
      </c>
      <c r="J1181" t="s">
        <v>119</v>
      </c>
      <c r="K1181" t="s">
        <v>203</v>
      </c>
      <c r="L1181" t="s">
        <v>18</v>
      </c>
      <c r="M1181" t="s">
        <v>2710</v>
      </c>
      <c r="N1181" s="6" t="s">
        <v>3652</v>
      </c>
      <c r="O1181" t="s">
        <v>3387</v>
      </c>
      <c r="P1181" t="s">
        <v>2652</v>
      </c>
      <c r="Q1181" t="s">
        <v>3653</v>
      </c>
      <c r="R1181" t="s">
        <v>3607</v>
      </c>
      <c r="S1181">
        <v>2022</v>
      </c>
      <c r="T1181" t="s">
        <v>771</v>
      </c>
      <c r="U1181" t="s">
        <v>3389</v>
      </c>
      <c r="V1181">
        <v>119</v>
      </c>
      <c r="W1181">
        <v>1463</v>
      </c>
      <c r="X1181">
        <v>200</v>
      </c>
      <c r="Y1181">
        <v>0.45</v>
      </c>
      <c r="Z1181">
        <v>25</v>
      </c>
      <c r="AA1181">
        <v>461</v>
      </c>
      <c r="AC1181">
        <v>715</v>
      </c>
      <c r="AD1181">
        <v>0</v>
      </c>
      <c r="AE1181">
        <v>0</v>
      </c>
      <c r="AF1181">
        <v>200</v>
      </c>
      <c r="AH1181" s="21" t="s">
        <v>3621</v>
      </c>
      <c r="AM1181" t="s">
        <v>3622</v>
      </c>
      <c r="BS1181">
        <v>264</v>
      </c>
      <c r="BT1181">
        <v>429</v>
      </c>
      <c r="BU1181">
        <v>617</v>
      </c>
      <c r="CE1181" s="19">
        <f>SUM(Table1[[#This Row],[Low38]],Table1[[#This Row],[Low35]],Table1[[#This Row],[Low32]],Table1[[#This Row],[Low29]],Table1[[#This Row],[Low26]],Table1[[#This Row],[Low23]],Table1[[#This Row],[Low20]],Table1[[#This Row],[Low17]],Table1[[#This Row],[Low14]],Table1[[#This Row],[Low11]],Table1[[#This Row],[Low8]],Table1[[#This Row],[Low5]],Table1[[#This Row],[Low2]],Table1[[#This Row],[Low]])</f>
        <v>264</v>
      </c>
      <c r="CF1181" s="19">
        <f>SUM(Table1[[#This Row],[Mid39]],Table1[[#This Row],[Mid36]],Table1[[#This Row],[Mid33]],Table1[[#This Row],[Mid30]],Table1[[#This Row],[Mid27]],Table1[[#This Row],[Mid24]],Table1[[#This Row],[Mid21]],Table1[[#This Row],[Mid18]],Table1[[#This Row],[Mid15]],Table1[[#This Row],[Mid12]],Table1[[#This Row],[Mid9]],Table1[[#This Row],[Mid6]],Table1[[#This Row],[Mid3]],Table1[[#This Row],[Mid]])</f>
        <v>429</v>
      </c>
      <c r="CG118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617</v>
      </c>
      <c r="CH1181" t="s">
        <v>157</v>
      </c>
      <c r="CI1181" t="s">
        <v>2471</v>
      </c>
      <c r="CJ1181" t="s">
        <v>158</v>
      </c>
      <c r="CL1181" s="19">
        <f>IF(Table1[[#This Row],[Type]]="Petroleum",1,IF(ISERROR(Table1[[#This Row],[Well Density]]*Table1[[#This Row],[Single Well Discovery Area]]),"",IF(Table1[[#This Row],[Well Density]]*Table1[[#This Row],[Single Well Discovery Area]]&gt;1,1,Table1[[#This Row],[Well Density]]*Table1[[#This Row],[Single Well Discovery Area]])))</f>
        <v>0</v>
      </c>
      <c r="CN1181" s="19">
        <f>Table1[[#This Row],[Mid]]</f>
        <v>0</v>
      </c>
      <c r="CO1181" s="19">
        <f>Table1[[#This Row],[Mid3]]+Table1[[#This Row],[Mid6]]+Table1[[#This Row],[Mid9]]</f>
        <v>0</v>
      </c>
      <c r="CP1181" s="19">
        <f>Table1[[#This Row],[Mid12]]+Table1[[#This Row],[Mid15]]+Table1[[#This Row],[Mid18]]+Table1[[#This Row],[Mid21]]+Table1[[#This Row],[Mid24]]</f>
        <v>0</v>
      </c>
      <c r="CQ1181" s="19">
        <f>Table1[[#This Row],[Mid27]]+Table1[[#This Row],[Mid30]]+Table1[[#This Row],[Mid33]]+Table1[[#This Row],[Mid36]]+Table1[[#This Row],[Mid39]]</f>
        <v>429</v>
      </c>
      <c r="CR1181" t="s">
        <v>415</v>
      </c>
      <c r="CS1181" s="19" t="str">
        <f>IF(AND(Table1[[#This Row],[Low41]]=0, Table1[[#This Row],[High43]]=0),"N","Y")</f>
        <v>Y</v>
      </c>
    </row>
    <row r="1182" spans="1:97" ht="19.5" customHeight="1" x14ac:dyDescent="0.25">
      <c r="A1182">
        <v>11183</v>
      </c>
      <c r="B1182" t="s">
        <v>408</v>
      </c>
      <c r="C1182" t="s">
        <v>1449</v>
      </c>
      <c r="D1182">
        <v>57.267299999999999</v>
      </c>
      <c r="E1182">
        <v>8.1415000000000006</v>
      </c>
      <c r="F1182" t="s">
        <v>3654</v>
      </c>
      <c r="G1182" t="s">
        <v>1463</v>
      </c>
      <c r="H1182" t="s">
        <v>3634</v>
      </c>
      <c r="I1182" t="s">
        <v>118</v>
      </c>
      <c r="J1182" t="s">
        <v>119</v>
      </c>
      <c r="K1182" t="s">
        <v>203</v>
      </c>
      <c r="L1182" t="s">
        <v>18</v>
      </c>
      <c r="M1182" t="s">
        <v>392</v>
      </c>
      <c r="N1182" s="6" t="s">
        <v>3655</v>
      </c>
      <c r="O1182" t="s">
        <v>3387</v>
      </c>
      <c r="P1182" t="s">
        <v>2652</v>
      </c>
      <c r="Q1182" t="s">
        <v>3632</v>
      </c>
      <c r="R1182" t="s">
        <v>3607</v>
      </c>
      <c r="S1182">
        <v>2022</v>
      </c>
      <c r="T1182" t="s">
        <v>771</v>
      </c>
      <c r="U1182" t="s">
        <v>3389</v>
      </c>
      <c r="V1182">
        <v>334</v>
      </c>
      <c r="W1182">
        <v>1343</v>
      </c>
      <c r="X1182">
        <v>747</v>
      </c>
      <c r="Y1182">
        <v>0.52</v>
      </c>
      <c r="Z1182">
        <v>20</v>
      </c>
      <c r="AC1182">
        <v>750</v>
      </c>
      <c r="AD1182">
        <v>0</v>
      </c>
      <c r="AE1182">
        <v>0</v>
      </c>
      <c r="AF1182">
        <v>200</v>
      </c>
      <c r="AH1182" s="21" t="s">
        <v>3621</v>
      </c>
      <c r="AM1182" t="s">
        <v>3622</v>
      </c>
      <c r="BS1182">
        <v>2376</v>
      </c>
      <c r="BT1182">
        <v>3441</v>
      </c>
      <c r="BU1182">
        <v>4630</v>
      </c>
      <c r="CE1182" s="19">
        <f>SUM(Table1[[#This Row],[Low38]],Table1[[#This Row],[Low35]],Table1[[#This Row],[Low32]],Table1[[#This Row],[Low29]],Table1[[#This Row],[Low26]],Table1[[#This Row],[Low23]],Table1[[#This Row],[Low20]],Table1[[#This Row],[Low17]],Table1[[#This Row],[Low14]],Table1[[#This Row],[Low11]],Table1[[#This Row],[Low8]],Table1[[#This Row],[Low5]],Table1[[#This Row],[Low2]],Table1[[#This Row],[Low]])</f>
        <v>2376</v>
      </c>
      <c r="CF1182" s="19">
        <f>SUM(Table1[[#This Row],[Mid39]],Table1[[#This Row],[Mid36]],Table1[[#This Row],[Mid33]],Table1[[#This Row],[Mid30]],Table1[[#This Row],[Mid27]],Table1[[#This Row],[Mid24]],Table1[[#This Row],[Mid21]],Table1[[#This Row],[Mid18]],Table1[[#This Row],[Mid15]],Table1[[#This Row],[Mid12]],Table1[[#This Row],[Mid9]],Table1[[#This Row],[Mid6]],Table1[[#This Row],[Mid3]],Table1[[#This Row],[Mid]])</f>
        <v>3441</v>
      </c>
      <c r="CG118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4630</v>
      </c>
      <c r="CH1182" t="s">
        <v>157</v>
      </c>
      <c r="CI1182" t="s">
        <v>2471</v>
      </c>
      <c r="CJ1182" t="s">
        <v>158</v>
      </c>
      <c r="CL1182" s="19">
        <f>IF(Table1[[#This Row],[Type]]="Petroleum",1,IF(ISERROR(Table1[[#This Row],[Well Density]]*Table1[[#This Row],[Single Well Discovery Area]]),"",IF(Table1[[#This Row],[Well Density]]*Table1[[#This Row],[Single Well Discovery Area]]&gt;1,1,Table1[[#This Row],[Well Density]]*Table1[[#This Row],[Single Well Discovery Area]])))</f>
        <v>0</v>
      </c>
      <c r="CN1182" s="19">
        <f>Table1[[#This Row],[Mid]]</f>
        <v>0</v>
      </c>
      <c r="CO1182" s="19">
        <f>Table1[[#This Row],[Mid3]]+Table1[[#This Row],[Mid6]]+Table1[[#This Row],[Mid9]]</f>
        <v>0</v>
      </c>
      <c r="CP1182" s="19">
        <f>Table1[[#This Row],[Mid12]]+Table1[[#This Row],[Mid15]]+Table1[[#This Row],[Mid18]]+Table1[[#This Row],[Mid21]]+Table1[[#This Row],[Mid24]]</f>
        <v>0</v>
      </c>
      <c r="CQ1182" s="19">
        <f>Table1[[#This Row],[Mid27]]+Table1[[#This Row],[Mid30]]+Table1[[#This Row],[Mid33]]+Table1[[#This Row],[Mid36]]+Table1[[#This Row],[Mid39]]</f>
        <v>3441</v>
      </c>
      <c r="CR1182" t="s">
        <v>415</v>
      </c>
      <c r="CS1182" s="19" t="str">
        <f>IF(AND(Table1[[#This Row],[Low41]]=0, Table1[[#This Row],[High43]]=0),"N","Y")</f>
        <v>Y</v>
      </c>
    </row>
    <row r="1183" spans="1:97" ht="19.5" customHeight="1" x14ac:dyDescent="0.25">
      <c r="A1183">
        <v>11184</v>
      </c>
      <c r="B1183" t="s">
        <v>408</v>
      </c>
      <c r="C1183" t="s">
        <v>3599</v>
      </c>
      <c r="D1183">
        <v>56.90583333</v>
      </c>
      <c r="E1183">
        <v>8.301388889</v>
      </c>
      <c r="F1183" t="s">
        <v>3656</v>
      </c>
      <c r="G1183" t="s">
        <v>1463</v>
      </c>
      <c r="H1183" t="s">
        <v>3634</v>
      </c>
      <c r="I1183" t="s">
        <v>118</v>
      </c>
      <c r="J1183" t="s">
        <v>119</v>
      </c>
      <c r="K1183" t="s">
        <v>203</v>
      </c>
      <c r="L1183" t="s">
        <v>18</v>
      </c>
      <c r="M1183" t="s">
        <v>392</v>
      </c>
      <c r="N1183" s="6" t="s">
        <v>3657</v>
      </c>
      <c r="O1183" t="s">
        <v>3387</v>
      </c>
      <c r="P1183" t="s">
        <v>2652</v>
      </c>
      <c r="Q1183" t="s">
        <v>3658</v>
      </c>
      <c r="R1183" t="s">
        <v>3607</v>
      </c>
      <c r="S1183">
        <v>2022</v>
      </c>
      <c r="T1183" t="s">
        <v>771</v>
      </c>
      <c r="U1183" t="s">
        <v>3389</v>
      </c>
      <c r="V1183">
        <v>225</v>
      </c>
      <c r="W1183">
        <v>1050</v>
      </c>
      <c r="X1183">
        <v>500</v>
      </c>
      <c r="Y1183">
        <v>0.52</v>
      </c>
      <c r="Z1183">
        <v>20</v>
      </c>
      <c r="AC1183">
        <v>750</v>
      </c>
      <c r="AD1183">
        <v>0</v>
      </c>
      <c r="AE1183">
        <v>0</v>
      </c>
      <c r="AF1183">
        <v>200</v>
      </c>
      <c r="AH1183" s="21" t="s">
        <v>3621</v>
      </c>
      <c r="AM1183" t="s">
        <v>3622</v>
      </c>
      <c r="BS1183">
        <v>1090</v>
      </c>
      <c r="BT1183">
        <v>1619</v>
      </c>
      <c r="BU1183">
        <v>2222</v>
      </c>
      <c r="CE1183" s="19">
        <f>SUM(Table1[[#This Row],[Low38]],Table1[[#This Row],[Low35]],Table1[[#This Row],[Low32]],Table1[[#This Row],[Low29]],Table1[[#This Row],[Low26]],Table1[[#This Row],[Low23]],Table1[[#This Row],[Low20]],Table1[[#This Row],[Low17]],Table1[[#This Row],[Low14]],Table1[[#This Row],[Low11]],Table1[[#This Row],[Low8]],Table1[[#This Row],[Low5]],Table1[[#This Row],[Low2]],Table1[[#This Row],[Low]])</f>
        <v>1090</v>
      </c>
      <c r="CF1183" s="19">
        <f>SUM(Table1[[#This Row],[Mid39]],Table1[[#This Row],[Mid36]],Table1[[#This Row],[Mid33]],Table1[[#This Row],[Mid30]],Table1[[#This Row],[Mid27]],Table1[[#This Row],[Mid24]],Table1[[#This Row],[Mid21]],Table1[[#This Row],[Mid18]],Table1[[#This Row],[Mid15]],Table1[[#This Row],[Mid12]],Table1[[#This Row],[Mid9]],Table1[[#This Row],[Mid6]],Table1[[#This Row],[Mid3]],Table1[[#This Row],[Mid]])</f>
        <v>1619</v>
      </c>
      <c r="CG118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2222</v>
      </c>
      <c r="CH1183" t="s">
        <v>157</v>
      </c>
      <c r="CI1183" t="s">
        <v>2471</v>
      </c>
      <c r="CJ1183" t="s">
        <v>158</v>
      </c>
      <c r="CL1183" s="19">
        <f>IF(Table1[[#This Row],[Type]]="Petroleum",1,IF(ISERROR(Table1[[#This Row],[Well Density]]*Table1[[#This Row],[Single Well Discovery Area]]),"",IF(Table1[[#This Row],[Well Density]]*Table1[[#This Row],[Single Well Discovery Area]]&gt;1,1,Table1[[#This Row],[Well Density]]*Table1[[#This Row],[Single Well Discovery Area]])))</f>
        <v>0</v>
      </c>
      <c r="CN1183" s="19">
        <f>Table1[[#This Row],[Mid]]</f>
        <v>0</v>
      </c>
      <c r="CO1183" s="19">
        <f>Table1[[#This Row],[Mid3]]+Table1[[#This Row],[Mid6]]+Table1[[#This Row],[Mid9]]</f>
        <v>0</v>
      </c>
      <c r="CP1183" s="19">
        <f>Table1[[#This Row],[Mid12]]+Table1[[#This Row],[Mid15]]+Table1[[#This Row],[Mid18]]+Table1[[#This Row],[Mid21]]+Table1[[#This Row],[Mid24]]</f>
        <v>0</v>
      </c>
      <c r="CQ1183" s="19">
        <f>Table1[[#This Row],[Mid27]]+Table1[[#This Row],[Mid30]]+Table1[[#This Row],[Mid33]]+Table1[[#This Row],[Mid36]]+Table1[[#This Row],[Mid39]]</f>
        <v>1619</v>
      </c>
      <c r="CR1183" t="s">
        <v>415</v>
      </c>
      <c r="CS1183" s="19" t="str">
        <f>IF(AND(Table1[[#This Row],[Low41]]=0, Table1[[#This Row],[High43]]=0),"N","Y")</f>
        <v>Y</v>
      </c>
    </row>
    <row r="1184" spans="1:97" ht="19.5" customHeight="1" x14ac:dyDescent="0.25">
      <c r="A1184">
        <v>11185</v>
      </c>
      <c r="B1184" t="s">
        <v>408</v>
      </c>
      <c r="C1184" t="s">
        <v>3599</v>
      </c>
      <c r="D1184">
        <v>56.570555560000003</v>
      </c>
      <c r="E1184">
        <v>9.0086111110000004</v>
      </c>
      <c r="F1184" t="s">
        <v>3659</v>
      </c>
      <c r="G1184" t="s">
        <v>1463</v>
      </c>
      <c r="H1184" t="s">
        <v>1468</v>
      </c>
      <c r="I1184" t="s">
        <v>118</v>
      </c>
      <c r="J1184" t="s">
        <v>119</v>
      </c>
      <c r="K1184" t="s">
        <v>203</v>
      </c>
      <c r="L1184" t="s">
        <v>18</v>
      </c>
      <c r="M1184" t="s">
        <v>2710</v>
      </c>
      <c r="N1184" s="6" t="s">
        <v>3660</v>
      </c>
      <c r="O1184" t="s">
        <v>3387</v>
      </c>
      <c r="P1184" t="s">
        <v>2652</v>
      </c>
      <c r="Q1184" t="s">
        <v>3661</v>
      </c>
      <c r="R1184" t="s">
        <v>3607</v>
      </c>
      <c r="S1184">
        <v>2022</v>
      </c>
      <c r="T1184" t="s">
        <v>771</v>
      </c>
      <c r="U1184" t="s">
        <v>3389</v>
      </c>
      <c r="V1184">
        <v>73</v>
      </c>
      <c r="W1184">
        <v>2238</v>
      </c>
      <c r="X1184">
        <v>203</v>
      </c>
      <c r="Y1184">
        <v>0.74</v>
      </c>
      <c r="Z1184">
        <v>12</v>
      </c>
      <c r="AA1184">
        <v>18</v>
      </c>
      <c r="AC1184">
        <v>750</v>
      </c>
      <c r="AD1184">
        <v>0</v>
      </c>
      <c r="AE1184">
        <v>0</v>
      </c>
      <c r="AF1184">
        <v>200</v>
      </c>
      <c r="AH1184" s="21" t="s">
        <v>3621</v>
      </c>
      <c r="AM1184" t="s">
        <v>3622</v>
      </c>
      <c r="BS1184">
        <v>241</v>
      </c>
      <c r="BT1184">
        <v>334</v>
      </c>
      <c r="BU1184">
        <v>434</v>
      </c>
      <c r="CE1184" s="19">
        <f>SUM(Table1[[#This Row],[Low38]],Table1[[#This Row],[Low35]],Table1[[#This Row],[Low32]],Table1[[#This Row],[Low29]],Table1[[#This Row],[Low26]],Table1[[#This Row],[Low23]],Table1[[#This Row],[Low20]],Table1[[#This Row],[Low17]],Table1[[#This Row],[Low14]],Table1[[#This Row],[Low11]],Table1[[#This Row],[Low8]],Table1[[#This Row],[Low5]],Table1[[#This Row],[Low2]],Table1[[#This Row],[Low]])</f>
        <v>241</v>
      </c>
      <c r="CF1184" s="19">
        <f>SUM(Table1[[#This Row],[Mid39]],Table1[[#This Row],[Mid36]],Table1[[#This Row],[Mid33]],Table1[[#This Row],[Mid30]],Table1[[#This Row],[Mid27]],Table1[[#This Row],[Mid24]],Table1[[#This Row],[Mid21]],Table1[[#This Row],[Mid18]],Table1[[#This Row],[Mid15]],Table1[[#This Row],[Mid12]],Table1[[#This Row],[Mid9]],Table1[[#This Row],[Mid6]],Table1[[#This Row],[Mid3]],Table1[[#This Row],[Mid]])</f>
        <v>334</v>
      </c>
      <c r="CG118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434</v>
      </c>
      <c r="CH1184" t="s">
        <v>157</v>
      </c>
      <c r="CI1184" t="s">
        <v>2471</v>
      </c>
      <c r="CJ1184" t="s">
        <v>158</v>
      </c>
      <c r="CL1184" s="19">
        <f>IF(Table1[[#This Row],[Type]]="Petroleum",1,IF(ISERROR(Table1[[#This Row],[Well Density]]*Table1[[#This Row],[Single Well Discovery Area]]),"",IF(Table1[[#This Row],[Well Density]]*Table1[[#This Row],[Single Well Discovery Area]]&gt;1,1,Table1[[#This Row],[Well Density]]*Table1[[#This Row],[Single Well Discovery Area]])))</f>
        <v>0</v>
      </c>
      <c r="CN1184" s="19">
        <f>Table1[[#This Row],[Mid]]</f>
        <v>0</v>
      </c>
      <c r="CO1184" s="19">
        <f>Table1[[#This Row],[Mid3]]+Table1[[#This Row],[Mid6]]+Table1[[#This Row],[Mid9]]</f>
        <v>0</v>
      </c>
      <c r="CP1184" s="19">
        <f>Table1[[#This Row],[Mid12]]+Table1[[#This Row],[Mid15]]+Table1[[#This Row],[Mid18]]+Table1[[#This Row],[Mid21]]+Table1[[#This Row],[Mid24]]</f>
        <v>0</v>
      </c>
      <c r="CQ1184" s="19">
        <f>Table1[[#This Row],[Mid27]]+Table1[[#This Row],[Mid30]]+Table1[[#This Row],[Mid33]]+Table1[[#This Row],[Mid36]]+Table1[[#This Row],[Mid39]]</f>
        <v>334</v>
      </c>
      <c r="CR1184" t="s">
        <v>415</v>
      </c>
      <c r="CS1184" s="19" t="str">
        <f>IF(AND(Table1[[#This Row],[Low41]]=0, Table1[[#This Row],[High43]]=0),"N","Y")</f>
        <v>Y</v>
      </c>
    </row>
    <row r="1185" spans="1:97" ht="19.5" customHeight="1" x14ac:dyDescent="0.25">
      <c r="A1185">
        <v>11186</v>
      </c>
      <c r="B1185" t="s">
        <v>408</v>
      </c>
      <c r="C1185" t="s">
        <v>3599</v>
      </c>
      <c r="D1185">
        <v>56.089722219999999</v>
      </c>
      <c r="E1185">
        <v>10.56722222</v>
      </c>
      <c r="F1185" t="s">
        <v>3662</v>
      </c>
      <c r="G1185" t="s">
        <v>1460</v>
      </c>
      <c r="H1185" t="s">
        <v>1468</v>
      </c>
      <c r="I1185" t="s">
        <v>118</v>
      </c>
      <c r="J1185" t="s">
        <v>119</v>
      </c>
      <c r="K1185" t="s">
        <v>203</v>
      </c>
      <c r="L1185" t="s">
        <v>18</v>
      </c>
      <c r="M1185" t="s">
        <v>2710</v>
      </c>
      <c r="N1185" s="6" t="s">
        <v>3663</v>
      </c>
      <c r="O1185" t="s">
        <v>3387</v>
      </c>
      <c r="P1185" t="s">
        <v>2652</v>
      </c>
      <c r="Q1185" t="s">
        <v>3664</v>
      </c>
      <c r="R1185" t="s">
        <v>3607</v>
      </c>
      <c r="S1185">
        <v>2022</v>
      </c>
      <c r="T1185" t="s">
        <v>771</v>
      </c>
      <c r="U1185" t="s">
        <v>3389</v>
      </c>
      <c r="V1185">
        <v>206</v>
      </c>
      <c r="W1185">
        <v>1899</v>
      </c>
      <c r="X1185">
        <v>128</v>
      </c>
      <c r="Y1185">
        <v>0.23</v>
      </c>
      <c r="Z1185">
        <v>25</v>
      </c>
      <c r="AA1185">
        <v>461</v>
      </c>
      <c r="AC1185">
        <v>785</v>
      </c>
      <c r="AD1185">
        <v>0</v>
      </c>
      <c r="AE1185">
        <v>0</v>
      </c>
      <c r="AF1185">
        <v>200</v>
      </c>
      <c r="AH1185" s="21" t="s">
        <v>3621</v>
      </c>
      <c r="AM1185" t="s">
        <v>3622</v>
      </c>
      <c r="BS1185">
        <v>187</v>
      </c>
      <c r="BT1185">
        <v>307</v>
      </c>
      <c r="BU1185">
        <v>447</v>
      </c>
      <c r="CE1185" s="19">
        <f>SUM(Table1[[#This Row],[Low38]],Table1[[#This Row],[Low35]],Table1[[#This Row],[Low32]],Table1[[#This Row],[Low29]],Table1[[#This Row],[Low26]],Table1[[#This Row],[Low23]],Table1[[#This Row],[Low20]],Table1[[#This Row],[Low17]],Table1[[#This Row],[Low14]],Table1[[#This Row],[Low11]],Table1[[#This Row],[Low8]],Table1[[#This Row],[Low5]],Table1[[#This Row],[Low2]],Table1[[#This Row],[Low]])</f>
        <v>187</v>
      </c>
      <c r="CF1185" s="19">
        <f>SUM(Table1[[#This Row],[Mid39]],Table1[[#This Row],[Mid36]],Table1[[#This Row],[Mid33]],Table1[[#This Row],[Mid30]],Table1[[#This Row],[Mid27]],Table1[[#This Row],[Mid24]],Table1[[#This Row],[Mid21]],Table1[[#This Row],[Mid18]],Table1[[#This Row],[Mid15]],Table1[[#This Row],[Mid12]],Table1[[#This Row],[Mid9]],Table1[[#This Row],[Mid6]],Table1[[#This Row],[Mid3]],Table1[[#This Row],[Mid]])</f>
        <v>307</v>
      </c>
      <c r="CG118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447</v>
      </c>
      <c r="CH1185" t="s">
        <v>157</v>
      </c>
      <c r="CI1185" t="s">
        <v>189</v>
      </c>
      <c r="CJ1185" t="s">
        <v>158</v>
      </c>
      <c r="CL1185" s="19">
        <f>IF(Table1[[#This Row],[Type]]="Petroleum",1,IF(ISERROR(Table1[[#This Row],[Well Density]]*Table1[[#This Row],[Single Well Discovery Area]]),"",IF(Table1[[#This Row],[Well Density]]*Table1[[#This Row],[Single Well Discovery Area]]&gt;1,1,Table1[[#This Row],[Well Density]]*Table1[[#This Row],[Single Well Discovery Area]])))</f>
        <v>0</v>
      </c>
      <c r="CN1185" s="19">
        <f>Table1[[#This Row],[Mid]]</f>
        <v>0</v>
      </c>
      <c r="CO1185" s="19">
        <f>Table1[[#This Row],[Mid3]]+Table1[[#This Row],[Mid6]]+Table1[[#This Row],[Mid9]]</f>
        <v>0</v>
      </c>
      <c r="CP1185" s="19">
        <f>Table1[[#This Row],[Mid12]]+Table1[[#This Row],[Mid15]]+Table1[[#This Row],[Mid18]]+Table1[[#This Row],[Mid21]]+Table1[[#This Row],[Mid24]]</f>
        <v>0</v>
      </c>
      <c r="CQ1185" s="19">
        <f>Table1[[#This Row],[Mid27]]+Table1[[#This Row],[Mid30]]+Table1[[#This Row],[Mid33]]+Table1[[#This Row],[Mid36]]+Table1[[#This Row],[Mid39]]</f>
        <v>307</v>
      </c>
      <c r="CR1185" t="s">
        <v>415</v>
      </c>
      <c r="CS1185" s="19" t="str">
        <f>IF(AND(Table1[[#This Row],[Low41]]=0, Table1[[#This Row],[High43]]=0),"N","Y")</f>
        <v>Y</v>
      </c>
    </row>
    <row r="1186" spans="1:97" ht="19.5" customHeight="1" x14ac:dyDescent="0.25">
      <c r="A1186">
        <v>11187</v>
      </c>
      <c r="B1186" t="s">
        <v>408</v>
      </c>
      <c r="C1186" t="s">
        <v>1449</v>
      </c>
      <c r="D1186">
        <v>57.621111110000001</v>
      </c>
      <c r="E1186">
        <v>7.6961111109999996</v>
      </c>
      <c r="F1186" t="s">
        <v>3665</v>
      </c>
      <c r="G1186" t="s">
        <v>1460</v>
      </c>
      <c r="H1186" t="s">
        <v>3666</v>
      </c>
      <c r="I1186" t="s">
        <v>118</v>
      </c>
      <c r="J1186" t="s">
        <v>119</v>
      </c>
      <c r="K1186" t="s">
        <v>167</v>
      </c>
      <c r="L1186" t="s">
        <v>121</v>
      </c>
      <c r="M1186" t="s">
        <v>252</v>
      </c>
      <c r="N1186" s="6" t="s">
        <v>3667</v>
      </c>
      <c r="O1186" t="s">
        <v>3387</v>
      </c>
      <c r="P1186" t="s">
        <v>2652</v>
      </c>
      <c r="Q1186" t="s">
        <v>3668</v>
      </c>
      <c r="R1186" t="s">
        <v>3669</v>
      </c>
      <c r="S1186">
        <v>2013</v>
      </c>
      <c r="T1186" t="s">
        <v>771</v>
      </c>
      <c r="U1186" t="s">
        <v>3389</v>
      </c>
      <c r="V1186"/>
      <c r="W1186">
        <v>1150</v>
      </c>
      <c r="X1186">
        <v>28</v>
      </c>
      <c r="Y1186">
        <v>0.65</v>
      </c>
      <c r="Z1186">
        <v>26</v>
      </c>
      <c r="AD1186">
        <v>9</v>
      </c>
      <c r="AF1186">
        <v>200</v>
      </c>
      <c r="AH1186" t="s">
        <v>167</v>
      </c>
      <c r="AM1186" t="s">
        <v>167</v>
      </c>
      <c r="BH1186">
        <v>250</v>
      </c>
      <c r="CE118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86" s="19">
        <f>SUM(Table1[[#This Row],[Mid39]],Table1[[#This Row],[Mid36]],Table1[[#This Row],[Mid33]],Table1[[#This Row],[Mid30]],Table1[[#This Row],[Mid27]],Table1[[#This Row],[Mid24]],Table1[[#This Row],[Mid21]],Table1[[#This Row],[Mid18]],Table1[[#This Row],[Mid15]],Table1[[#This Row],[Mid12]],Table1[[#This Row],[Mid9]],Table1[[#This Row],[Mid6]],Table1[[#This Row],[Mid3]],Table1[[#This Row],[Mid]])</f>
        <v>250</v>
      </c>
      <c r="CG118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86" t="s">
        <v>157</v>
      </c>
      <c r="CI1186" t="s">
        <v>2471</v>
      </c>
      <c r="CJ1186" t="s">
        <v>158</v>
      </c>
      <c r="CL1186" s="19">
        <f>IF(Table1[[#This Row],[Type]]="Petroleum",1,IF(ISERROR(Table1[[#This Row],[Well Density]]*Table1[[#This Row],[Single Well Discovery Area]]),"",IF(Table1[[#This Row],[Well Density]]*Table1[[#This Row],[Single Well Discovery Area]]&gt;1,1,Table1[[#This Row],[Well Density]]*Table1[[#This Row],[Single Well Discovery Area]])))</f>
        <v>0</v>
      </c>
      <c r="CN1186" s="19">
        <f>Table1[[#This Row],[Mid]]</f>
        <v>0</v>
      </c>
      <c r="CO1186" s="19">
        <f>Table1[[#This Row],[Mid3]]+Table1[[#This Row],[Mid6]]+Table1[[#This Row],[Mid9]]</f>
        <v>0</v>
      </c>
      <c r="CP1186" s="19">
        <f>Table1[[#This Row],[Mid12]]+Table1[[#This Row],[Mid15]]+Table1[[#This Row],[Mid18]]+Table1[[#This Row],[Mid21]]+Table1[[#This Row],[Mid24]]</f>
        <v>250</v>
      </c>
      <c r="CQ1186" s="19">
        <f>Table1[[#This Row],[Mid27]]+Table1[[#This Row],[Mid30]]+Table1[[#This Row],[Mid33]]+Table1[[#This Row],[Mid36]]+Table1[[#This Row],[Mid39]]</f>
        <v>0</v>
      </c>
      <c r="CR1186" t="s">
        <v>415</v>
      </c>
      <c r="CS1186" s="19" t="str">
        <f>IF(AND(Table1[[#This Row],[Low41]]=0, Table1[[#This Row],[High43]]=0),"N","Y")</f>
        <v>N</v>
      </c>
    </row>
    <row r="1187" spans="1:97" ht="19.5" customHeight="1" x14ac:dyDescent="0.25">
      <c r="A1187">
        <v>11188</v>
      </c>
      <c r="B1187" t="s">
        <v>408</v>
      </c>
      <c r="C1187" t="s">
        <v>3623</v>
      </c>
      <c r="D1187">
        <v>55.511666669999997</v>
      </c>
      <c r="E1187">
        <v>11.543611110000001</v>
      </c>
      <c r="F1187" t="s">
        <v>3670</v>
      </c>
      <c r="G1187" t="s">
        <v>1463</v>
      </c>
      <c r="H1187" t="s">
        <v>1468</v>
      </c>
      <c r="I1187" t="s">
        <v>118</v>
      </c>
      <c r="J1187" t="s">
        <v>119</v>
      </c>
      <c r="K1187" t="s">
        <v>203</v>
      </c>
      <c r="L1187" t="s">
        <v>121</v>
      </c>
      <c r="M1187" t="s">
        <v>2710</v>
      </c>
      <c r="N1187" s="6" t="s">
        <v>3671</v>
      </c>
      <c r="O1187" t="s">
        <v>3672</v>
      </c>
      <c r="P1187" t="s">
        <v>3673</v>
      </c>
      <c r="Q1187" t="s">
        <v>255</v>
      </c>
      <c r="R1187" t="s">
        <v>3673</v>
      </c>
      <c r="S1187">
        <v>2023</v>
      </c>
      <c r="T1187" t="s">
        <v>771</v>
      </c>
      <c r="U1187" t="s">
        <v>3389</v>
      </c>
      <c r="V1187"/>
      <c r="AF1187">
        <v>200</v>
      </c>
      <c r="AH1187" t="s">
        <v>167</v>
      </c>
      <c r="AM1187" t="s">
        <v>167</v>
      </c>
      <c r="BB1187">
        <v>10</v>
      </c>
      <c r="CE118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87"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118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87" t="s">
        <v>157</v>
      </c>
      <c r="CI1187" t="s">
        <v>2471</v>
      </c>
      <c r="CJ1187" t="s">
        <v>158</v>
      </c>
      <c r="CL1187" s="19">
        <f>IF(Table1[[#This Row],[Type]]="Petroleum",1,IF(ISERROR(Table1[[#This Row],[Well Density]]*Table1[[#This Row],[Single Well Discovery Area]]),"",IF(Table1[[#This Row],[Well Density]]*Table1[[#This Row],[Single Well Discovery Area]]&gt;1,1,Table1[[#This Row],[Well Density]]*Table1[[#This Row],[Single Well Discovery Area]])))</f>
        <v>0</v>
      </c>
      <c r="CN1187" s="19">
        <f>Table1[[#This Row],[Mid]]</f>
        <v>0</v>
      </c>
      <c r="CO1187" s="19">
        <f>Table1[[#This Row],[Mid3]]+Table1[[#This Row],[Mid6]]+Table1[[#This Row],[Mid9]]</f>
        <v>0</v>
      </c>
      <c r="CP1187" s="19">
        <f>Table1[[#This Row],[Mid12]]+Table1[[#This Row],[Mid15]]+Table1[[#This Row],[Mid18]]+Table1[[#This Row],[Mid21]]+Table1[[#This Row],[Mid24]]</f>
        <v>10</v>
      </c>
      <c r="CQ1187" s="19">
        <f>Table1[[#This Row],[Mid27]]+Table1[[#This Row],[Mid30]]+Table1[[#This Row],[Mid33]]+Table1[[#This Row],[Mid36]]+Table1[[#This Row],[Mid39]]</f>
        <v>0</v>
      </c>
      <c r="CR1187" t="s">
        <v>415</v>
      </c>
      <c r="CS1187" s="19" t="str">
        <f>IF(AND(Table1[[#This Row],[Low41]]=0, Table1[[#This Row],[High43]]=0),"N","Y")</f>
        <v>N</v>
      </c>
    </row>
    <row r="1188" spans="1:97" ht="19.5" customHeight="1" x14ac:dyDescent="0.25">
      <c r="A1188">
        <v>11189</v>
      </c>
      <c r="B1188" t="s">
        <v>1399</v>
      </c>
      <c r="C1188" t="s">
        <v>1400</v>
      </c>
      <c r="D1188">
        <v>71.833333330000002</v>
      </c>
      <c r="E1188">
        <v>25</v>
      </c>
      <c r="F1188" t="s">
        <v>3674</v>
      </c>
      <c r="G1188" t="s">
        <v>3675</v>
      </c>
      <c r="H1188" t="s">
        <v>167</v>
      </c>
      <c r="I1188" t="s">
        <v>118</v>
      </c>
      <c r="J1188" t="s">
        <v>119</v>
      </c>
      <c r="K1188" t="s">
        <v>203</v>
      </c>
      <c r="L1188" t="s">
        <v>261</v>
      </c>
      <c r="M1188" t="s">
        <v>252</v>
      </c>
      <c r="N1188" s="6" t="s">
        <v>3676</v>
      </c>
      <c r="O1188" t="s">
        <v>3677</v>
      </c>
      <c r="P1188" t="s">
        <v>3678</v>
      </c>
      <c r="Q1188" t="s">
        <v>3679</v>
      </c>
      <c r="R1188" t="s">
        <v>3680</v>
      </c>
      <c r="S1188">
        <v>2024</v>
      </c>
      <c r="T1188" t="s">
        <v>771</v>
      </c>
      <c r="U1188" t="s">
        <v>1479</v>
      </c>
      <c r="V1188">
        <v>350</v>
      </c>
      <c r="W1188">
        <v>1400</v>
      </c>
      <c r="X1188">
        <v>90</v>
      </c>
      <c r="AE1188">
        <v>2</v>
      </c>
      <c r="AF1188">
        <v>200</v>
      </c>
      <c r="AH1188" t="s">
        <v>167</v>
      </c>
      <c r="AM1188" t="s">
        <v>167</v>
      </c>
      <c r="AN1188" t="s">
        <v>132</v>
      </c>
      <c r="BK1188">
        <v>40</v>
      </c>
      <c r="BQ1188">
        <v>60</v>
      </c>
      <c r="CE118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88"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118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188" t="s">
        <v>134</v>
      </c>
      <c r="CJ1188" t="s">
        <v>135</v>
      </c>
      <c r="CL1188" s="19">
        <f>IF(Table1[[#This Row],[Type]]="Petroleum",1,IF(ISERROR(Table1[[#This Row],[Well Density]]*Table1[[#This Row],[Single Well Discovery Area]]),"",IF(Table1[[#This Row],[Well Density]]*Table1[[#This Row],[Single Well Discovery Area]]&gt;1,1,Table1[[#This Row],[Well Density]]*Table1[[#This Row],[Single Well Discovery Area]])))</f>
        <v>1</v>
      </c>
      <c r="CN1188" s="19">
        <f>Table1[[#This Row],[Mid]]</f>
        <v>0</v>
      </c>
      <c r="CO1188" s="19">
        <f>Table1[[#This Row],[Mid3]]+Table1[[#This Row],[Mid6]]+Table1[[#This Row],[Mid9]]</f>
        <v>0</v>
      </c>
      <c r="CP1188" s="19">
        <f>Table1[[#This Row],[Mid12]]+Table1[[#This Row],[Mid15]]+Table1[[#This Row],[Mid18]]+Table1[[#This Row],[Mid21]]+Table1[[#This Row],[Mid24]]</f>
        <v>40</v>
      </c>
      <c r="CQ1188" s="19">
        <f>Table1[[#This Row],[Mid27]]+Table1[[#This Row],[Mid30]]+Table1[[#This Row],[Mid33]]+Table1[[#This Row],[Mid36]]+Table1[[#This Row],[Mid39]]</f>
        <v>60</v>
      </c>
      <c r="CR1188" t="s">
        <v>415</v>
      </c>
      <c r="CS1188" s="19" t="str">
        <f>IF(AND(Table1[[#This Row],[Low41]]=0, Table1[[#This Row],[High43]]=0),"N","Y")</f>
        <v>N</v>
      </c>
    </row>
    <row r="1189" spans="1:97" ht="19.5" customHeight="1" x14ac:dyDescent="0.25">
      <c r="A1189">
        <v>11191</v>
      </c>
      <c r="B1189" t="s">
        <v>1399</v>
      </c>
      <c r="C1189" t="s">
        <v>1449</v>
      </c>
      <c r="D1189">
        <v>58.356388889999998</v>
      </c>
      <c r="E1189">
        <v>2.3533333330000001</v>
      </c>
      <c r="F1189" t="s">
        <v>3681</v>
      </c>
      <c r="G1189" t="s">
        <v>3682</v>
      </c>
      <c r="H1189" t="s">
        <v>3683</v>
      </c>
      <c r="I1189" t="s">
        <v>118</v>
      </c>
      <c r="J1189" t="s">
        <v>119</v>
      </c>
      <c r="K1189" t="s">
        <v>167</v>
      </c>
      <c r="L1189" t="s">
        <v>121</v>
      </c>
      <c r="M1189" t="s">
        <v>1529</v>
      </c>
      <c r="N1189" s="6" t="s">
        <v>3684</v>
      </c>
      <c r="O1189" t="s">
        <v>3685</v>
      </c>
      <c r="P1189" t="s">
        <v>3686</v>
      </c>
      <c r="Q1189" t="s">
        <v>255</v>
      </c>
      <c r="R1189" t="s">
        <v>3687</v>
      </c>
      <c r="S1189">
        <v>2024</v>
      </c>
      <c r="T1189" t="s">
        <v>771</v>
      </c>
      <c r="U1189" t="s">
        <v>1479</v>
      </c>
      <c r="V1189">
        <v>1033</v>
      </c>
      <c r="AE1189">
        <v>9</v>
      </c>
      <c r="AF1189">
        <v>200</v>
      </c>
      <c r="AH1189" t="s">
        <v>167</v>
      </c>
      <c r="AM1189" t="s">
        <v>167</v>
      </c>
      <c r="AN1189" t="s">
        <v>132</v>
      </c>
      <c r="BK1189">
        <v>200</v>
      </c>
      <c r="BL1189">
        <v>300</v>
      </c>
      <c r="CE118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89" s="19">
        <f>SUM(Table1[[#This Row],[Mid39]],Table1[[#This Row],[Mid36]],Table1[[#This Row],[Mid33]],Table1[[#This Row],[Mid30]],Table1[[#This Row],[Mid27]],Table1[[#This Row],[Mid24]],Table1[[#This Row],[Mid21]],Table1[[#This Row],[Mid18]],Table1[[#This Row],[Mid15]],Table1[[#This Row],[Mid12]],Table1[[#This Row],[Mid9]],Table1[[#This Row],[Mid6]],Table1[[#This Row],[Mid3]],Table1[[#This Row],[Mid]])</f>
        <v>200</v>
      </c>
      <c r="CG118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300</v>
      </c>
      <c r="CI1189" t="s">
        <v>134</v>
      </c>
      <c r="CJ1189" t="s">
        <v>135</v>
      </c>
      <c r="CL1189" s="19">
        <f>IF(Table1[[#This Row],[Type]]="Petroleum",1,IF(ISERROR(Table1[[#This Row],[Well Density]]*Table1[[#This Row],[Single Well Discovery Area]]),"",IF(Table1[[#This Row],[Well Density]]*Table1[[#This Row],[Single Well Discovery Area]]&gt;1,1,Table1[[#This Row],[Well Density]]*Table1[[#This Row],[Single Well Discovery Area]])))</f>
        <v>1</v>
      </c>
      <c r="CN1189" s="19">
        <f>Table1[[#This Row],[Mid]]</f>
        <v>0</v>
      </c>
      <c r="CO1189" s="19">
        <f>Table1[[#This Row],[Mid3]]+Table1[[#This Row],[Mid6]]+Table1[[#This Row],[Mid9]]</f>
        <v>0</v>
      </c>
      <c r="CP1189" s="19">
        <f>Table1[[#This Row],[Mid12]]+Table1[[#This Row],[Mid15]]+Table1[[#This Row],[Mid18]]+Table1[[#This Row],[Mid21]]+Table1[[#This Row],[Mid24]]</f>
        <v>200</v>
      </c>
      <c r="CQ1189" s="19">
        <f>Table1[[#This Row],[Mid27]]+Table1[[#This Row],[Mid30]]+Table1[[#This Row],[Mid33]]+Table1[[#This Row],[Mid36]]+Table1[[#This Row],[Mid39]]</f>
        <v>0</v>
      </c>
      <c r="CR1189" t="s">
        <v>415</v>
      </c>
      <c r="CS1189" s="19" t="str">
        <f>IF(AND(Table1[[#This Row],[Low41]]=0, Table1[[#This Row],[High43]]=0),"N","Y")</f>
        <v>Y</v>
      </c>
    </row>
    <row r="1190" spans="1:97" ht="19.5" customHeight="1" x14ac:dyDescent="0.25">
      <c r="A1190">
        <v>11192</v>
      </c>
      <c r="B1190" t="s">
        <v>1399</v>
      </c>
      <c r="C1190" t="s">
        <v>1449</v>
      </c>
      <c r="D1190">
        <v>60.611944440000002</v>
      </c>
      <c r="E1190">
        <v>3.548333333</v>
      </c>
      <c r="F1190" t="s">
        <v>3688</v>
      </c>
      <c r="G1190" t="s">
        <v>3682</v>
      </c>
      <c r="H1190" t="s">
        <v>3689</v>
      </c>
      <c r="I1190" t="s">
        <v>118</v>
      </c>
      <c r="J1190" t="s">
        <v>119</v>
      </c>
      <c r="K1190" t="s">
        <v>203</v>
      </c>
      <c r="L1190" t="s">
        <v>18</v>
      </c>
      <c r="M1190" t="s">
        <v>2656</v>
      </c>
      <c r="N1190" s="6" t="s">
        <v>3690</v>
      </c>
      <c r="O1190" t="s">
        <v>3387</v>
      </c>
      <c r="P1190" t="s">
        <v>3691</v>
      </c>
      <c r="Q1190" t="s">
        <v>3692</v>
      </c>
      <c r="R1190" t="s">
        <v>3693</v>
      </c>
      <c r="S1190">
        <v>2013</v>
      </c>
      <c r="T1190" t="s">
        <v>771</v>
      </c>
      <c r="U1190" t="s">
        <v>1479</v>
      </c>
      <c r="V1190">
        <v>3500</v>
      </c>
      <c r="W1190">
        <v>2300</v>
      </c>
      <c r="X1190">
        <v>130</v>
      </c>
      <c r="Z1190">
        <v>20</v>
      </c>
      <c r="AA1190">
        <v>300</v>
      </c>
      <c r="AE1190">
        <v>0</v>
      </c>
      <c r="AF1190">
        <v>200</v>
      </c>
      <c r="AG1190">
        <v>30</v>
      </c>
      <c r="AH1190" t="s">
        <v>167</v>
      </c>
      <c r="AM1190" t="s">
        <v>167</v>
      </c>
      <c r="AN1190" t="s">
        <v>132</v>
      </c>
      <c r="BW1190">
        <v>701.23</v>
      </c>
      <c r="CE119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90" s="19">
        <f>SUM(Table1[[#This Row],[Mid39]],Table1[[#This Row],[Mid36]],Table1[[#This Row],[Mid33]],Table1[[#This Row],[Mid30]],Table1[[#This Row],[Mid27]],Table1[[#This Row],[Mid24]],Table1[[#This Row],[Mid21]],Table1[[#This Row],[Mid18]],Table1[[#This Row],[Mid15]],Table1[[#This Row],[Mid12]],Table1[[#This Row],[Mid9]],Table1[[#This Row],[Mid6]],Table1[[#This Row],[Mid3]],Table1[[#This Row],[Mid]])</f>
        <v>701.23</v>
      </c>
      <c r="CG119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190" t="s">
        <v>134</v>
      </c>
      <c r="CJ1190" t="s">
        <v>158</v>
      </c>
      <c r="CL1190" s="19">
        <f>IF(Table1[[#This Row],[Type]]="Petroleum",1,IF(ISERROR(Table1[[#This Row],[Well Density]]*Table1[[#This Row],[Single Well Discovery Area]]),"",IF(Table1[[#This Row],[Well Density]]*Table1[[#This Row],[Single Well Discovery Area]]&gt;1,1,Table1[[#This Row],[Well Density]]*Table1[[#This Row],[Single Well Discovery Area]])))</f>
        <v>0</v>
      </c>
      <c r="CN1190" s="19">
        <f>Table1[[#This Row],[Mid]]</f>
        <v>0</v>
      </c>
      <c r="CO1190" s="19">
        <f>Table1[[#This Row],[Mid3]]+Table1[[#This Row],[Mid6]]+Table1[[#This Row],[Mid9]]</f>
        <v>0</v>
      </c>
      <c r="CP1190" s="19">
        <f>Table1[[#This Row],[Mid12]]+Table1[[#This Row],[Mid15]]+Table1[[#This Row],[Mid18]]+Table1[[#This Row],[Mid21]]+Table1[[#This Row],[Mid24]]</f>
        <v>0</v>
      </c>
      <c r="CQ1190" s="19">
        <f>Table1[[#This Row],[Mid27]]+Table1[[#This Row],[Mid30]]+Table1[[#This Row],[Mid33]]+Table1[[#This Row],[Mid36]]+Table1[[#This Row],[Mid39]]</f>
        <v>701.23</v>
      </c>
      <c r="CR1190" t="s">
        <v>415</v>
      </c>
      <c r="CS1190" s="19" t="str">
        <f>IF(AND(Table1[[#This Row],[Low41]]=0, Table1[[#This Row],[High43]]=0),"N","Y")</f>
        <v>N</v>
      </c>
    </row>
    <row r="1191" spans="1:97" ht="19.5" customHeight="1" x14ac:dyDescent="0.25">
      <c r="A1191">
        <v>11193</v>
      </c>
      <c r="B1191" t="s">
        <v>1399</v>
      </c>
      <c r="C1191" t="s">
        <v>1449</v>
      </c>
      <c r="D1191">
        <v>60.760833329999997</v>
      </c>
      <c r="E1191">
        <v>3.960277778</v>
      </c>
      <c r="F1191" t="s">
        <v>3694</v>
      </c>
      <c r="G1191" t="s">
        <v>3682</v>
      </c>
      <c r="H1191" t="s">
        <v>3695</v>
      </c>
      <c r="I1191" t="s">
        <v>118</v>
      </c>
      <c r="J1191" t="s">
        <v>119</v>
      </c>
      <c r="K1191" t="s">
        <v>203</v>
      </c>
      <c r="L1191" t="s">
        <v>18</v>
      </c>
      <c r="M1191" t="s">
        <v>2605</v>
      </c>
      <c r="N1191" s="6" t="s">
        <v>3696</v>
      </c>
      <c r="O1191" t="s">
        <v>3387</v>
      </c>
      <c r="P1191" t="s">
        <v>2652</v>
      </c>
      <c r="Q1191" t="s">
        <v>3697</v>
      </c>
      <c r="R1191" t="s">
        <v>3698</v>
      </c>
      <c r="S1191">
        <v>2019</v>
      </c>
      <c r="T1191" t="s">
        <v>771</v>
      </c>
      <c r="U1191" t="s">
        <v>1479</v>
      </c>
      <c r="V1191"/>
      <c r="X1191">
        <v>135</v>
      </c>
      <c r="Z1191">
        <v>26</v>
      </c>
      <c r="AA1191">
        <v>10000</v>
      </c>
      <c r="AF1191">
        <v>200</v>
      </c>
      <c r="AH1191" t="s">
        <v>167</v>
      </c>
      <c r="AM1191" t="s">
        <v>3699</v>
      </c>
      <c r="AN1191" t="s">
        <v>132</v>
      </c>
      <c r="BT1191">
        <v>40</v>
      </c>
      <c r="BU1191">
        <v>50</v>
      </c>
      <c r="CE119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91" s="19">
        <f>SUM(Table1[[#This Row],[Mid39]],Table1[[#This Row],[Mid36]],Table1[[#This Row],[Mid33]],Table1[[#This Row],[Mid30]],Table1[[#This Row],[Mid27]],Table1[[#This Row],[Mid24]],Table1[[#This Row],[Mid21]],Table1[[#This Row],[Mid18]],Table1[[#This Row],[Mid15]],Table1[[#This Row],[Mid12]],Table1[[#This Row],[Mid9]],Table1[[#This Row],[Mid6]],Table1[[#This Row],[Mid3]],Table1[[#This Row],[Mid]])</f>
        <v>40</v>
      </c>
      <c r="CG119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50</v>
      </c>
      <c r="CI1191" t="s">
        <v>134</v>
      </c>
      <c r="CJ1191" t="s">
        <v>158</v>
      </c>
      <c r="CL1191" s="19">
        <f>IF(Table1[[#This Row],[Type]]="Petroleum",1,IF(ISERROR(Table1[[#This Row],[Well Density]]*Table1[[#This Row],[Single Well Discovery Area]]),"",IF(Table1[[#This Row],[Well Density]]*Table1[[#This Row],[Single Well Discovery Area]]&gt;1,1,Table1[[#This Row],[Well Density]]*Table1[[#This Row],[Single Well Discovery Area]])))</f>
        <v>0</v>
      </c>
      <c r="CN1191" s="19">
        <f>Table1[[#This Row],[Mid]]</f>
        <v>0</v>
      </c>
      <c r="CO1191" s="19">
        <f>Table1[[#This Row],[Mid3]]+Table1[[#This Row],[Mid6]]+Table1[[#This Row],[Mid9]]</f>
        <v>0</v>
      </c>
      <c r="CP1191" s="19">
        <f>Table1[[#This Row],[Mid12]]+Table1[[#This Row],[Mid15]]+Table1[[#This Row],[Mid18]]+Table1[[#This Row],[Mid21]]+Table1[[#This Row],[Mid24]]</f>
        <v>0</v>
      </c>
      <c r="CQ1191" s="19">
        <f>Table1[[#This Row],[Mid27]]+Table1[[#This Row],[Mid30]]+Table1[[#This Row],[Mid33]]+Table1[[#This Row],[Mid36]]+Table1[[#This Row],[Mid39]]</f>
        <v>40</v>
      </c>
      <c r="CR1191" t="s">
        <v>415</v>
      </c>
      <c r="CS1191" s="19" t="str">
        <f>IF(AND(Table1[[#This Row],[Low41]]=0, Table1[[#This Row],[High43]]=0),"N","Y")</f>
        <v>Y</v>
      </c>
    </row>
    <row r="1192" spans="1:97" ht="19.5" customHeight="1" x14ac:dyDescent="0.25">
      <c r="A1192">
        <v>11194</v>
      </c>
      <c r="B1192" t="s">
        <v>1399</v>
      </c>
      <c r="C1192" t="s">
        <v>1449</v>
      </c>
      <c r="D1192">
        <v>60.603611110000003</v>
      </c>
      <c r="E1192">
        <v>3.9872222220000002</v>
      </c>
      <c r="F1192" t="s">
        <v>3700</v>
      </c>
      <c r="G1192" t="s">
        <v>3682</v>
      </c>
      <c r="H1192" t="s">
        <v>3695</v>
      </c>
      <c r="I1192" t="s">
        <v>118</v>
      </c>
      <c r="J1192" t="s">
        <v>119</v>
      </c>
      <c r="K1192" t="s">
        <v>203</v>
      </c>
      <c r="L1192" t="s">
        <v>18</v>
      </c>
      <c r="M1192" t="s">
        <v>2605</v>
      </c>
      <c r="N1192" s="6" t="s">
        <v>3696</v>
      </c>
      <c r="O1192" t="s">
        <v>3387</v>
      </c>
      <c r="P1192" t="s">
        <v>2652</v>
      </c>
      <c r="Q1192" t="s">
        <v>3697</v>
      </c>
      <c r="R1192" t="s">
        <v>3698</v>
      </c>
      <c r="S1192">
        <v>2019</v>
      </c>
      <c r="T1192" t="s">
        <v>771</v>
      </c>
      <c r="U1192" t="s">
        <v>1479</v>
      </c>
      <c r="V1192"/>
      <c r="X1192">
        <v>135</v>
      </c>
      <c r="Z1192">
        <v>26</v>
      </c>
      <c r="AA1192">
        <v>10000</v>
      </c>
      <c r="AF1192">
        <v>200</v>
      </c>
      <c r="AH1192" t="s">
        <v>167</v>
      </c>
      <c r="AM1192" t="s">
        <v>3699</v>
      </c>
      <c r="AN1192" t="s">
        <v>132</v>
      </c>
      <c r="BT1192">
        <v>150</v>
      </c>
      <c r="BU1192">
        <v>3000</v>
      </c>
      <c r="CE119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92" s="19">
        <f>SUM(Table1[[#This Row],[Mid39]],Table1[[#This Row],[Mid36]],Table1[[#This Row],[Mid33]],Table1[[#This Row],[Mid30]],Table1[[#This Row],[Mid27]],Table1[[#This Row],[Mid24]],Table1[[#This Row],[Mid21]],Table1[[#This Row],[Mid18]],Table1[[#This Row],[Mid15]],Table1[[#This Row],[Mid12]],Table1[[#This Row],[Mid9]],Table1[[#This Row],[Mid6]],Table1[[#This Row],[Mid3]],Table1[[#This Row],[Mid]])</f>
        <v>150</v>
      </c>
      <c r="CG119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3000</v>
      </c>
      <c r="CI1192" t="s">
        <v>134</v>
      </c>
      <c r="CJ1192" t="s">
        <v>158</v>
      </c>
      <c r="CL1192" s="19">
        <f>IF(Table1[[#This Row],[Type]]="Petroleum",1,IF(ISERROR(Table1[[#This Row],[Well Density]]*Table1[[#This Row],[Single Well Discovery Area]]),"",IF(Table1[[#This Row],[Well Density]]*Table1[[#This Row],[Single Well Discovery Area]]&gt;1,1,Table1[[#This Row],[Well Density]]*Table1[[#This Row],[Single Well Discovery Area]])))</f>
        <v>0</v>
      </c>
      <c r="CN1192" s="19">
        <f>Table1[[#This Row],[Mid]]</f>
        <v>0</v>
      </c>
      <c r="CO1192" s="19">
        <f>Table1[[#This Row],[Mid3]]+Table1[[#This Row],[Mid6]]+Table1[[#This Row],[Mid9]]</f>
        <v>0</v>
      </c>
      <c r="CP1192" s="19">
        <f>Table1[[#This Row],[Mid12]]+Table1[[#This Row],[Mid15]]+Table1[[#This Row],[Mid18]]+Table1[[#This Row],[Mid21]]+Table1[[#This Row],[Mid24]]</f>
        <v>0</v>
      </c>
      <c r="CQ1192" s="19">
        <f>Table1[[#This Row],[Mid27]]+Table1[[#This Row],[Mid30]]+Table1[[#This Row],[Mid33]]+Table1[[#This Row],[Mid36]]+Table1[[#This Row],[Mid39]]</f>
        <v>150</v>
      </c>
      <c r="CR1192" t="s">
        <v>415</v>
      </c>
      <c r="CS1192" s="19" t="str">
        <f>IF(AND(Table1[[#This Row],[Low41]]=0, Table1[[#This Row],[High43]]=0),"N","Y")</f>
        <v>Y</v>
      </c>
    </row>
    <row r="1193" spans="1:97" ht="19.5" customHeight="1" x14ac:dyDescent="0.25">
      <c r="A1193">
        <v>11195</v>
      </c>
      <c r="B1193" t="s">
        <v>1399</v>
      </c>
      <c r="C1193" t="s">
        <v>1449</v>
      </c>
      <c r="D1193">
        <v>60.800277780000002</v>
      </c>
      <c r="E1193">
        <v>3.6066666669999998</v>
      </c>
      <c r="F1193" t="s">
        <v>3701</v>
      </c>
      <c r="G1193" t="s">
        <v>3682</v>
      </c>
      <c r="H1193" t="s">
        <v>3695</v>
      </c>
      <c r="I1193" t="s">
        <v>2245</v>
      </c>
      <c r="J1193" t="s">
        <v>202</v>
      </c>
      <c r="K1193" t="s">
        <v>203</v>
      </c>
      <c r="L1193" t="s">
        <v>121</v>
      </c>
      <c r="M1193" t="s">
        <v>252</v>
      </c>
      <c r="N1193" s="6" t="s">
        <v>3696</v>
      </c>
      <c r="O1193" t="s">
        <v>3387</v>
      </c>
      <c r="P1193" t="s">
        <v>2652</v>
      </c>
      <c r="Q1193" t="s">
        <v>3697</v>
      </c>
      <c r="R1193" t="s">
        <v>3702</v>
      </c>
      <c r="S1193">
        <v>2019</v>
      </c>
      <c r="T1193" t="s">
        <v>771</v>
      </c>
      <c r="U1193" t="s">
        <v>3389</v>
      </c>
      <c r="V1193"/>
      <c r="X1193">
        <v>135</v>
      </c>
      <c r="Z1193">
        <v>26</v>
      </c>
      <c r="AA1193">
        <v>10000</v>
      </c>
      <c r="AF1193">
        <v>200</v>
      </c>
      <c r="AH1193" t="s">
        <v>167</v>
      </c>
      <c r="AM1193" t="s">
        <v>3699</v>
      </c>
      <c r="AN1193" t="s">
        <v>132</v>
      </c>
      <c r="BN1193">
        <v>3000</v>
      </c>
      <c r="BO1193">
        <v>5000</v>
      </c>
      <c r="CE119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93" s="19">
        <f>SUM(Table1[[#This Row],[Mid39]],Table1[[#This Row],[Mid36]],Table1[[#This Row],[Mid33]],Table1[[#This Row],[Mid30]],Table1[[#This Row],[Mid27]],Table1[[#This Row],[Mid24]],Table1[[#This Row],[Mid21]],Table1[[#This Row],[Mid18]],Table1[[#This Row],[Mid15]],Table1[[#This Row],[Mid12]],Table1[[#This Row],[Mid9]],Table1[[#This Row],[Mid6]],Table1[[#This Row],[Mid3]],Table1[[#This Row],[Mid]])</f>
        <v>3000</v>
      </c>
      <c r="CG119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5000</v>
      </c>
      <c r="CI1193" t="s">
        <v>134</v>
      </c>
      <c r="CJ1193" t="s">
        <v>158</v>
      </c>
      <c r="CL1193" s="19">
        <f>IF(Table1[[#This Row],[Type]]="Petroleum",1,IF(ISERROR(Table1[[#This Row],[Well Density]]*Table1[[#This Row],[Single Well Discovery Area]]),"",IF(Table1[[#This Row],[Well Density]]*Table1[[#This Row],[Single Well Discovery Area]]&gt;1,1,Table1[[#This Row],[Well Density]]*Table1[[#This Row],[Single Well Discovery Area]])))</f>
        <v>1</v>
      </c>
      <c r="CN1193" s="19">
        <f>Table1[[#This Row],[Mid]]</f>
        <v>0</v>
      </c>
      <c r="CO1193" s="19">
        <f>Table1[[#This Row],[Mid3]]+Table1[[#This Row],[Mid6]]+Table1[[#This Row],[Mid9]]</f>
        <v>0</v>
      </c>
      <c r="CP1193" s="19">
        <f>Table1[[#This Row],[Mid12]]+Table1[[#This Row],[Mid15]]+Table1[[#This Row],[Mid18]]+Table1[[#This Row],[Mid21]]+Table1[[#This Row],[Mid24]]</f>
        <v>3000</v>
      </c>
      <c r="CQ1193" s="19">
        <f>Table1[[#This Row],[Mid27]]+Table1[[#This Row],[Mid30]]+Table1[[#This Row],[Mid33]]+Table1[[#This Row],[Mid36]]+Table1[[#This Row],[Mid39]]</f>
        <v>0</v>
      </c>
      <c r="CR1193" t="s">
        <v>415</v>
      </c>
      <c r="CS1193" s="19" t="str">
        <f>IF(AND(Table1[[#This Row],[Low41]]=0, Table1[[#This Row],[High43]]=0),"N","Y")</f>
        <v>Y</v>
      </c>
    </row>
    <row r="1194" spans="1:97" ht="19.5" customHeight="1" x14ac:dyDescent="0.25">
      <c r="A1194">
        <v>11196</v>
      </c>
      <c r="B1194" t="s">
        <v>1399</v>
      </c>
      <c r="C1194" t="s">
        <v>1449</v>
      </c>
      <c r="D1194">
        <v>59.475000000000001</v>
      </c>
      <c r="E1194">
        <v>2.1838888889999999</v>
      </c>
      <c r="F1194" t="s">
        <v>3703</v>
      </c>
      <c r="G1194" t="s">
        <v>3682</v>
      </c>
      <c r="H1194" t="s">
        <v>3703</v>
      </c>
      <c r="I1194" t="s">
        <v>118</v>
      </c>
      <c r="J1194" t="s">
        <v>119</v>
      </c>
      <c r="K1194" t="s">
        <v>203</v>
      </c>
      <c r="L1194" t="s">
        <v>18</v>
      </c>
      <c r="M1194" t="s">
        <v>3704</v>
      </c>
      <c r="N1194" s="6" t="s">
        <v>3705</v>
      </c>
      <c r="O1194" t="s">
        <v>3387</v>
      </c>
      <c r="P1194" t="s">
        <v>2652</v>
      </c>
      <c r="Q1194" t="s">
        <v>3706</v>
      </c>
      <c r="R1194" t="s">
        <v>3707</v>
      </c>
      <c r="S1194">
        <v>2014</v>
      </c>
      <c r="T1194" t="s">
        <v>771</v>
      </c>
      <c r="U1194" t="s">
        <v>3389</v>
      </c>
      <c r="V1194"/>
      <c r="W1194">
        <v>2050</v>
      </c>
      <c r="X1194">
        <v>173</v>
      </c>
      <c r="Y1194">
        <v>0.85</v>
      </c>
      <c r="Z1194">
        <v>28</v>
      </c>
      <c r="AA1194">
        <v>900</v>
      </c>
      <c r="AF1194">
        <v>200</v>
      </c>
      <c r="AH1194" t="s">
        <v>167</v>
      </c>
      <c r="AM1194" t="s">
        <v>3708</v>
      </c>
      <c r="AN1194" t="s">
        <v>132</v>
      </c>
      <c r="BZ1194">
        <v>5112</v>
      </c>
      <c r="CE119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94" s="19">
        <f>SUM(Table1[[#This Row],[Mid39]],Table1[[#This Row],[Mid36]],Table1[[#This Row],[Mid33]],Table1[[#This Row],[Mid30]],Table1[[#This Row],[Mid27]],Table1[[#This Row],[Mid24]],Table1[[#This Row],[Mid21]],Table1[[#This Row],[Mid18]],Table1[[#This Row],[Mid15]],Table1[[#This Row],[Mid12]],Table1[[#This Row],[Mid9]],Table1[[#This Row],[Mid6]],Table1[[#This Row],[Mid3]],Table1[[#This Row],[Mid]])</f>
        <v>5112</v>
      </c>
      <c r="CG119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194" t="s">
        <v>134</v>
      </c>
      <c r="CJ1194" t="s">
        <v>158</v>
      </c>
      <c r="CL1194" s="19">
        <f>IF(Table1[[#This Row],[Type]]="Petroleum",1,IF(ISERROR(Table1[[#This Row],[Well Density]]*Table1[[#This Row],[Single Well Discovery Area]]),"",IF(Table1[[#This Row],[Well Density]]*Table1[[#This Row],[Single Well Discovery Area]]&gt;1,1,Table1[[#This Row],[Well Density]]*Table1[[#This Row],[Single Well Discovery Area]])))</f>
        <v>0</v>
      </c>
      <c r="CN1194" s="19">
        <f>Table1[[#This Row],[Mid]]</f>
        <v>0</v>
      </c>
      <c r="CO1194" s="19">
        <f>Table1[[#This Row],[Mid3]]+Table1[[#This Row],[Mid6]]+Table1[[#This Row],[Mid9]]</f>
        <v>0</v>
      </c>
      <c r="CP1194" s="19">
        <f>Table1[[#This Row],[Mid12]]+Table1[[#This Row],[Mid15]]+Table1[[#This Row],[Mid18]]+Table1[[#This Row],[Mid21]]+Table1[[#This Row],[Mid24]]</f>
        <v>0</v>
      </c>
      <c r="CQ1194" s="19">
        <f>Table1[[#This Row],[Mid27]]+Table1[[#This Row],[Mid30]]+Table1[[#This Row],[Mid33]]+Table1[[#This Row],[Mid36]]+Table1[[#This Row],[Mid39]]</f>
        <v>5112</v>
      </c>
      <c r="CR1194" t="s">
        <v>415</v>
      </c>
      <c r="CS1194" s="19" t="str">
        <f>IF(AND(Table1[[#This Row],[Low41]]=0, Table1[[#This Row],[High43]]=0),"N","Y")</f>
        <v>N</v>
      </c>
    </row>
    <row r="1195" spans="1:97" ht="19.5" customHeight="1" x14ac:dyDescent="0.25">
      <c r="A1195">
        <v>11197</v>
      </c>
      <c r="B1195" t="s">
        <v>1399</v>
      </c>
      <c r="C1195" t="s">
        <v>1449</v>
      </c>
      <c r="D1195">
        <v>59.884999999999998</v>
      </c>
      <c r="E1195">
        <v>2.3369444439999998</v>
      </c>
      <c r="F1195" t="s">
        <v>3709</v>
      </c>
      <c r="G1195" t="s">
        <v>3682</v>
      </c>
      <c r="H1195" t="s">
        <v>3709</v>
      </c>
      <c r="I1195" t="s">
        <v>118</v>
      </c>
      <c r="J1195" t="s">
        <v>119</v>
      </c>
      <c r="K1195" t="s">
        <v>203</v>
      </c>
      <c r="L1195" t="s">
        <v>18</v>
      </c>
      <c r="M1195" t="s">
        <v>3710</v>
      </c>
      <c r="N1195" s="6" t="s">
        <v>3705</v>
      </c>
      <c r="O1195" t="s">
        <v>3387</v>
      </c>
      <c r="P1195" t="s">
        <v>2652</v>
      </c>
      <c r="Q1195" t="s">
        <v>3711</v>
      </c>
      <c r="R1195" t="s">
        <v>3707</v>
      </c>
      <c r="S1195">
        <v>2014</v>
      </c>
      <c r="T1195" t="s">
        <v>771</v>
      </c>
      <c r="U1195" t="s">
        <v>3389</v>
      </c>
      <c r="V1195"/>
      <c r="W1195">
        <v>1800</v>
      </c>
      <c r="X1195">
        <v>600</v>
      </c>
      <c r="Y1195">
        <v>0.85</v>
      </c>
      <c r="Z1195">
        <v>30</v>
      </c>
      <c r="AA1195">
        <v>1000</v>
      </c>
      <c r="AF1195">
        <v>200</v>
      </c>
      <c r="AH1195" t="s">
        <v>167</v>
      </c>
      <c r="AM1195" t="s">
        <v>3708</v>
      </c>
      <c r="AN1195" t="s">
        <v>132</v>
      </c>
      <c r="BZ1195">
        <v>1164</v>
      </c>
      <c r="CE119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95" s="19">
        <f>SUM(Table1[[#This Row],[Mid39]],Table1[[#This Row],[Mid36]],Table1[[#This Row],[Mid33]],Table1[[#This Row],[Mid30]],Table1[[#This Row],[Mid27]],Table1[[#This Row],[Mid24]],Table1[[#This Row],[Mid21]],Table1[[#This Row],[Mid18]],Table1[[#This Row],[Mid15]],Table1[[#This Row],[Mid12]],Table1[[#This Row],[Mid9]],Table1[[#This Row],[Mid6]],Table1[[#This Row],[Mid3]],Table1[[#This Row],[Mid]])</f>
        <v>1164</v>
      </c>
      <c r="CG119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195" t="s">
        <v>134</v>
      </c>
      <c r="CJ1195" t="s">
        <v>158</v>
      </c>
      <c r="CL1195" s="19">
        <f>IF(Table1[[#This Row],[Type]]="Petroleum",1,IF(ISERROR(Table1[[#This Row],[Well Density]]*Table1[[#This Row],[Single Well Discovery Area]]),"",IF(Table1[[#This Row],[Well Density]]*Table1[[#This Row],[Single Well Discovery Area]]&gt;1,1,Table1[[#This Row],[Well Density]]*Table1[[#This Row],[Single Well Discovery Area]])))</f>
        <v>0</v>
      </c>
      <c r="CN1195" s="19">
        <f>Table1[[#This Row],[Mid]]</f>
        <v>0</v>
      </c>
      <c r="CO1195" s="19">
        <f>Table1[[#This Row],[Mid3]]+Table1[[#This Row],[Mid6]]+Table1[[#This Row],[Mid9]]</f>
        <v>0</v>
      </c>
      <c r="CP1195" s="19">
        <f>Table1[[#This Row],[Mid12]]+Table1[[#This Row],[Mid15]]+Table1[[#This Row],[Mid18]]+Table1[[#This Row],[Mid21]]+Table1[[#This Row],[Mid24]]</f>
        <v>0</v>
      </c>
      <c r="CQ1195" s="19">
        <f>Table1[[#This Row],[Mid27]]+Table1[[#This Row],[Mid30]]+Table1[[#This Row],[Mid33]]+Table1[[#This Row],[Mid36]]+Table1[[#This Row],[Mid39]]</f>
        <v>1164</v>
      </c>
      <c r="CR1195" t="s">
        <v>415</v>
      </c>
      <c r="CS1195" s="19" t="str">
        <f>IF(AND(Table1[[#This Row],[Low41]]=0, Table1[[#This Row],[High43]]=0),"N","Y")</f>
        <v>N</v>
      </c>
    </row>
    <row r="1196" spans="1:97" ht="19.5" customHeight="1" x14ac:dyDescent="0.25">
      <c r="A1196">
        <v>11198</v>
      </c>
      <c r="B1196" t="s">
        <v>1399</v>
      </c>
      <c r="C1196" t="s">
        <v>1449</v>
      </c>
      <c r="D1196">
        <v>59.825833330000002</v>
      </c>
      <c r="E1196">
        <v>1.87</v>
      </c>
      <c r="F1196" t="s">
        <v>3712</v>
      </c>
      <c r="G1196" t="s">
        <v>3682</v>
      </c>
      <c r="H1196" t="s">
        <v>3712</v>
      </c>
      <c r="I1196" t="s">
        <v>118</v>
      </c>
      <c r="J1196" t="s">
        <v>119</v>
      </c>
      <c r="K1196" t="s">
        <v>203</v>
      </c>
      <c r="L1196" t="s">
        <v>18</v>
      </c>
      <c r="M1196" t="s">
        <v>1177</v>
      </c>
      <c r="N1196" s="6" t="s">
        <v>3713</v>
      </c>
      <c r="O1196" t="s">
        <v>3387</v>
      </c>
      <c r="P1196" t="s">
        <v>2652</v>
      </c>
      <c r="Q1196" t="s">
        <v>3714</v>
      </c>
      <c r="R1196" t="s">
        <v>3707</v>
      </c>
      <c r="S1196">
        <v>2018</v>
      </c>
      <c r="T1196" t="s">
        <v>771</v>
      </c>
      <c r="U1196" t="s">
        <v>3389</v>
      </c>
      <c r="V1196"/>
      <c r="W1196">
        <v>1090</v>
      </c>
      <c r="X1196">
        <v>300</v>
      </c>
      <c r="Z1196">
        <v>36</v>
      </c>
      <c r="AA1196">
        <v>2000</v>
      </c>
      <c r="AF1196">
        <v>200</v>
      </c>
      <c r="AH1196" t="s">
        <v>3715</v>
      </c>
      <c r="AI1196">
        <v>5</v>
      </c>
      <c r="AM1196" t="s">
        <v>3716</v>
      </c>
      <c r="AN1196" t="s">
        <v>132</v>
      </c>
      <c r="BZ1196">
        <v>1000</v>
      </c>
      <c r="CA1196">
        <v>6000</v>
      </c>
      <c r="CE119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96" s="19">
        <f>SUM(Table1[[#This Row],[Mid39]],Table1[[#This Row],[Mid36]],Table1[[#This Row],[Mid33]],Table1[[#This Row],[Mid30]],Table1[[#This Row],[Mid27]],Table1[[#This Row],[Mid24]],Table1[[#This Row],[Mid21]],Table1[[#This Row],[Mid18]],Table1[[#This Row],[Mid15]],Table1[[#This Row],[Mid12]],Table1[[#This Row],[Mid9]],Table1[[#This Row],[Mid6]],Table1[[#This Row],[Mid3]],Table1[[#This Row],[Mid]])</f>
        <v>1000</v>
      </c>
      <c r="CG119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6000</v>
      </c>
      <c r="CI1196" t="s">
        <v>134</v>
      </c>
      <c r="CJ1196" t="s">
        <v>158</v>
      </c>
      <c r="CL1196" s="19">
        <f>IF(Table1[[#This Row],[Type]]="Petroleum",1,IF(ISERROR(Table1[[#This Row],[Well Density]]*Table1[[#This Row],[Single Well Discovery Area]]),"",IF(Table1[[#This Row],[Well Density]]*Table1[[#This Row],[Single Well Discovery Area]]&gt;1,1,Table1[[#This Row],[Well Density]]*Table1[[#This Row],[Single Well Discovery Area]])))</f>
        <v>0</v>
      </c>
      <c r="CN1196" s="19">
        <f>Table1[[#This Row],[Mid]]</f>
        <v>0</v>
      </c>
      <c r="CO1196" s="19">
        <f>Table1[[#This Row],[Mid3]]+Table1[[#This Row],[Mid6]]+Table1[[#This Row],[Mid9]]</f>
        <v>0</v>
      </c>
      <c r="CP1196" s="19">
        <f>Table1[[#This Row],[Mid12]]+Table1[[#This Row],[Mid15]]+Table1[[#This Row],[Mid18]]+Table1[[#This Row],[Mid21]]+Table1[[#This Row],[Mid24]]</f>
        <v>0</v>
      </c>
      <c r="CQ1196" s="19">
        <f>Table1[[#This Row],[Mid27]]+Table1[[#This Row],[Mid30]]+Table1[[#This Row],[Mid33]]+Table1[[#This Row],[Mid36]]+Table1[[#This Row],[Mid39]]</f>
        <v>1000</v>
      </c>
      <c r="CR1196" t="s">
        <v>415</v>
      </c>
      <c r="CS1196" s="19" t="str">
        <f>IF(AND(Table1[[#This Row],[Low41]]=0, Table1[[#This Row],[High43]]=0),"N","Y")</f>
        <v>Y</v>
      </c>
    </row>
    <row r="1197" spans="1:97" ht="19.5" customHeight="1" x14ac:dyDescent="0.25">
      <c r="A1197">
        <v>11199</v>
      </c>
      <c r="B1197" t="s">
        <v>3717</v>
      </c>
      <c r="C1197" t="s">
        <v>3718</v>
      </c>
      <c r="D1197">
        <v>30.800277779999998</v>
      </c>
      <c r="E1197">
        <v>34.858055559999997</v>
      </c>
      <c r="F1197" t="s">
        <v>3719</v>
      </c>
      <c r="G1197" t="s">
        <v>3720</v>
      </c>
      <c r="H1197" t="s">
        <v>3721</v>
      </c>
      <c r="I1197" t="s">
        <v>118</v>
      </c>
      <c r="J1197" t="s">
        <v>119</v>
      </c>
      <c r="K1197" t="s">
        <v>120</v>
      </c>
      <c r="L1197" t="s">
        <v>121</v>
      </c>
      <c r="M1197" t="s">
        <v>3722</v>
      </c>
      <c r="N1197" s="6" t="s">
        <v>3723</v>
      </c>
      <c r="O1197" t="s">
        <v>3724</v>
      </c>
      <c r="P1197" t="s">
        <v>3724</v>
      </c>
      <c r="Q1197" t="s">
        <v>3725</v>
      </c>
      <c r="R1197" t="s">
        <v>3726</v>
      </c>
      <c r="S1197">
        <v>2018</v>
      </c>
      <c r="T1197" t="s">
        <v>771</v>
      </c>
      <c r="U1197" t="s">
        <v>2258</v>
      </c>
      <c r="V1197">
        <v>9280</v>
      </c>
      <c r="W1197">
        <v>3132</v>
      </c>
      <c r="X1197">
        <v>40</v>
      </c>
      <c r="Y1197">
        <v>0</v>
      </c>
      <c r="Z1197">
        <v>10.130000000000001</v>
      </c>
      <c r="AA1197">
        <v>0.14000000000000001</v>
      </c>
      <c r="AB1197">
        <v>0</v>
      </c>
      <c r="AC1197">
        <v>770</v>
      </c>
      <c r="AD1197">
        <v>19</v>
      </c>
      <c r="AE1197">
        <v>2.047414E-3</v>
      </c>
      <c r="AF1197">
        <v>20</v>
      </c>
      <c r="AG1197">
        <v>0</v>
      </c>
      <c r="AH1197" t="s">
        <v>3727</v>
      </c>
      <c r="AI1197">
        <v>3.4000000000000002E-2</v>
      </c>
      <c r="AJ1197">
        <v>0</v>
      </c>
      <c r="AK1197">
        <v>0</v>
      </c>
      <c r="AL1197">
        <v>0</v>
      </c>
      <c r="AN1197" t="s">
        <v>132</v>
      </c>
      <c r="AO1197">
        <v>0</v>
      </c>
      <c r="AP1197">
        <v>0</v>
      </c>
      <c r="AQ1197">
        <v>0</v>
      </c>
      <c r="AR1197">
        <v>0</v>
      </c>
      <c r="AS1197">
        <v>0</v>
      </c>
      <c r="AT1197">
        <v>0</v>
      </c>
      <c r="AU1197">
        <v>0</v>
      </c>
      <c r="AV1197">
        <v>0</v>
      </c>
      <c r="AW1197">
        <v>0</v>
      </c>
      <c r="AX1197">
        <v>0</v>
      </c>
      <c r="AY1197">
        <v>0</v>
      </c>
      <c r="AZ1197">
        <v>0</v>
      </c>
      <c r="BA1197">
        <v>0</v>
      </c>
      <c r="BB1197">
        <v>0</v>
      </c>
      <c r="BC1197">
        <v>0</v>
      </c>
      <c r="BD1197">
        <v>0</v>
      </c>
      <c r="BE1197">
        <v>0</v>
      </c>
      <c r="BF1197">
        <v>0</v>
      </c>
      <c r="BG1197">
        <v>0</v>
      </c>
      <c r="BH1197">
        <v>0</v>
      </c>
      <c r="BI1197">
        <v>0</v>
      </c>
      <c r="BJ1197">
        <v>0</v>
      </c>
      <c r="BK1197">
        <v>0</v>
      </c>
      <c r="BL1197">
        <v>0</v>
      </c>
      <c r="BM1197">
        <v>0</v>
      </c>
      <c r="BN1197">
        <v>320.89999999999998</v>
      </c>
      <c r="BO1197">
        <v>0</v>
      </c>
      <c r="BP1197">
        <v>0</v>
      </c>
      <c r="BQ1197">
        <v>0</v>
      </c>
      <c r="BR1197">
        <v>0</v>
      </c>
      <c r="BS1197">
        <v>0</v>
      </c>
      <c r="BT1197">
        <v>0</v>
      </c>
      <c r="BU1197">
        <v>0</v>
      </c>
      <c r="BV1197">
        <v>0</v>
      </c>
      <c r="BW1197">
        <v>0</v>
      </c>
      <c r="BX1197">
        <v>0</v>
      </c>
      <c r="BY1197">
        <v>0</v>
      </c>
      <c r="BZ1197">
        <v>0</v>
      </c>
      <c r="CA1197">
        <v>0</v>
      </c>
      <c r="CB1197">
        <v>0</v>
      </c>
      <c r="CC1197">
        <v>0</v>
      </c>
      <c r="CD1197">
        <v>0</v>
      </c>
      <c r="CE119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97" s="19">
        <f>SUM(Table1[[#This Row],[Mid39]],Table1[[#This Row],[Mid36]],Table1[[#This Row],[Mid33]],Table1[[#This Row],[Mid30]],Table1[[#This Row],[Mid27]],Table1[[#This Row],[Mid24]],Table1[[#This Row],[Mid21]],Table1[[#This Row],[Mid18]],Table1[[#This Row],[Mid15]],Table1[[#This Row],[Mid12]],Table1[[#This Row],[Mid9]],Table1[[#This Row],[Mid6]],Table1[[#This Row],[Mid3]],Table1[[#This Row],[Mid]])</f>
        <v>320.89999999999998</v>
      </c>
      <c r="CG119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97" t="s">
        <v>157</v>
      </c>
      <c r="CI1197" t="s">
        <v>176</v>
      </c>
      <c r="CJ1197" t="s">
        <v>158</v>
      </c>
      <c r="CL1197" s="19">
        <f>IF(Table1[[#This Row],[Type]]="Petroleum",1,IF(ISERROR(Table1[[#This Row],[Well Density]]*Table1[[#This Row],[Single Well Discovery Area]]),"",IF(Table1[[#This Row],[Well Density]]*Table1[[#This Row],[Single Well Discovery Area]]&gt;1,1,Table1[[#This Row],[Well Density]]*Table1[[#This Row],[Single Well Discovery Area]])))</f>
        <v>4.0948280000000004E-2</v>
      </c>
      <c r="CN1197" s="19">
        <f>Table1[[#This Row],[Mid]]</f>
        <v>0</v>
      </c>
      <c r="CO1197" s="19">
        <f>Table1[[#This Row],[Mid3]]+Table1[[#This Row],[Mid6]]+Table1[[#This Row],[Mid9]]</f>
        <v>0</v>
      </c>
      <c r="CP1197" s="19">
        <f>Table1[[#This Row],[Mid12]]+Table1[[#This Row],[Mid15]]+Table1[[#This Row],[Mid18]]+Table1[[#This Row],[Mid21]]+Table1[[#This Row],[Mid24]]</f>
        <v>320.89999999999998</v>
      </c>
      <c r="CQ1197" s="19">
        <f>Table1[[#This Row],[Mid27]]+Table1[[#This Row],[Mid30]]+Table1[[#This Row],[Mid33]]+Table1[[#This Row],[Mid36]]+Table1[[#This Row],[Mid39]]</f>
        <v>0</v>
      </c>
      <c r="CR1197" t="s">
        <v>439</v>
      </c>
      <c r="CS1197" s="19" t="str">
        <f>IF(AND(Table1[[#This Row],[Low41]]=0, Table1[[#This Row],[High43]]=0),"N","Y")</f>
        <v>N</v>
      </c>
    </row>
    <row r="1198" spans="1:97" ht="19.5" customHeight="1" x14ac:dyDescent="0.25">
      <c r="A1198">
        <v>11200</v>
      </c>
      <c r="B1198" t="s">
        <v>3717</v>
      </c>
      <c r="C1198" t="s">
        <v>3718</v>
      </c>
      <c r="D1198">
        <v>30.800277779999998</v>
      </c>
      <c r="E1198">
        <v>34.858055559999997</v>
      </c>
      <c r="F1198" t="s">
        <v>3728</v>
      </c>
      <c r="G1198" t="s">
        <v>3720</v>
      </c>
      <c r="H1198" t="s">
        <v>3729</v>
      </c>
      <c r="I1198" t="s">
        <v>118</v>
      </c>
      <c r="J1198" t="s">
        <v>119</v>
      </c>
      <c r="K1198" t="s">
        <v>120</v>
      </c>
      <c r="L1198" t="s">
        <v>121</v>
      </c>
      <c r="M1198" t="s">
        <v>2636</v>
      </c>
      <c r="N1198" s="6" t="s">
        <v>3723</v>
      </c>
      <c r="O1198" t="s">
        <v>3724</v>
      </c>
      <c r="P1198" t="s">
        <v>3724</v>
      </c>
      <c r="Q1198" t="s">
        <v>3725</v>
      </c>
      <c r="R1198" t="s">
        <v>3726</v>
      </c>
      <c r="S1198">
        <v>2018</v>
      </c>
      <c r="T1198" t="s">
        <v>771</v>
      </c>
      <c r="U1198" t="s">
        <v>2258</v>
      </c>
      <c r="V1198">
        <v>9280</v>
      </c>
      <c r="W1198">
        <v>3437</v>
      </c>
      <c r="X1198">
        <v>42</v>
      </c>
      <c r="Y1198">
        <v>0</v>
      </c>
      <c r="Z1198">
        <v>13.57</v>
      </c>
      <c r="AA1198">
        <v>36.69</v>
      </c>
      <c r="AB1198">
        <v>0</v>
      </c>
      <c r="AC1198">
        <v>780</v>
      </c>
      <c r="AD1198">
        <v>18</v>
      </c>
      <c r="AE1198">
        <v>1.939655E-3</v>
      </c>
      <c r="AF1198">
        <v>200</v>
      </c>
      <c r="AG1198">
        <v>0</v>
      </c>
      <c r="AH1198" t="s">
        <v>3727</v>
      </c>
      <c r="AI1198">
        <v>3.4000000000000002E-2</v>
      </c>
      <c r="AJ1198">
        <v>0</v>
      </c>
      <c r="AK1198">
        <v>0</v>
      </c>
      <c r="AL1198">
        <v>0</v>
      </c>
      <c r="AN1198" t="s">
        <v>132</v>
      </c>
      <c r="AO1198">
        <v>0</v>
      </c>
      <c r="AP1198">
        <v>0</v>
      </c>
      <c r="AQ1198">
        <v>0</v>
      </c>
      <c r="AR1198">
        <v>0</v>
      </c>
      <c r="AS1198">
        <v>0</v>
      </c>
      <c r="AT1198">
        <v>0</v>
      </c>
      <c r="AU1198">
        <v>0</v>
      </c>
      <c r="AV1198">
        <v>0</v>
      </c>
      <c r="AW1198">
        <v>0</v>
      </c>
      <c r="AX1198">
        <v>0</v>
      </c>
      <c r="AY1198">
        <v>0</v>
      </c>
      <c r="AZ1198">
        <v>0</v>
      </c>
      <c r="BA1198">
        <v>0</v>
      </c>
      <c r="BB1198">
        <v>0</v>
      </c>
      <c r="BC1198">
        <v>0</v>
      </c>
      <c r="BD1198">
        <v>0</v>
      </c>
      <c r="BE1198">
        <v>0</v>
      </c>
      <c r="BF1198">
        <v>0</v>
      </c>
      <c r="BG1198">
        <v>0</v>
      </c>
      <c r="BH1198">
        <v>0</v>
      </c>
      <c r="BI1198">
        <v>0</v>
      </c>
      <c r="BJ1198">
        <v>0</v>
      </c>
      <c r="BK1198">
        <v>0</v>
      </c>
      <c r="BL1198">
        <v>0</v>
      </c>
      <c r="BM1198">
        <v>0</v>
      </c>
      <c r="BN1198">
        <v>1011.3</v>
      </c>
      <c r="BO1198">
        <v>0</v>
      </c>
      <c r="BP1198">
        <v>0</v>
      </c>
      <c r="BQ1198">
        <v>0</v>
      </c>
      <c r="BR1198">
        <v>0</v>
      </c>
      <c r="BS1198">
        <v>0</v>
      </c>
      <c r="BT1198">
        <v>0</v>
      </c>
      <c r="BU1198">
        <v>0</v>
      </c>
      <c r="BV1198">
        <v>0</v>
      </c>
      <c r="BW1198">
        <v>0</v>
      </c>
      <c r="BX1198">
        <v>0</v>
      </c>
      <c r="BY1198">
        <v>0</v>
      </c>
      <c r="BZ1198">
        <v>0</v>
      </c>
      <c r="CA1198">
        <v>0</v>
      </c>
      <c r="CB1198">
        <v>0</v>
      </c>
      <c r="CC1198">
        <v>0</v>
      </c>
      <c r="CD1198">
        <v>0</v>
      </c>
      <c r="CE119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98" s="19">
        <f>SUM(Table1[[#This Row],[Mid39]],Table1[[#This Row],[Mid36]],Table1[[#This Row],[Mid33]],Table1[[#This Row],[Mid30]],Table1[[#This Row],[Mid27]],Table1[[#This Row],[Mid24]],Table1[[#This Row],[Mid21]],Table1[[#This Row],[Mid18]],Table1[[#This Row],[Mid15]],Table1[[#This Row],[Mid12]],Table1[[#This Row],[Mid9]],Table1[[#This Row],[Mid6]],Table1[[#This Row],[Mid3]],Table1[[#This Row],[Mid]])</f>
        <v>1011.3</v>
      </c>
      <c r="CG119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98" t="s">
        <v>157</v>
      </c>
      <c r="CI1198" t="s">
        <v>134</v>
      </c>
      <c r="CJ1198" t="s">
        <v>158</v>
      </c>
      <c r="CL1198" s="19">
        <f>IF(Table1[[#This Row],[Type]]="Petroleum",1,IF(ISERROR(Table1[[#This Row],[Well Density]]*Table1[[#This Row],[Single Well Discovery Area]]),"",IF(Table1[[#This Row],[Well Density]]*Table1[[#This Row],[Single Well Discovery Area]]&gt;1,1,Table1[[#This Row],[Well Density]]*Table1[[#This Row],[Single Well Discovery Area]])))</f>
        <v>0.38793099999999997</v>
      </c>
      <c r="CN1198" s="19">
        <f>Table1[[#This Row],[Mid]]</f>
        <v>0</v>
      </c>
      <c r="CO1198" s="19">
        <f>Table1[[#This Row],[Mid3]]+Table1[[#This Row],[Mid6]]+Table1[[#This Row],[Mid9]]</f>
        <v>0</v>
      </c>
      <c r="CP1198" s="19">
        <f>Table1[[#This Row],[Mid12]]+Table1[[#This Row],[Mid15]]+Table1[[#This Row],[Mid18]]+Table1[[#This Row],[Mid21]]+Table1[[#This Row],[Mid24]]</f>
        <v>1011.3</v>
      </c>
      <c r="CQ1198" s="19">
        <f>Table1[[#This Row],[Mid27]]+Table1[[#This Row],[Mid30]]+Table1[[#This Row],[Mid33]]+Table1[[#This Row],[Mid36]]+Table1[[#This Row],[Mid39]]</f>
        <v>0</v>
      </c>
      <c r="CR1198" t="s">
        <v>439</v>
      </c>
      <c r="CS1198" s="19" t="str">
        <f>IF(AND(Table1[[#This Row],[Low41]]=0, Table1[[#This Row],[High43]]=0),"N","Y")</f>
        <v>N</v>
      </c>
    </row>
    <row r="1199" spans="1:97" ht="19.5" customHeight="1" x14ac:dyDescent="0.25">
      <c r="A1199">
        <v>11201</v>
      </c>
      <c r="B1199" t="s">
        <v>3717</v>
      </c>
      <c r="C1199" t="s">
        <v>3718</v>
      </c>
      <c r="D1199">
        <v>30.800277779999998</v>
      </c>
      <c r="E1199">
        <v>34.858055559999997</v>
      </c>
      <c r="F1199" t="s">
        <v>3730</v>
      </c>
      <c r="G1199" t="s">
        <v>3720</v>
      </c>
      <c r="H1199" t="s">
        <v>3731</v>
      </c>
      <c r="I1199" t="s">
        <v>118</v>
      </c>
      <c r="J1199" t="s">
        <v>119</v>
      </c>
      <c r="K1199" t="s">
        <v>120</v>
      </c>
      <c r="L1199" t="s">
        <v>121</v>
      </c>
      <c r="M1199" t="s">
        <v>2636</v>
      </c>
      <c r="N1199" s="6" t="s">
        <v>3723</v>
      </c>
      <c r="O1199" t="s">
        <v>3724</v>
      </c>
      <c r="P1199" t="s">
        <v>3724</v>
      </c>
      <c r="Q1199" t="s">
        <v>3725</v>
      </c>
      <c r="R1199" t="s">
        <v>3726</v>
      </c>
      <c r="S1199">
        <v>2018</v>
      </c>
      <c r="T1199" t="s">
        <v>771</v>
      </c>
      <c r="U1199" t="s">
        <v>2258</v>
      </c>
      <c r="V1199">
        <v>9280</v>
      </c>
      <c r="W1199">
        <v>3622</v>
      </c>
      <c r="X1199">
        <v>45</v>
      </c>
      <c r="Y1199">
        <v>0</v>
      </c>
      <c r="Z1199">
        <v>10.11</v>
      </c>
      <c r="AA1199">
        <v>0.25</v>
      </c>
      <c r="AB1199">
        <v>0</v>
      </c>
      <c r="AC1199">
        <v>785</v>
      </c>
      <c r="AD1199">
        <v>21</v>
      </c>
      <c r="AE1199">
        <v>2.2629310000000001E-3</v>
      </c>
      <c r="AF1199">
        <v>200</v>
      </c>
      <c r="AG1199">
        <v>0</v>
      </c>
      <c r="AH1199" t="s">
        <v>3727</v>
      </c>
      <c r="AI1199">
        <v>3.4000000000000002E-2</v>
      </c>
      <c r="AJ1199">
        <v>0</v>
      </c>
      <c r="AK1199">
        <v>0</v>
      </c>
      <c r="AL1199">
        <v>0</v>
      </c>
      <c r="AN1199" t="s">
        <v>132</v>
      </c>
      <c r="AO1199">
        <v>0</v>
      </c>
      <c r="AP1199">
        <v>0</v>
      </c>
      <c r="AQ1199">
        <v>0</v>
      </c>
      <c r="AR1199">
        <v>0</v>
      </c>
      <c r="AS1199">
        <v>0</v>
      </c>
      <c r="AT1199">
        <v>0</v>
      </c>
      <c r="AU1199">
        <v>0</v>
      </c>
      <c r="AV1199">
        <v>0</v>
      </c>
      <c r="AW1199">
        <v>0</v>
      </c>
      <c r="AX1199">
        <v>0</v>
      </c>
      <c r="AY1199">
        <v>0</v>
      </c>
      <c r="AZ1199">
        <v>0</v>
      </c>
      <c r="BA1199">
        <v>0</v>
      </c>
      <c r="BB1199">
        <v>0</v>
      </c>
      <c r="BC1199">
        <v>0</v>
      </c>
      <c r="BD1199">
        <v>0</v>
      </c>
      <c r="BE1199">
        <v>0</v>
      </c>
      <c r="BF1199">
        <v>0</v>
      </c>
      <c r="BG1199">
        <v>0</v>
      </c>
      <c r="BH1199">
        <v>0</v>
      </c>
      <c r="BI1199">
        <v>0</v>
      </c>
      <c r="BJ1199">
        <v>0</v>
      </c>
      <c r="BK1199">
        <v>0</v>
      </c>
      <c r="BL1199">
        <v>0</v>
      </c>
      <c r="BM1199">
        <v>0</v>
      </c>
      <c r="BN1199">
        <v>846.2</v>
      </c>
      <c r="BO1199">
        <v>0</v>
      </c>
      <c r="BP1199">
        <v>0</v>
      </c>
      <c r="BQ1199">
        <v>0</v>
      </c>
      <c r="BR1199">
        <v>0</v>
      </c>
      <c r="BS1199">
        <v>0</v>
      </c>
      <c r="BT1199">
        <v>0</v>
      </c>
      <c r="BU1199">
        <v>0</v>
      </c>
      <c r="BV1199">
        <v>0</v>
      </c>
      <c r="BW1199">
        <v>0</v>
      </c>
      <c r="BX1199">
        <v>0</v>
      </c>
      <c r="BY1199">
        <v>0</v>
      </c>
      <c r="BZ1199">
        <v>0</v>
      </c>
      <c r="CA1199">
        <v>0</v>
      </c>
      <c r="CB1199">
        <v>0</v>
      </c>
      <c r="CC1199">
        <v>0</v>
      </c>
      <c r="CD1199">
        <v>0</v>
      </c>
      <c r="CE119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199" s="19">
        <f>SUM(Table1[[#This Row],[Mid39]],Table1[[#This Row],[Mid36]],Table1[[#This Row],[Mid33]],Table1[[#This Row],[Mid30]],Table1[[#This Row],[Mid27]],Table1[[#This Row],[Mid24]],Table1[[#This Row],[Mid21]],Table1[[#This Row],[Mid18]],Table1[[#This Row],[Mid15]],Table1[[#This Row],[Mid12]],Table1[[#This Row],[Mid9]],Table1[[#This Row],[Mid6]],Table1[[#This Row],[Mid3]],Table1[[#This Row],[Mid]])</f>
        <v>846.2</v>
      </c>
      <c r="CG119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199" t="s">
        <v>157</v>
      </c>
      <c r="CI1199" t="s">
        <v>134</v>
      </c>
      <c r="CJ1199" t="s">
        <v>158</v>
      </c>
      <c r="CL1199" s="19">
        <f>IF(Table1[[#This Row],[Type]]="Petroleum",1,IF(ISERROR(Table1[[#This Row],[Well Density]]*Table1[[#This Row],[Single Well Discovery Area]]),"",IF(Table1[[#This Row],[Well Density]]*Table1[[#This Row],[Single Well Discovery Area]]&gt;1,1,Table1[[#This Row],[Well Density]]*Table1[[#This Row],[Single Well Discovery Area]])))</f>
        <v>0.45258620000000005</v>
      </c>
      <c r="CN1199" s="19">
        <f>Table1[[#This Row],[Mid]]</f>
        <v>0</v>
      </c>
      <c r="CO1199" s="19">
        <f>Table1[[#This Row],[Mid3]]+Table1[[#This Row],[Mid6]]+Table1[[#This Row],[Mid9]]</f>
        <v>0</v>
      </c>
      <c r="CP1199" s="19">
        <f>Table1[[#This Row],[Mid12]]+Table1[[#This Row],[Mid15]]+Table1[[#This Row],[Mid18]]+Table1[[#This Row],[Mid21]]+Table1[[#This Row],[Mid24]]</f>
        <v>846.2</v>
      </c>
      <c r="CQ1199" s="19">
        <f>Table1[[#This Row],[Mid27]]+Table1[[#This Row],[Mid30]]+Table1[[#This Row],[Mid33]]+Table1[[#This Row],[Mid36]]+Table1[[#This Row],[Mid39]]</f>
        <v>0</v>
      </c>
      <c r="CR1199" t="s">
        <v>439</v>
      </c>
      <c r="CS1199" s="19" t="str">
        <f>IF(AND(Table1[[#This Row],[Low41]]=0, Table1[[#This Row],[High43]]=0),"N","Y")</f>
        <v>N</v>
      </c>
    </row>
    <row r="1200" spans="1:97" ht="19.5" customHeight="1" x14ac:dyDescent="0.25">
      <c r="A1200">
        <v>11202</v>
      </c>
      <c r="B1200" t="s">
        <v>3717</v>
      </c>
      <c r="C1200" t="s">
        <v>3718</v>
      </c>
      <c r="D1200">
        <v>30.800277779999998</v>
      </c>
      <c r="E1200">
        <v>34.858055559999997</v>
      </c>
      <c r="F1200" t="s">
        <v>3732</v>
      </c>
      <c r="G1200" t="s">
        <v>3720</v>
      </c>
      <c r="H1200" t="s">
        <v>3733</v>
      </c>
      <c r="I1200" t="s">
        <v>118</v>
      </c>
      <c r="J1200" t="s">
        <v>119</v>
      </c>
      <c r="K1200" t="s">
        <v>120</v>
      </c>
      <c r="L1200" t="s">
        <v>121</v>
      </c>
      <c r="M1200" t="s">
        <v>3734</v>
      </c>
      <c r="N1200" s="6" t="s">
        <v>3723</v>
      </c>
      <c r="O1200" t="s">
        <v>3724</v>
      </c>
      <c r="P1200" t="s">
        <v>3724</v>
      </c>
      <c r="Q1200" t="s">
        <v>3725</v>
      </c>
      <c r="R1200" t="s">
        <v>3726</v>
      </c>
      <c r="S1200">
        <v>2018</v>
      </c>
      <c r="T1200" t="s">
        <v>771</v>
      </c>
      <c r="U1200" t="s">
        <v>2258</v>
      </c>
      <c r="V1200">
        <v>9280</v>
      </c>
      <c r="W1200">
        <v>3813</v>
      </c>
      <c r="X1200">
        <v>82</v>
      </c>
      <c r="Y1200">
        <v>0</v>
      </c>
      <c r="Z1200">
        <v>6.3</v>
      </c>
      <c r="AA1200">
        <v>0.82</v>
      </c>
      <c r="AB1200">
        <v>0</v>
      </c>
      <c r="AC1200">
        <v>785</v>
      </c>
      <c r="AD1200">
        <v>13</v>
      </c>
      <c r="AE1200">
        <v>1.4008619999999999E-3</v>
      </c>
      <c r="AF1200">
        <v>200</v>
      </c>
      <c r="AG1200">
        <v>0</v>
      </c>
      <c r="AH1200" t="s">
        <v>3727</v>
      </c>
      <c r="AI1200">
        <v>3.4000000000000002E-2</v>
      </c>
      <c r="AJ1200">
        <v>0</v>
      </c>
      <c r="AK1200">
        <v>0</v>
      </c>
      <c r="AL1200">
        <v>0</v>
      </c>
      <c r="AN1200" t="s">
        <v>132</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BM1200">
        <v>0</v>
      </c>
      <c r="BN1200">
        <v>891</v>
      </c>
      <c r="BO1200">
        <v>0</v>
      </c>
      <c r="BP1200">
        <v>0</v>
      </c>
      <c r="BQ1200">
        <v>0</v>
      </c>
      <c r="BR1200">
        <v>0</v>
      </c>
      <c r="BS1200">
        <v>0</v>
      </c>
      <c r="BT1200">
        <v>0</v>
      </c>
      <c r="BU1200">
        <v>0</v>
      </c>
      <c r="BV1200">
        <v>0</v>
      </c>
      <c r="BW1200">
        <v>0</v>
      </c>
      <c r="BX1200">
        <v>0</v>
      </c>
      <c r="BY1200">
        <v>0</v>
      </c>
      <c r="BZ1200">
        <v>0</v>
      </c>
      <c r="CA1200">
        <v>0</v>
      </c>
      <c r="CB1200">
        <v>0</v>
      </c>
      <c r="CC1200">
        <v>0</v>
      </c>
      <c r="CD1200">
        <v>0</v>
      </c>
      <c r="CE120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00" s="19">
        <f>SUM(Table1[[#This Row],[Mid39]],Table1[[#This Row],[Mid36]],Table1[[#This Row],[Mid33]],Table1[[#This Row],[Mid30]],Table1[[#This Row],[Mid27]],Table1[[#This Row],[Mid24]],Table1[[#This Row],[Mid21]],Table1[[#This Row],[Mid18]],Table1[[#This Row],[Mid15]],Table1[[#This Row],[Mid12]],Table1[[#This Row],[Mid9]],Table1[[#This Row],[Mid6]],Table1[[#This Row],[Mid3]],Table1[[#This Row],[Mid]])</f>
        <v>891</v>
      </c>
      <c r="CG120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00" t="s">
        <v>157</v>
      </c>
      <c r="CI1200" t="s">
        <v>134</v>
      </c>
      <c r="CJ1200" t="s">
        <v>158</v>
      </c>
      <c r="CL1200" s="19">
        <f>IF(Table1[[#This Row],[Type]]="Petroleum",1,IF(ISERROR(Table1[[#This Row],[Well Density]]*Table1[[#This Row],[Single Well Discovery Area]]),"",IF(Table1[[#This Row],[Well Density]]*Table1[[#This Row],[Single Well Discovery Area]]&gt;1,1,Table1[[#This Row],[Well Density]]*Table1[[#This Row],[Single Well Discovery Area]])))</f>
        <v>0.28017239999999999</v>
      </c>
      <c r="CN1200" s="19">
        <f>Table1[[#This Row],[Mid]]</f>
        <v>0</v>
      </c>
      <c r="CO1200" s="19">
        <f>Table1[[#This Row],[Mid3]]+Table1[[#This Row],[Mid6]]+Table1[[#This Row],[Mid9]]</f>
        <v>0</v>
      </c>
      <c r="CP1200" s="19">
        <f>Table1[[#This Row],[Mid12]]+Table1[[#This Row],[Mid15]]+Table1[[#This Row],[Mid18]]+Table1[[#This Row],[Mid21]]+Table1[[#This Row],[Mid24]]</f>
        <v>891</v>
      </c>
      <c r="CQ1200" s="19">
        <f>Table1[[#This Row],[Mid27]]+Table1[[#This Row],[Mid30]]+Table1[[#This Row],[Mid33]]+Table1[[#This Row],[Mid36]]+Table1[[#This Row],[Mid39]]</f>
        <v>0</v>
      </c>
      <c r="CR1200" t="s">
        <v>439</v>
      </c>
      <c r="CS1200" s="19" t="str">
        <f>IF(AND(Table1[[#This Row],[Low41]]=0, Table1[[#This Row],[High43]]=0),"N","Y")</f>
        <v>N</v>
      </c>
    </row>
    <row r="1201" spans="1:97" ht="19.5" customHeight="1" x14ac:dyDescent="0.25">
      <c r="A1201">
        <v>11203</v>
      </c>
      <c r="B1201" t="s">
        <v>3717</v>
      </c>
      <c r="C1201" t="s">
        <v>3718</v>
      </c>
      <c r="D1201">
        <v>30.800277779999998</v>
      </c>
      <c r="E1201">
        <v>34.858055559999997</v>
      </c>
      <c r="F1201" t="s">
        <v>3735</v>
      </c>
      <c r="G1201" t="s">
        <v>3720</v>
      </c>
      <c r="H1201" t="s">
        <v>3736</v>
      </c>
      <c r="I1201" t="s">
        <v>118</v>
      </c>
      <c r="J1201" t="s">
        <v>119</v>
      </c>
      <c r="K1201" t="s">
        <v>120</v>
      </c>
      <c r="L1201" t="s">
        <v>121</v>
      </c>
      <c r="M1201" t="s">
        <v>3737</v>
      </c>
      <c r="N1201" s="6" t="s">
        <v>3738</v>
      </c>
      <c r="O1201" t="s">
        <v>3724</v>
      </c>
      <c r="P1201" t="s">
        <v>3724</v>
      </c>
      <c r="Q1201" t="s">
        <v>3739</v>
      </c>
      <c r="R1201" t="s">
        <v>3740</v>
      </c>
      <c r="S1201">
        <v>2013</v>
      </c>
      <c r="T1201" t="s">
        <v>771</v>
      </c>
      <c r="U1201" t="s">
        <v>2258</v>
      </c>
      <c r="V1201">
        <v>5074</v>
      </c>
      <c r="W1201">
        <v>1250</v>
      </c>
      <c r="X1201">
        <v>1000</v>
      </c>
      <c r="Y1201">
        <v>0</v>
      </c>
      <c r="Z1201">
        <v>10</v>
      </c>
      <c r="AA1201">
        <v>50</v>
      </c>
      <c r="AB1201">
        <v>0</v>
      </c>
      <c r="AC1201">
        <v>680</v>
      </c>
      <c r="AD1201">
        <v>26</v>
      </c>
      <c r="AE1201">
        <v>5.1241619999999998E-3</v>
      </c>
      <c r="AF1201">
        <v>200</v>
      </c>
      <c r="AG1201">
        <v>0</v>
      </c>
      <c r="AH1201" t="s">
        <v>3727</v>
      </c>
      <c r="AI1201">
        <v>0.02</v>
      </c>
      <c r="AJ1201">
        <v>0</v>
      </c>
      <c r="AK1201">
        <v>0</v>
      </c>
      <c r="AL1201">
        <v>0</v>
      </c>
      <c r="AN1201" t="s">
        <v>132</v>
      </c>
      <c r="AO1201">
        <v>0</v>
      </c>
      <c r="AP1201">
        <v>0</v>
      </c>
      <c r="AQ1201">
        <v>0</v>
      </c>
      <c r="AR1201">
        <v>0</v>
      </c>
      <c r="AS1201">
        <v>0</v>
      </c>
      <c r="AT1201">
        <v>0</v>
      </c>
      <c r="AU1201">
        <v>0</v>
      </c>
      <c r="AV1201">
        <v>0</v>
      </c>
      <c r="AW1201">
        <v>0</v>
      </c>
      <c r="AX1201">
        <v>0</v>
      </c>
      <c r="AY1201">
        <v>0</v>
      </c>
      <c r="AZ1201">
        <v>0</v>
      </c>
      <c r="BA1201">
        <v>0</v>
      </c>
      <c r="BB1201">
        <v>0</v>
      </c>
      <c r="BC1201">
        <v>0</v>
      </c>
      <c r="BD1201">
        <v>0</v>
      </c>
      <c r="BE1201">
        <v>0</v>
      </c>
      <c r="BF1201">
        <v>0</v>
      </c>
      <c r="BG1201">
        <v>0</v>
      </c>
      <c r="BH1201">
        <v>0</v>
      </c>
      <c r="BI1201">
        <v>0</v>
      </c>
      <c r="BJ1201">
        <v>0</v>
      </c>
      <c r="BK1201">
        <v>0</v>
      </c>
      <c r="BL1201">
        <v>0</v>
      </c>
      <c r="BM1201">
        <v>0</v>
      </c>
      <c r="BN1201">
        <v>8690</v>
      </c>
      <c r="BO1201">
        <v>0</v>
      </c>
      <c r="BP1201">
        <v>0</v>
      </c>
      <c r="BQ1201">
        <v>0</v>
      </c>
      <c r="BR1201">
        <v>0</v>
      </c>
      <c r="BS1201">
        <v>0</v>
      </c>
      <c r="BT1201">
        <v>0</v>
      </c>
      <c r="BU1201">
        <v>0</v>
      </c>
      <c r="BV1201">
        <v>0</v>
      </c>
      <c r="BW1201">
        <v>0</v>
      </c>
      <c r="BX1201">
        <v>0</v>
      </c>
      <c r="BY1201">
        <v>0</v>
      </c>
      <c r="BZ1201">
        <v>0</v>
      </c>
      <c r="CA1201">
        <v>0</v>
      </c>
      <c r="CB1201">
        <v>0</v>
      </c>
      <c r="CC1201">
        <v>0</v>
      </c>
      <c r="CD1201">
        <v>0</v>
      </c>
      <c r="CE120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01" s="19">
        <f>SUM(Table1[[#This Row],[Mid39]],Table1[[#This Row],[Mid36]],Table1[[#This Row],[Mid33]],Table1[[#This Row],[Mid30]],Table1[[#This Row],[Mid27]],Table1[[#This Row],[Mid24]],Table1[[#This Row],[Mid21]],Table1[[#This Row],[Mid18]],Table1[[#This Row],[Mid15]],Table1[[#This Row],[Mid12]],Table1[[#This Row],[Mid9]],Table1[[#This Row],[Mid6]],Table1[[#This Row],[Mid3]],Table1[[#This Row],[Mid]])</f>
        <v>8690</v>
      </c>
      <c r="CG120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01" t="s">
        <v>157</v>
      </c>
      <c r="CI1201" t="s">
        <v>134</v>
      </c>
      <c r="CJ1201" t="s">
        <v>158</v>
      </c>
      <c r="CL1201" s="19">
        <f>IF(Table1[[#This Row],[Type]]="Petroleum",1,IF(ISERROR(Table1[[#This Row],[Well Density]]*Table1[[#This Row],[Single Well Discovery Area]]),"",IF(Table1[[#This Row],[Well Density]]*Table1[[#This Row],[Single Well Discovery Area]]&gt;1,1,Table1[[#This Row],[Well Density]]*Table1[[#This Row],[Single Well Discovery Area]])))</f>
        <v>1</v>
      </c>
      <c r="CN1201" s="19">
        <f>Table1[[#This Row],[Mid]]</f>
        <v>0</v>
      </c>
      <c r="CO1201" s="19">
        <f>Table1[[#This Row],[Mid3]]+Table1[[#This Row],[Mid6]]+Table1[[#This Row],[Mid9]]</f>
        <v>0</v>
      </c>
      <c r="CP1201" s="19">
        <f>Table1[[#This Row],[Mid12]]+Table1[[#This Row],[Mid15]]+Table1[[#This Row],[Mid18]]+Table1[[#This Row],[Mid21]]+Table1[[#This Row],[Mid24]]</f>
        <v>8690</v>
      </c>
      <c r="CQ1201" s="19">
        <f>Table1[[#This Row],[Mid27]]+Table1[[#This Row],[Mid30]]+Table1[[#This Row],[Mid33]]+Table1[[#This Row],[Mid36]]+Table1[[#This Row],[Mid39]]</f>
        <v>0</v>
      </c>
      <c r="CR1201" t="s">
        <v>439</v>
      </c>
      <c r="CS1201" s="19" t="str">
        <f>IF(AND(Table1[[#This Row],[Low41]]=0, Table1[[#This Row],[High43]]=0),"N","Y")</f>
        <v>N</v>
      </c>
    </row>
    <row r="1202" spans="1:97" ht="19.5" customHeight="1" x14ac:dyDescent="0.25">
      <c r="A1202">
        <v>11204</v>
      </c>
      <c r="B1202" t="s">
        <v>3741</v>
      </c>
      <c r="C1202" t="s">
        <v>3742</v>
      </c>
      <c r="D1202">
        <v>32.303611109999999</v>
      </c>
      <c r="E1202">
        <v>-9.216111111</v>
      </c>
      <c r="F1202" t="s">
        <v>3743</v>
      </c>
      <c r="G1202" t="s">
        <v>3744</v>
      </c>
      <c r="H1202" t="s">
        <v>189</v>
      </c>
      <c r="I1202" t="s">
        <v>433</v>
      </c>
      <c r="J1202" t="s">
        <v>202</v>
      </c>
      <c r="K1202" t="s">
        <v>3052</v>
      </c>
      <c r="L1202" t="s">
        <v>121</v>
      </c>
      <c r="M1202" t="s">
        <v>252</v>
      </c>
      <c r="N1202" s="6" t="s">
        <v>3745</v>
      </c>
      <c r="O1202" t="s">
        <v>3724</v>
      </c>
      <c r="P1202" t="s">
        <v>3724</v>
      </c>
      <c r="Q1202" t="s">
        <v>3746</v>
      </c>
      <c r="R1202" t="s">
        <v>3747</v>
      </c>
      <c r="S1202">
        <v>2013</v>
      </c>
      <c r="T1202" t="s">
        <v>771</v>
      </c>
      <c r="U1202" t="s">
        <v>2258</v>
      </c>
      <c r="V1202">
        <v>2675</v>
      </c>
      <c r="AE1202">
        <v>0</v>
      </c>
      <c r="AH1202" t="s">
        <v>3727</v>
      </c>
      <c r="AN1202" t="s">
        <v>132</v>
      </c>
      <c r="AO1202">
        <v>0</v>
      </c>
      <c r="AP1202">
        <v>0</v>
      </c>
      <c r="AQ1202">
        <v>0</v>
      </c>
      <c r="AR1202">
        <v>0</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0</v>
      </c>
      <c r="BN1202">
        <v>147</v>
      </c>
      <c r="BO1202">
        <v>0</v>
      </c>
      <c r="BP1202">
        <v>0</v>
      </c>
      <c r="BQ1202">
        <v>0</v>
      </c>
      <c r="BR1202">
        <v>0</v>
      </c>
      <c r="BS1202">
        <v>0</v>
      </c>
      <c r="BT1202">
        <v>0</v>
      </c>
      <c r="BU1202">
        <v>0</v>
      </c>
      <c r="BV1202">
        <v>0</v>
      </c>
      <c r="BW1202">
        <v>0</v>
      </c>
      <c r="BX1202">
        <v>0</v>
      </c>
      <c r="BY1202">
        <v>0</v>
      </c>
      <c r="BZ1202">
        <v>0</v>
      </c>
      <c r="CA1202">
        <v>0</v>
      </c>
      <c r="CB1202">
        <v>0</v>
      </c>
      <c r="CC1202">
        <v>0</v>
      </c>
      <c r="CD1202">
        <v>0</v>
      </c>
      <c r="CE120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02" s="19">
        <f>SUM(Table1[[#This Row],[Mid39]],Table1[[#This Row],[Mid36]],Table1[[#This Row],[Mid33]],Table1[[#This Row],[Mid30]],Table1[[#This Row],[Mid27]],Table1[[#This Row],[Mid24]],Table1[[#This Row],[Mid21]],Table1[[#This Row],[Mid18]],Table1[[#This Row],[Mid15]],Table1[[#This Row],[Mid12]],Table1[[#This Row],[Mid9]],Table1[[#This Row],[Mid6]],Table1[[#This Row],[Mid3]],Table1[[#This Row],[Mid]])</f>
        <v>147</v>
      </c>
      <c r="CG120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02" t="s">
        <v>157</v>
      </c>
      <c r="CI1202" t="s">
        <v>134</v>
      </c>
      <c r="CJ1202" t="s">
        <v>158</v>
      </c>
      <c r="CL1202" s="19">
        <f>IF(Table1[[#This Row],[Type]]="Petroleum",1,IF(ISERROR(Table1[[#This Row],[Well Density]]*Table1[[#This Row],[Single Well Discovery Area]]),"",IF(Table1[[#This Row],[Well Density]]*Table1[[#This Row],[Single Well Discovery Area]]&gt;1,1,Table1[[#This Row],[Well Density]]*Table1[[#This Row],[Single Well Discovery Area]])))</f>
        <v>1</v>
      </c>
      <c r="CN1202" s="19">
        <f>Table1[[#This Row],[Mid]]</f>
        <v>0</v>
      </c>
      <c r="CO1202" s="19">
        <f>Table1[[#This Row],[Mid3]]+Table1[[#This Row],[Mid6]]+Table1[[#This Row],[Mid9]]</f>
        <v>0</v>
      </c>
      <c r="CP1202" s="19">
        <f>Table1[[#This Row],[Mid12]]+Table1[[#This Row],[Mid15]]+Table1[[#This Row],[Mid18]]+Table1[[#This Row],[Mid21]]+Table1[[#This Row],[Mid24]]</f>
        <v>147</v>
      </c>
      <c r="CQ1202" s="19">
        <f>Table1[[#This Row],[Mid27]]+Table1[[#This Row],[Mid30]]+Table1[[#This Row],[Mid33]]+Table1[[#This Row],[Mid36]]+Table1[[#This Row],[Mid39]]</f>
        <v>0</v>
      </c>
      <c r="CR1202" t="s">
        <v>3748</v>
      </c>
      <c r="CS1202" s="19" t="str">
        <f>IF(AND(Table1[[#This Row],[Low41]]=0, Table1[[#This Row],[High43]]=0),"N","Y")</f>
        <v>N</v>
      </c>
    </row>
    <row r="1203" spans="1:97" ht="19.5" customHeight="1" x14ac:dyDescent="0.25">
      <c r="A1203">
        <v>11205</v>
      </c>
      <c r="B1203" t="s">
        <v>3741</v>
      </c>
      <c r="C1203" t="s">
        <v>223</v>
      </c>
      <c r="D1203">
        <v>31.260833330000001</v>
      </c>
      <c r="E1203">
        <v>-9.3930555560000002</v>
      </c>
      <c r="F1203" t="s">
        <v>3749</v>
      </c>
      <c r="G1203" t="s">
        <v>3750</v>
      </c>
      <c r="H1203" t="s">
        <v>189</v>
      </c>
      <c r="I1203" t="s">
        <v>520</v>
      </c>
      <c r="J1203" t="s">
        <v>202</v>
      </c>
      <c r="K1203" t="s">
        <v>3052</v>
      </c>
      <c r="L1203" t="s">
        <v>121</v>
      </c>
      <c r="M1203" t="s">
        <v>252</v>
      </c>
      <c r="N1203" s="6" t="s">
        <v>3745</v>
      </c>
      <c r="O1203" t="s">
        <v>3724</v>
      </c>
      <c r="P1203" t="s">
        <v>3724</v>
      </c>
      <c r="Q1203" t="s">
        <v>3746</v>
      </c>
      <c r="R1203" t="s">
        <v>3751</v>
      </c>
      <c r="S1203">
        <v>2013</v>
      </c>
      <c r="T1203" t="s">
        <v>771</v>
      </c>
      <c r="U1203" t="s">
        <v>2258</v>
      </c>
      <c r="V1203">
        <v>20000</v>
      </c>
      <c r="AE1203">
        <v>0</v>
      </c>
      <c r="AH1203" t="s">
        <v>3727</v>
      </c>
      <c r="AN1203" t="s">
        <v>132</v>
      </c>
      <c r="AO1203">
        <v>0</v>
      </c>
      <c r="AP1203">
        <v>0</v>
      </c>
      <c r="AQ1203">
        <v>0</v>
      </c>
      <c r="AR1203">
        <v>0</v>
      </c>
      <c r="AS1203">
        <v>0</v>
      </c>
      <c r="AT1203">
        <v>0</v>
      </c>
      <c r="AU1203">
        <v>0</v>
      </c>
      <c r="AV1203">
        <v>0</v>
      </c>
      <c r="AW1203">
        <v>0</v>
      </c>
      <c r="AX1203">
        <v>0</v>
      </c>
      <c r="AY1203">
        <v>0</v>
      </c>
      <c r="AZ1203">
        <v>0</v>
      </c>
      <c r="BA1203">
        <v>0</v>
      </c>
      <c r="BB1203">
        <v>0</v>
      </c>
      <c r="BC1203">
        <v>0</v>
      </c>
      <c r="BD1203">
        <v>0</v>
      </c>
      <c r="BE1203">
        <v>0</v>
      </c>
      <c r="BF1203">
        <v>0</v>
      </c>
      <c r="BG1203">
        <v>0</v>
      </c>
      <c r="BH1203">
        <v>0</v>
      </c>
      <c r="BI1203">
        <v>0</v>
      </c>
      <c r="BJ1203">
        <v>0</v>
      </c>
      <c r="BK1203">
        <v>0</v>
      </c>
      <c r="BL1203">
        <v>0</v>
      </c>
      <c r="BM1203">
        <v>0</v>
      </c>
      <c r="BN1203">
        <v>265</v>
      </c>
      <c r="BO1203">
        <v>0</v>
      </c>
      <c r="BP1203">
        <v>0</v>
      </c>
      <c r="BQ1203">
        <v>0</v>
      </c>
      <c r="BR1203">
        <v>0</v>
      </c>
      <c r="BS1203">
        <v>0</v>
      </c>
      <c r="BT1203">
        <v>0</v>
      </c>
      <c r="BU1203">
        <v>0</v>
      </c>
      <c r="BV1203">
        <v>0</v>
      </c>
      <c r="BW1203">
        <v>0</v>
      </c>
      <c r="BX1203">
        <v>0</v>
      </c>
      <c r="BY1203">
        <v>0</v>
      </c>
      <c r="BZ1203">
        <v>0</v>
      </c>
      <c r="CA1203">
        <v>0</v>
      </c>
      <c r="CB1203">
        <v>0</v>
      </c>
      <c r="CC1203">
        <v>0</v>
      </c>
      <c r="CD1203">
        <v>0</v>
      </c>
      <c r="CE120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03" s="19">
        <f>SUM(Table1[[#This Row],[Mid39]],Table1[[#This Row],[Mid36]],Table1[[#This Row],[Mid33]],Table1[[#This Row],[Mid30]],Table1[[#This Row],[Mid27]],Table1[[#This Row],[Mid24]],Table1[[#This Row],[Mid21]],Table1[[#This Row],[Mid18]],Table1[[#This Row],[Mid15]],Table1[[#This Row],[Mid12]],Table1[[#This Row],[Mid9]],Table1[[#This Row],[Mid6]],Table1[[#This Row],[Mid3]],Table1[[#This Row],[Mid]])</f>
        <v>265</v>
      </c>
      <c r="CG120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03" t="s">
        <v>157</v>
      </c>
      <c r="CI1203" t="s">
        <v>134</v>
      </c>
      <c r="CJ1203" t="s">
        <v>158</v>
      </c>
      <c r="CL1203" s="19">
        <f>IF(Table1[[#This Row],[Type]]="Petroleum",1,IF(ISERROR(Table1[[#This Row],[Well Density]]*Table1[[#This Row],[Single Well Discovery Area]]),"",IF(Table1[[#This Row],[Well Density]]*Table1[[#This Row],[Single Well Discovery Area]]&gt;1,1,Table1[[#This Row],[Well Density]]*Table1[[#This Row],[Single Well Discovery Area]])))</f>
        <v>1</v>
      </c>
      <c r="CN1203" s="19">
        <f>Table1[[#This Row],[Mid]]</f>
        <v>0</v>
      </c>
      <c r="CO1203" s="19">
        <f>Table1[[#This Row],[Mid3]]+Table1[[#This Row],[Mid6]]+Table1[[#This Row],[Mid9]]</f>
        <v>0</v>
      </c>
      <c r="CP1203" s="19">
        <f>Table1[[#This Row],[Mid12]]+Table1[[#This Row],[Mid15]]+Table1[[#This Row],[Mid18]]+Table1[[#This Row],[Mid21]]+Table1[[#This Row],[Mid24]]</f>
        <v>265</v>
      </c>
      <c r="CQ1203" s="19">
        <f>Table1[[#This Row],[Mid27]]+Table1[[#This Row],[Mid30]]+Table1[[#This Row],[Mid33]]+Table1[[#This Row],[Mid36]]+Table1[[#This Row],[Mid39]]</f>
        <v>0</v>
      </c>
      <c r="CR1203" t="s">
        <v>3748</v>
      </c>
      <c r="CS1203" s="19" t="str">
        <f>IF(AND(Table1[[#This Row],[Low41]]=0, Table1[[#This Row],[High43]]=0),"N","Y")</f>
        <v>N</v>
      </c>
    </row>
    <row r="1204" spans="1:97" ht="19.5" customHeight="1" x14ac:dyDescent="0.25">
      <c r="A1204">
        <v>11206</v>
      </c>
      <c r="B1204" t="s">
        <v>3741</v>
      </c>
      <c r="C1204" t="s">
        <v>165</v>
      </c>
      <c r="D1204">
        <v>35.951666670000002</v>
      </c>
      <c r="E1204">
        <v>-3.5647222219999999</v>
      </c>
      <c r="F1204" t="s">
        <v>3752</v>
      </c>
      <c r="G1204" t="s">
        <v>3753</v>
      </c>
      <c r="H1204" t="s">
        <v>189</v>
      </c>
      <c r="I1204" t="s">
        <v>520</v>
      </c>
      <c r="J1204" t="s">
        <v>202</v>
      </c>
      <c r="K1204" t="s">
        <v>3052</v>
      </c>
      <c r="L1204" t="s">
        <v>121</v>
      </c>
      <c r="M1204" t="s">
        <v>252</v>
      </c>
      <c r="N1204" s="6" t="s">
        <v>3754</v>
      </c>
      <c r="O1204" t="s">
        <v>3724</v>
      </c>
      <c r="P1204" t="s">
        <v>3724</v>
      </c>
      <c r="Q1204" t="s">
        <v>3746</v>
      </c>
      <c r="R1204" t="s">
        <v>3755</v>
      </c>
      <c r="S1204">
        <v>2015</v>
      </c>
      <c r="T1204" t="s">
        <v>771</v>
      </c>
      <c r="U1204" t="s">
        <v>2258</v>
      </c>
      <c r="V1204"/>
      <c r="AH1204" t="s">
        <v>3727</v>
      </c>
      <c r="AN1204" t="s">
        <v>132</v>
      </c>
      <c r="AO1204">
        <v>0</v>
      </c>
      <c r="AP1204">
        <v>0</v>
      </c>
      <c r="AQ1204">
        <v>0</v>
      </c>
      <c r="AR1204">
        <v>0</v>
      </c>
      <c r="AS1204">
        <v>0</v>
      </c>
      <c r="AT1204">
        <v>0</v>
      </c>
      <c r="AU1204">
        <v>0</v>
      </c>
      <c r="AV1204">
        <v>0</v>
      </c>
      <c r="AW1204">
        <v>0</v>
      </c>
      <c r="AX1204">
        <v>0</v>
      </c>
      <c r="AY1204">
        <v>0</v>
      </c>
      <c r="AZ1204">
        <v>0</v>
      </c>
      <c r="BA1204">
        <v>0</v>
      </c>
      <c r="BB1204">
        <v>0</v>
      </c>
      <c r="BC1204">
        <v>0</v>
      </c>
      <c r="BD1204">
        <v>0</v>
      </c>
      <c r="BE1204">
        <v>0</v>
      </c>
      <c r="BF1204">
        <v>0</v>
      </c>
      <c r="BG1204">
        <v>0</v>
      </c>
      <c r="BH1204">
        <v>0</v>
      </c>
      <c r="BI1204">
        <v>0</v>
      </c>
      <c r="BJ1204">
        <v>0</v>
      </c>
      <c r="BK1204">
        <v>0</v>
      </c>
      <c r="BL1204">
        <v>0</v>
      </c>
      <c r="BM1204">
        <v>0</v>
      </c>
      <c r="BN1204">
        <v>218</v>
      </c>
      <c r="BO1204">
        <v>0</v>
      </c>
      <c r="BP1204">
        <v>0</v>
      </c>
      <c r="BQ1204">
        <v>0</v>
      </c>
      <c r="BR1204">
        <v>0</v>
      </c>
      <c r="BS1204">
        <v>0</v>
      </c>
      <c r="BT1204">
        <v>0</v>
      </c>
      <c r="BU1204">
        <v>0</v>
      </c>
      <c r="BV1204">
        <v>0</v>
      </c>
      <c r="BW1204">
        <v>0</v>
      </c>
      <c r="BX1204">
        <v>0</v>
      </c>
      <c r="BY1204">
        <v>0</v>
      </c>
      <c r="BZ1204">
        <v>0</v>
      </c>
      <c r="CA1204">
        <v>0</v>
      </c>
      <c r="CB1204">
        <v>0</v>
      </c>
      <c r="CC1204">
        <v>0</v>
      </c>
      <c r="CD1204">
        <v>0</v>
      </c>
      <c r="CE120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04" s="19">
        <f>SUM(Table1[[#This Row],[Mid39]],Table1[[#This Row],[Mid36]],Table1[[#This Row],[Mid33]],Table1[[#This Row],[Mid30]],Table1[[#This Row],[Mid27]],Table1[[#This Row],[Mid24]],Table1[[#This Row],[Mid21]],Table1[[#This Row],[Mid18]],Table1[[#This Row],[Mid15]],Table1[[#This Row],[Mid12]],Table1[[#This Row],[Mid9]],Table1[[#This Row],[Mid6]],Table1[[#This Row],[Mid3]],Table1[[#This Row],[Mid]])</f>
        <v>218</v>
      </c>
      <c r="CG120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04" t="s">
        <v>157</v>
      </c>
      <c r="CI1204" t="s">
        <v>134</v>
      </c>
      <c r="CJ1204" t="s">
        <v>158</v>
      </c>
      <c r="CL1204" s="19">
        <f>IF(Table1[[#This Row],[Type]]="Petroleum",1,IF(ISERROR(Table1[[#This Row],[Well Density]]*Table1[[#This Row],[Single Well Discovery Area]]),"",IF(Table1[[#This Row],[Well Density]]*Table1[[#This Row],[Single Well Discovery Area]]&gt;1,1,Table1[[#This Row],[Well Density]]*Table1[[#This Row],[Single Well Discovery Area]])))</f>
        <v>1</v>
      </c>
      <c r="CN1204" s="19">
        <f>Table1[[#This Row],[Mid]]</f>
        <v>0</v>
      </c>
      <c r="CO1204" s="19">
        <f>Table1[[#This Row],[Mid3]]+Table1[[#This Row],[Mid6]]+Table1[[#This Row],[Mid9]]</f>
        <v>0</v>
      </c>
      <c r="CP1204" s="19">
        <f>Table1[[#This Row],[Mid12]]+Table1[[#This Row],[Mid15]]+Table1[[#This Row],[Mid18]]+Table1[[#This Row],[Mid21]]+Table1[[#This Row],[Mid24]]</f>
        <v>218</v>
      </c>
      <c r="CQ1204" s="19">
        <f>Table1[[#This Row],[Mid27]]+Table1[[#This Row],[Mid30]]+Table1[[#This Row],[Mid33]]+Table1[[#This Row],[Mid36]]+Table1[[#This Row],[Mid39]]</f>
        <v>0</v>
      </c>
      <c r="CR1204" t="s">
        <v>3748</v>
      </c>
      <c r="CS1204" s="19" t="str">
        <f>IF(AND(Table1[[#This Row],[Low41]]=0, Table1[[#This Row],[High43]]=0),"N","Y")</f>
        <v>N</v>
      </c>
    </row>
    <row r="1205" spans="1:97" ht="19.5" customHeight="1" x14ac:dyDescent="0.25">
      <c r="A1205">
        <v>11207</v>
      </c>
      <c r="B1205" t="s">
        <v>3756</v>
      </c>
      <c r="C1205" t="s">
        <v>3757</v>
      </c>
      <c r="D1205">
        <v>27.722222219999999</v>
      </c>
      <c r="E1205">
        <v>1.4975000000000001</v>
      </c>
      <c r="F1205" t="s">
        <v>3758</v>
      </c>
      <c r="G1205" t="s">
        <v>3759</v>
      </c>
      <c r="H1205" t="s">
        <v>189</v>
      </c>
      <c r="I1205" t="s">
        <v>118</v>
      </c>
      <c r="J1205" t="s">
        <v>119</v>
      </c>
      <c r="K1205" t="s">
        <v>203</v>
      </c>
      <c r="L1205" t="s">
        <v>18</v>
      </c>
      <c r="M1205" t="s">
        <v>3760</v>
      </c>
      <c r="N1205" s="6" t="s">
        <v>3761</v>
      </c>
      <c r="P1205" t="s">
        <v>1150</v>
      </c>
      <c r="Q1205" t="s">
        <v>3762</v>
      </c>
      <c r="R1205" s="21" t="s">
        <v>3763</v>
      </c>
      <c r="S1205">
        <v>2016</v>
      </c>
      <c r="T1205" t="s">
        <v>771</v>
      </c>
      <c r="U1205" t="s">
        <v>3764</v>
      </c>
      <c r="V1205">
        <v>100</v>
      </c>
      <c r="W1205">
        <v>1250</v>
      </c>
      <c r="X1205">
        <v>160</v>
      </c>
      <c r="Y1205">
        <v>0</v>
      </c>
      <c r="Z1205">
        <v>15</v>
      </c>
      <c r="AA1205">
        <v>0</v>
      </c>
      <c r="AB1205">
        <v>0</v>
      </c>
      <c r="AC1205">
        <v>970</v>
      </c>
      <c r="AD1205">
        <v>0</v>
      </c>
      <c r="AE1205">
        <v>0</v>
      </c>
      <c r="AF1205">
        <v>200</v>
      </c>
      <c r="AG1205">
        <v>0</v>
      </c>
      <c r="AH1205" t="s">
        <v>3765</v>
      </c>
      <c r="AI1205">
        <v>0.05</v>
      </c>
      <c r="AJ1205">
        <v>0</v>
      </c>
      <c r="AK1205">
        <v>0</v>
      </c>
      <c r="AL1205">
        <v>0</v>
      </c>
      <c r="AM1205" t="s">
        <v>2538</v>
      </c>
      <c r="AN1205" t="s">
        <v>132</v>
      </c>
      <c r="AO1205">
        <v>0</v>
      </c>
      <c r="AP1205">
        <v>0</v>
      </c>
      <c r="AQ1205">
        <v>0</v>
      </c>
      <c r="AR1205">
        <v>0</v>
      </c>
      <c r="AS1205">
        <v>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BM1205">
        <v>0</v>
      </c>
      <c r="BN1205">
        <v>0</v>
      </c>
      <c r="BO1205">
        <v>0</v>
      </c>
      <c r="BP1205">
        <v>0</v>
      </c>
      <c r="BQ1205">
        <v>0</v>
      </c>
      <c r="BR1205">
        <v>0</v>
      </c>
      <c r="BS1205">
        <v>0</v>
      </c>
      <c r="BT1205">
        <v>0</v>
      </c>
      <c r="BU1205">
        <v>0</v>
      </c>
      <c r="BV1205">
        <v>0</v>
      </c>
      <c r="BW1205">
        <v>23.3</v>
      </c>
      <c r="BX1205">
        <v>116.4</v>
      </c>
      <c r="BY1205">
        <v>0</v>
      </c>
      <c r="BZ1205">
        <v>0</v>
      </c>
      <c r="CA1205">
        <v>0</v>
      </c>
      <c r="CB1205">
        <v>0</v>
      </c>
      <c r="CC1205">
        <v>0</v>
      </c>
      <c r="CD1205">
        <v>0</v>
      </c>
      <c r="CE120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05" s="19">
        <f>SUM(Table1[[#This Row],[Mid39]],Table1[[#This Row],[Mid36]],Table1[[#This Row],[Mid33]],Table1[[#This Row],[Mid30]],Table1[[#This Row],[Mid27]],Table1[[#This Row],[Mid24]],Table1[[#This Row],[Mid21]],Table1[[#This Row],[Mid18]],Table1[[#This Row],[Mid15]],Table1[[#This Row],[Mid12]],Table1[[#This Row],[Mid9]],Table1[[#This Row],[Mid6]],Table1[[#This Row],[Mid3]],Table1[[#This Row],[Mid]])</f>
        <v>23.3</v>
      </c>
      <c r="CG120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116.4</v>
      </c>
      <c r="CH1205" t="s">
        <v>157</v>
      </c>
      <c r="CI1205" t="s">
        <v>134</v>
      </c>
      <c r="CJ1205" t="s">
        <v>158</v>
      </c>
      <c r="CL1205" s="19">
        <f>IF(Table1[[#This Row],[Type]]="Petroleum",1,IF(ISERROR(Table1[[#This Row],[Well Density]]*Table1[[#This Row],[Single Well Discovery Area]]),"",IF(Table1[[#This Row],[Well Density]]*Table1[[#This Row],[Single Well Discovery Area]]&gt;1,1,Table1[[#This Row],[Well Density]]*Table1[[#This Row],[Single Well Discovery Area]])))</f>
        <v>0</v>
      </c>
      <c r="CN1205" s="19">
        <f>Table1[[#This Row],[Mid]]</f>
        <v>0</v>
      </c>
      <c r="CO1205" s="19">
        <f>Table1[[#This Row],[Mid3]]+Table1[[#This Row],[Mid6]]+Table1[[#This Row],[Mid9]]</f>
        <v>0</v>
      </c>
      <c r="CP1205" s="19">
        <f>Table1[[#This Row],[Mid12]]+Table1[[#This Row],[Mid15]]+Table1[[#This Row],[Mid18]]+Table1[[#This Row],[Mid21]]+Table1[[#This Row],[Mid24]]</f>
        <v>0</v>
      </c>
      <c r="CQ1205" s="19">
        <f>Table1[[#This Row],[Mid27]]+Table1[[#This Row],[Mid30]]+Table1[[#This Row],[Mid33]]+Table1[[#This Row],[Mid36]]+Table1[[#This Row],[Mid39]]</f>
        <v>23.3</v>
      </c>
      <c r="CR1205" t="s">
        <v>3748</v>
      </c>
      <c r="CS1205" s="19" t="str">
        <f>IF(AND(Table1[[#This Row],[Low41]]=0, Table1[[#This Row],[High43]]=0),"N","Y")</f>
        <v>Y</v>
      </c>
    </row>
    <row r="1206" spans="1:97" ht="19.5" customHeight="1" x14ac:dyDescent="0.25">
      <c r="A1206">
        <v>11208</v>
      </c>
      <c r="B1206" t="s">
        <v>3756</v>
      </c>
      <c r="C1206" t="s">
        <v>3757</v>
      </c>
      <c r="D1206">
        <v>26.458888890000001</v>
      </c>
      <c r="E1206">
        <v>1.3633333329999999</v>
      </c>
      <c r="F1206" t="s">
        <v>3766</v>
      </c>
      <c r="G1206" t="s">
        <v>3759</v>
      </c>
      <c r="H1206" t="s">
        <v>189</v>
      </c>
      <c r="I1206" t="s">
        <v>118</v>
      </c>
      <c r="J1206" t="s">
        <v>119</v>
      </c>
      <c r="K1206" t="s">
        <v>203</v>
      </c>
      <c r="L1206" t="s">
        <v>18</v>
      </c>
      <c r="M1206" t="s">
        <v>3760</v>
      </c>
      <c r="N1206" s="6" t="s">
        <v>3761</v>
      </c>
      <c r="P1206" t="s">
        <v>1150</v>
      </c>
      <c r="Q1206" s="21" t="s">
        <v>3767</v>
      </c>
      <c r="R1206" s="21" t="s">
        <v>3763</v>
      </c>
      <c r="S1206">
        <v>2016</v>
      </c>
      <c r="T1206" t="s">
        <v>771</v>
      </c>
      <c r="U1206" t="s">
        <v>3764</v>
      </c>
      <c r="V1206">
        <v>480</v>
      </c>
      <c r="W1206">
        <v>1165</v>
      </c>
      <c r="X1206">
        <v>500</v>
      </c>
      <c r="Y1206">
        <v>0</v>
      </c>
      <c r="Z1206">
        <v>15</v>
      </c>
      <c r="AA1206">
        <v>0</v>
      </c>
      <c r="AB1206">
        <v>0</v>
      </c>
      <c r="AC1206">
        <v>960</v>
      </c>
      <c r="AD1206">
        <v>0</v>
      </c>
      <c r="AE1206">
        <v>0</v>
      </c>
      <c r="AF1206">
        <v>200</v>
      </c>
      <c r="AG1206">
        <v>0</v>
      </c>
      <c r="AH1206" t="s">
        <v>3765</v>
      </c>
      <c r="AI1206">
        <v>0.05</v>
      </c>
      <c r="AJ1206">
        <v>0</v>
      </c>
      <c r="AK1206">
        <v>0</v>
      </c>
      <c r="AL1206">
        <v>0</v>
      </c>
      <c r="AM1206" t="s">
        <v>2538</v>
      </c>
      <c r="AN1206" t="s">
        <v>132</v>
      </c>
      <c r="AO1206">
        <v>0</v>
      </c>
      <c r="AP1206">
        <v>0</v>
      </c>
      <c r="AQ1206">
        <v>0</v>
      </c>
      <c r="AR1206">
        <v>0</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BM1206">
        <v>0</v>
      </c>
      <c r="BN1206">
        <v>0</v>
      </c>
      <c r="BO1206">
        <v>0</v>
      </c>
      <c r="BP1206">
        <v>0</v>
      </c>
      <c r="BQ1206">
        <v>0</v>
      </c>
      <c r="BR1206">
        <v>0</v>
      </c>
      <c r="BS1206">
        <v>0</v>
      </c>
      <c r="BT1206">
        <v>0</v>
      </c>
      <c r="BU1206">
        <v>0</v>
      </c>
      <c r="BV1206">
        <v>0</v>
      </c>
      <c r="BW1206">
        <v>345.6</v>
      </c>
      <c r="BX1206">
        <v>1728</v>
      </c>
      <c r="BY1206">
        <v>0</v>
      </c>
      <c r="BZ1206">
        <v>0</v>
      </c>
      <c r="CA1206">
        <v>0</v>
      </c>
      <c r="CB1206">
        <v>0</v>
      </c>
      <c r="CC1206">
        <v>0</v>
      </c>
      <c r="CD1206">
        <v>0</v>
      </c>
      <c r="CE120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06" s="19">
        <f>SUM(Table1[[#This Row],[Mid39]],Table1[[#This Row],[Mid36]],Table1[[#This Row],[Mid33]],Table1[[#This Row],[Mid30]],Table1[[#This Row],[Mid27]],Table1[[#This Row],[Mid24]],Table1[[#This Row],[Mid21]],Table1[[#This Row],[Mid18]],Table1[[#This Row],[Mid15]],Table1[[#This Row],[Mid12]],Table1[[#This Row],[Mid9]],Table1[[#This Row],[Mid6]],Table1[[#This Row],[Mid3]],Table1[[#This Row],[Mid]])</f>
        <v>345.6</v>
      </c>
      <c r="CG120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1728</v>
      </c>
      <c r="CH1206" t="s">
        <v>157</v>
      </c>
      <c r="CI1206" t="s">
        <v>134</v>
      </c>
      <c r="CJ1206" t="s">
        <v>158</v>
      </c>
      <c r="CL1206" s="19">
        <f>IF(Table1[[#This Row],[Type]]="Petroleum",1,IF(ISERROR(Table1[[#This Row],[Well Density]]*Table1[[#This Row],[Single Well Discovery Area]]),"",IF(Table1[[#This Row],[Well Density]]*Table1[[#This Row],[Single Well Discovery Area]]&gt;1,1,Table1[[#This Row],[Well Density]]*Table1[[#This Row],[Single Well Discovery Area]])))</f>
        <v>0</v>
      </c>
      <c r="CN1206" s="19">
        <f>Table1[[#This Row],[Mid]]</f>
        <v>0</v>
      </c>
      <c r="CO1206" s="19">
        <f>Table1[[#This Row],[Mid3]]+Table1[[#This Row],[Mid6]]+Table1[[#This Row],[Mid9]]</f>
        <v>0</v>
      </c>
      <c r="CP1206" s="19">
        <f>Table1[[#This Row],[Mid12]]+Table1[[#This Row],[Mid15]]+Table1[[#This Row],[Mid18]]+Table1[[#This Row],[Mid21]]+Table1[[#This Row],[Mid24]]</f>
        <v>0</v>
      </c>
      <c r="CQ1206" s="19">
        <f>Table1[[#This Row],[Mid27]]+Table1[[#This Row],[Mid30]]+Table1[[#This Row],[Mid33]]+Table1[[#This Row],[Mid36]]+Table1[[#This Row],[Mid39]]</f>
        <v>345.6</v>
      </c>
      <c r="CR1206" t="s">
        <v>3748</v>
      </c>
      <c r="CS1206" s="19" t="str">
        <f>IF(AND(Table1[[#This Row],[Low41]]=0, Table1[[#This Row],[High43]]=0),"N","Y")</f>
        <v>Y</v>
      </c>
    </row>
    <row r="1207" spans="1:97" ht="19.5" customHeight="1" x14ac:dyDescent="0.25">
      <c r="A1207">
        <v>11209</v>
      </c>
      <c r="B1207" t="s">
        <v>3756</v>
      </c>
      <c r="C1207" t="s">
        <v>3757</v>
      </c>
      <c r="D1207">
        <v>25.549444439999998</v>
      </c>
      <c r="E1207">
        <v>3.1263888889999998</v>
      </c>
      <c r="F1207" t="s">
        <v>3768</v>
      </c>
      <c r="G1207" t="s">
        <v>3759</v>
      </c>
      <c r="H1207" t="s">
        <v>189</v>
      </c>
      <c r="I1207" t="s">
        <v>118</v>
      </c>
      <c r="J1207" t="s">
        <v>119</v>
      </c>
      <c r="K1207" t="s">
        <v>203</v>
      </c>
      <c r="L1207" t="s">
        <v>18</v>
      </c>
      <c r="M1207" t="s">
        <v>3760</v>
      </c>
      <c r="N1207" s="6" t="s">
        <v>3761</v>
      </c>
      <c r="P1207" t="s">
        <v>1150</v>
      </c>
      <c r="Q1207" s="21" t="s">
        <v>3769</v>
      </c>
      <c r="R1207" s="21" t="s">
        <v>3763</v>
      </c>
      <c r="S1207">
        <v>2016</v>
      </c>
      <c r="T1207" t="s">
        <v>771</v>
      </c>
      <c r="U1207" t="s">
        <v>3764</v>
      </c>
      <c r="V1207">
        <v>1150</v>
      </c>
      <c r="W1207">
        <v>1200</v>
      </c>
      <c r="X1207">
        <v>250</v>
      </c>
      <c r="Y1207">
        <v>0</v>
      </c>
      <c r="Z1207">
        <v>18</v>
      </c>
      <c r="AA1207">
        <v>0</v>
      </c>
      <c r="AB1207">
        <v>120137</v>
      </c>
      <c r="AC1207">
        <v>920</v>
      </c>
      <c r="AD1207">
        <v>0</v>
      </c>
      <c r="AE1207">
        <v>0</v>
      </c>
      <c r="AF1207">
        <v>200</v>
      </c>
      <c r="AG1207">
        <v>0</v>
      </c>
      <c r="AH1207" t="s">
        <v>3765</v>
      </c>
      <c r="AI1207">
        <v>0.05</v>
      </c>
      <c r="AJ1207">
        <v>0</v>
      </c>
      <c r="AK1207">
        <v>0</v>
      </c>
      <c r="AL1207">
        <v>0</v>
      </c>
      <c r="AM1207" t="s">
        <v>2538</v>
      </c>
      <c r="AN1207" t="s">
        <v>132</v>
      </c>
      <c r="AO1207">
        <v>0</v>
      </c>
      <c r="AP1207">
        <v>0</v>
      </c>
      <c r="AQ1207">
        <v>0</v>
      </c>
      <c r="AR1207">
        <v>0</v>
      </c>
      <c r="AS1207">
        <v>0</v>
      </c>
      <c r="AT1207">
        <v>0</v>
      </c>
      <c r="AU1207">
        <v>0</v>
      </c>
      <c r="AV1207">
        <v>0</v>
      </c>
      <c r="AW1207">
        <v>0</v>
      </c>
      <c r="AX1207">
        <v>0</v>
      </c>
      <c r="AY1207">
        <v>0</v>
      </c>
      <c r="AZ1207">
        <v>0</v>
      </c>
      <c r="BA1207">
        <v>0</v>
      </c>
      <c r="BB1207">
        <v>0</v>
      </c>
      <c r="BC1207">
        <v>0</v>
      </c>
      <c r="BD1207">
        <v>0</v>
      </c>
      <c r="BE1207">
        <v>0</v>
      </c>
      <c r="BF1207">
        <v>0</v>
      </c>
      <c r="BG1207">
        <v>0</v>
      </c>
      <c r="BH1207">
        <v>0</v>
      </c>
      <c r="BI1207">
        <v>0</v>
      </c>
      <c r="BJ1207">
        <v>0</v>
      </c>
      <c r="BK1207">
        <v>0</v>
      </c>
      <c r="BL1207">
        <v>0</v>
      </c>
      <c r="BM1207">
        <v>0</v>
      </c>
      <c r="BN1207">
        <v>0</v>
      </c>
      <c r="BO1207">
        <v>0</v>
      </c>
      <c r="BP1207">
        <v>0</v>
      </c>
      <c r="BQ1207">
        <v>0</v>
      </c>
      <c r="BR1207">
        <v>0</v>
      </c>
      <c r="BS1207">
        <v>0</v>
      </c>
      <c r="BT1207">
        <v>0</v>
      </c>
      <c r="BU1207">
        <v>0</v>
      </c>
      <c r="BV1207">
        <v>0</v>
      </c>
      <c r="BW1207">
        <v>476.1</v>
      </c>
      <c r="BX1207">
        <v>2380.5</v>
      </c>
      <c r="BY1207">
        <v>0</v>
      </c>
      <c r="BZ1207">
        <v>0</v>
      </c>
      <c r="CA1207">
        <v>0</v>
      </c>
      <c r="CB1207">
        <v>0</v>
      </c>
      <c r="CC1207">
        <v>0</v>
      </c>
      <c r="CD1207">
        <v>0</v>
      </c>
      <c r="CE120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07" s="19">
        <f>SUM(Table1[[#This Row],[Mid39]],Table1[[#This Row],[Mid36]],Table1[[#This Row],[Mid33]],Table1[[#This Row],[Mid30]],Table1[[#This Row],[Mid27]],Table1[[#This Row],[Mid24]],Table1[[#This Row],[Mid21]],Table1[[#This Row],[Mid18]],Table1[[#This Row],[Mid15]],Table1[[#This Row],[Mid12]],Table1[[#This Row],[Mid9]],Table1[[#This Row],[Mid6]],Table1[[#This Row],[Mid3]],Table1[[#This Row],[Mid]])</f>
        <v>476.1</v>
      </c>
      <c r="CG120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2380.5</v>
      </c>
      <c r="CH1207" t="s">
        <v>157</v>
      </c>
      <c r="CI1207" t="s">
        <v>134</v>
      </c>
      <c r="CJ1207" t="s">
        <v>158</v>
      </c>
      <c r="CL1207" s="19">
        <f>IF(Table1[[#This Row],[Type]]="Petroleum",1,IF(ISERROR(Table1[[#This Row],[Well Density]]*Table1[[#This Row],[Single Well Discovery Area]]),"",IF(Table1[[#This Row],[Well Density]]*Table1[[#This Row],[Single Well Discovery Area]]&gt;1,1,Table1[[#This Row],[Well Density]]*Table1[[#This Row],[Single Well Discovery Area]])))</f>
        <v>0</v>
      </c>
      <c r="CN1207" s="19">
        <f>Table1[[#This Row],[Mid]]</f>
        <v>0</v>
      </c>
      <c r="CO1207" s="19">
        <f>Table1[[#This Row],[Mid3]]+Table1[[#This Row],[Mid6]]+Table1[[#This Row],[Mid9]]</f>
        <v>0</v>
      </c>
      <c r="CP1207" s="19">
        <f>Table1[[#This Row],[Mid12]]+Table1[[#This Row],[Mid15]]+Table1[[#This Row],[Mid18]]+Table1[[#This Row],[Mid21]]+Table1[[#This Row],[Mid24]]</f>
        <v>0</v>
      </c>
      <c r="CQ1207" s="19">
        <f>Table1[[#This Row],[Mid27]]+Table1[[#This Row],[Mid30]]+Table1[[#This Row],[Mid33]]+Table1[[#This Row],[Mid36]]+Table1[[#This Row],[Mid39]]</f>
        <v>476.1</v>
      </c>
      <c r="CR1207" t="s">
        <v>3748</v>
      </c>
      <c r="CS1207" s="19" t="str">
        <f>IF(AND(Table1[[#This Row],[Low41]]=0, Table1[[#This Row],[High43]]=0),"N","Y")</f>
        <v>Y</v>
      </c>
    </row>
    <row r="1208" spans="1:97" ht="19.5" customHeight="1" x14ac:dyDescent="0.25">
      <c r="A1208">
        <v>11210</v>
      </c>
      <c r="B1208" t="s">
        <v>3756</v>
      </c>
      <c r="C1208" t="s">
        <v>3757</v>
      </c>
      <c r="D1208">
        <v>25.426111110000001</v>
      </c>
      <c r="E1208">
        <v>2.0472222219999998</v>
      </c>
      <c r="F1208" t="s">
        <v>3770</v>
      </c>
      <c r="G1208" t="s">
        <v>3759</v>
      </c>
      <c r="H1208" t="s">
        <v>189</v>
      </c>
      <c r="I1208" t="s">
        <v>118</v>
      </c>
      <c r="J1208" t="s">
        <v>119</v>
      </c>
      <c r="K1208" t="s">
        <v>203</v>
      </c>
      <c r="L1208" t="s">
        <v>18</v>
      </c>
      <c r="M1208" t="s">
        <v>3760</v>
      </c>
      <c r="N1208" s="6" t="s">
        <v>3761</v>
      </c>
      <c r="P1208" t="s">
        <v>1150</v>
      </c>
      <c r="Q1208" t="s">
        <v>3762</v>
      </c>
      <c r="R1208" s="21" t="s">
        <v>3763</v>
      </c>
      <c r="S1208">
        <v>2016</v>
      </c>
      <c r="T1208" t="s">
        <v>771</v>
      </c>
      <c r="U1208" t="s">
        <v>3764</v>
      </c>
      <c r="V1208">
        <v>180</v>
      </c>
      <c r="W1208">
        <v>1300</v>
      </c>
      <c r="X1208">
        <v>120</v>
      </c>
      <c r="Y1208">
        <v>0</v>
      </c>
      <c r="Z1208">
        <v>14</v>
      </c>
      <c r="AA1208">
        <v>0</v>
      </c>
      <c r="AB1208">
        <v>0</v>
      </c>
      <c r="AC1208">
        <v>900</v>
      </c>
      <c r="AD1208">
        <v>0</v>
      </c>
      <c r="AE1208">
        <v>0</v>
      </c>
      <c r="AF1208">
        <v>200</v>
      </c>
      <c r="AG1208">
        <v>0</v>
      </c>
      <c r="AH1208" t="s">
        <v>3765</v>
      </c>
      <c r="AI1208">
        <v>0.05</v>
      </c>
      <c r="AJ1208">
        <v>0</v>
      </c>
      <c r="AK1208">
        <v>0</v>
      </c>
      <c r="AL1208">
        <v>0</v>
      </c>
      <c r="AM1208" t="s">
        <v>2538</v>
      </c>
      <c r="AN1208" t="s">
        <v>132</v>
      </c>
      <c r="AO1208">
        <v>0</v>
      </c>
      <c r="AP1208">
        <v>0</v>
      </c>
      <c r="AQ1208">
        <v>0</v>
      </c>
      <c r="AR1208">
        <v>0</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0</v>
      </c>
      <c r="BN1208">
        <v>0</v>
      </c>
      <c r="BO1208">
        <v>0</v>
      </c>
      <c r="BP1208">
        <v>0</v>
      </c>
      <c r="BQ1208">
        <v>0</v>
      </c>
      <c r="BR1208">
        <v>0</v>
      </c>
      <c r="BS1208">
        <v>0</v>
      </c>
      <c r="BT1208">
        <v>0</v>
      </c>
      <c r="BU1208">
        <v>0</v>
      </c>
      <c r="BV1208">
        <v>0</v>
      </c>
      <c r="BW1208">
        <v>27.8</v>
      </c>
      <c r="BX1208">
        <v>139.1</v>
      </c>
      <c r="BY1208">
        <v>0</v>
      </c>
      <c r="BZ1208">
        <v>0</v>
      </c>
      <c r="CA1208">
        <v>0</v>
      </c>
      <c r="CB1208">
        <v>0</v>
      </c>
      <c r="CC1208">
        <v>0</v>
      </c>
      <c r="CD1208">
        <v>0</v>
      </c>
      <c r="CE120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08" s="19">
        <f>SUM(Table1[[#This Row],[Mid39]],Table1[[#This Row],[Mid36]],Table1[[#This Row],[Mid33]],Table1[[#This Row],[Mid30]],Table1[[#This Row],[Mid27]],Table1[[#This Row],[Mid24]],Table1[[#This Row],[Mid21]],Table1[[#This Row],[Mid18]],Table1[[#This Row],[Mid15]],Table1[[#This Row],[Mid12]],Table1[[#This Row],[Mid9]],Table1[[#This Row],[Mid6]],Table1[[#This Row],[Mid3]],Table1[[#This Row],[Mid]])</f>
        <v>27.8</v>
      </c>
      <c r="CG120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139.1</v>
      </c>
      <c r="CH1208" t="s">
        <v>157</v>
      </c>
      <c r="CI1208" t="s">
        <v>134</v>
      </c>
      <c r="CJ1208" t="s">
        <v>158</v>
      </c>
      <c r="CL1208" s="19">
        <f>IF(Table1[[#This Row],[Type]]="Petroleum",1,IF(ISERROR(Table1[[#This Row],[Well Density]]*Table1[[#This Row],[Single Well Discovery Area]]),"",IF(Table1[[#This Row],[Well Density]]*Table1[[#This Row],[Single Well Discovery Area]]&gt;1,1,Table1[[#This Row],[Well Density]]*Table1[[#This Row],[Single Well Discovery Area]])))</f>
        <v>0</v>
      </c>
      <c r="CN1208" s="19">
        <f>Table1[[#This Row],[Mid]]</f>
        <v>0</v>
      </c>
      <c r="CO1208" s="19">
        <f>Table1[[#This Row],[Mid3]]+Table1[[#This Row],[Mid6]]+Table1[[#This Row],[Mid9]]</f>
        <v>0</v>
      </c>
      <c r="CP1208" s="19">
        <f>Table1[[#This Row],[Mid12]]+Table1[[#This Row],[Mid15]]+Table1[[#This Row],[Mid18]]+Table1[[#This Row],[Mid21]]+Table1[[#This Row],[Mid24]]</f>
        <v>0</v>
      </c>
      <c r="CQ1208" s="19">
        <f>Table1[[#This Row],[Mid27]]+Table1[[#This Row],[Mid30]]+Table1[[#This Row],[Mid33]]+Table1[[#This Row],[Mid36]]+Table1[[#This Row],[Mid39]]</f>
        <v>27.8</v>
      </c>
      <c r="CR1208" t="s">
        <v>3748</v>
      </c>
      <c r="CS1208" s="19" t="str">
        <f>IF(AND(Table1[[#This Row],[Low41]]=0, Table1[[#This Row],[High43]]=0),"N","Y")</f>
        <v>Y</v>
      </c>
    </row>
    <row r="1209" spans="1:97" ht="19.5" customHeight="1" x14ac:dyDescent="0.25">
      <c r="A1209">
        <v>11211</v>
      </c>
      <c r="B1209" t="s">
        <v>3756</v>
      </c>
      <c r="C1209" t="s">
        <v>3757</v>
      </c>
      <c r="D1209">
        <v>24.55805556</v>
      </c>
      <c r="E1209">
        <v>2.3105555560000002</v>
      </c>
      <c r="F1209" t="s">
        <v>3771</v>
      </c>
      <c r="G1209" t="s">
        <v>3759</v>
      </c>
      <c r="H1209" t="s">
        <v>189</v>
      </c>
      <c r="I1209" t="s">
        <v>118</v>
      </c>
      <c r="J1209" t="s">
        <v>119</v>
      </c>
      <c r="K1209" t="s">
        <v>203</v>
      </c>
      <c r="L1209" t="s">
        <v>18</v>
      </c>
      <c r="M1209" t="s">
        <v>3760</v>
      </c>
      <c r="N1209" s="6" t="s">
        <v>3761</v>
      </c>
      <c r="P1209" t="s">
        <v>1150</v>
      </c>
      <c r="Q1209" s="21" t="s">
        <v>3772</v>
      </c>
      <c r="R1209" s="21" t="s">
        <v>3763</v>
      </c>
      <c r="S1209">
        <v>2016</v>
      </c>
      <c r="T1209" t="s">
        <v>771</v>
      </c>
      <c r="U1209" t="s">
        <v>3764</v>
      </c>
      <c r="V1209">
        <v>120</v>
      </c>
      <c r="W1209">
        <v>1000</v>
      </c>
      <c r="X1209">
        <v>100</v>
      </c>
      <c r="Y1209">
        <v>0</v>
      </c>
      <c r="Z1209">
        <v>13</v>
      </c>
      <c r="AA1209">
        <v>0</v>
      </c>
      <c r="AB1209">
        <v>0</v>
      </c>
      <c r="AC1209">
        <v>920</v>
      </c>
      <c r="AD1209">
        <v>0</v>
      </c>
      <c r="AE1209">
        <v>0</v>
      </c>
      <c r="AF1209">
        <v>200</v>
      </c>
      <c r="AG1209">
        <v>0</v>
      </c>
      <c r="AH1209" t="s">
        <v>3765</v>
      </c>
      <c r="AI1209">
        <v>0.05</v>
      </c>
      <c r="AJ1209">
        <v>0</v>
      </c>
      <c r="AK1209">
        <v>0</v>
      </c>
      <c r="AL1209">
        <v>0</v>
      </c>
      <c r="AM1209" t="s">
        <v>2538</v>
      </c>
      <c r="AN1209" t="s">
        <v>132</v>
      </c>
      <c r="AO1209">
        <v>0</v>
      </c>
      <c r="AP1209">
        <v>0</v>
      </c>
      <c r="AQ1209">
        <v>0</v>
      </c>
      <c r="AR1209">
        <v>0</v>
      </c>
      <c r="AS1209">
        <v>0</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BM1209">
        <v>0</v>
      </c>
      <c r="BN1209">
        <v>0</v>
      </c>
      <c r="BO1209">
        <v>0</v>
      </c>
      <c r="BP1209">
        <v>0</v>
      </c>
      <c r="BQ1209">
        <v>0</v>
      </c>
      <c r="BR1209">
        <v>0</v>
      </c>
      <c r="BS1209">
        <v>0</v>
      </c>
      <c r="BT1209">
        <v>0</v>
      </c>
      <c r="BU1209">
        <v>0</v>
      </c>
      <c r="BV1209">
        <v>0</v>
      </c>
      <c r="BW1209">
        <v>14.3</v>
      </c>
      <c r="BX1209">
        <v>71.400000000000006</v>
      </c>
      <c r="BY1209">
        <v>0</v>
      </c>
      <c r="BZ1209">
        <v>0</v>
      </c>
      <c r="CA1209">
        <v>0</v>
      </c>
      <c r="CB1209">
        <v>0</v>
      </c>
      <c r="CC1209">
        <v>0</v>
      </c>
      <c r="CD1209">
        <v>0</v>
      </c>
      <c r="CE120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09" s="19">
        <f>SUM(Table1[[#This Row],[Mid39]],Table1[[#This Row],[Mid36]],Table1[[#This Row],[Mid33]],Table1[[#This Row],[Mid30]],Table1[[#This Row],[Mid27]],Table1[[#This Row],[Mid24]],Table1[[#This Row],[Mid21]],Table1[[#This Row],[Mid18]],Table1[[#This Row],[Mid15]],Table1[[#This Row],[Mid12]],Table1[[#This Row],[Mid9]],Table1[[#This Row],[Mid6]],Table1[[#This Row],[Mid3]],Table1[[#This Row],[Mid]])</f>
        <v>14.3</v>
      </c>
      <c r="CG120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71.400000000000006</v>
      </c>
      <c r="CH1209" t="s">
        <v>157</v>
      </c>
      <c r="CI1209" t="s">
        <v>134</v>
      </c>
      <c r="CJ1209" t="s">
        <v>158</v>
      </c>
      <c r="CL1209" s="19">
        <f>IF(Table1[[#This Row],[Type]]="Petroleum",1,IF(ISERROR(Table1[[#This Row],[Well Density]]*Table1[[#This Row],[Single Well Discovery Area]]),"",IF(Table1[[#This Row],[Well Density]]*Table1[[#This Row],[Single Well Discovery Area]]&gt;1,1,Table1[[#This Row],[Well Density]]*Table1[[#This Row],[Single Well Discovery Area]])))</f>
        <v>0</v>
      </c>
      <c r="CN1209" s="19">
        <f>Table1[[#This Row],[Mid]]</f>
        <v>0</v>
      </c>
      <c r="CO1209" s="19">
        <f>Table1[[#This Row],[Mid3]]+Table1[[#This Row],[Mid6]]+Table1[[#This Row],[Mid9]]</f>
        <v>0</v>
      </c>
      <c r="CP1209" s="19">
        <f>Table1[[#This Row],[Mid12]]+Table1[[#This Row],[Mid15]]+Table1[[#This Row],[Mid18]]+Table1[[#This Row],[Mid21]]+Table1[[#This Row],[Mid24]]</f>
        <v>0</v>
      </c>
      <c r="CQ1209" s="19">
        <f>Table1[[#This Row],[Mid27]]+Table1[[#This Row],[Mid30]]+Table1[[#This Row],[Mid33]]+Table1[[#This Row],[Mid36]]+Table1[[#This Row],[Mid39]]</f>
        <v>14.3</v>
      </c>
      <c r="CR1209" t="s">
        <v>3748</v>
      </c>
      <c r="CS1209" s="19" t="str">
        <f>IF(AND(Table1[[#This Row],[Low41]]=0, Table1[[#This Row],[High43]]=0),"N","Y")</f>
        <v>Y</v>
      </c>
    </row>
    <row r="1210" spans="1:97" ht="19.5" customHeight="1" x14ac:dyDescent="0.25">
      <c r="A1210">
        <v>11212</v>
      </c>
      <c r="B1210" t="s">
        <v>3756</v>
      </c>
      <c r="C1210" t="s">
        <v>3757</v>
      </c>
      <c r="D1210">
        <v>28.85916667</v>
      </c>
      <c r="E1210">
        <v>2.8347222219999999</v>
      </c>
      <c r="F1210" t="s">
        <v>3773</v>
      </c>
      <c r="G1210" t="s">
        <v>3759</v>
      </c>
      <c r="H1210" t="s">
        <v>189</v>
      </c>
      <c r="I1210" t="s">
        <v>118</v>
      </c>
      <c r="J1210" t="s">
        <v>119</v>
      </c>
      <c r="K1210" t="s">
        <v>203</v>
      </c>
      <c r="L1210" t="s">
        <v>18</v>
      </c>
      <c r="M1210" t="s">
        <v>3760</v>
      </c>
      <c r="N1210" s="6" t="s">
        <v>3761</v>
      </c>
      <c r="P1210" t="s">
        <v>1150</v>
      </c>
      <c r="Q1210" s="21" t="s">
        <v>3772</v>
      </c>
      <c r="R1210" s="21" t="s">
        <v>3763</v>
      </c>
      <c r="S1210">
        <v>2016</v>
      </c>
      <c r="T1210" t="s">
        <v>771</v>
      </c>
      <c r="U1210" t="s">
        <v>3764</v>
      </c>
      <c r="V1210">
        <v>80</v>
      </c>
      <c r="W1210">
        <v>1100</v>
      </c>
      <c r="X1210">
        <v>80</v>
      </c>
      <c r="Y1210">
        <v>0</v>
      </c>
      <c r="Z1210">
        <v>16</v>
      </c>
      <c r="AA1210">
        <v>0</v>
      </c>
      <c r="AB1210">
        <v>0</v>
      </c>
      <c r="AC1210">
        <v>920</v>
      </c>
      <c r="AD1210">
        <v>0</v>
      </c>
      <c r="AE1210">
        <v>0</v>
      </c>
      <c r="AF1210">
        <v>200</v>
      </c>
      <c r="AG1210">
        <v>0</v>
      </c>
      <c r="AH1210" t="s">
        <v>3765</v>
      </c>
      <c r="AI1210">
        <v>0.05</v>
      </c>
      <c r="AJ1210">
        <v>0</v>
      </c>
      <c r="AK1210">
        <v>0</v>
      </c>
      <c r="AL1210">
        <v>0</v>
      </c>
      <c r="AM1210" t="s">
        <v>2538</v>
      </c>
      <c r="AN1210" t="s">
        <v>132</v>
      </c>
      <c r="AO1210">
        <v>0</v>
      </c>
      <c r="AP1210">
        <v>0</v>
      </c>
      <c r="AQ1210">
        <v>0</v>
      </c>
      <c r="AR1210">
        <v>0</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0</v>
      </c>
      <c r="BK1210">
        <v>0</v>
      </c>
      <c r="BL1210">
        <v>0</v>
      </c>
      <c r="BM1210">
        <v>0</v>
      </c>
      <c r="BN1210">
        <v>0</v>
      </c>
      <c r="BO1210">
        <v>0</v>
      </c>
      <c r="BP1210">
        <v>0</v>
      </c>
      <c r="BQ1210">
        <v>0</v>
      </c>
      <c r="BR1210">
        <v>0</v>
      </c>
      <c r="BS1210">
        <v>0</v>
      </c>
      <c r="BT1210">
        <v>0</v>
      </c>
      <c r="BU1210">
        <v>0</v>
      </c>
      <c r="BV1210">
        <v>0</v>
      </c>
      <c r="BW1210">
        <v>9.4</v>
      </c>
      <c r="BX1210">
        <v>46.8</v>
      </c>
      <c r="BY1210">
        <v>0</v>
      </c>
      <c r="BZ1210">
        <v>0</v>
      </c>
      <c r="CA1210">
        <v>0</v>
      </c>
      <c r="CB1210">
        <v>0</v>
      </c>
      <c r="CC1210">
        <v>0</v>
      </c>
      <c r="CD1210">
        <v>0</v>
      </c>
      <c r="CE121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10" s="19">
        <f>SUM(Table1[[#This Row],[Mid39]],Table1[[#This Row],[Mid36]],Table1[[#This Row],[Mid33]],Table1[[#This Row],[Mid30]],Table1[[#This Row],[Mid27]],Table1[[#This Row],[Mid24]],Table1[[#This Row],[Mid21]],Table1[[#This Row],[Mid18]],Table1[[#This Row],[Mid15]],Table1[[#This Row],[Mid12]],Table1[[#This Row],[Mid9]],Table1[[#This Row],[Mid6]],Table1[[#This Row],[Mid3]],Table1[[#This Row],[Mid]])</f>
        <v>9.4</v>
      </c>
      <c r="CG12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46.8</v>
      </c>
      <c r="CH1210" t="s">
        <v>157</v>
      </c>
      <c r="CI1210" t="s">
        <v>134</v>
      </c>
      <c r="CJ1210" t="s">
        <v>158</v>
      </c>
      <c r="CL1210" s="19">
        <f>IF(Table1[[#This Row],[Type]]="Petroleum",1,IF(ISERROR(Table1[[#This Row],[Well Density]]*Table1[[#This Row],[Single Well Discovery Area]]),"",IF(Table1[[#This Row],[Well Density]]*Table1[[#This Row],[Single Well Discovery Area]]&gt;1,1,Table1[[#This Row],[Well Density]]*Table1[[#This Row],[Single Well Discovery Area]])))</f>
        <v>0</v>
      </c>
      <c r="CN1210" s="19">
        <f>Table1[[#This Row],[Mid]]</f>
        <v>0</v>
      </c>
      <c r="CO1210" s="19">
        <f>Table1[[#This Row],[Mid3]]+Table1[[#This Row],[Mid6]]+Table1[[#This Row],[Mid9]]</f>
        <v>0</v>
      </c>
      <c r="CP1210" s="19">
        <f>Table1[[#This Row],[Mid12]]+Table1[[#This Row],[Mid15]]+Table1[[#This Row],[Mid18]]+Table1[[#This Row],[Mid21]]+Table1[[#This Row],[Mid24]]</f>
        <v>0</v>
      </c>
      <c r="CQ1210" s="19">
        <f>Table1[[#This Row],[Mid27]]+Table1[[#This Row],[Mid30]]+Table1[[#This Row],[Mid33]]+Table1[[#This Row],[Mid36]]+Table1[[#This Row],[Mid39]]</f>
        <v>9.4</v>
      </c>
      <c r="CR1210" t="s">
        <v>3748</v>
      </c>
      <c r="CS1210" s="19" t="str">
        <f>IF(AND(Table1[[#This Row],[Low41]]=0, Table1[[#This Row],[High43]]=0),"N","Y")</f>
        <v>Y</v>
      </c>
    </row>
    <row r="1211" spans="1:97" ht="19.5" customHeight="1" x14ac:dyDescent="0.25">
      <c r="A1211">
        <v>11213</v>
      </c>
      <c r="B1211" t="s">
        <v>3756</v>
      </c>
      <c r="C1211" t="s">
        <v>3757</v>
      </c>
      <c r="D1211">
        <v>29.430555559999998</v>
      </c>
      <c r="E1211">
        <v>2.011388889</v>
      </c>
      <c r="F1211" t="s">
        <v>3774</v>
      </c>
      <c r="G1211" t="s">
        <v>3759</v>
      </c>
      <c r="H1211" t="s">
        <v>189</v>
      </c>
      <c r="I1211" t="s">
        <v>118</v>
      </c>
      <c r="J1211" t="s">
        <v>119</v>
      </c>
      <c r="K1211" t="s">
        <v>203</v>
      </c>
      <c r="L1211" t="s">
        <v>18</v>
      </c>
      <c r="M1211" t="s">
        <v>3760</v>
      </c>
      <c r="N1211" s="6" t="s">
        <v>3761</v>
      </c>
      <c r="P1211" t="s">
        <v>1150</v>
      </c>
      <c r="Q1211" t="s">
        <v>3762</v>
      </c>
      <c r="R1211" s="21" t="s">
        <v>3763</v>
      </c>
      <c r="S1211">
        <v>2016</v>
      </c>
      <c r="T1211" t="s">
        <v>771</v>
      </c>
      <c r="U1211" t="s">
        <v>3764</v>
      </c>
      <c r="V1211">
        <v>100</v>
      </c>
      <c r="W1211">
        <v>1550</v>
      </c>
      <c r="X1211">
        <v>75</v>
      </c>
      <c r="Y1211">
        <v>0</v>
      </c>
      <c r="Z1211">
        <v>13</v>
      </c>
      <c r="AA1211">
        <v>0</v>
      </c>
      <c r="AB1211">
        <v>0</v>
      </c>
      <c r="AC1211">
        <v>860</v>
      </c>
      <c r="AD1211">
        <v>0</v>
      </c>
      <c r="AE1211">
        <v>0</v>
      </c>
      <c r="AF1211">
        <v>200</v>
      </c>
      <c r="AG1211">
        <v>0</v>
      </c>
      <c r="AH1211" t="s">
        <v>3765</v>
      </c>
      <c r="AI1211">
        <v>0.05</v>
      </c>
      <c r="AJ1211">
        <v>0</v>
      </c>
      <c r="AK1211">
        <v>0</v>
      </c>
      <c r="AL1211">
        <v>0</v>
      </c>
      <c r="AM1211" t="s">
        <v>2538</v>
      </c>
      <c r="AN1211" t="s">
        <v>132</v>
      </c>
      <c r="AO1211">
        <v>0</v>
      </c>
      <c r="AP1211">
        <v>0</v>
      </c>
      <c r="AQ1211">
        <v>0</v>
      </c>
      <c r="AR1211">
        <v>0</v>
      </c>
      <c r="AS1211">
        <v>0</v>
      </c>
      <c r="AT1211">
        <v>0</v>
      </c>
      <c r="AU1211">
        <v>0</v>
      </c>
      <c r="AV1211">
        <v>0</v>
      </c>
      <c r="AW1211">
        <v>0</v>
      </c>
      <c r="AX1211">
        <v>0</v>
      </c>
      <c r="AY1211">
        <v>0</v>
      </c>
      <c r="AZ1211">
        <v>0</v>
      </c>
      <c r="BA1211">
        <v>0</v>
      </c>
      <c r="BB1211">
        <v>0</v>
      </c>
      <c r="BC1211">
        <v>0</v>
      </c>
      <c r="BD1211">
        <v>0</v>
      </c>
      <c r="BE1211">
        <v>0</v>
      </c>
      <c r="BF1211">
        <v>0</v>
      </c>
      <c r="BG1211">
        <v>0</v>
      </c>
      <c r="BH1211">
        <v>0</v>
      </c>
      <c r="BI1211">
        <v>0</v>
      </c>
      <c r="BJ1211">
        <v>0</v>
      </c>
      <c r="BK1211">
        <v>0</v>
      </c>
      <c r="BL1211">
        <v>0</v>
      </c>
      <c r="BM1211">
        <v>0</v>
      </c>
      <c r="BN1211">
        <v>0</v>
      </c>
      <c r="BO1211">
        <v>0</v>
      </c>
      <c r="BP1211">
        <v>0</v>
      </c>
      <c r="BQ1211">
        <v>0</v>
      </c>
      <c r="BR1211">
        <v>0</v>
      </c>
      <c r="BS1211">
        <v>0</v>
      </c>
      <c r="BT1211">
        <v>0</v>
      </c>
      <c r="BU1211">
        <v>0</v>
      </c>
      <c r="BV1211">
        <v>0</v>
      </c>
      <c r="BW1211">
        <v>8.6</v>
      </c>
      <c r="BX1211">
        <v>42.9</v>
      </c>
      <c r="BY1211">
        <v>0</v>
      </c>
      <c r="BZ1211">
        <v>0</v>
      </c>
      <c r="CA1211">
        <v>0</v>
      </c>
      <c r="CB1211">
        <v>0</v>
      </c>
      <c r="CC1211">
        <v>0</v>
      </c>
      <c r="CD1211">
        <v>0</v>
      </c>
      <c r="CE121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11" s="19">
        <f>SUM(Table1[[#This Row],[Mid39]],Table1[[#This Row],[Mid36]],Table1[[#This Row],[Mid33]],Table1[[#This Row],[Mid30]],Table1[[#This Row],[Mid27]],Table1[[#This Row],[Mid24]],Table1[[#This Row],[Mid21]],Table1[[#This Row],[Mid18]],Table1[[#This Row],[Mid15]],Table1[[#This Row],[Mid12]],Table1[[#This Row],[Mid9]],Table1[[#This Row],[Mid6]],Table1[[#This Row],[Mid3]],Table1[[#This Row],[Mid]])</f>
        <v>8.6</v>
      </c>
      <c r="CG12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42.9</v>
      </c>
      <c r="CH1211" t="s">
        <v>157</v>
      </c>
      <c r="CI1211" t="s">
        <v>134</v>
      </c>
      <c r="CJ1211" t="s">
        <v>158</v>
      </c>
      <c r="CL1211" s="19">
        <f>IF(Table1[[#This Row],[Type]]="Petroleum",1,IF(ISERROR(Table1[[#This Row],[Well Density]]*Table1[[#This Row],[Single Well Discovery Area]]),"",IF(Table1[[#This Row],[Well Density]]*Table1[[#This Row],[Single Well Discovery Area]]&gt;1,1,Table1[[#This Row],[Well Density]]*Table1[[#This Row],[Single Well Discovery Area]])))</f>
        <v>0</v>
      </c>
      <c r="CN1211" s="19">
        <f>Table1[[#This Row],[Mid]]</f>
        <v>0</v>
      </c>
      <c r="CO1211" s="19">
        <f>Table1[[#This Row],[Mid3]]+Table1[[#This Row],[Mid6]]+Table1[[#This Row],[Mid9]]</f>
        <v>0</v>
      </c>
      <c r="CP1211" s="19">
        <f>Table1[[#This Row],[Mid12]]+Table1[[#This Row],[Mid15]]+Table1[[#This Row],[Mid18]]+Table1[[#This Row],[Mid21]]+Table1[[#This Row],[Mid24]]</f>
        <v>0</v>
      </c>
      <c r="CQ1211" s="19">
        <f>Table1[[#This Row],[Mid27]]+Table1[[#This Row],[Mid30]]+Table1[[#This Row],[Mid33]]+Table1[[#This Row],[Mid36]]+Table1[[#This Row],[Mid39]]</f>
        <v>8.6</v>
      </c>
      <c r="CR1211" t="s">
        <v>3748</v>
      </c>
      <c r="CS1211" s="19" t="str">
        <f>IF(AND(Table1[[#This Row],[Low41]]=0, Table1[[#This Row],[High43]]=0),"N","Y")</f>
        <v>Y</v>
      </c>
    </row>
    <row r="1212" spans="1:97" ht="19.5" customHeight="1" x14ac:dyDescent="0.25">
      <c r="A1212">
        <v>11214</v>
      </c>
      <c r="B1212" t="s">
        <v>3756</v>
      </c>
      <c r="C1212" t="s">
        <v>3757</v>
      </c>
      <c r="D1212">
        <v>28.96277778</v>
      </c>
      <c r="E1212">
        <v>2.0758333329999998</v>
      </c>
      <c r="F1212" t="s">
        <v>3775</v>
      </c>
      <c r="G1212" t="s">
        <v>3759</v>
      </c>
      <c r="H1212" t="s">
        <v>189</v>
      </c>
      <c r="I1212" t="s">
        <v>118</v>
      </c>
      <c r="J1212" t="s">
        <v>119</v>
      </c>
      <c r="K1212" t="s">
        <v>203</v>
      </c>
      <c r="L1212" t="s">
        <v>18</v>
      </c>
      <c r="M1212" t="s">
        <v>3760</v>
      </c>
      <c r="N1212" s="6" t="s">
        <v>3761</v>
      </c>
      <c r="P1212" t="s">
        <v>1150</v>
      </c>
      <c r="Q1212" s="21" t="s">
        <v>3772</v>
      </c>
      <c r="R1212" s="21" t="s">
        <v>3763</v>
      </c>
      <c r="S1212">
        <v>2016</v>
      </c>
      <c r="T1212" t="s">
        <v>771</v>
      </c>
      <c r="U1212" t="s">
        <v>3764</v>
      </c>
      <c r="V1212">
        <v>800</v>
      </c>
      <c r="W1212">
        <v>1800</v>
      </c>
      <c r="X1212">
        <v>50</v>
      </c>
      <c r="Y1212">
        <v>0</v>
      </c>
      <c r="Z1212">
        <v>14</v>
      </c>
      <c r="AA1212">
        <v>0</v>
      </c>
      <c r="AB1212">
        <v>0</v>
      </c>
      <c r="AC1212">
        <v>860</v>
      </c>
      <c r="AD1212">
        <v>0</v>
      </c>
      <c r="AE1212">
        <v>0</v>
      </c>
      <c r="AF1212">
        <v>200</v>
      </c>
      <c r="AG1212">
        <v>0</v>
      </c>
      <c r="AH1212" t="s">
        <v>3765</v>
      </c>
      <c r="AI1212">
        <v>0.05</v>
      </c>
      <c r="AJ1212">
        <v>0</v>
      </c>
      <c r="AK1212">
        <v>0</v>
      </c>
      <c r="AL1212">
        <v>0</v>
      </c>
      <c r="AM1212" t="s">
        <v>2538</v>
      </c>
      <c r="AN1212" t="s">
        <v>132</v>
      </c>
      <c r="AO1212">
        <v>0</v>
      </c>
      <c r="AP1212">
        <v>0</v>
      </c>
      <c r="AQ1212">
        <v>0</v>
      </c>
      <c r="AR1212">
        <v>0</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BM1212">
        <v>0</v>
      </c>
      <c r="BN1212">
        <v>0</v>
      </c>
      <c r="BO1212">
        <v>0</v>
      </c>
      <c r="BP1212">
        <v>0</v>
      </c>
      <c r="BQ1212">
        <v>0</v>
      </c>
      <c r="BR1212">
        <v>0</v>
      </c>
      <c r="BS1212">
        <v>0</v>
      </c>
      <c r="BT1212">
        <v>0</v>
      </c>
      <c r="BU1212">
        <v>0</v>
      </c>
      <c r="BV1212">
        <v>0</v>
      </c>
      <c r="BW1212">
        <v>49.8</v>
      </c>
      <c r="BX1212">
        <v>249.2</v>
      </c>
      <c r="BY1212">
        <v>0</v>
      </c>
      <c r="BZ1212">
        <v>0</v>
      </c>
      <c r="CA1212">
        <v>0</v>
      </c>
      <c r="CB1212">
        <v>0</v>
      </c>
      <c r="CC1212">
        <v>0</v>
      </c>
      <c r="CD1212">
        <v>0</v>
      </c>
      <c r="CE121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12" s="19">
        <f>SUM(Table1[[#This Row],[Mid39]],Table1[[#This Row],[Mid36]],Table1[[#This Row],[Mid33]],Table1[[#This Row],[Mid30]],Table1[[#This Row],[Mid27]],Table1[[#This Row],[Mid24]],Table1[[#This Row],[Mid21]],Table1[[#This Row],[Mid18]],Table1[[#This Row],[Mid15]],Table1[[#This Row],[Mid12]],Table1[[#This Row],[Mid9]],Table1[[#This Row],[Mid6]],Table1[[#This Row],[Mid3]],Table1[[#This Row],[Mid]])</f>
        <v>49.8</v>
      </c>
      <c r="CG12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249.2</v>
      </c>
      <c r="CH1212" t="s">
        <v>157</v>
      </c>
      <c r="CI1212" t="s">
        <v>134</v>
      </c>
      <c r="CJ1212" t="s">
        <v>158</v>
      </c>
      <c r="CL1212" s="19">
        <f>IF(Table1[[#This Row],[Type]]="Petroleum",1,IF(ISERROR(Table1[[#This Row],[Well Density]]*Table1[[#This Row],[Single Well Discovery Area]]),"",IF(Table1[[#This Row],[Well Density]]*Table1[[#This Row],[Single Well Discovery Area]]&gt;1,1,Table1[[#This Row],[Well Density]]*Table1[[#This Row],[Single Well Discovery Area]])))</f>
        <v>0</v>
      </c>
      <c r="CN1212" s="19">
        <f>Table1[[#This Row],[Mid]]</f>
        <v>0</v>
      </c>
      <c r="CO1212" s="19">
        <f>Table1[[#This Row],[Mid3]]+Table1[[#This Row],[Mid6]]+Table1[[#This Row],[Mid9]]</f>
        <v>0</v>
      </c>
      <c r="CP1212" s="19">
        <f>Table1[[#This Row],[Mid12]]+Table1[[#This Row],[Mid15]]+Table1[[#This Row],[Mid18]]+Table1[[#This Row],[Mid21]]+Table1[[#This Row],[Mid24]]</f>
        <v>0</v>
      </c>
      <c r="CQ1212" s="19">
        <f>Table1[[#This Row],[Mid27]]+Table1[[#This Row],[Mid30]]+Table1[[#This Row],[Mid33]]+Table1[[#This Row],[Mid36]]+Table1[[#This Row],[Mid39]]</f>
        <v>49.8</v>
      </c>
      <c r="CR1212" t="s">
        <v>3748</v>
      </c>
      <c r="CS1212" s="19" t="str">
        <f>IF(AND(Table1[[#This Row],[Low41]]=0, Table1[[#This Row],[High43]]=0),"N","Y")</f>
        <v>Y</v>
      </c>
    </row>
    <row r="1213" spans="1:97" ht="19.5" customHeight="1" x14ac:dyDescent="0.25">
      <c r="A1213">
        <v>11215</v>
      </c>
      <c r="B1213" t="s">
        <v>3756</v>
      </c>
      <c r="C1213" t="s">
        <v>3757</v>
      </c>
      <c r="D1213">
        <v>28.570277780000001</v>
      </c>
      <c r="E1213">
        <v>2.0505555559999999</v>
      </c>
      <c r="F1213" t="s">
        <v>3776</v>
      </c>
      <c r="G1213" t="s">
        <v>3759</v>
      </c>
      <c r="H1213" t="s">
        <v>189</v>
      </c>
      <c r="I1213" t="s">
        <v>118</v>
      </c>
      <c r="J1213" t="s">
        <v>119</v>
      </c>
      <c r="K1213" t="s">
        <v>203</v>
      </c>
      <c r="L1213" t="s">
        <v>18</v>
      </c>
      <c r="M1213" t="s">
        <v>3760</v>
      </c>
      <c r="N1213" s="6" t="s">
        <v>3761</v>
      </c>
      <c r="P1213" t="s">
        <v>1150</v>
      </c>
      <c r="Q1213" s="21" t="s">
        <v>3772</v>
      </c>
      <c r="R1213" s="21" t="s">
        <v>3763</v>
      </c>
      <c r="S1213">
        <v>2016</v>
      </c>
      <c r="T1213" t="s">
        <v>771</v>
      </c>
      <c r="U1213" t="s">
        <v>3764</v>
      </c>
      <c r="V1213">
        <v>95</v>
      </c>
      <c r="W1213">
        <v>1500</v>
      </c>
      <c r="X1213">
        <v>68</v>
      </c>
      <c r="Y1213">
        <v>0</v>
      </c>
      <c r="Z1213">
        <v>17</v>
      </c>
      <c r="AA1213">
        <v>0</v>
      </c>
      <c r="AB1213">
        <v>0</v>
      </c>
      <c r="AC1213">
        <v>940</v>
      </c>
      <c r="AD1213">
        <v>0</v>
      </c>
      <c r="AE1213">
        <v>0</v>
      </c>
      <c r="AF1213">
        <v>200</v>
      </c>
      <c r="AG1213">
        <v>0</v>
      </c>
      <c r="AH1213" t="s">
        <v>3765</v>
      </c>
      <c r="AI1213">
        <v>0.05</v>
      </c>
      <c r="AJ1213">
        <v>0</v>
      </c>
      <c r="AK1213">
        <v>0</v>
      </c>
      <c r="AL1213">
        <v>0</v>
      </c>
      <c r="AM1213" t="s">
        <v>2538</v>
      </c>
      <c r="AN1213" t="s">
        <v>132</v>
      </c>
      <c r="AO1213">
        <v>0</v>
      </c>
      <c r="AP1213">
        <v>0</v>
      </c>
      <c r="AQ1213">
        <v>0</v>
      </c>
      <c r="AR1213">
        <v>0</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BM1213">
        <v>0</v>
      </c>
      <c r="BN1213">
        <v>0</v>
      </c>
      <c r="BO1213">
        <v>0</v>
      </c>
      <c r="BP1213">
        <v>0</v>
      </c>
      <c r="BQ1213">
        <v>0</v>
      </c>
      <c r="BR1213">
        <v>0</v>
      </c>
      <c r="BS1213">
        <v>0</v>
      </c>
      <c r="BT1213">
        <v>0</v>
      </c>
      <c r="BU1213">
        <v>0</v>
      </c>
      <c r="BV1213">
        <v>0</v>
      </c>
      <c r="BW1213">
        <v>10.3</v>
      </c>
      <c r="BX1213">
        <v>51.3</v>
      </c>
      <c r="BY1213">
        <v>0</v>
      </c>
      <c r="BZ1213">
        <v>0</v>
      </c>
      <c r="CA1213">
        <v>0</v>
      </c>
      <c r="CB1213">
        <v>0</v>
      </c>
      <c r="CC1213">
        <v>0</v>
      </c>
      <c r="CD1213">
        <v>0</v>
      </c>
      <c r="CE121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13" s="19">
        <f>SUM(Table1[[#This Row],[Mid39]],Table1[[#This Row],[Mid36]],Table1[[#This Row],[Mid33]],Table1[[#This Row],[Mid30]],Table1[[#This Row],[Mid27]],Table1[[#This Row],[Mid24]],Table1[[#This Row],[Mid21]],Table1[[#This Row],[Mid18]],Table1[[#This Row],[Mid15]],Table1[[#This Row],[Mid12]],Table1[[#This Row],[Mid9]],Table1[[#This Row],[Mid6]],Table1[[#This Row],[Mid3]],Table1[[#This Row],[Mid]])</f>
        <v>10.3</v>
      </c>
      <c r="CG12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51.3</v>
      </c>
      <c r="CH1213" t="s">
        <v>157</v>
      </c>
      <c r="CI1213" t="s">
        <v>134</v>
      </c>
      <c r="CJ1213" t="s">
        <v>158</v>
      </c>
      <c r="CL1213" s="19">
        <f>IF(Table1[[#This Row],[Type]]="Petroleum",1,IF(ISERROR(Table1[[#This Row],[Well Density]]*Table1[[#This Row],[Single Well Discovery Area]]),"",IF(Table1[[#This Row],[Well Density]]*Table1[[#This Row],[Single Well Discovery Area]]&gt;1,1,Table1[[#This Row],[Well Density]]*Table1[[#This Row],[Single Well Discovery Area]])))</f>
        <v>0</v>
      </c>
      <c r="CN1213" s="19">
        <f>Table1[[#This Row],[Mid]]</f>
        <v>0</v>
      </c>
      <c r="CO1213" s="19">
        <f>Table1[[#This Row],[Mid3]]+Table1[[#This Row],[Mid6]]+Table1[[#This Row],[Mid9]]</f>
        <v>0</v>
      </c>
      <c r="CP1213" s="19">
        <f>Table1[[#This Row],[Mid12]]+Table1[[#This Row],[Mid15]]+Table1[[#This Row],[Mid18]]+Table1[[#This Row],[Mid21]]+Table1[[#This Row],[Mid24]]</f>
        <v>0</v>
      </c>
      <c r="CQ1213" s="19">
        <f>Table1[[#This Row],[Mid27]]+Table1[[#This Row],[Mid30]]+Table1[[#This Row],[Mid33]]+Table1[[#This Row],[Mid36]]+Table1[[#This Row],[Mid39]]</f>
        <v>10.3</v>
      </c>
      <c r="CR1213" t="s">
        <v>3748</v>
      </c>
      <c r="CS1213" s="19" t="str">
        <f>IF(AND(Table1[[#This Row],[Low41]]=0, Table1[[#This Row],[High43]]=0),"N","Y")</f>
        <v>Y</v>
      </c>
    </row>
    <row r="1214" spans="1:97" ht="19.5" customHeight="1" x14ac:dyDescent="0.25">
      <c r="A1214">
        <v>11216</v>
      </c>
      <c r="B1214" t="s">
        <v>3756</v>
      </c>
      <c r="C1214" t="s">
        <v>3757</v>
      </c>
      <c r="D1214">
        <v>30.56555556</v>
      </c>
      <c r="E1214">
        <v>0.79222222200000003</v>
      </c>
      <c r="F1214" t="s">
        <v>3777</v>
      </c>
      <c r="G1214" t="s">
        <v>3759</v>
      </c>
      <c r="H1214" t="s">
        <v>189</v>
      </c>
      <c r="I1214" t="s">
        <v>118</v>
      </c>
      <c r="J1214" t="s">
        <v>119</v>
      </c>
      <c r="K1214" t="s">
        <v>203</v>
      </c>
      <c r="L1214" t="s">
        <v>18</v>
      </c>
      <c r="M1214" t="s">
        <v>3760</v>
      </c>
      <c r="N1214" s="6" t="s">
        <v>3761</v>
      </c>
      <c r="P1214" t="s">
        <v>1150</v>
      </c>
      <c r="Q1214" t="s">
        <v>3762</v>
      </c>
      <c r="R1214" s="21" t="s">
        <v>3763</v>
      </c>
      <c r="S1214">
        <v>2016</v>
      </c>
      <c r="T1214" t="s">
        <v>771</v>
      </c>
      <c r="U1214" t="s">
        <v>3764</v>
      </c>
      <c r="V1214">
        <v>1000</v>
      </c>
      <c r="W1214">
        <v>1400</v>
      </c>
      <c r="X1214">
        <v>50</v>
      </c>
      <c r="Y1214">
        <v>0</v>
      </c>
      <c r="Z1214">
        <v>8</v>
      </c>
      <c r="AA1214">
        <v>0</v>
      </c>
      <c r="AB1214">
        <v>0</v>
      </c>
      <c r="AC1214">
        <v>840</v>
      </c>
      <c r="AD1214">
        <v>0</v>
      </c>
      <c r="AE1214">
        <v>0</v>
      </c>
      <c r="AF1214">
        <v>200</v>
      </c>
      <c r="AG1214">
        <v>0</v>
      </c>
      <c r="AH1214" t="s">
        <v>3765</v>
      </c>
      <c r="AI1214">
        <v>0.05</v>
      </c>
      <c r="AJ1214">
        <v>0</v>
      </c>
      <c r="AK1214">
        <v>0</v>
      </c>
      <c r="AL1214">
        <v>0</v>
      </c>
      <c r="AM1214" t="s">
        <v>2538</v>
      </c>
      <c r="AN1214" t="s">
        <v>132</v>
      </c>
      <c r="AO1214">
        <v>0</v>
      </c>
      <c r="AP1214">
        <v>0</v>
      </c>
      <c r="AQ1214">
        <v>0</v>
      </c>
      <c r="AR1214">
        <v>0</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0</v>
      </c>
      <c r="BN1214">
        <v>0</v>
      </c>
      <c r="BO1214">
        <v>0</v>
      </c>
      <c r="BP1214">
        <v>0</v>
      </c>
      <c r="BQ1214">
        <v>0</v>
      </c>
      <c r="BR1214">
        <v>0</v>
      </c>
      <c r="BS1214">
        <v>0</v>
      </c>
      <c r="BT1214">
        <v>0</v>
      </c>
      <c r="BU1214">
        <v>0</v>
      </c>
      <c r="BV1214">
        <v>0</v>
      </c>
      <c r="BW1214">
        <v>34</v>
      </c>
      <c r="BX1214">
        <v>170</v>
      </c>
      <c r="BY1214">
        <v>0</v>
      </c>
      <c r="BZ1214">
        <v>0</v>
      </c>
      <c r="CA1214">
        <v>0</v>
      </c>
      <c r="CB1214">
        <v>0</v>
      </c>
      <c r="CC1214">
        <v>0</v>
      </c>
      <c r="CD1214">
        <v>0</v>
      </c>
      <c r="CE121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14" s="19">
        <f>SUM(Table1[[#This Row],[Mid39]],Table1[[#This Row],[Mid36]],Table1[[#This Row],[Mid33]],Table1[[#This Row],[Mid30]],Table1[[#This Row],[Mid27]],Table1[[#This Row],[Mid24]],Table1[[#This Row],[Mid21]],Table1[[#This Row],[Mid18]],Table1[[#This Row],[Mid15]],Table1[[#This Row],[Mid12]],Table1[[#This Row],[Mid9]],Table1[[#This Row],[Mid6]],Table1[[#This Row],[Mid3]],Table1[[#This Row],[Mid]])</f>
        <v>34</v>
      </c>
      <c r="CG12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170</v>
      </c>
      <c r="CH1214" t="s">
        <v>157</v>
      </c>
      <c r="CI1214" t="s">
        <v>134</v>
      </c>
      <c r="CJ1214" t="s">
        <v>158</v>
      </c>
      <c r="CL1214" s="19">
        <f>IF(Table1[[#This Row],[Type]]="Petroleum",1,IF(ISERROR(Table1[[#This Row],[Well Density]]*Table1[[#This Row],[Single Well Discovery Area]]),"",IF(Table1[[#This Row],[Well Density]]*Table1[[#This Row],[Single Well Discovery Area]]&gt;1,1,Table1[[#This Row],[Well Density]]*Table1[[#This Row],[Single Well Discovery Area]])))</f>
        <v>0</v>
      </c>
      <c r="CN1214" s="19">
        <f>Table1[[#This Row],[Mid]]</f>
        <v>0</v>
      </c>
      <c r="CO1214" s="19">
        <f>Table1[[#This Row],[Mid3]]+Table1[[#This Row],[Mid6]]+Table1[[#This Row],[Mid9]]</f>
        <v>0</v>
      </c>
      <c r="CP1214" s="19">
        <f>Table1[[#This Row],[Mid12]]+Table1[[#This Row],[Mid15]]+Table1[[#This Row],[Mid18]]+Table1[[#This Row],[Mid21]]+Table1[[#This Row],[Mid24]]</f>
        <v>0</v>
      </c>
      <c r="CQ1214" s="19">
        <f>Table1[[#This Row],[Mid27]]+Table1[[#This Row],[Mid30]]+Table1[[#This Row],[Mid33]]+Table1[[#This Row],[Mid36]]+Table1[[#This Row],[Mid39]]</f>
        <v>34</v>
      </c>
      <c r="CR1214" t="s">
        <v>3748</v>
      </c>
      <c r="CS1214" s="19" t="str">
        <f>IF(AND(Table1[[#This Row],[Low41]]=0, Table1[[#This Row],[High43]]=0),"N","Y")</f>
        <v>Y</v>
      </c>
    </row>
    <row r="1215" spans="1:97" ht="19.5" customHeight="1" x14ac:dyDescent="0.25">
      <c r="A1215">
        <v>11217</v>
      </c>
      <c r="B1215" t="s">
        <v>3756</v>
      </c>
      <c r="C1215" t="s">
        <v>3757</v>
      </c>
      <c r="D1215">
        <v>29.57638889</v>
      </c>
      <c r="E1215">
        <v>0.31166666700000001</v>
      </c>
      <c r="F1215" t="s">
        <v>3778</v>
      </c>
      <c r="G1215" t="s">
        <v>3759</v>
      </c>
      <c r="H1215" t="s">
        <v>189</v>
      </c>
      <c r="I1215" t="s">
        <v>118</v>
      </c>
      <c r="J1215" t="s">
        <v>119</v>
      </c>
      <c r="K1215" t="s">
        <v>203</v>
      </c>
      <c r="L1215" t="s">
        <v>18</v>
      </c>
      <c r="M1215" t="s">
        <v>3760</v>
      </c>
      <c r="N1215" s="6" t="s">
        <v>3761</v>
      </c>
      <c r="P1215" t="s">
        <v>1150</v>
      </c>
      <c r="Q1215" s="21" t="s">
        <v>3772</v>
      </c>
      <c r="R1215" s="21" t="s">
        <v>3763</v>
      </c>
      <c r="S1215">
        <v>2016</v>
      </c>
      <c r="T1215" t="s">
        <v>771</v>
      </c>
      <c r="U1215" t="s">
        <v>3764</v>
      </c>
      <c r="V1215">
        <v>168</v>
      </c>
      <c r="W1215">
        <v>1320</v>
      </c>
      <c r="X1215">
        <v>90</v>
      </c>
      <c r="Y1215">
        <v>0</v>
      </c>
      <c r="Z1215">
        <v>13</v>
      </c>
      <c r="AA1215">
        <v>0</v>
      </c>
      <c r="AB1215">
        <v>0</v>
      </c>
      <c r="AC1215">
        <v>850</v>
      </c>
      <c r="AD1215">
        <v>0</v>
      </c>
      <c r="AE1215">
        <v>0</v>
      </c>
      <c r="AF1215">
        <v>200</v>
      </c>
      <c r="AG1215">
        <v>0</v>
      </c>
      <c r="AH1215" t="s">
        <v>3765</v>
      </c>
      <c r="AI1215">
        <v>0.05</v>
      </c>
      <c r="AJ1215">
        <v>0</v>
      </c>
      <c r="AK1215">
        <v>0</v>
      </c>
      <c r="AL1215">
        <v>0</v>
      </c>
      <c r="AM1215" t="s">
        <v>2538</v>
      </c>
      <c r="AN1215" t="s">
        <v>132</v>
      </c>
      <c r="AO1215">
        <v>0</v>
      </c>
      <c r="AP1215">
        <v>0</v>
      </c>
      <c r="AQ1215">
        <v>0</v>
      </c>
      <c r="AR1215">
        <v>0</v>
      </c>
      <c r="AS1215">
        <v>0</v>
      </c>
      <c r="AT1215">
        <v>0</v>
      </c>
      <c r="AU1215">
        <v>0</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0</v>
      </c>
      <c r="BN1215">
        <v>0</v>
      </c>
      <c r="BO1215">
        <v>0</v>
      </c>
      <c r="BP1215">
        <v>0</v>
      </c>
      <c r="BQ1215">
        <v>0</v>
      </c>
      <c r="BR1215">
        <v>0</v>
      </c>
      <c r="BS1215">
        <v>0</v>
      </c>
      <c r="BT1215">
        <v>0</v>
      </c>
      <c r="BU1215">
        <v>0</v>
      </c>
      <c r="BV1215">
        <v>0</v>
      </c>
      <c r="BW1215">
        <v>17.100000000000001</v>
      </c>
      <c r="BX1215">
        <v>85.5</v>
      </c>
      <c r="BY1215">
        <v>0</v>
      </c>
      <c r="BZ1215">
        <v>0</v>
      </c>
      <c r="CA1215">
        <v>0</v>
      </c>
      <c r="CB1215">
        <v>0</v>
      </c>
      <c r="CC1215">
        <v>0</v>
      </c>
      <c r="CD1215">
        <v>0</v>
      </c>
      <c r="CE121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15" s="19">
        <f>SUM(Table1[[#This Row],[Mid39]],Table1[[#This Row],[Mid36]],Table1[[#This Row],[Mid33]],Table1[[#This Row],[Mid30]],Table1[[#This Row],[Mid27]],Table1[[#This Row],[Mid24]],Table1[[#This Row],[Mid21]],Table1[[#This Row],[Mid18]],Table1[[#This Row],[Mid15]],Table1[[#This Row],[Mid12]],Table1[[#This Row],[Mid9]],Table1[[#This Row],[Mid6]],Table1[[#This Row],[Mid3]],Table1[[#This Row],[Mid]])</f>
        <v>17.100000000000001</v>
      </c>
      <c r="CG12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85.5</v>
      </c>
      <c r="CH1215" t="s">
        <v>157</v>
      </c>
      <c r="CI1215" t="s">
        <v>134</v>
      </c>
      <c r="CJ1215" t="s">
        <v>158</v>
      </c>
      <c r="CL1215" s="19">
        <f>IF(Table1[[#This Row],[Type]]="Petroleum",1,IF(ISERROR(Table1[[#This Row],[Well Density]]*Table1[[#This Row],[Single Well Discovery Area]]),"",IF(Table1[[#This Row],[Well Density]]*Table1[[#This Row],[Single Well Discovery Area]]&gt;1,1,Table1[[#This Row],[Well Density]]*Table1[[#This Row],[Single Well Discovery Area]])))</f>
        <v>0</v>
      </c>
      <c r="CN1215" s="19">
        <f>Table1[[#This Row],[Mid]]</f>
        <v>0</v>
      </c>
      <c r="CO1215" s="19">
        <f>Table1[[#This Row],[Mid3]]+Table1[[#This Row],[Mid6]]+Table1[[#This Row],[Mid9]]</f>
        <v>0</v>
      </c>
      <c r="CP1215" s="19">
        <f>Table1[[#This Row],[Mid12]]+Table1[[#This Row],[Mid15]]+Table1[[#This Row],[Mid18]]+Table1[[#This Row],[Mid21]]+Table1[[#This Row],[Mid24]]</f>
        <v>0</v>
      </c>
      <c r="CQ1215" s="19">
        <f>Table1[[#This Row],[Mid27]]+Table1[[#This Row],[Mid30]]+Table1[[#This Row],[Mid33]]+Table1[[#This Row],[Mid36]]+Table1[[#This Row],[Mid39]]</f>
        <v>17.100000000000001</v>
      </c>
      <c r="CR1215" t="s">
        <v>3748</v>
      </c>
      <c r="CS1215" s="19" t="str">
        <f>IF(AND(Table1[[#This Row],[Low41]]=0, Table1[[#This Row],[High43]]=0),"N","Y")</f>
        <v>Y</v>
      </c>
    </row>
    <row r="1216" spans="1:97" ht="19.5" customHeight="1" x14ac:dyDescent="0.25">
      <c r="A1216">
        <v>11218</v>
      </c>
      <c r="B1216" t="s">
        <v>3756</v>
      </c>
      <c r="C1216" t="s">
        <v>3757</v>
      </c>
      <c r="D1216">
        <v>30.355833329999999</v>
      </c>
      <c r="E1216">
        <v>0.322222222</v>
      </c>
      <c r="F1216" t="s">
        <v>3779</v>
      </c>
      <c r="G1216" t="s">
        <v>3759</v>
      </c>
      <c r="H1216" t="s">
        <v>189</v>
      </c>
      <c r="I1216" t="s">
        <v>118</v>
      </c>
      <c r="J1216" t="s">
        <v>119</v>
      </c>
      <c r="K1216" t="s">
        <v>203</v>
      </c>
      <c r="L1216" t="s">
        <v>18</v>
      </c>
      <c r="M1216" t="s">
        <v>3760</v>
      </c>
      <c r="N1216" s="6" t="s">
        <v>3761</v>
      </c>
      <c r="P1216" t="s">
        <v>1150</v>
      </c>
      <c r="Q1216" s="21" t="s">
        <v>3780</v>
      </c>
      <c r="R1216" s="21" t="s">
        <v>3781</v>
      </c>
      <c r="S1216">
        <v>2016</v>
      </c>
      <c r="T1216" t="s">
        <v>771</v>
      </c>
      <c r="U1216" t="s">
        <v>3764</v>
      </c>
      <c r="V1216">
        <v>180</v>
      </c>
      <c r="W1216">
        <v>1360</v>
      </c>
      <c r="X1216">
        <v>90</v>
      </c>
      <c r="Y1216">
        <v>0</v>
      </c>
      <c r="Z1216">
        <v>12</v>
      </c>
      <c r="AA1216">
        <v>0</v>
      </c>
      <c r="AB1216">
        <v>0</v>
      </c>
      <c r="AC1216">
        <v>860</v>
      </c>
      <c r="AD1216">
        <v>0</v>
      </c>
      <c r="AE1216">
        <v>0</v>
      </c>
      <c r="AF1216">
        <v>200</v>
      </c>
      <c r="AG1216">
        <v>0</v>
      </c>
      <c r="AI1216">
        <v>0.05</v>
      </c>
      <c r="AJ1216">
        <v>0</v>
      </c>
      <c r="AK1216">
        <v>0</v>
      </c>
      <c r="AL1216">
        <v>0</v>
      </c>
      <c r="AM1216" t="s">
        <v>2538</v>
      </c>
      <c r="AN1216" t="s">
        <v>132</v>
      </c>
      <c r="AO1216">
        <v>0</v>
      </c>
      <c r="AP1216">
        <v>0</v>
      </c>
      <c r="AQ1216">
        <v>0</v>
      </c>
      <c r="AR1216">
        <v>0</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BM1216">
        <v>0</v>
      </c>
      <c r="BN1216">
        <v>0</v>
      </c>
      <c r="BO1216">
        <v>0</v>
      </c>
      <c r="BP1216">
        <v>0</v>
      </c>
      <c r="BQ1216">
        <v>0</v>
      </c>
      <c r="BR1216">
        <v>0</v>
      </c>
      <c r="BS1216">
        <v>0</v>
      </c>
      <c r="BT1216">
        <v>0</v>
      </c>
      <c r="BU1216">
        <v>0</v>
      </c>
      <c r="BV1216">
        <v>0</v>
      </c>
      <c r="BW1216">
        <v>16.3</v>
      </c>
      <c r="BX1216">
        <v>81.599999999999994</v>
      </c>
      <c r="BY1216">
        <v>0</v>
      </c>
      <c r="BZ1216">
        <v>0</v>
      </c>
      <c r="CA1216">
        <v>0</v>
      </c>
      <c r="CB1216">
        <v>0</v>
      </c>
      <c r="CC1216">
        <v>0</v>
      </c>
      <c r="CD1216">
        <v>0</v>
      </c>
      <c r="CE121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16" s="19">
        <f>SUM(Table1[[#This Row],[Mid39]],Table1[[#This Row],[Mid36]],Table1[[#This Row],[Mid33]],Table1[[#This Row],[Mid30]],Table1[[#This Row],[Mid27]],Table1[[#This Row],[Mid24]],Table1[[#This Row],[Mid21]],Table1[[#This Row],[Mid18]],Table1[[#This Row],[Mid15]],Table1[[#This Row],[Mid12]],Table1[[#This Row],[Mid9]],Table1[[#This Row],[Mid6]],Table1[[#This Row],[Mid3]],Table1[[#This Row],[Mid]])</f>
        <v>16.3</v>
      </c>
      <c r="CG12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81.599999999999994</v>
      </c>
      <c r="CH1216" t="s">
        <v>157</v>
      </c>
      <c r="CI1216" t="s">
        <v>134</v>
      </c>
      <c r="CJ1216" t="s">
        <v>158</v>
      </c>
      <c r="CL1216" s="19">
        <f>IF(Table1[[#This Row],[Type]]="Petroleum",1,IF(ISERROR(Table1[[#This Row],[Well Density]]*Table1[[#This Row],[Single Well Discovery Area]]),"",IF(Table1[[#This Row],[Well Density]]*Table1[[#This Row],[Single Well Discovery Area]]&gt;1,1,Table1[[#This Row],[Well Density]]*Table1[[#This Row],[Single Well Discovery Area]])))</f>
        <v>0</v>
      </c>
      <c r="CN1216" s="19">
        <f>Table1[[#This Row],[Mid]]</f>
        <v>0</v>
      </c>
      <c r="CO1216" s="19">
        <f>Table1[[#This Row],[Mid3]]+Table1[[#This Row],[Mid6]]+Table1[[#This Row],[Mid9]]</f>
        <v>0</v>
      </c>
      <c r="CP1216" s="19">
        <f>Table1[[#This Row],[Mid12]]+Table1[[#This Row],[Mid15]]+Table1[[#This Row],[Mid18]]+Table1[[#This Row],[Mid21]]+Table1[[#This Row],[Mid24]]</f>
        <v>0</v>
      </c>
      <c r="CQ1216" s="19">
        <f>Table1[[#This Row],[Mid27]]+Table1[[#This Row],[Mid30]]+Table1[[#This Row],[Mid33]]+Table1[[#This Row],[Mid36]]+Table1[[#This Row],[Mid39]]</f>
        <v>16.3</v>
      </c>
      <c r="CR1216" t="s">
        <v>3748</v>
      </c>
      <c r="CS1216" s="19" t="str">
        <f>IF(AND(Table1[[#This Row],[Low41]]=0, Table1[[#This Row],[High43]]=0),"N","Y")</f>
        <v>Y</v>
      </c>
    </row>
    <row r="1217" spans="1:97" ht="19.5" customHeight="1" x14ac:dyDescent="0.25">
      <c r="A1217">
        <v>11219</v>
      </c>
      <c r="B1217" t="s">
        <v>3756</v>
      </c>
      <c r="C1217" t="s">
        <v>3757</v>
      </c>
      <c r="D1217">
        <v>27.089722219999999</v>
      </c>
      <c r="E1217">
        <v>2.5102777779999998</v>
      </c>
      <c r="F1217" t="s">
        <v>3782</v>
      </c>
      <c r="G1217" t="s">
        <v>3759</v>
      </c>
      <c r="H1217" t="s">
        <v>3783</v>
      </c>
      <c r="I1217" t="s">
        <v>2245</v>
      </c>
      <c r="J1217" t="s">
        <v>202</v>
      </c>
      <c r="K1217" t="s">
        <v>203</v>
      </c>
      <c r="L1217" t="s">
        <v>204</v>
      </c>
      <c r="M1217" t="s">
        <v>2670</v>
      </c>
      <c r="N1217" s="6" t="s">
        <v>3784</v>
      </c>
      <c r="O1217" t="s">
        <v>3785</v>
      </c>
      <c r="P1217" t="s">
        <v>3786</v>
      </c>
      <c r="Q1217" t="s">
        <v>3787</v>
      </c>
      <c r="R1217" t="s">
        <v>3788</v>
      </c>
      <c r="S1217">
        <v>2013</v>
      </c>
      <c r="T1217" t="s">
        <v>771</v>
      </c>
      <c r="U1217" t="s">
        <v>3764</v>
      </c>
      <c r="V1217">
        <v>375</v>
      </c>
      <c r="W1217">
        <v>1900</v>
      </c>
      <c r="X1217">
        <v>20</v>
      </c>
      <c r="Y1217">
        <v>0</v>
      </c>
      <c r="Z1217">
        <v>14</v>
      </c>
      <c r="AA1217">
        <v>0.5</v>
      </c>
      <c r="AB1217">
        <v>0</v>
      </c>
      <c r="AC1217">
        <v>0</v>
      </c>
      <c r="AD1217">
        <v>3</v>
      </c>
      <c r="AE1217">
        <v>8.0000000000000002E-3</v>
      </c>
      <c r="AF1217">
        <v>200</v>
      </c>
      <c r="AG1217">
        <v>17.5</v>
      </c>
      <c r="AI1217">
        <v>0</v>
      </c>
      <c r="AJ1217">
        <v>0</v>
      </c>
      <c r="AK1217">
        <v>0</v>
      </c>
      <c r="AL1217">
        <v>17.5</v>
      </c>
      <c r="AM1217" t="s">
        <v>130</v>
      </c>
      <c r="AN1217" t="s">
        <v>132</v>
      </c>
      <c r="AO1217" s="19"/>
      <c r="AP1217">
        <v>3.8</v>
      </c>
      <c r="AQ1217">
        <v>0</v>
      </c>
      <c r="AR1217">
        <v>0</v>
      </c>
      <c r="AS1217">
        <v>0</v>
      </c>
      <c r="AT1217">
        <v>0</v>
      </c>
      <c r="AU1217">
        <v>0</v>
      </c>
      <c r="AV1217">
        <v>0</v>
      </c>
      <c r="AW1217">
        <v>0</v>
      </c>
      <c r="AX1217">
        <v>0</v>
      </c>
      <c r="AY1217">
        <v>0</v>
      </c>
      <c r="AZ1217">
        <v>0</v>
      </c>
      <c r="BA1217">
        <v>0</v>
      </c>
      <c r="BB1217">
        <v>0</v>
      </c>
      <c r="BC1217">
        <v>0</v>
      </c>
      <c r="BD1217">
        <v>0</v>
      </c>
      <c r="BE1217">
        <v>0</v>
      </c>
      <c r="BF1217">
        <v>0</v>
      </c>
      <c r="BG1217">
        <v>0</v>
      </c>
      <c r="BH1217">
        <v>13.2</v>
      </c>
      <c r="BI1217">
        <v>0</v>
      </c>
      <c r="BJ1217">
        <v>0</v>
      </c>
      <c r="BK1217">
        <v>0</v>
      </c>
      <c r="BL1217">
        <v>0</v>
      </c>
      <c r="BM1217">
        <v>0</v>
      </c>
      <c r="BN1217">
        <v>0</v>
      </c>
      <c r="BO1217">
        <v>0</v>
      </c>
      <c r="BP1217">
        <v>0</v>
      </c>
      <c r="BQ1217">
        <v>0</v>
      </c>
      <c r="BR1217">
        <v>0</v>
      </c>
      <c r="BS1217">
        <v>0</v>
      </c>
      <c r="BT1217">
        <v>0</v>
      </c>
      <c r="BU1217">
        <v>0</v>
      </c>
      <c r="BV1217">
        <v>0</v>
      </c>
      <c r="BW1217">
        <v>0</v>
      </c>
      <c r="BX1217">
        <v>0</v>
      </c>
      <c r="BY1217">
        <v>0</v>
      </c>
      <c r="BZ1217">
        <v>0</v>
      </c>
      <c r="CA1217">
        <v>0</v>
      </c>
      <c r="CB1217">
        <v>0</v>
      </c>
      <c r="CC1217">
        <v>0</v>
      </c>
      <c r="CD1217">
        <v>0</v>
      </c>
      <c r="CE121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17" s="19">
        <f>SUM(Table1[[#This Row],[Mid39]],Table1[[#This Row],[Mid36]],Table1[[#This Row],[Mid33]],Table1[[#This Row],[Mid30]],Table1[[#This Row],[Mid27]],Table1[[#This Row],[Mid24]],Table1[[#This Row],[Mid21]],Table1[[#This Row],[Mid18]],Table1[[#This Row],[Mid15]],Table1[[#This Row],[Mid12]],Table1[[#This Row],[Mid9]],Table1[[#This Row],[Mid6]],Table1[[#This Row],[Mid3]],Table1[[#This Row],[Mid]])</f>
        <v>17</v>
      </c>
      <c r="CG12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17" t="s">
        <v>133</v>
      </c>
      <c r="CI1217" t="s">
        <v>134</v>
      </c>
      <c r="CJ1217" t="s">
        <v>135</v>
      </c>
      <c r="CL1217" s="19">
        <f>IF(Table1[[#This Row],[Type]]="Petroleum",1,IF(ISERROR(Table1[[#This Row],[Well Density]]*Table1[[#This Row],[Single Well Discovery Area]]),"",IF(Table1[[#This Row],[Well Density]]*Table1[[#This Row],[Single Well Discovery Area]]&gt;1,1,Table1[[#This Row],[Well Density]]*Table1[[#This Row],[Single Well Discovery Area]])))</f>
        <v>1</v>
      </c>
      <c r="CN1217" s="19">
        <f>Table1[[#This Row],[Mid]]</f>
        <v>3.8</v>
      </c>
      <c r="CO1217" s="19">
        <f>Table1[[#This Row],[Mid3]]+Table1[[#This Row],[Mid6]]+Table1[[#This Row],[Mid9]]</f>
        <v>0</v>
      </c>
      <c r="CP1217" s="19">
        <f>Table1[[#This Row],[Mid12]]+Table1[[#This Row],[Mid15]]+Table1[[#This Row],[Mid18]]+Table1[[#This Row],[Mid21]]+Table1[[#This Row],[Mid24]]</f>
        <v>13.2</v>
      </c>
      <c r="CQ1217" s="19">
        <f>Table1[[#This Row],[Mid27]]+Table1[[#This Row],[Mid30]]+Table1[[#This Row],[Mid33]]+Table1[[#This Row],[Mid36]]+Table1[[#This Row],[Mid39]]</f>
        <v>0</v>
      </c>
      <c r="CR1217" t="s">
        <v>3748</v>
      </c>
      <c r="CS1217" s="19" t="str">
        <f>IF(AND(Table1[[#This Row],[Low41]]=0, Table1[[#This Row],[High43]]=0),"N","Y")</f>
        <v>N</v>
      </c>
    </row>
    <row r="1218" spans="1:97" s="23" customFormat="1" ht="19.5" customHeight="1" x14ac:dyDescent="0.25">
      <c r="A1218" s="28">
        <v>11220</v>
      </c>
      <c r="B1218" s="28" t="s">
        <v>3789</v>
      </c>
      <c r="C1218" s="28" t="s">
        <v>223</v>
      </c>
      <c r="D1218" s="23">
        <v>46.112499999999997</v>
      </c>
      <c r="E1218" s="23">
        <v>24.230555559999999</v>
      </c>
      <c r="F1218" s="28" t="s">
        <v>3790</v>
      </c>
      <c r="G1218" s="28" t="s">
        <v>3791</v>
      </c>
      <c r="H1218" s="28" t="s">
        <v>3200</v>
      </c>
      <c r="I1218" s="28" t="s">
        <v>2245</v>
      </c>
      <c r="J1218" s="28" t="s">
        <v>202</v>
      </c>
      <c r="K1218" s="28" t="s">
        <v>203</v>
      </c>
      <c r="L1218" s="28" t="s">
        <v>121</v>
      </c>
      <c r="M1218" s="28" t="s">
        <v>2761</v>
      </c>
      <c r="N1218" s="29" t="s">
        <v>3792</v>
      </c>
      <c r="O1218" s="28" t="s">
        <v>3793</v>
      </c>
      <c r="P1218" s="28" t="s">
        <v>3794</v>
      </c>
      <c r="Q1218" s="28" t="s">
        <v>3795</v>
      </c>
      <c r="R1218" s="28"/>
      <c r="S1218" s="28">
        <v>2009</v>
      </c>
      <c r="T1218" s="28" t="s">
        <v>771</v>
      </c>
      <c r="U1218" s="28" t="s">
        <v>129</v>
      </c>
      <c r="V1218" s="28">
        <v>20</v>
      </c>
      <c r="W1218" s="28">
        <v>900</v>
      </c>
      <c r="X1218" s="28">
        <v>80</v>
      </c>
      <c r="Y1218" s="28">
        <v>50</v>
      </c>
      <c r="Z1218" s="28">
        <v>20.6</v>
      </c>
      <c r="AA1218" s="28"/>
      <c r="AB1218" s="28">
        <v>80</v>
      </c>
      <c r="AC1218" s="28"/>
      <c r="AD1218" s="28"/>
      <c r="AE1218" s="28">
        <v>0</v>
      </c>
      <c r="AF1218" s="28">
        <v>200</v>
      </c>
      <c r="AG1218" s="28">
        <v>80</v>
      </c>
      <c r="AH1218" s="28" t="s">
        <v>257</v>
      </c>
      <c r="AI1218" s="28"/>
      <c r="AJ1218" s="28"/>
      <c r="AK1218" s="28"/>
      <c r="AL1218" s="28"/>
      <c r="AM1218" s="28"/>
      <c r="AN1218" s="28"/>
      <c r="AO1218" s="28"/>
      <c r="AP1218" s="28"/>
      <c r="AQ1218" s="28"/>
      <c r="AR1218" s="28"/>
      <c r="AS1218" s="28"/>
      <c r="AT1218" s="28"/>
      <c r="AU1218" s="28"/>
      <c r="AV1218" s="28"/>
      <c r="AW1218" s="28"/>
      <c r="AX1218" s="28"/>
      <c r="AY1218" s="28"/>
      <c r="AZ1218" s="28"/>
      <c r="BA1218" s="28"/>
      <c r="BB1218" s="28"/>
      <c r="BC1218" s="28"/>
      <c r="BD1218" s="28"/>
      <c r="BE1218" s="28"/>
      <c r="BF1218" s="28"/>
      <c r="BG1218" s="28"/>
      <c r="BH1218" s="28">
        <v>100</v>
      </c>
      <c r="BI1218" s="28"/>
      <c r="BJ1218" s="28"/>
      <c r="BK1218" s="28"/>
      <c r="BL1218" s="28"/>
      <c r="BM1218" s="28"/>
      <c r="BN1218" s="28"/>
      <c r="BO1218" s="28"/>
      <c r="BP1218" s="28"/>
      <c r="BQ1218" s="28"/>
      <c r="BR1218" s="28"/>
      <c r="BS1218" s="28"/>
      <c r="BT1218" s="28"/>
      <c r="BU1218" s="28"/>
      <c r="BV1218" s="28"/>
      <c r="BW1218" s="28"/>
      <c r="BX1218" s="28"/>
      <c r="BY1218" s="28"/>
      <c r="BZ1218" s="28"/>
      <c r="CA1218" s="28"/>
      <c r="CB1218" s="28"/>
      <c r="CC1218" s="28"/>
      <c r="CD1218" s="28"/>
      <c r="CE1218" s="22">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18" s="22">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1218" s="22">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18" s="28" t="s">
        <v>135</v>
      </c>
      <c r="CI1218" s="30" t="s">
        <v>134</v>
      </c>
      <c r="CJ1218" s="28" t="s">
        <v>157</v>
      </c>
      <c r="CL1218" s="22">
        <f>IF(Table1[[#This Row],[Type]]="Petroleum",1,IF(ISERROR(Table1[[#This Row],[Well Density]]*Table1[[#This Row],[Single Well Discovery Area]]),"",IF(Table1[[#This Row],[Well Density]]*Table1[[#This Row],[Single Well Discovery Area]]&gt;1,1,Table1[[#This Row],[Well Density]]*Table1[[#This Row],[Single Well Discovery Area]])))</f>
        <v>1</v>
      </c>
      <c r="CN1218" s="22">
        <f>Table1[[#This Row],[Mid]]</f>
        <v>0</v>
      </c>
      <c r="CO1218" s="22">
        <f>Table1[[#This Row],[Mid3]]+Table1[[#This Row],[Mid6]]+Table1[[#This Row],[Mid9]]</f>
        <v>0</v>
      </c>
      <c r="CP1218" s="22">
        <f>Table1[[#This Row],[Mid12]]+Table1[[#This Row],[Mid15]]+Table1[[#This Row],[Mid18]]+Table1[[#This Row],[Mid21]]+Table1[[#This Row],[Mid24]]</f>
        <v>100</v>
      </c>
      <c r="CQ1218" s="22">
        <f>Table1[[#This Row],[Mid27]]+Table1[[#This Row],[Mid30]]+Table1[[#This Row],[Mid33]]+Table1[[#This Row],[Mid36]]+Table1[[#This Row],[Mid39]]</f>
        <v>0</v>
      </c>
      <c r="CR1218" s="28" t="s">
        <v>415</v>
      </c>
      <c r="CS1218" s="22" t="str">
        <f>IF(AND(Table1[[#This Row],[Low41]]=0, Table1[[#This Row],[High43]]=0),"N","Y")</f>
        <v>N</v>
      </c>
    </row>
    <row r="1219" spans="1:97" ht="19.5" customHeight="1" x14ac:dyDescent="0.25">
      <c r="A1219">
        <v>11221</v>
      </c>
      <c r="B1219" t="s">
        <v>3789</v>
      </c>
      <c r="C1219" t="s">
        <v>223</v>
      </c>
      <c r="D1219">
        <v>45.266666669999999</v>
      </c>
      <c r="E1219">
        <v>27.2</v>
      </c>
      <c r="F1219" t="s">
        <v>3796</v>
      </c>
      <c r="G1219" t="s">
        <v>3797</v>
      </c>
      <c r="H1219" t="s">
        <v>3163</v>
      </c>
      <c r="I1219" t="s">
        <v>2776</v>
      </c>
      <c r="J1219" t="s">
        <v>202</v>
      </c>
      <c r="K1219" t="s">
        <v>203</v>
      </c>
      <c r="L1219" t="s">
        <v>121</v>
      </c>
      <c r="M1219" t="s">
        <v>2761</v>
      </c>
      <c r="N1219" s="6" t="s">
        <v>3792</v>
      </c>
      <c r="O1219" t="s">
        <v>3793</v>
      </c>
      <c r="P1219" t="s">
        <v>3794</v>
      </c>
      <c r="Q1219" t="s">
        <v>3798</v>
      </c>
      <c r="S1219">
        <v>2009</v>
      </c>
      <c r="T1219" t="s">
        <v>771</v>
      </c>
      <c r="U1219" t="s">
        <v>129</v>
      </c>
      <c r="V1219">
        <v>16</v>
      </c>
      <c r="W1219">
        <v>1892</v>
      </c>
      <c r="X1219">
        <v>25</v>
      </c>
      <c r="Y1219">
        <v>43</v>
      </c>
      <c r="Z1219">
        <v>17</v>
      </c>
      <c r="AA1219">
        <v>120</v>
      </c>
      <c r="AB1219">
        <v>6</v>
      </c>
      <c r="AE1219">
        <v>0</v>
      </c>
      <c r="AF1219">
        <v>200</v>
      </c>
      <c r="AG1219">
        <v>200</v>
      </c>
      <c r="AH1219" t="s">
        <v>257</v>
      </c>
      <c r="BH1219">
        <v>50</v>
      </c>
      <c r="CE121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19" s="19">
        <f>SUM(Table1[[#This Row],[Mid39]],Table1[[#This Row],[Mid36]],Table1[[#This Row],[Mid33]],Table1[[#This Row],[Mid30]],Table1[[#This Row],[Mid27]],Table1[[#This Row],[Mid24]],Table1[[#This Row],[Mid21]],Table1[[#This Row],[Mid18]],Table1[[#This Row],[Mid15]],Table1[[#This Row],[Mid12]],Table1[[#This Row],[Mid9]],Table1[[#This Row],[Mid6]],Table1[[#This Row],[Mid3]],Table1[[#This Row],[Mid]])</f>
        <v>50</v>
      </c>
      <c r="CG12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19" t="s">
        <v>135</v>
      </c>
      <c r="CI1219" s="35" t="s">
        <v>134</v>
      </c>
      <c r="CJ1219" t="s">
        <v>157</v>
      </c>
      <c r="CL1219" s="19">
        <f>IF(Table1[[#This Row],[Type]]="Petroleum",1,IF(ISERROR(Table1[[#This Row],[Well Density]]*Table1[[#This Row],[Single Well Discovery Area]]),"",IF(Table1[[#This Row],[Well Density]]*Table1[[#This Row],[Single Well Discovery Area]]&gt;1,1,Table1[[#This Row],[Well Density]]*Table1[[#This Row],[Single Well Discovery Area]])))</f>
        <v>1</v>
      </c>
      <c r="CN1219" s="19">
        <f>Table1[[#This Row],[Mid]]</f>
        <v>0</v>
      </c>
      <c r="CO1219" s="19">
        <f>Table1[[#This Row],[Mid3]]+Table1[[#This Row],[Mid6]]+Table1[[#This Row],[Mid9]]</f>
        <v>0</v>
      </c>
      <c r="CP1219" s="19">
        <f>Table1[[#This Row],[Mid12]]+Table1[[#This Row],[Mid15]]+Table1[[#This Row],[Mid18]]+Table1[[#This Row],[Mid21]]+Table1[[#This Row],[Mid24]]</f>
        <v>50</v>
      </c>
      <c r="CQ1219" s="19">
        <f>Table1[[#This Row],[Mid27]]+Table1[[#This Row],[Mid30]]+Table1[[#This Row],[Mid33]]+Table1[[#This Row],[Mid36]]+Table1[[#This Row],[Mid39]]</f>
        <v>0</v>
      </c>
      <c r="CR1219" t="s">
        <v>415</v>
      </c>
      <c r="CS1219" s="19" t="str">
        <f>IF(AND(Table1[[#This Row],[Low41]]=0, Table1[[#This Row],[High43]]=0),"N","Y")</f>
        <v>N</v>
      </c>
    </row>
    <row r="1220" spans="1:97" ht="19.5" customHeight="1" x14ac:dyDescent="0.25">
      <c r="A1220">
        <v>11222</v>
      </c>
      <c r="B1220" t="s">
        <v>3789</v>
      </c>
      <c r="C1220" t="s">
        <v>223</v>
      </c>
      <c r="D1220">
        <v>46.526944440000001</v>
      </c>
      <c r="E1220">
        <v>24.569722219999999</v>
      </c>
      <c r="F1220" t="s">
        <v>3799</v>
      </c>
      <c r="G1220" t="s">
        <v>3791</v>
      </c>
      <c r="H1220" t="s">
        <v>3200</v>
      </c>
      <c r="I1220" t="s">
        <v>2245</v>
      </c>
      <c r="J1220" t="s">
        <v>202</v>
      </c>
      <c r="K1220" t="s">
        <v>203</v>
      </c>
      <c r="L1220" t="s">
        <v>121</v>
      </c>
      <c r="M1220" t="s">
        <v>2761</v>
      </c>
      <c r="N1220" s="6" t="s">
        <v>3792</v>
      </c>
      <c r="O1220" t="s">
        <v>3793</v>
      </c>
      <c r="P1220" t="s">
        <v>3794</v>
      </c>
      <c r="Q1220" t="s">
        <v>3798</v>
      </c>
      <c r="S1220">
        <v>2009</v>
      </c>
      <c r="T1220" t="s">
        <v>771</v>
      </c>
      <c r="U1220" t="s">
        <v>129</v>
      </c>
      <c r="V1220">
        <v>18</v>
      </c>
      <c r="W1220">
        <v>1075</v>
      </c>
      <c r="AE1220">
        <v>0</v>
      </c>
      <c r="AF1220">
        <v>200</v>
      </c>
      <c r="AG1220">
        <v>100</v>
      </c>
      <c r="AH1220" t="s">
        <v>257</v>
      </c>
      <c r="BH1220">
        <v>25</v>
      </c>
      <c r="CE122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20" s="19">
        <f>SUM(Table1[[#This Row],[Mid39]],Table1[[#This Row],[Mid36]],Table1[[#This Row],[Mid33]],Table1[[#This Row],[Mid30]],Table1[[#This Row],[Mid27]],Table1[[#This Row],[Mid24]],Table1[[#This Row],[Mid21]],Table1[[#This Row],[Mid18]],Table1[[#This Row],[Mid15]],Table1[[#This Row],[Mid12]],Table1[[#This Row],[Mid9]],Table1[[#This Row],[Mid6]],Table1[[#This Row],[Mid3]],Table1[[#This Row],[Mid]])</f>
        <v>25</v>
      </c>
      <c r="CG12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20" t="s">
        <v>135</v>
      </c>
      <c r="CI1220" s="35" t="s">
        <v>134</v>
      </c>
      <c r="CJ1220" t="s">
        <v>157</v>
      </c>
      <c r="CL1220" s="19">
        <f>IF(Table1[[#This Row],[Type]]="Petroleum",1,IF(ISERROR(Table1[[#This Row],[Well Density]]*Table1[[#This Row],[Single Well Discovery Area]]),"",IF(Table1[[#This Row],[Well Density]]*Table1[[#This Row],[Single Well Discovery Area]]&gt;1,1,Table1[[#This Row],[Well Density]]*Table1[[#This Row],[Single Well Discovery Area]])))</f>
        <v>1</v>
      </c>
      <c r="CN1220" s="19">
        <f>Table1[[#This Row],[Mid]]</f>
        <v>0</v>
      </c>
      <c r="CO1220" s="19">
        <f>Table1[[#This Row],[Mid3]]+Table1[[#This Row],[Mid6]]+Table1[[#This Row],[Mid9]]</f>
        <v>0</v>
      </c>
      <c r="CP1220" s="19">
        <f>Table1[[#This Row],[Mid12]]+Table1[[#This Row],[Mid15]]+Table1[[#This Row],[Mid18]]+Table1[[#This Row],[Mid21]]+Table1[[#This Row],[Mid24]]</f>
        <v>25</v>
      </c>
      <c r="CQ1220" s="19">
        <f>Table1[[#This Row],[Mid27]]+Table1[[#This Row],[Mid30]]+Table1[[#This Row],[Mid33]]+Table1[[#This Row],[Mid36]]+Table1[[#This Row],[Mid39]]</f>
        <v>0</v>
      </c>
      <c r="CR1220" t="s">
        <v>415</v>
      </c>
      <c r="CS1220" s="19" t="str">
        <f>IF(AND(Table1[[#This Row],[Low41]]=0, Table1[[#This Row],[High43]]=0),"N","Y")</f>
        <v>N</v>
      </c>
    </row>
    <row r="1221" spans="1:97" ht="19.5" customHeight="1" x14ac:dyDescent="0.25">
      <c r="A1221">
        <v>11223</v>
      </c>
      <c r="B1221" t="s">
        <v>3789</v>
      </c>
      <c r="C1221" t="s">
        <v>223</v>
      </c>
      <c r="D1221">
        <v>46.416944440000002</v>
      </c>
      <c r="E1221">
        <v>24.820277780000001</v>
      </c>
      <c r="F1221" t="s">
        <v>3800</v>
      </c>
      <c r="G1221" t="s">
        <v>3791</v>
      </c>
      <c r="H1221" t="s">
        <v>3200</v>
      </c>
      <c r="I1221" t="s">
        <v>2245</v>
      </c>
      <c r="J1221" t="s">
        <v>202</v>
      </c>
      <c r="K1221" t="s">
        <v>203</v>
      </c>
      <c r="L1221" t="s">
        <v>121</v>
      </c>
      <c r="M1221" t="s">
        <v>2761</v>
      </c>
      <c r="N1221" s="6" t="s">
        <v>3792</v>
      </c>
      <c r="O1221" t="s">
        <v>3793</v>
      </c>
      <c r="P1221" t="s">
        <v>3794</v>
      </c>
      <c r="Q1221"/>
      <c r="S1221">
        <v>2009</v>
      </c>
      <c r="T1221" t="s">
        <v>771</v>
      </c>
      <c r="U1221" t="s">
        <v>129</v>
      </c>
      <c r="V1221">
        <v>9</v>
      </c>
      <c r="W1221">
        <v>1000</v>
      </c>
      <c r="X1221">
        <v>25</v>
      </c>
      <c r="Y1221">
        <v>50</v>
      </c>
      <c r="Z1221">
        <v>20</v>
      </c>
      <c r="AA1221">
        <v>300</v>
      </c>
      <c r="AB1221">
        <v>60</v>
      </c>
      <c r="AE1221">
        <v>0</v>
      </c>
      <c r="AF1221">
        <v>200</v>
      </c>
      <c r="AG1221">
        <v>100</v>
      </c>
      <c r="AH1221" t="s">
        <v>257</v>
      </c>
      <c r="BH1221">
        <v>25</v>
      </c>
      <c r="CE122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21" s="19">
        <f>SUM(Table1[[#This Row],[Mid39]],Table1[[#This Row],[Mid36]],Table1[[#This Row],[Mid33]],Table1[[#This Row],[Mid30]],Table1[[#This Row],[Mid27]],Table1[[#This Row],[Mid24]],Table1[[#This Row],[Mid21]],Table1[[#This Row],[Mid18]],Table1[[#This Row],[Mid15]],Table1[[#This Row],[Mid12]],Table1[[#This Row],[Mid9]],Table1[[#This Row],[Mid6]],Table1[[#This Row],[Mid3]],Table1[[#This Row],[Mid]])</f>
        <v>25</v>
      </c>
      <c r="CG12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21" t="s">
        <v>135</v>
      </c>
      <c r="CI1221" s="35" t="s">
        <v>134</v>
      </c>
      <c r="CJ1221" t="s">
        <v>157</v>
      </c>
      <c r="CL1221" s="19">
        <f>IF(Table1[[#This Row],[Type]]="Petroleum",1,IF(ISERROR(Table1[[#This Row],[Well Density]]*Table1[[#This Row],[Single Well Discovery Area]]),"",IF(Table1[[#This Row],[Well Density]]*Table1[[#This Row],[Single Well Discovery Area]]&gt;1,1,Table1[[#This Row],[Well Density]]*Table1[[#This Row],[Single Well Discovery Area]])))</f>
        <v>1</v>
      </c>
      <c r="CN1221" s="19">
        <f>Table1[[#This Row],[Mid]]</f>
        <v>0</v>
      </c>
      <c r="CO1221" s="19">
        <f>Table1[[#This Row],[Mid3]]+Table1[[#This Row],[Mid6]]+Table1[[#This Row],[Mid9]]</f>
        <v>0</v>
      </c>
      <c r="CP1221" s="19">
        <f>Table1[[#This Row],[Mid12]]+Table1[[#This Row],[Mid15]]+Table1[[#This Row],[Mid18]]+Table1[[#This Row],[Mid21]]+Table1[[#This Row],[Mid24]]</f>
        <v>25</v>
      </c>
      <c r="CQ1221" s="19">
        <f>Table1[[#This Row],[Mid27]]+Table1[[#This Row],[Mid30]]+Table1[[#This Row],[Mid33]]+Table1[[#This Row],[Mid36]]+Table1[[#This Row],[Mid39]]</f>
        <v>0</v>
      </c>
      <c r="CR1221" t="s">
        <v>415</v>
      </c>
      <c r="CS1221" s="19" t="str">
        <f>IF(AND(Table1[[#This Row],[Low41]]=0, Table1[[#This Row],[High43]]=0),"N","Y")</f>
        <v>N</v>
      </c>
    </row>
    <row r="1222" spans="1:97" ht="19.5" customHeight="1" x14ac:dyDescent="0.25">
      <c r="A1222">
        <v>11224</v>
      </c>
      <c r="B1222" t="s">
        <v>3789</v>
      </c>
      <c r="C1222" t="s">
        <v>223</v>
      </c>
      <c r="D1222">
        <v>44.886111110000002</v>
      </c>
      <c r="E1222">
        <v>23.05</v>
      </c>
      <c r="F1222" t="s">
        <v>3801</v>
      </c>
      <c r="G1222" t="s">
        <v>3797</v>
      </c>
      <c r="H1222" t="s">
        <v>3205</v>
      </c>
      <c r="I1222" t="s">
        <v>2245</v>
      </c>
      <c r="J1222" t="s">
        <v>202</v>
      </c>
      <c r="K1222" t="s">
        <v>203</v>
      </c>
      <c r="L1222" t="s">
        <v>121</v>
      </c>
      <c r="M1222" t="s">
        <v>2761</v>
      </c>
      <c r="N1222" s="6" t="s">
        <v>3792</v>
      </c>
      <c r="O1222" t="s">
        <v>3793</v>
      </c>
      <c r="P1222" t="s">
        <v>3794</v>
      </c>
      <c r="Q1222" t="s">
        <v>3802</v>
      </c>
      <c r="S1222">
        <v>2009</v>
      </c>
      <c r="T1222" t="s">
        <v>771</v>
      </c>
      <c r="U1222" t="s">
        <v>129</v>
      </c>
      <c r="V1222">
        <v>28</v>
      </c>
      <c r="W1222">
        <v>800</v>
      </c>
      <c r="X1222">
        <v>25</v>
      </c>
      <c r="Y1222">
        <v>40</v>
      </c>
      <c r="Z1222">
        <v>14</v>
      </c>
      <c r="AA1222">
        <v>300</v>
      </c>
      <c r="AE1222">
        <v>0</v>
      </c>
      <c r="AF1222">
        <v>200</v>
      </c>
      <c r="AG1222">
        <v>78</v>
      </c>
      <c r="AH1222" t="s">
        <v>257</v>
      </c>
      <c r="BH1222">
        <v>25</v>
      </c>
      <c r="CE122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22" s="19">
        <f>SUM(Table1[[#This Row],[Mid39]],Table1[[#This Row],[Mid36]],Table1[[#This Row],[Mid33]],Table1[[#This Row],[Mid30]],Table1[[#This Row],[Mid27]],Table1[[#This Row],[Mid24]],Table1[[#This Row],[Mid21]],Table1[[#This Row],[Mid18]],Table1[[#This Row],[Mid15]],Table1[[#This Row],[Mid12]],Table1[[#This Row],[Mid9]],Table1[[#This Row],[Mid6]],Table1[[#This Row],[Mid3]],Table1[[#This Row],[Mid]])</f>
        <v>25</v>
      </c>
      <c r="CG12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22" t="s">
        <v>135</v>
      </c>
      <c r="CI1222" s="35" t="s">
        <v>134</v>
      </c>
      <c r="CJ1222" t="s">
        <v>157</v>
      </c>
      <c r="CL1222" s="19">
        <f>IF(Table1[[#This Row],[Type]]="Petroleum",1,IF(ISERROR(Table1[[#This Row],[Well Density]]*Table1[[#This Row],[Single Well Discovery Area]]),"",IF(Table1[[#This Row],[Well Density]]*Table1[[#This Row],[Single Well Discovery Area]]&gt;1,1,Table1[[#This Row],[Well Density]]*Table1[[#This Row],[Single Well Discovery Area]])))</f>
        <v>1</v>
      </c>
      <c r="CN1222" s="19">
        <f>Table1[[#This Row],[Mid]]</f>
        <v>0</v>
      </c>
      <c r="CO1222" s="19">
        <f>Table1[[#This Row],[Mid3]]+Table1[[#This Row],[Mid6]]+Table1[[#This Row],[Mid9]]</f>
        <v>0</v>
      </c>
      <c r="CP1222" s="19">
        <f>Table1[[#This Row],[Mid12]]+Table1[[#This Row],[Mid15]]+Table1[[#This Row],[Mid18]]+Table1[[#This Row],[Mid21]]+Table1[[#This Row],[Mid24]]</f>
        <v>25</v>
      </c>
      <c r="CQ1222" s="19">
        <f>Table1[[#This Row],[Mid27]]+Table1[[#This Row],[Mid30]]+Table1[[#This Row],[Mid33]]+Table1[[#This Row],[Mid36]]+Table1[[#This Row],[Mid39]]</f>
        <v>0</v>
      </c>
      <c r="CR1222" t="s">
        <v>415</v>
      </c>
      <c r="CS1222" s="19" t="str">
        <f>IF(AND(Table1[[#This Row],[Low41]]=0, Table1[[#This Row],[High43]]=0),"N","Y")</f>
        <v>N</v>
      </c>
    </row>
    <row r="1223" spans="1:97" ht="19.5" customHeight="1" x14ac:dyDescent="0.25">
      <c r="A1223">
        <v>11225</v>
      </c>
      <c r="B1223" t="s">
        <v>3789</v>
      </c>
      <c r="C1223" t="s">
        <v>223</v>
      </c>
      <c r="D1223">
        <v>44.950833330000002</v>
      </c>
      <c r="E1223">
        <v>25.438888890000001</v>
      </c>
      <c r="F1223" t="s">
        <v>3803</v>
      </c>
      <c r="G1223" t="s">
        <v>3797</v>
      </c>
      <c r="H1223" t="s">
        <v>3804</v>
      </c>
      <c r="I1223" t="s">
        <v>2245</v>
      </c>
      <c r="J1223" t="s">
        <v>202</v>
      </c>
      <c r="K1223" t="s">
        <v>203</v>
      </c>
      <c r="L1223" t="s">
        <v>121</v>
      </c>
      <c r="M1223" t="s">
        <v>2761</v>
      </c>
      <c r="N1223" s="6" t="s">
        <v>3792</v>
      </c>
      <c r="O1223" t="s">
        <v>3793</v>
      </c>
      <c r="P1223" t="s">
        <v>3794</v>
      </c>
      <c r="Q1223"/>
      <c r="S1223">
        <v>2009</v>
      </c>
      <c r="T1223" t="s">
        <v>771</v>
      </c>
      <c r="U1223" t="s">
        <v>129</v>
      </c>
      <c r="V1223">
        <v>10</v>
      </c>
      <c r="W1223">
        <v>1000</v>
      </c>
      <c r="X1223">
        <v>25</v>
      </c>
      <c r="Y1223">
        <v>40</v>
      </c>
      <c r="Z1223">
        <v>22</v>
      </c>
      <c r="AA1223">
        <v>300</v>
      </c>
      <c r="AE1223">
        <v>0</v>
      </c>
      <c r="AF1223">
        <v>200</v>
      </c>
      <c r="AG1223">
        <v>100</v>
      </c>
      <c r="AH1223" t="s">
        <v>257</v>
      </c>
      <c r="BH1223">
        <v>20</v>
      </c>
      <c r="CE122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23" s="19">
        <f>SUM(Table1[[#This Row],[Mid39]],Table1[[#This Row],[Mid36]],Table1[[#This Row],[Mid33]],Table1[[#This Row],[Mid30]],Table1[[#This Row],[Mid27]],Table1[[#This Row],[Mid24]],Table1[[#This Row],[Mid21]],Table1[[#This Row],[Mid18]],Table1[[#This Row],[Mid15]],Table1[[#This Row],[Mid12]],Table1[[#This Row],[Mid9]],Table1[[#This Row],[Mid6]],Table1[[#This Row],[Mid3]],Table1[[#This Row],[Mid]])</f>
        <v>20</v>
      </c>
      <c r="CG12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23" t="s">
        <v>135</v>
      </c>
      <c r="CI1223" s="35" t="s">
        <v>134</v>
      </c>
      <c r="CJ1223" t="s">
        <v>157</v>
      </c>
      <c r="CL1223" s="19">
        <f>IF(Table1[[#This Row],[Type]]="Petroleum",1,IF(ISERROR(Table1[[#This Row],[Well Density]]*Table1[[#This Row],[Single Well Discovery Area]]),"",IF(Table1[[#This Row],[Well Density]]*Table1[[#This Row],[Single Well Discovery Area]]&gt;1,1,Table1[[#This Row],[Well Density]]*Table1[[#This Row],[Single Well Discovery Area]])))</f>
        <v>1</v>
      </c>
      <c r="CN1223" s="19">
        <f>Table1[[#This Row],[Mid]]</f>
        <v>0</v>
      </c>
      <c r="CO1223" s="19">
        <f>Table1[[#This Row],[Mid3]]+Table1[[#This Row],[Mid6]]+Table1[[#This Row],[Mid9]]</f>
        <v>0</v>
      </c>
      <c r="CP1223" s="19">
        <f>Table1[[#This Row],[Mid12]]+Table1[[#This Row],[Mid15]]+Table1[[#This Row],[Mid18]]+Table1[[#This Row],[Mid21]]+Table1[[#This Row],[Mid24]]</f>
        <v>20</v>
      </c>
      <c r="CQ1223" s="19">
        <f>Table1[[#This Row],[Mid27]]+Table1[[#This Row],[Mid30]]+Table1[[#This Row],[Mid33]]+Table1[[#This Row],[Mid36]]+Table1[[#This Row],[Mid39]]</f>
        <v>0</v>
      </c>
      <c r="CR1223" t="s">
        <v>415</v>
      </c>
      <c r="CS1223" s="19" t="str">
        <f>IF(AND(Table1[[#This Row],[Low41]]=0, Table1[[#This Row],[High43]]=0),"N","Y")</f>
        <v>N</v>
      </c>
    </row>
    <row r="1224" spans="1:97" ht="19.5" customHeight="1" x14ac:dyDescent="0.25">
      <c r="A1224">
        <v>11226</v>
      </c>
      <c r="B1224" t="s">
        <v>3789</v>
      </c>
      <c r="C1224" t="s">
        <v>223</v>
      </c>
      <c r="D1224">
        <v>46.446666669999999</v>
      </c>
      <c r="E1224">
        <v>24.242222219999999</v>
      </c>
      <c r="F1224" t="s">
        <v>3805</v>
      </c>
      <c r="G1224" t="s">
        <v>3791</v>
      </c>
      <c r="H1224" t="s">
        <v>3205</v>
      </c>
      <c r="I1224" t="s">
        <v>2245</v>
      </c>
      <c r="J1224" t="s">
        <v>202</v>
      </c>
      <c r="K1224" t="s">
        <v>203</v>
      </c>
      <c r="L1224" t="s">
        <v>121</v>
      </c>
      <c r="M1224" t="s">
        <v>2761</v>
      </c>
      <c r="N1224" s="6" t="s">
        <v>3792</v>
      </c>
      <c r="O1224" t="s">
        <v>3793</v>
      </c>
      <c r="P1224" t="s">
        <v>3794</v>
      </c>
      <c r="Q1224"/>
      <c r="S1224">
        <v>2009</v>
      </c>
      <c r="T1224" t="s">
        <v>771</v>
      </c>
      <c r="U1224" t="s">
        <v>129</v>
      </c>
      <c r="V1224">
        <v>5</v>
      </c>
      <c r="W1224">
        <v>800</v>
      </c>
      <c r="X1224">
        <v>25</v>
      </c>
      <c r="Y1224">
        <v>50</v>
      </c>
      <c r="Z1224">
        <v>20</v>
      </c>
      <c r="AA1224">
        <v>300</v>
      </c>
      <c r="AE1224">
        <v>0</v>
      </c>
      <c r="AF1224">
        <v>200</v>
      </c>
      <c r="AG1224">
        <v>80</v>
      </c>
      <c r="AH1224" t="s">
        <v>257</v>
      </c>
      <c r="BH1224">
        <v>15</v>
      </c>
      <c r="CE122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24" s="19">
        <f>SUM(Table1[[#This Row],[Mid39]],Table1[[#This Row],[Mid36]],Table1[[#This Row],[Mid33]],Table1[[#This Row],[Mid30]],Table1[[#This Row],[Mid27]],Table1[[#This Row],[Mid24]],Table1[[#This Row],[Mid21]],Table1[[#This Row],[Mid18]],Table1[[#This Row],[Mid15]],Table1[[#This Row],[Mid12]],Table1[[#This Row],[Mid9]],Table1[[#This Row],[Mid6]],Table1[[#This Row],[Mid3]],Table1[[#This Row],[Mid]])</f>
        <v>15</v>
      </c>
      <c r="CG12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24" t="s">
        <v>135</v>
      </c>
      <c r="CI1224" s="35" t="s">
        <v>134</v>
      </c>
      <c r="CJ1224" t="s">
        <v>157</v>
      </c>
      <c r="CL1224" s="19">
        <f>IF(Table1[[#This Row],[Type]]="Petroleum",1,IF(ISERROR(Table1[[#This Row],[Well Density]]*Table1[[#This Row],[Single Well Discovery Area]]),"",IF(Table1[[#This Row],[Well Density]]*Table1[[#This Row],[Single Well Discovery Area]]&gt;1,1,Table1[[#This Row],[Well Density]]*Table1[[#This Row],[Single Well Discovery Area]])))</f>
        <v>1</v>
      </c>
      <c r="CN1224" s="19">
        <f>Table1[[#This Row],[Mid]]</f>
        <v>0</v>
      </c>
      <c r="CO1224" s="19">
        <f>Table1[[#This Row],[Mid3]]+Table1[[#This Row],[Mid6]]+Table1[[#This Row],[Mid9]]</f>
        <v>0</v>
      </c>
      <c r="CP1224" s="19">
        <f>Table1[[#This Row],[Mid12]]+Table1[[#This Row],[Mid15]]+Table1[[#This Row],[Mid18]]+Table1[[#This Row],[Mid21]]+Table1[[#This Row],[Mid24]]</f>
        <v>15</v>
      </c>
      <c r="CQ1224" s="19">
        <f>Table1[[#This Row],[Mid27]]+Table1[[#This Row],[Mid30]]+Table1[[#This Row],[Mid33]]+Table1[[#This Row],[Mid36]]+Table1[[#This Row],[Mid39]]</f>
        <v>0</v>
      </c>
      <c r="CR1224" t="s">
        <v>415</v>
      </c>
      <c r="CS1224" s="19" t="str">
        <f>IF(AND(Table1[[#This Row],[Low41]]=0, Table1[[#This Row],[High43]]=0),"N","Y")</f>
        <v>N</v>
      </c>
    </row>
    <row r="1225" spans="1:97" ht="19.5" customHeight="1" x14ac:dyDescent="0.25">
      <c r="A1225">
        <v>11227</v>
      </c>
      <c r="B1225" t="s">
        <v>3789</v>
      </c>
      <c r="C1225" t="s">
        <v>223</v>
      </c>
      <c r="D1225">
        <v>44.988055559999999</v>
      </c>
      <c r="E1225">
        <v>24.264444439999998</v>
      </c>
      <c r="F1225" t="s">
        <v>3806</v>
      </c>
      <c r="G1225" t="s">
        <v>3797</v>
      </c>
      <c r="I1225" t="s">
        <v>582</v>
      </c>
      <c r="J1225" t="s">
        <v>202</v>
      </c>
      <c r="K1225" t="s">
        <v>203</v>
      </c>
      <c r="L1225" t="s">
        <v>121</v>
      </c>
      <c r="M1225" t="s">
        <v>2761</v>
      </c>
      <c r="N1225" s="6" t="s">
        <v>3792</v>
      </c>
      <c r="O1225" t="s">
        <v>3793</v>
      </c>
      <c r="P1225" t="s">
        <v>3794</v>
      </c>
      <c r="Q1225"/>
      <c r="S1225">
        <v>2009</v>
      </c>
      <c r="T1225" t="s">
        <v>771</v>
      </c>
      <c r="U1225" t="s">
        <v>129</v>
      </c>
      <c r="V1225">
        <v>18</v>
      </c>
      <c r="W1225">
        <v>1000</v>
      </c>
      <c r="X1225">
        <v>25</v>
      </c>
      <c r="Y1225">
        <v>50</v>
      </c>
      <c r="AA1225">
        <v>300</v>
      </c>
      <c r="AE1225">
        <v>0</v>
      </c>
      <c r="AF1225">
        <v>200</v>
      </c>
      <c r="AG1225">
        <v>100</v>
      </c>
      <c r="AH1225" t="s">
        <v>257</v>
      </c>
      <c r="BH1225">
        <v>50</v>
      </c>
      <c r="CE122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25" s="19">
        <f>SUM(Table1[[#This Row],[Mid39]],Table1[[#This Row],[Mid36]],Table1[[#This Row],[Mid33]],Table1[[#This Row],[Mid30]],Table1[[#This Row],[Mid27]],Table1[[#This Row],[Mid24]],Table1[[#This Row],[Mid21]],Table1[[#This Row],[Mid18]],Table1[[#This Row],[Mid15]],Table1[[#This Row],[Mid12]],Table1[[#This Row],[Mid9]],Table1[[#This Row],[Mid6]],Table1[[#This Row],[Mid3]],Table1[[#This Row],[Mid]])</f>
        <v>50</v>
      </c>
      <c r="CG12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25" t="s">
        <v>135</v>
      </c>
      <c r="CI1225" s="35"/>
      <c r="CJ1225" t="s">
        <v>157</v>
      </c>
      <c r="CL1225" s="19">
        <f>IF(Table1[[#This Row],[Type]]="Petroleum",1,IF(ISERROR(Table1[[#This Row],[Well Density]]*Table1[[#This Row],[Single Well Discovery Area]]),"",IF(Table1[[#This Row],[Well Density]]*Table1[[#This Row],[Single Well Discovery Area]]&gt;1,1,Table1[[#This Row],[Well Density]]*Table1[[#This Row],[Single Well Discovery Area]])))</f>
        <v>1</v>
      </c>
      <c r="CN1225" s="19">
        <f>Table1[[#This Row],[Mid]]</f>
        <v>0</v>
      </c>
      <c r="CO1225" s="19">
        <f>Table1[[#This Row],[Mid3]]+Table1[[#This Row],[Mid6]]+Table1[[#This Row],[Mid9]]</f>
        <v>0</v>
      </c>
      <c r="CP1225" s="19">
        <f>Table1[[#This Row],[Mid12]]+Table1[[#This Row],[Mid15]]+Table1[[#This Row],[Mid18]]+Table1[[#This Row],[Mid21]]+Table1[[#This Row],[Mid24]]</f>
        <v>50</v>
      </c>
      <c r="CQ1225" s="19">
        <f>Table1[[#This Row],[Mid27]]+Table1[[#This Row],[Mid30]]+Table1[[#This Row],[Mid33]]+Table1[[#This Row],[Mid36]]+Table1[[#This Row],[Mid39]]</f>
        <v>0</v>
      </c>
      <c r="CR1225" t="s">
        <v>415</v>
      </c>
      <c r="CS1225" s="19" t="str">
        <f>IF(AND(Table1[[#This Row],[Low41]]=0, Table1[[#This Row],[High43]]=0),"N","Y")</f>
        <v>N</v>
      </c>
    </row>
    <row r="1226" spans="1:97" ht="19.5" customHeight="1" x14ac:dyDescent="0.25">
      <c r="A1226">
        <v>11228</v>
      </c>
      <c r="B1226" t="s">
        <v>3789</v>
      </c>
      <c r="C1226" t="s">
        <v>223</v>
      </c>
      <c r="D1226">
        <v>44.744999999999997</v>
      </c>
      <c r="E1226">
        <v>23.52638889</v>
      </c>
      <c r="F1226" t="s">
        <v>3807</v>
      </c>
      <c r="G1226" t="s">
        <v>3797</v>
      </c>
      <c r="H1226" t="s">
        <v>3205</v>
      </c>
      <c r="I1226" t="s">
        <v>582</v>
      </c>
      <c r="J1226" t="s">
        <v>202</v>
      </c>
      <c r="K1226" t="s">
        <v>203</v>
      </c>
      <c r="L1226" t="s">
        <v>121</v>
      </c>
      <c r="M1226" t="s">
        <v>2761</v>
      </c>
      <c r="N1226" s="6" t="s">
        <v>3792</v>
      </c>
      <c r="O1226" t="s">
        <v>3793</v>
      </c>
      <c r="P1226" t="s">
        <v>3794</v>
      </c>
      <c r="Q1226"/>
      <c r="S1226">
        <v>2009</v>
      </c>
      <c r="T1226" t="s">
        <v>771</v>
      </c>
      <c r="U1226" t="s">
        <v>129</v>
      </c>
      <c r="V1226">
        <v>79</v>
      </c>
      <c r="W1226">
        <v>1000</v>
      </c>
      <c r="X1226">
        <v>25</v>
      </c>
      <c r="Y1226">
        <v>50</v>
      </c>
      <c r="AA1226">
        <v>300</v>
      </c>
      <c r="AE1226">
        <v>0</v>
      </c>
      <c r="AF1226">
        <v>200</v>
      </c>
      <c r="AG1226">
        <v>100</v>
      </c>
      <c r="AH1226" t="s">
        <v>257</v>
      </c>
      <c r="BH1226">
        <v>50</v>
      </c>
      <c r="CE122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26" s="19">
        <f>SUM(Table1[[#This Row],[Mid39]],Table1[[#This Row],[Mid36]],Table1[[#This Row],[Mid33]],Table1[[#This Row],[Mid30]],Table1[[#This Row],[Mid27]],Table1[[#This Row],[Mid24]],Table1[[#This Row],[Mid21]],Table1[[#This Row],[Mid18]],Table1[[#This Row],[Mid15]],Table1[[#This Row],[Mid12]],Table1[[#This Row],[Mid9]],Table1[[#This Row],[Mid6]],Table1[[#This Row],[Mid3]],Table1[[#This Row],[Mid]])</f>
        <v>50</v>
      </c>
      <c r="CG12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26" t="s">
        <v>135</v>
      </c>
      <c r="CI1226" s="35" t="s">
        <v>134</v>
      </c>
      <c r="CJ1226" t="s">
        <v>157</v>
      </c>
      <c r="CL1226" s="19">
        <f>IF(Table1[[#This Row],[Type]]="Petroleum",1,IF(ISERROR(Table1[[#This Row],[Well Density]]*Table1[[#This Row],[Single Well Discovery Area]]),"",IF(Table1[[#This Row],[Well Density]]*Table1[[#This Row],[Single Well Discovery Area]]&gt;1,1,Table1[[#This Row],[Well Density]]*Table1[[#This Row],[Single Well Discovery Area]])))</f>
        <v>1</v>
      </c>
      <c r="CN1226" s="19">
        <f>Table1[[#This Row],[Mid]]</f>
        <v>0</v>
      </c>
      <c r="CO1226" s="19">
        <f>Table1[[#This Row],[Mid3]]+Table1[[#This Row],[Mid6]]+Table1[[#This Row],[Mid9]]</f>
        <v>0</v>
      </c>
      <c r="CP1226" s="19">
        <f>Table1[[#This Row],[Mid12]]+Table1[[#This Row],[Mid15]]+Table1[[#This Row],[Mid18]]+Table1[[#This Row],[Mid21]]+Table1[[#This Row],[Mid24]]</f>
        <v>50</v>
      </c>
      <c r="CQ1226" s="19">
        <f>Table1[[#This Row],[Mid27]]+Table1[[#This Row],[Mid30]]+Table1[[#This Row],[Mid33]]+Table1[[#This Row],[Mid36]]+Table1[[#This Row],[Mid39]]</f>
        <v>0</v>
      </c>
      <c r="CR1226" t="s">
        <v>415</v>
      </c>
      <c r="CS1226" s="19" t="str">
        <f>IF(AND(Table1[[#This Row],[Low41]]=0, Table1[[#This Row],[High43]]=0),"N","Y")</f>
        <v>N</v>
      </c>
    </row>
    <row r="1227" spans="1:97" ht="19.5" customHeight="1" x14ac:dyDescent="0.25">
      <c r="A1227">
        <v>11229</v>
      </c>
      <c r="B1227" t="s">
        <v>3789</v>
      </c>
      <c r="C1227" t="s">
        <v>223</v>
      </c>
      <c r="D1227">
        <v>45.00527778</v>
      </c>
      <c r="E1227">
        <v>23.256666670000001</v>
      </c>
      <c r="F1227" t="s">
        <v>3808</v>
      </c>
      <c r="G1227" t="s">
        <v>3797</v>
      </c>
      <c r="H1227" t="s">
        <v>3205</v>
      </c>
      <c r="I1227" t="s">
        <v>582</v>
      </c>
      <c r="J1227" t="s">
        <v>202</v>
      </c>
      <c r="K1227" t="s">
        <v>203</v>
      </c>
      <c r="L1227" t="s">
        <v>121</v>
      </c>
      <c r="M1227" t="s">
        <v>2761</v>
      </c>
      <c r="N1227" s="6" t="s">
        <v>3792</v>
      </c>
      <c r="O1227" t="s">
        <v>3793</v>
      </c>
      <c r="P1227" t="s">
        <v>3794</v>
      </c>
      <c r="Q1227"/>
      <c r="S1227">
        <v>2009</v>
      </c>
      <c r="T1227" t="s">
        <v>771</v>
      </c>
      <c r="U1227" t="s">
        <v>129</v>
      </c>
      <c r="V1227">
        <v>24</v>
      </c>
      <c r="W1227">
        <v>1000</v>
      </c>
      <c r="X1227">
        <v>25</v>
      </c>
      <c r="Y1227">
        <v>40</v>
      </c>
      <c r="Z1227">
        <v>20</v>
      </c>
      <c r="AA1227">
        <v>300</v>
      </c>
      <c r="AE1227">
        <v>0</v>
      </c>
      <c r="AF1227">
        <v>200</v>
      </c>
      <c r="AG1227">
        <v>110</v>
      </c>
      <c r="AH1227" t="s">
        <v>257</v>
      </c>
      <c r="BH1227">
        <v>15</v>
      </c>
      <c r="CE122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27" s="19">
        <f>SUM(Table1[[#This Row],[Mid39]],Table1[[#This Row],[Mid36]],Table1[[#This Row],[Mid33]],Table1[[#This Row],[Mid30]],Table1[[#This Row],[Mid27]],Table1[[#This Row],[Mid24]],Table1[[#This Row],[Mid21]],Table1[[#This Row],[Mid18]],Table1[[#This Row],[Mid15]],Table1[[#This Row],[Mid12]],Table1[[#This Row],[Mid9]],Table1[[#This Row],[Mid6]],Table1[[#This Row],[Mid3]],Table1[[#This Row],[Mid]])</f>
        <v>15</v>
      </c>
      <c r="CG12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27" t="s">
        <v>135</v>
      </c>
      <c r="CI1227" s="35" t="s">
        <v>134</v>
      </c>
      <c r="CJ1227" t="s">
        <v>157</v>
      </c>
      <c r="CL1227" s="19">
        <f>IF(Table1[[#This Row],[Type]]="Petroleum",1,IF(ISERROR(Table1[[#This Row],[Well Density]]*Table1[[#This Row],[Single Well Discovery Area]]),"",IF(Table1[[#This Row],[Well Density]]*Table1[[#This Row],[Single Well Discovery Area]]&gt;1,1,Table1[[#This Row],[Well Density]]*Table1[[#This Row],[Single Well Discovery Area]])))</f>
        <v>1</v>
      </c>
      <c r="CN1227" s="19">
        <f>Table1[[#This Row],[Mid]]</f>
        <v>0</v>
      </c>
      <c r="CO1227" s="19">
        <f>Table1[[#This Row],[Mid3]]+Table1[[#This Row],[Mid6]]+Table1[[#This Row],[Mid9]]</f>
        <v>0</v>
      </c>
      <c r="CP1227" s="19">
        <f>Table1[[#This Row],[Mid12]]+Table1[[#This Row],[Mid15]]+Table1[[#This Row],[Mid18]]+Table1[[#This Row],[Mid21]]+Table1[[#This Row],[Mid24]]</f>
        <v>15</v>
      </c>
      <c r="CQ1227" s="19">
        <f>Table1[[#This Row],[Mid27]]+Table1[[#This Row],[Mid30]]+Table1[[#This Row],[Mid33]]+Table1[[#This Row],[Mid36]]+Table1[[#This Row],[Mid39]]</f>
        <v>0</v>
      </c>
      <c r="CR1227" t="s">
        <v>415</v>
      </c>
      <c r="CS1227" s="19" t="str">
        <f>IF(AND(Table1[[#This Row],[Low41]]=0, Table1[[#This Row],[High43]]=0),"N","Y")</f>
        <v>N</v>
      </c>
    </row>
    <row r="1228" spans="1:97" ht="19.5" customHeight="1" x14ac:dyDescent="0.25">
      <c r="A1228">
        <v>11230</v>
      </c>
      <c r="B1228" t="s">
        <v>3789</v>
      </c>
      <c r="C1228" t="s">
        <v>223</v>
      </c>
      <c r="D1228">
        <v>44.354444440000002</v>
      </c>
      <c r="E1228">
        <v>23.817499999999999</v>
      </c>
      <c r="F1228" t="s">
        <v>3809</v>
      </c>
      <c r="G1228" t="s">
        <v>3797</v>
      </c>
      <c r="H1228" t="s">
        <v>3810</v>
      </c>
      <c r="I1228" t="s">
        <v>582</v>
      </c>
      <c r="J1228" t="s">
        <v>202</v>
      </c>
      <c r="K1228" t="s">
        <v>203</v>
      </c>
      <c r="L1228" t="s">
        <v>121</v>
      </c>
      <c r="M1228" t="s">
        <v>139</v>
      </c>
      <c r="N1228" s="6" t="s">
        <v>3792</v>
      </c>
      <c r="O1228" t="s">
        <v>3793</v>
      </c>
      <c r="P1228" t="s">
        <v>3794</v>
      </c>
      <c r="Q1228" t="s">
        <v>2907</v>
      </c>
      <c r="S1228">
        <v>2009</v>
      </c>
      <c r="T1228" t="s">
        <v>771</v>
      </c>
      <c r="U1228" t="s">
        <v>129</v>
      </c>
      <c r="V1228">
        <v>60</v>
      </c>
      <c r="W1228">
        <v>1600</v>
      </c>
      <c r="X1228">
        <v>30</v>
      </c>
      <c r="Y1228">
        <v>50</v>
      </c>
      <c r="Z1228">
        <v>15</v>
      </c>
      <c r="AA1228">
        <v>300</v>
      </c>
      <c r="AE1228">
        <v>0</v>
      </c>
      <c r="AF1228">
        <v>200</v>
      </c>
      <c r="AG1228">
        <v>100</v>
      </c>
      <c r="AH1228" t="s">
        <v>257</v>
      </c>
      <c r="BH1228">
        <v>15</v>
      </c>
      <c r="CE122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28" s="19">
        <f>SUM(Table1[[#This Row],[Mid39]],Table1[[#This Row],[Mid36]],Table1[[#This Row],[Mid33]],Table1[[#This Row],[Mid30]],Table1[[#This Row],[Mid27]],Table1[[#This Row],[Mid24]],Table1[[#This Row],[Mid21]],Table1[[#This Row],[Mid18]],Table1[[#This Row],[Mid15]],Table1[[#This Row],[Mid12]],Table1[[#This Row],[Mid9]],Table1[[#This Row],[Mid6]],Table1[[#This Row],[Mid3]],Table1[[#This Row],[Mid]])</f>
        <v>15</v>
      </c>
      <c r="CG12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28" t="s">
        <v>135</v>
      </c>
      <c r="CI1228" s="35" t="s">
        <v>134</v>
      </c>
      <c r="CJ1228" t="s">
        <v>157</v>
      </c>
      <c r="CL1228" s="19">
        <f>IF(Table1[[#This Row],[Type]]="Petroleum",1,IF(ISERROR(Table1[[#This Row],[Well Density]]*Table1[[#This Row],[Single Well Discovery Area]]),"",IF(Table1[[#This Row],[Well Density]]*Table1[[#This Row],[Single Well Discovery Area]]&gt;1,1,Table1[[#This Row],[Well Density]]*Table1[[#This Row],[Single Well Discovery Area]])))</f>
        <v>1</v>
      </c>
      <c r="CN1228" s="19">
        <f>Table1[[#This Row],[Mid]]</f>
        <v>0</v>
      </c>
      <c r="CO1228" s="19">
        <f>Table1[[#This Row],[Mid3]]+Table1[[#This Row],[Mid6]]+Table1[[#This Row],[Mid9]]</f>
        <v>0</v>
      </c>
      <c r="CP1228" s="19">
        <f>Table1[[#This Row],[Mid12]]+Table1[[#This Row],[Mid15]]+Table1[[#This Row],[Mid18]]+Table1[[#This Row],[Mid21]]+Table1[[#This Row],[Mid24]]</f>
        <v>15</v>
      </c>
      <c r="CQ1228" s="19">
        <f>Table1[[#This Row],[Mid27]]+Table1[[#This Row],[Mid30]]+Table1[[#This Row],[Mid33]]+Table1[[#This Row],[Mid36]]+Table1[[#This Row],[Mid39]]</f>
        <v>0</v>
      </c>
      <c r="CR1228" t="s">
        <v>415</v>
      </c>
      <c r="CS1228" s="19" t="str">
        <f>IF(AND(Table1[[#This Row],[Low41]]=0, Table1[[#This Row],[High43]]=0),"N","Y")</f>
        <v>N</v>
      </c>
    </row>
    <row r="1229" spans="1:97" ht="19.5" customHeight="1" x14ac:dyDescent="0.25">
      <c r="A1229">
        <v>11231</v>
      </c>
      <c r="B1229" t="s">
        <v>3789</v>
      </c>
      <c r="C1229" t="s">
        <v>223</v>
      </c>
      <c r="D1229">
        <v>45.087499999999999</v>
      </c>
      <c r="E1229">
        <v>26.318611109999999</v>
      </c>
      <c r="F1229" t="s">
        <v>3811</v>
      </c>
      <c r="G1229" t="s">
        <v>3797</v>
      </c>
      <c r="H1229" t="s">
        <v>3205</v>
      </c>
      <c r="I1229" t="s">
        <v>582</v>
      </c>
      <c r="J1229" t="s">
        <v>202</v>
      </c>
      <c r="K1229" t="s">
        <v>203</v>
      </c>
      <c r="L1229" t="s">
        <v>121</v>
      </c>
      <c r="M1229" t="s">
        <v>2731</v>
      </c>
      <c r="N1229" s="6" t="s">
        <v>3792</v>
      </c>
      <c r="O1229" t="s">
        <v>3793</v>
      </c>
      <c r="P1229" t="s">
        <v>3794</v>
      </c>
      <c r="Q1229"/>
      <c r="S1229">
        <v>2009</v>
      </c>
      <c r="T1229" t="s">
        <v>771</v>
      </c>
      <c r="U1229" t="s">
        <v>129</v>
      </c>
      <c r="V1229">
        <v>1</v>
      </c>
      <c r="W1229">
        <v>950</v>
      </c>
      <c r="X1229">
        <v>25</v>
      </c>
      <c r="Y1229">
        <v>50</v>
      </c>
      <c r="AE1229">
        <v>0</v>
      </c>
      <c r="AF1229">
        <v>200</v>
      </c>
      <c r="AG1229">
        <v>95</v>
      </c>
      <c r="AH1229" t="s">
        <v>257</v>
      </c>
      <c r="AN1229" t="s">
        <v>132</v>
      </c>
      <c r="BH1229">
        <v>15</v>
      </c>
      <c r="CE122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29" s="19">
        <f>SUM(Table1[[#This Row],[Mid39]],Table1[[#This Row],[Mid36]],Table1[[#This Row],[Mid33]],Table1[[#This Row],[Mid30]],Table1[[#This Row],[Mid27]],Table1[[#This Row],[Mid24]],Table1[[#This Row],[Mid21]],Table1[[#This Row],[Mid18]],Table1[[#This Row],[Mid15]],Table1[[#This Row],[Mid12]],Table1[[#This Row],[Mid9]],Table1[[#This Row],[Mid6]],Table1[[#This Row],[Mid3]],Table1[[#This Row],[Mid]])</f>
        <v>15</v>
      </c>
      <c r="CG12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29" t="s">
        <v>135</v>
      </c>
      <c r="CI1229" s="35" t="s">
        <v>134</v>
      </c>
      <c r="CJ1229" t="s">
        <v>157</v>
      </c>
      <c r="CL1229" s="19">
        <f>IF(Table1[[#This Row],[Type]]="Petroleum",1,IF(ISERROR(Table1[[#This Row],[Well Density]]*Table1[[#This Row],[Single Well Discovery Area]]),"",IF(Table1[[#This Row],[Well Density]]*Table1[[#This Row],[Single Well Discovery Area]]&gt;1,1,Table1[[#This Row],[Well Density]]*Table1[[#This Row],[Single Well Discovery Area]])))</f>
        <v>1</v>
      </c>
      <c r="CN1229" s="19">
        <f>Table1[[#This Row],[Mid]]</f>
        <v>0</v>
      </c>
      <c r="CO1229" s="19">
        <f>Table1[[#This Row],[Mid3]]+Table1[[#This Row],[Mid6]]+Table1[[#This Row],[Mid9]]</f>
        <v>0</v>
      </c>
      <c r="CP1229" s="19">
        <f>Table1[[#This Row],[Mid12]]+Table1[[#This Row],[Mid15]]+Table1[[#This Row],[Mid18]]+Table1[[#This Row],[Mid21]]+Table1[[#This Row],[Mid24]]</f>
        <v>15</v>
      </c>
      <c r="CQ1229" s="19">
        <f>Table1[[#This Row],[Mid27]]+Table1[[#This Row],[Mid30]]+Table1[[#This Row],[Mid33]]+Table1[[#This Row],[Mid36]]+Table1[[#This Row],[Mid39]]</f>
        <v>0</v>
      </c>
      <c r="CR1229" t="s">
        <v>415</v>
      </c>
      <c r="CS1229" s="19" t="str">
        <f>IF(AND(Table1[[#This Row],[Low41]]=0, Table1[[#This Row],[High43]]=0),"N","Y")</f>
        <v>N</v>
      </c>
    </row>
    <row r="1230" spans="1:97" ht="19.5" customHeight="1" x14ac:dyDescent="0.25">
      <c r="A1230">
        <v>11232</v>
      </c>
      <c r="B1230" t="s">
        <v>3789</v>
      </c>
      <c r="C1230" t="s">
        <v>223</v>
      </c>
      <c r="D1230">
        <v>44.790555560000001</v>
      </c>
      <c r="E1230">
        <v>24.988888889999998</v>
      </c>
      <c r="F1230" t="s">
        <v>3812</v>
      </c>
      <c r="G1230" t="s">
        <v>3797</v>
      </c>
      <c r="H1230" t="s">
        <v>3205</v>
      </c>
      <c r="I1230" t="s">
        <v>582</v>
      </c>
      <c r="J1230" t="s">
        <v>202</v>
      </c>
      <c r="K1230" t="s">
        <v>203</v>
      </c>
      <c r="L1230" t="s">
        <v>121</v>
      </c>
      <c r="M1230" t="s">
        <v>2731</v>
      </c>
      <c r="N1230" s="6" t="s">
        <v>3792</v>
      </c>
      <c r="O1230" t="s">
        <v>3793</v>
      </c>
      <c r="P1230" t="s">
        <v>3794</v>
      </c>
      <c r="Q1230"/>
      <c r="S1230">
        <v>2009</v>
      </c>
      <c r="T1230" t="s">
        <v>771</v>
      </c>
      <c r="U1230" t="s">
        <v>129</v>
      </c>
      <c r="V1230">
        <v>55</v>
      </c>
      <c r="W1230">
        <v>1000</v>
      </c>
      <c r="X1230">
        <v>25</v>
      </c>
      <c r="Y1230">
        <v>50</v>
      </c>
      <c r="AA1230">
        <v>300</v>
      </c>
      <c r="AE1230">
        <v>0</v>
      </c>
      <c r="AF1230">
        <v>200</v>
      </c>
      <c r="AG1230">
        <v>100</v>
      </c>
      <c r="AH1230" t="s">
        <v>257</v>
      </c>
      <c r="AN1230" t="s">
        <v>132</v>
      </c>
      <c r="BH1230">
        <v>10</v>
      </c>
      <c r="CE123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30"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12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30" t="s">
        <v>135</v>
      </c>
      <c r="CI1230" s="35" t="s">
        <v>134</v>
      </c>
      <c r="CJ1230" t="s">
        <v>157</v>
      </c>
      <c r="CL1230" s="19">
        <f>IF(Table1[[#This Row],[Type]]="Petroleum",1,IF(ISERROR(Table1[[#This Row],[Well Density]]*Table1[[#This Row],[Single Well Discovery Area]]),"",IF(Table1[[#This Row],[Well Density]]*Table1[[#This Row],[Single Well Discovery Area]]&gt;1,1,Table1[[#This Row],[Well Density]]*Table1[[#This Row],[Single Well Discovery Area]])))</f>
        <v>1</v>
      </c>
      <c r="CN1230" s="19">
        <f>Table1[[#This Row],[Mid]]</f>
        <v>0</v>
      </c>
      <c r="CO1230" s="19">
        <f>Table1[[#This Row],[Mid3]]+Table1[[#This Row],[Mid6]]+Table1[[#This Row],[Mid9]]</f>
        <v>0</v>
      </c>
      <c r="CP1230" s="19">
        <f>Table1[[#This Row],[Mid12]]+Table1[[#This Row],[Mid15]]+Table1[[#This Row],[Mid18]]+Table1[[#This Row],[Mid21]]+Table1[[#This Row],[Mid24]]</f>
        <v>10</v>
      </c>
      <c r="CQ1230" s="19">
        <f>Table1[[#This Row],[Mid27]]+Table1[[#This Row],[Mid30]]+Table1[[#This Row],[Mid33]]+Table1[[#This Row],[Mid36]]+Table1[[#This Row],[Mid39]]</f>
        <v>0</v>
      </c>
      <c r="CR1230" t="s">
        <v>415</v>
      </c>
      <c r="CS1230" s="19" t="str">
        <f>IF(AND(Table1[[#This Row],[Low41]]=0, Table1[[#This Row],[High43]]=0),"N","Y")</f>
        <v>N</v>
      </c>
    </row>
    <row r="1231" spans="1:97" ht="19.5" customHeight="1" x14ac:dyDescent="0.25">
      <c r="A1231">
        <v>11233</v>
      </c>
      <c r="B1231" t="s">
        <v>3789</v>
      </c>
      <c r="C1231" t="s">
        <v>223</v>
      </c>
      <c r="D1231">
        <v>44.948888889999999</v>
      </c>
      <c r="E1231">
        <v>25.862500000000001</v>
      </c>
      <c r="F1231" t="s">
        <v>3813</v>
      </c>
      <c r="G1231" t="s">
        <v>3797</v>
      </c>
      <c r="H1231" t="s">
        <v>3163</v>
      </c>
      <c r="I1231" t="s">
        <v>582</v>
      </c>
      <c r="J1231" t="s">
        <v>202</v>
      </c>
      <c r="K1231" t="s">
        <v>203</v>
      </c>
      <c r="L1231" t="s">
        <v>121</v>
      </c>
      <c r="M1231" t="s">
        <v>2731</v>
      </c>
      <c r="N1231" s="6" t="s">
        <v>3792</v>
      </c>
      <c r="O1231" t="s">
        <v>3793</v>
      </c>
      <c r="P1231" t="s">
        <v>3794</v>
      </c>
      <c r="Q1231"/>
      <c r="S1231">
        <v>2009</v>
      </c>
      <c r="T1231" t="s">
        <v>771</v>
      </c>
      <c r="U1231" t="s">
        <v>129</v>
      </c>
      <c r="V1231">
        <v>9</v>
      </c>
      <c r="W1231">
        <v>1000</v>
      </c>
      <c r="X1231">
        <v>100</v>
      </c>
      <c r="Y1231">
        <v>40</v>
      </c>
      <c r="Z1231">
        <v>20</v>
      </c>
      <c r="AA1231">
        <v>300</v>
      </c>
      <c r="AE1231">
        <v>0</v>
      </c>
      <c r="AF1231">
        <v>200</v>
      </c>
      <c r="AG1231">
        <v>90</v>
      </c>
      <c r="AH1231" t="s">
        <v>257</v>
      </c>
      <c r="AN1231" t="s">
        <v>132</v>
      </c>
      <c r="BH1231">
        <v>10</v>
      </c>
      <c r="CE12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31"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12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31" t="s">
        <v>135</v>
      </c>
      <c r="CI1231" s="35" t="s">
        <v>134</v>
      </c>
      <c r="CJ1231" t="s">
        <v>157</v>
      </c>
      <c r="CL1231" s="19">
        <f>IF(Table1[[#This Row],[Type]]="Petroleum",1,IF(ISERROR(Table1[[#This Row],[Well Density]]*Table1[[#This Row],[Single Well Discovery Area]]),"",IF(Table1[[#This Row],[Well Density]]*Table1[[#This Row],[Single Well Discovery Area]]&gt;1,1,Table1[[#This Row],[Well Density]]*Table1[[#This Row],[Single Well Discovery Area]])))</f>
        <v>1</v>
      </c>
      <c r="CN1231" s="19">
        <f>Table1[[#This Row],[Mid]]</f>
        <v>0</v>
      </c>
      <c r="CO1231" s="19">
        <f>Table1[[#This Row],[Mid3]]+Table1[[#This Row],[Mid6]]+Table1[[#This Row],[Mid9]]</f>
        <v>0</v>
      </c>
      <c r="CP1231" s="19">
        <f>Table1[[#This Row],[Mid12]]+Table1[[#This Row],[Mid15]]+Table1[[#This Row],[Mid18]]+Table1[[#This Row],[Mid21]]+Table1[[#This Row],[Mid24]]</f>
        <v>10</v>
      </c>
      <c r="CQ1231" s="19">
        <f>Table1[[#This Row],[Mid27]]+Table1[[#This Row],[Mid30]]+Table1[[#This Row],[Mid33]]+Table1[[#This Row],[Mid36]]+Table1[[#This Row],[Mid39]]</f>
        <v>0</v>
      </c>
      <c r="CR1231" t="s">
        <v>415</v>
      </c>
      <c r="CS1231" s="19" t="str">
        <f>IF(AND(Table1[[#This Row],[Low41]]=0, Table1[[#This Row],[High43]]=0),"N","Y")</f>
        <v>N</v>
      </c>
    </row>
    <row r="1232" spans="1:97" ht="19.5" customHeight="1" x14ac:dyDescent="0.25">
      <c r="A1232">
        <v>11234</v>
      </c>
      <c r="B1232" t="s">
        <v>3789</v>
      </c>
      <c r="C1232" t="s">
        <v>223</v>
      </c>
      <c r="D1232">
        <v>44.89916667</v>
      </c>
      <c r="E1232">
        <v>24.027222219999999</v>
      </c>
      <c r="F1232" t="s">
        <v>3814</v>
      </c>
      <c r="G1232" t="s">
        <v>3797</v>
      </c>
      <c r="H1232" t="s">
        <v>3205</v>
      </c>
      <c r="I1232" t="s">
        <v>118</v>
      </c>
      <c r="J1232" t="s">
        <v>119</v>
      </c>
      <c r="K1232" t="s">
        <v>167</v>
      </c>
      <c r="L1232" t="s">
        <v>18</v>
      </c>
      <c r="M1232" t="s">
        <v>2731</v>
      </c>
      <c r="N1232" s="6" t="s">
        <v>3815</v>
      </c>
      <c r="O1232" t="s">
        <v>3816</v>
      </c>
      <c r="P1232" t="s">
        <v>3817</v>
      </c>
      <c r="Q1232" t="s">
        <v>3818</v>
      </c>
      <c r="S1232">
        <v>2020</v>
      </c>
      <c r="T1232" t="s">
        <v>771</v>
      </c>
      <c r="U1232" t="s">
        <v>129</v>
      </c>
      <c r="V1232">
        <v>8546.7669999999998</v>
      </c>
      <c r="W1232">
        <v>800</v>
      </c>
      <c r="X1232">
        <v>25</v>
      </c>
      <c r="Y1232">
        <v>43</v>
      </c>
      <c r="Z1232">
        <v>20</v>
      </c>
      <c r="AA1232">
        <v>300</v>
      </c>
      <c r="AE1232">
        <v>0</v>
      </c>
      <c r="AF1232">
        <v>200</v>
      </c>
      <c r="AG1232">
        <v>78</v>
      </c>
      <c r="AH1232" t="s">
        <v>1121</v>
      </c>
      <c r="AN1232" t="s">
        <v>132</v>
      </c>
      <c r="BV1232">
        <v>335</v>
      </c>
      <c r="BW1232">
        <v>400</v>
      </c>
      <c r="BX1232">
        <v>1343</v>
      </c>
      <c r="CE1232" s="19">
        <f>SUM(Table1[[#This Row],[Low38]],Table1[[#This Row],[Low35]],Table1[[#This Row],[Low32]],Table1[[#This Row],[Low29]],Table1[[#This Row],[Low26]],Table1[[#This Row],[Low23]],Table1[[#This Row],[Low20]],Table1[[#This Row],[Low17]],Table1[[#This Row],[Low14]],Table1[[#This Row],[Low11]],Table1[[#This Row],[Low8]],Table1[[#This Row],[Low5]],Table1[[#This Row],[Low2]],Table1[[#This Row],[Low]])</f>
        <v>335</v>
      </c>
      <c r="CF1232" s="19">
        <f>SUM(Table1[[#This Row],[Mid39]],Table1[[#This Row],[Mid36]],Table1[[#This Row],[Mid33]],Table1[[#This Row],[Mid30]],Table1[[#This Row],[Mid27]],Table1[[#This Row],[Mid24]],Table1[[#This Row],[Mid21]],Table1[[#This Row],[Mid18]],Table1[[#This Row],[Mid15]],Table1[[#This Row],[Mid12]],Table1[[#This Row],[Mid9]],Table1[[#This Row],[Mid6]],Table1[[#This Row],[Mid3]],Table1[[#This Row],[Mid]])</f>
        <v>400</v>
      </c>
      <c r="CG12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1343</v>
      </c>
      <c r="CH1232" t="s">
        <v>158</v>
      </c>
      <c r="CI1232" s="35" t="s">
        <v>134</v>
      </c>
      <c r="CJ1232" t="s">
        <v>157</v>
      </c>
      <c r="CL1232" s="19">
        <f>IF(Table1[[#This Row],[Type]]="Petroleum",1,IF(ISERROR(Table1[[#This Row],[Well Density]]*Table1[[#This Row],[Single Well Discovery Area]]),"",IF(Table1[[#This Row],[Well Density]]*Table1[[#This Row],[Single Well Discovery Area]]&gt;1,1,Table1[[#This Row],[Well Density]]*Table1[[#This Row],[Single Well Discovery Area]])))</f>
        <v>0</v>
      </c>
      <c r="CN1232" s="19">
        <f>Table1[[#This Row],[Mid]]</f>
        <v>0</v>
      </c>
      <c r="CO1232" s="19">
        <f>Table1[[#This Row],[Mid3]]+Table1[[#This Row],[Mid6]]+Table1[[#This Row],[Mid9]]</f>
        <v>0</v>
      </c>
      <c r="CP1232" s="19">
        <f>Table1[[#This Row],[Mid12]]+Table1[[#This Row],[Mid15]]+Table1[[#This Row],[Mid18]]+Table1[[#This Row],[Mid21]]+Table1[[#This Row],[Mid24]]</f>
        <v>0</v>
      </c>
      <c r="CQ1232" s="19">
        <f>Table1[[#This Row],[Mid27]]+Table1[[#This Row],[Mid30]]+Table1[[#This Row],[Mid33]]+Table1[[#This Row],[Mid36]]+Table1[[#This Row],[Mid39]]</f>
        <v>400</v>
      </c>
      <c r="CR1232" t="s">
        <v>415</v>
      </c>
      <c r="CS1232" s="19" t="str">
        <f>IF(AND(Table1[[#This Row],[Low41]]=0, Table1[[#This Row],[High43]]=0),"N","Y")</f>
        <v>Y</v>
      </c>
    </row>
    <row r="1233" spans="1:97" ht="19.5" customHeight="1" x14ac:dyDescent="0.25">
      <c r="A1233">
        <v>11235</v>
      </c>
      <c r="B1233" t="s">
        <v>3789</v>
      </c>
      <c r="C1233" t="s">
        <v>223</v>
      </c>
      <c r="D1233">
        <v>45.082222219999998</v>
      </c>
      <c r="E1233">
        <v>26.081666670000001</v>
      </c>
      <c r="F1233" t="s">
        <v>3819</v>
      </c>
      <c r="G1233" t="s">
        <v>3797</v>
      </c>
      <c r="H1233" t="s">
        <v>3205</v>
      </c>
      <c r="I1233" t="s">
        <v>118</v>
      </c>
      <c r="J1233" t="s">
        <v>119</v>
      </c>
      <c r="K1233" t="s">
        <v>167</v>
      </c>
      <c r="L1233" t="s">
        <v>18</v>
      </c>
      <c r="M1233" t="s">
        <v>2731</v>
      </c>
      <c r="N1233" s="6" t="s">
        <v>3820</v>
      </c>
      <c r="O1233" t="s">
        <v>3816</v>
      </c>
      <c r="P1233" t="s">
        <v>3817</v>
      </c>
      <c r="Q1233"/>
      <c r="S1233">
        <v>2020</v>
      </c>
      <c r="T1233" t="s">
        <v>771</v>
      </c>
      <c r="U1233" t="s">
        <v>129</v>
      </c>
      <c r="V1233">
        <v>3779.0430000000001</v>
      </c>
      <c r="W1233">
        <v>1500</v>
      </c>
      <c r="X1233">
        <v>100</v>
      </c>
      <c r="Y1233">
        <v>40</v>
      </c>
      <c r="Z1233">
        <v>20</v>
      </c>
      <c r="AA1233">
        <v>300</v>
      </c>
      <c r="AE1233">
        <v>0</v>
      </c>
      <c r="AF1233">
        <v>200</v>
      </c>
      <c r="AG1233">
        <v>100</v>
      </c>
      <c r="AH1233" t="s">
        <v>1121</v>
      </c>
      <c r="AN1233" t="s">
        <v>132</v>
      </c>
      <c r="BV1233">
        <v>994.3</v>
      </c>
      <c r="BW1233">
        <v>1000</v>
      </c>
      <c r="BX1233">
        <v>2485.6</v>
      </c>
      <c r="CE1233" s="19">
        <f>SUM(Table1[[#This Row],[Low38]],Table1[[#This Row],[Low35]],Table1[[#This Row],[Low32]],Table1[[#This Row],[Low29]],Table1[[#This Row],[Low26]],Table1[[#This Row],[Low23]],Table1[[#This Row],[Low20]],Table1[[#This Row],[Low17]],Table1[[#This Row],[Low14]],Table1[[#This Row],[Low11]],Table1[[#This Row],[Low8]],Table1[[#This Row],[Low5]],Table1[[#This Row],[Low2]],Table1[[#This Row],[Low]])</f>
        <v>994.3</v>
      </c>
      <c r="CF1233" s="19">
        <f>SUM(Table1[[#This Row],[Mid39]],Table1[[#This Row],[Mid36]],Table1[[#This Row],[Mid33]],Table1[[#This Row],[Mid30]],Table1[[#This Row],[Mid27]],Table1[[#This Row],[Mid24]],Table1[[#This Row],[Mid21]],Table1[[#This Row],[Mid18]],Table1[[#This Row],[Mid15]],Table1[[#This Row],[Mid12]],Table1[[#This Row],[Mid9]],Table1[[#This Row],[Mid6]],Table1[[#This Row],[Mid3]],Table1[[#This Row],[Mid]])</f>
        <v>1000</v>
      </c>
      <c r="CG12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2485.6</v>
      </c>
      <c r="CH1233" t="s">
        <v>158</v>
      </c>
      <c r="CI1233" s="35" t="s">
        <v>134</v>
      </c>
      <c r="CJ1233" t="s">
        <v>157</v>
      </c>
      <c r="CL1233" s="19">
        <f>IF(Table1[[#This Row],[Type]]="Petroleum",1,IF(ISERROR(Table1[[#This Row],[Well Density]]*Table1[[#This Row],[Single Well Discovery Area]]),"",IF(Table1[[#This Row],[Well Density]]*Table1[[#This Row],[Single Well Discovery Area]]&gt;1,1,Table1[[#This Row],[Well Density]]*Table1[[#This Row],[Single Well Discovery Area]])))</f>
        <v>0</v>
      </c>
      <c r="CN1233" s="19">
        <f>Table1[[#This Row],[Mid]]</f>
        <v>0</v>
      </c>
      <c r="CO1233" s="19">
        <f>Table1[[#This Row],[Mid3]]+Table1[[#This Row],[Mid6]]+Table1[[#This Row],[Mid9]]</f>
        <v>0</v>
      </c>
      <c r="CP1233" s="19">
        <f>Table1[[#This Row],[Mid12]]+Table1[[#This Row],[Mid15]]+Table1[[#This Row],[Mid18]]+Table1[[#This Row],[Mid21]]+Table1[[#This Row],[Mid24]]</f>
        <v>0</v>
      </c>
      <c r="CQ1233" s="19">
        <f>Table1[[#This Row],[Mid27]]+Table1[[#This Row],[Mid30]]+Table1[[#This Row],[Mid33]]+Table1[[#This Row],[Mid36]]+Table1[[#This Row],[Mid39]]</f>
        <v>1000</v>
      </c>
      <c r="CR1233" t="s">
        <v>415</v>
      </c>
      <c r="CS1233" s="19" t="str">
        <f>IF(AND(Table1[[#This Row],[Low41]]=0, Table1[[#This Row],[High43]]=0),"N","Y")</f>
        <v>Y</v>
      </c>
    </row>
    <row r="1234" spans="1:97" ht="19.5" customHeight="1" x14ac:dyDescent="0.25">
      <c r="A1234">
        <v>11236</v>
      </c>
      <c r="B1234" t="s">
        <v>3789</v>
      </c>
      <c r="C1234" t="s">
        <v>223</v>
      </c>
      <c r="D1234">
        <v>44.353333329999998</v>
      </c>
      <c r="E1234">
        <v>25.66527778</v>
      </c>
      <c r="F1234" t="s">
        <v>3821</v>
      </c>
      <c r="G1234" t="s">
        <v>2877</v>
      </c>
      <c r="H1234" t="s">
        <v>3822</v>
      </c>
      <c r="I1234" t="s">
        <v>118</v>
      </c>
      <c r="J1234" t="s">
        <v>119</v>
      </c>
      <c r="K1234" t="s">
        <v>167</v>
      </c>
      <c r="L1234" t="s">
        <v>18</v>
      </c>
      <c r="M1234" t="s">
        <v>3823</v>
      </c>
      <c r="N1234" s="6" t="s">
        <v>3824</v>
      </c>
      <c r="O1234" t="s">
        <v>3816</v>
      </c>
      <c r="P1234" t="s">
        <v>3817</v>
      </c>
      <c r="Q1234"/>
      <c r="S1234">
        <v>2020</v>
      </c>
      <c r="T1234" t="s">
        <v>771</v>
      </c>
      <c r="U1234" t="s">
        <v>129</v>
      </c>
      <c r="V1234">
        <v>22308.63</v>
      </c>
      <c r="W1234">
        <v>4000</v>
      </c>
      <c r="X1234">
        <v>25</v>
      </c>
      <c r="Y1234">
        <v>40</v>
      </c>
      <c r="Z1234">
        <v>20</v>
      </c>
      <c r="AA1234">
        <v>300</v>
      </c>
      <c r="AE1234">
        <v>0</v>
      </c>
      <c r="AF1234">
        <v>200</v>
      </c>
      <c r="AG1234">
        <v>400</v>
      </c>
      <c r="AH1234" t="s">
        <v>1121</v>
      </c>
      <c r="AN1234" t="s">
        <v>132</v>
      </c>
      <c r="BV1234">
        <v>1674.8</v>
      </c>
      <c r="BW1234">
        <v>1800</v>
      </c>
      <c r="BX1234">
        <v>6699.4</v>
      </c>
      <c r="CE1234" s="19">
        <f>SUM(Table1[[#This Row],[Low38]],Table1[[#This Row],[Low35]],Table1[[#This Row],[Low32]],Table1[[#This Row],[Low29]],Table1[[#This Row],[Low26]],Table1[[#This Row],[Low23]],Table1[[#This Row],[Low20]],Table1[[#This Row],[Low17]],Table1[[#This Row],[Low14]],Table1[[#This Row],[Low11]],Table1[[#This Row],[Low8]],Table1[[#This Row],[Low5]],Table1[[#This Row],[Low2]],Table1[[#This Row],[Low]])</f>
        <v>1674.8</v>
      </c>
      <c r="CF1234" s="19">
        <f>SUM(Table1[[#This Row],[Mid39]],Table1[[#This Row],[Mid36]],Table1[[#This Row],[Mid33]],Table1[[#This Row],[Mid30]],Table1[[#This Row],[Mid27]],Table1[[#This Row],[Mid24]],Table1[[#This Row],[Mid21]],Table1[[#This Row],[Mid18]],Table1[[#This Row],[Mid15]],Table1[[#This Row],[Mid12]],Table1[[#This Row],[Mid9]],Table1[[#This Row],[Mid6]],Table1[[#This Row],[Mid3]],Table1[[#This Row],[Mid]])</f>
        <v>1800</v>
      </c>
      <c r="CG12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6699.4</v>
      </c>
      <c r="CH1234" t="s">
        <v>158</v>
      </c>
      <c r="CI1234" s="35" t="s">
        <v>176</v>
      </c>
      <c r="CJ1234" t="s">
        <v>157</v>
      </c>
      <c r="CL1234" s="19">
        <f>IF(Table1[[#This Row],[Type]]="Petroleum",1,IF(ISERROR(Table1[[#This Row],[Well Density]]*Table1[[#This Row],[Single Well Discovery Area]]),"",IF(Table1[[#This Row],[Well Density]]*Table1[[#This Row],[Single Well Discovery Area]]&gt;1,1,Table1[[#This Row],[Well Density]]*Table1[[#This Row],[Single Well Discovery Area]])))</f>
        <v>0</v>
      </c>
      <c r="CN1234" s="19">
        <f>Table1[[#This Row],[Mid]]</f>
        <v>0</v>
      </c>
      <c r="CO1234" s="19">
        <f>Table1[[#This Row],[Mid3]]+Table1[[#This Row],[Mid6]]+Table1[[#This Row],[Mid9]]</f>
        <v>0</v>
      </c>
      <c r="CP1234" s="19">
        <f>Table1[[#This Row],[Mid12]]+Table1[[#This Row],[Mid15]]+Table1[[#This Row],[Mid18]]+Table1[[#This Row],[Mid21]]+Table1[[#This Row],[Mid24]]</f>
        <v>0</v>
      </c>
      <c r="CQ1234" s="19">
        <f>Table1[[#This Row],[Mid27]]+Table1[[#This Row],[Mid30]]+Table1[[#This Row],[Mid33]]+Table1[[#This Row],[Mid36]]+Table1[[#This Row],[Mid39]]</f>
        <v>1800</v>
      </c>
      <c r="CR1234" t="s">
        <v>415</v>
      </c>
      <c r="CS1234" s="19" t="str">
        <f>IF(AND(Table1[[#This Row],[Low41]]=0, Table1[[#This Row],[High43]]=0),"N","Y")</f>
        <v>Y</v>
      </c>
    </row>
    <row r="1235" spans="1:97" ht="19.5" customHeight="1" x14ac:dyDescent="0.25">
      <c r="A1235">
        <v>11237</v>
      </c>
      <c r="B1235" t="s">
        <v>3789</v>
      </c>
      <c r="C1235" t="s">
        <v>223</v>
      </c>
      <c r="D1235">
        <v>44.321666669999999</v>
      </c>
      <c r="E1235">
        <v>25.534444440000001</v>
      </c>
      <c r="F1235" t="s">
        <v>3825</v>
      </c>
      <c r="G1235" t="s">
        <v>2877</v>
      </c>
      <c r="H1235" t="s">
        <v>3810</v>
      </c>
      <c r="I1235" t="s">
        <v>118</v>
      </c>
      <c r="J1235" t="s">
        <v>119</v>
      </c>
      <c r="K1235" t="s">
        <v>167</v>
      </c>
      <c r="L1235" t="s">
        <v>18</v>
      </c>
      <c r="M1235" t="s">
        <v>2656</v>
      </c>
      <c r="N1235" s="6" t="s">
        <v>3826</v>
      </c>
      <c r="O1235" t="s">
        <v>3816</v>
      </c>
      <c r="P1235" t="s">
        <v>3817</v>
      </c>
      <c r="Q1235" t="s">
        <v>3818</v>
      </c>
      <c r="S1235">
        <v>2020</v>
      </c>
      <c r="T1235" t="s">
        <v>771</v>
      </c>
      <c r="U1235" t="s">
        <v>129</v>
      </c>
      <c r="V1235">
        <v>16787.77</v>
      </c>
      <c r="W1235">
        <v>1575</v>
      </c>
      <c r="X1235">
        <v>30</v>
      </c>
      <c r="Y1235">
        <v>43</v>
      </c>
      <c r="Z1235">
        <v>20</v>
      </c>
      <c r="AA1235">
        <v>300</v>
      </c>
      <c r="AE1235">
        <v>0</v>
      </c>
      <c r="AF1235">
        <v>200</v>
      </c>
      <c r="AG1235">
        <v>100</v>
      </c>
      <c r="AH1235" t="s">
        <v>1121</v>
      </c>
      <c r="AN1235" t="s">
        <v>132</v>
      </c>
      <c r="BV1235">
        <v>1325</v>
      </c>
      <c r="BW1235">
        <v>1500</v>
      </c>
      <c r="BX1235">
        <v>2208</v>
      </c>
      <c r="CE1235" s="19">
        <f>SUM(Table1[[#This Row],[Low38]],Table1[[#This Row],[Low35]],Table1[[#This Row],[Low32]],Table1[[#This Row],[Low29]],Table1[[#This Row],[Low26]],Table1[[#This Row],[Low23]],Table1[[#This Row],[Low20]],Table1[[#This Row],[Low17]],Table1[[#This Row],[Low14]],Table1[[#This Row],[Low11]],Table1[[#This Row],[Low8]],Table1[[#This Row],[Low5]],Table1[[#This Row],[Low2]],Table1[[#This Row],[Low]])</f>
        <v>1325</v>
      </c>
      <c r="CF1235" s="19">
        <f>SUM(Table1[[#This Row],[Mid39]],Table1[[#This Row],[Mid36]],Table1[[#This Row],[Mid33]],Table1[[#This Row],[Mid30]],Table1[[#This Row],[Mid27]],Table1[[#This Row],[Mid24]],Table1[[#This Row],[Mid21]],Table1[[#This Row],[Mid18]],Table1[[#This Row],[Mid15]],Table1[[#This Row],[Mid12]],Table1[[#This Row],[Mid9]],Table1[[#This Row],[Mid6]],Table1[[#This Row],[Mid3]],Table1[[#This Row],[Mid]])</f>
        <v>1500</v>
      </c>
      <c r="CG12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2208</v>
      </c>
      <c r="CH1235" t="s">
        <v>158</v>
      </c>
      <c r="CI1235" s="35" t="s">
        <v>134</v>
      </c>
      <c r="CJ1235" t="s">
        <v>157</v>
      </c>
      <c r="CL1235" s="19">
        <f>IF(Table1[[#This Row],[Type]]="Petroleum",1,IF(ISERROR(Table1[[#This Row],[Well Density]]*Table1[[#This Row],[Single Well Discovery Area]]),"",IF(Table1[[#This Row],[Well Density]]*Table1[[#This Row],[Single Well Discovery Area]]&gt;1,1,Table1[[#This Row],[Well Density]]*Table1[[#This Row],[Single Well Discovery Area]])))</f>
        <v>0</v>
      </c>
      <c r="CN1235" s="19">
        <f>Table1[[#This Row],[Mid]]</f>
        <v>0</v>
      </c>
      <c r="CO1235" s="19">
        <f>Table1[[#This Row],[Mid3]]+Table1[[#This Row],[Mid6]]+Table1[[#This Row],[Mid9]]</f>
        <v>0</v>
      </c>
      <c r="CP1235" s="19">
        <f>Table1[[#This Row],[Mid12]]+Table1[[#This Row],[Mid15]]+Table1[[#This Row],[Mid18]]+Table1[[#This Row],[Mid21]]+Table1[[#This Row],[Mid24]]</f>
        <v>0</v>
      </c>
      <c r="CQ1235" s="19">
        <f>Table1[[#This Row],[Mid27]]+Table1[[#This Row],[Mid30]]+Table1[[#This Row],[Mid33]]+Table1[[#This Row],[Mid36]]+Table1[[#This Row],[Mid39]]</f>
        <v>1500</v>
      </c>
      <c r="CR1235" t="s">
        <v>415</v>
      </c>
      <c r="CS1235" s="19" t="str">
        <f>IF(AND(Table1[[#This Row],[Low41]]=0, Table1[[#This Row],[High43]]=0),"N","Y")</f>
        <v>Y</v>
      </c>
    </row>
    <row r="1236" spans="1:97" ht="19.5" customHeight="1" x14ac:dyDescent="0.25">
      <c r="A1236">
        <v>11238</v>
      </c>
      <c r="B1236" t="s">
        <v>3789</v>
      </c>
      <c r="C1236" t="s">
        <v>223</v>
      </c>
      <c r="D1236">
        <v>46.550555559999999</v>
      </c>
      <c r="E1236">
        <v>21.86638889</v>
      </c>
      <c r="F1236" t="s">
        <v>3827</v>
      </c>
      <c r="G1236" t="s">
        <v>2789</v>
      </c>
      <c r="H1236" t="s">
        <v>3205</v>
      </c>
      <c r="I1236" t="s">
        <v>118</v>
      </c>
      <c r="J1236" t="s">
        <v>119</v>
      </c>
      <c r="K1236" t="s">
        <v>167</v>
      </c>
      <c r="L1236" t="s">
        <v>18</v>
      </c>
      <c r="M1236" t="s">
        <v>2731</v>
      </c>
      <c r="N1236" s="6" t="s">
        <v>3828</v>
      </c>
      <c r="O1236" t="s">
        <v>3816</v>
      </c>
      <c r="P1236" t="s">
        <v>3817</v>
      </c>
      <c r="Q1236" t="s">
        <v>3829</v>
      </c>
      <c r="S1236">
        <v>2020</v>
      </c>
      <c r="T1236" t="s">
        <v>771</v>
      </c>
      <c r="U1236" t="s">
        <v>129</v>
      </c>
      <c r="V1236">
        <v>20306.27</v>
      </c>
      <c r="W1236">
        <v>800</v>
      </c>
      <c r="X1236">
        <v>50</v>
      </c>
      <c r="Y1236">
        <v>20</v>
      </c>
      <c r="Z1236">
        <v>2</v>
      </c>
      <c r="AA1236">
        <v>300</v>
      </c>
      <c r="AE1236">
        <v>0</v>
      </c>
      <c r="AF1236">
        <v>200</v>
      </c>
      <c r="AG1236">
        <v>97</v>
      </c>
      <c r="AH1236" t="s">
        <v>1121</v>
      </c>
      <c r="AN1236" t="s">
        <v>132</v>
      </c>
      <c r="BV1236">
        <v>2194.4</v>
      </c>
      <c r="BW1236">
        <v>2400</v>
      </c>
      <c r="BX1236">
        <v>4388.8</v>
      </c>
      <c r="CE1236" s="19">
        <f>SUM(Table1[[#This Row],[Low38]],Table1[[#This Row],[Low35]],Table1[[#This Row],[Low32]],Table1[[#This Row],[Low29]],Table1[[#This Row],[Low26]],Table1[[#This Row],[Low23]],Table1[[#This Row],[Low20]],Table1[[#This Row],[Low17]],Table1[[#This Row],[Low14]],Table1[[#This Row],[Low11]],Table1[[#This Row],[Low8]],Table1[[#This Row],[Low5]],Table1[[#This Row],[Low2]],Table1[[#This Row],[Low]])</f>
        <v>2194.4</v>
      </c>
      <c r="CF1236" s="19">
        <f>SUM(Table1[[#This Row],[Mid39]],Table1[[#This Row],[Mid36]],Table1[[#This Row],[Mid33]],Table1[[#This Row],[Mid30]],Table1[[#This Row],[Mid27]],Table1[[#This Row],[Mid24]],Table1[[#This Row],[Mid21]],Table1[[#This Row],[Mid18]],Table1[[#This Row],[Mid15]],Table1[[#This Row],[Mid12]],Table1[[#This Row],[Mid9]],Table1[[#This Row],[Mid6]],Table1[[#This Row],[Mid3]],Table1[[#This Row],[Mid]])</f>
        <v>2400</v>
      </c>
      <c r="CG12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4388.8</v>
      </c>
      <c r="CH1236" t="s">
        <v>158</v>
      </c>
      <c r="CI1236" s="35" t="s">
        <v>134</v>
      </c>
      <c r="CJ1236" t="s">
        <v>157</v>
      </c>
      <c r="CL1236" s="19">
        <f>IF(Table1[[#This Row],[Type]]="Petroleum",1,IF(ISERROR(Table1[[#This Row],[Well Density]]*Table1[[#This Row],[Single Well Discovery Area]]),"",IF(Table1[[#This Row],[Well Density]]*Table1[[#This Row],[Single Well Discovery Area]]&gt;1,1,Table1[[#This Row],[Well Density]]*Table1[[#This Row],[Single Well Discovery Area]])))</f>
        <v>0</v>
      </c>
      <c r="CN1236" s="19">
        <f>Table1[[#This Row],[Mid]]</f>
        <v>0</v>
      </c>
      <c r="CO1236" s="19">
        <f>Table1[[#This Row],[Mid3]]+Table1[[#This Row],[Mid6]]+Table1[[#This Row],[Mid9]]</f>
        <v>0</v>
      </c>
      <c r="CP1236" s="19">
        <f>Table1[[#This Row],[Mid12]]+Table1[[#This Row],[Mid15]]+Table1[[#This Row],[Mid18]]+Table1[[#This Row],[Mid21]]+Table1[[#This Row],[Mid24]]</f>
        <v>0</v>
      </c>
      <c r="CQ1236" s="19">
        <f>Table1[[#This Row],[Mid27]]+Table1[[#This Row],[Mid30]]+Table1[[#This Row],[Mid33]]+Table1[[#This Row],[Mid36]]+Table1[[#This Row],[Mid39]]</f>
        <v>2400</v>
      </c>
      <c r="CR1236" t="s">
        <v>415</v>
      </c>
      <c r="CS1236" s="19" t="str">
        <f>IF(AND(Table1[[#This Row],[Low41]]=0, Table1[[#This Row],[High43]]=0),"N","Y")</f>
        <v>Y</v>
      </c>
    </row>
    <row r="1237" spans="1:97" ht="19.5" customHeight="1" x14ac:dyDescent="0.25">
      <c r="A1237">
        <v>11239</v>
      </c>
      <c r="B1237" t="s">
        <v>3789</v>
      </c>
      <c r="C1237" t="s">
        <v>223</v>
      </c>
      <c r="D1237">
        <v>46.41</v>
      </c>
      <c r="E1237">
        <v>21.702000000000002</v>
      </c>
      <c r="F1237" t="s">
        <v>3830</v>
      </c>
      <c r="G1237" t="s">
        <v>3791</v>
      </c>
      <c r="H1237" t="s">
        <v>3208</v>
      </c>
      <c r="I1237" t="s">
        <v>118</v>
      </c>
      <c r="J1237" t="s">
        <v>119</v>
      </c>
      <c r="K1237" t="s">
        <v>167</v>
      </c>
      <c r="L1237" t="s">
        <v>18</v>
      </c>
      <c r="M1237" t="s">
        <v>2828</v>
      </c>
      <c r="N1237" s="6" t="s">
        <v>3831</v>
      </c>
      <c r="O1237" t="s">
        <v>3816</v>
      </c>
      <c r="P1237" t="s">
        <v>3817</v>
      </c>
      <c r="Q1237" t="s">
        <v>3832</v>
      </c>
      <c r="S1237">
        <v>2020</v>
      </c>
      <c r="T1237" t="s">
        <v>771</v>
      </c>
      <c r="U1237" t="s">
        <v>129</v>
      </c>
      <c r="V1237">
        <v>14248.33</v>
      </c>
      <c r="W1237">
        <v>850</v>
      </c>
      <c r="X1237">
        <v>25</v>
      </c>
      <c r="Y1237">
        <v>20</v>
      </c>
      <c r="Z1237">
        <v>22</v>
      </c>
      <c r="AA1237">
        <v>300</v>
      </c>
      <c r="AE1237">
        <v>0</v>
      </c>
      <c r="AF1237">
        <v>200</v>
      </c>
      <c r="AG1237">
        <v>85</v>
      </c>
      <c r="AH1237" t="s">
        <v>1121</v>
      </c>
      <c r="AN1237" t="s">
        <v>132</v>
      </c>
      <c r="BV1237">
        <v>676.4</v>
      </c>
      <c r="BW1237">
        <v>800</v>
      </c>
      <c r="BX1237">
        <v>2705.6</v>
      </c>
      <c r="CE1237" s="19">
        <f>SUM(Table1[[#This Row],[Low38]],Table1[[#This Row],[Low35]],Table1[[#This Row],[Low32]],Table1[[#This Row],[Low29]],Table1[[#This Row],[Low26]],Table1[[#This Row],[Low23]],Table1[[#This Row],[Low20]],Table1[[#This Row],[Low17]],Table1[[#This Row],[Low14]],Table1[[#This Row],[Low11]],Table1[[#This Row],[Low8]],Table1[[#This Row],[Low5]],Table1[[#This Row],[Low2]],Table1[[#This Row],[Low]])</f>
        <v>676.4</v>
      </c>
      <c r="CF1237" s="19">
        <f>SUM(Table1[[#This Row],[Mid39]],Table1[[#This Row],[Mid36]],Table1[[#This Row],[Mid33]],Table1[[#This Row],[Mid30]],Table1[[#This Row],[Mid27]],Table1[[#This Row],[Mid24]],Table1[[#This Row],[Mid21]],Table1[[#This Row],[Mid18]],Table1[[#This Row],[Mid15]],Table1[[#This Row],[Mid12]],Table1[[#This Row],[Mid9]],Table1[[#This Row],[Mid6]],Table1[[#This Row],[Mid3]],Table1[[#This Row],[Mid]])</f>
        <v>800</v>
      </c>
      <c r="CG12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2705.6</v>
      </c>
      <c r="CH1237" t="s">
        <v>158</v>
      </c>
      <c r="CI1237" s="35" t="s">
        <v>134</v>
      </c>
      <c r="CJ1237" t="s">
        <v>157</v>
      </c>
      <c r="CL1237" s="19">
        <f>IF(Table1[[#This Row],[Type]]="Petroleum",1,IF(ISERROR(Table1[[#This Row],[Well Density]]*Table1[[#This Row],[Single Well Discovery Area]]),"",IF(Table1[[#This Row],[Well Density]]*Table1[[#This Row],[Single Well Discovery Area]]&gt;1,1,Table1[[#This Row],[Well Density]]*Table1[[#This Row],[Single Well Discovery Area]])))</f>
        <v>0</v>
      </c>
      <c r="CN1237" s="19">
        <f>Table1[[#This Row],[Mid]]</f>
        <v>0</v>
      </c>
      <c r="CO1237" s="19">
        <f>Table1[[#This Row],[Mid3]]+Table1[[#This Row],[Mid6]]+Table1[[#This Row],[Mid9]]</f>
        <v>0</v>
      </c>
      <c r="CP1237" s="19">
        <f>Table1[[#This Row],[Mid12]]+Table1[[#This Row],[Mid15]]+Table1[[#This Row],[Mid18]]+Table1[[#This Row],[Mid21]]+Table1[[#This Row],[Mid24]]</f>
        <v>0</v>
      </c>
      <c r="CQ1237" s="19">
        <f>Table1[[#This Row],[Mid27]]+Table1[[#This Row],[Mid30]]+Table1[[#This Row],[Mid33]]+Table1[[#This Row],[Mid36]]+Table1[[#This Row],[Mid39]]</f>
        <v>800</v>
      </c>
      <c r="CR1237" t="s">
        <v>415</v>
      </c>
      <c r="CS1237" s="19" t="str">
        <f>IF(AND(Table1[[#This Row],[Low41]]=0, Table1[[#This Row],[High43]]=0),"N","Y")</f>
        <v>Y</v>
      </c>
    </row>
    <row r="1238" spans="1:97" ht="19.5" customHeight="1" x14ac:dyDescent="0.25">
      <c r="A1238">
        <v>11240</v>
      </c>
      <c r="B1238" t="s">
        <v>3789</v>
      </c>
      <c r="C1238" t="s">
        <v>223</v>
      </c>
      <c r="D1238">
        <v>44.548611110000003</v>
      </c>
      <c r="E1238">
        <v>25.588611109999999</v>
      </c>
      <c r="F1238" t="s">
        <v>3833</v>
      </c>
      <c r="G1238" t="s">
        <v>3797</v>
      </c>
      <c r="H1238" t="s">
        <v>3163</v>
      </c>
      <c r="I1238" t="s">
        <v>118</v>
      </c>
      <c r="J1238" t="s">
        <v>119</v>
      </c>
      <c r="K1238" t="s">
        <v>167</v>
      </c>
      <c r="L1238" t="s">
        <v>18</v>
      </c>
      <c r="M1238" t="s">
        <v>2731</v>
      </c>
      <c r="N1238" s="6" t="s">
        <v>3834</v>
      </c>
      <c r="O1238" t="s">
        <v>3816</v>
      </c>
      <c r="P1238" t="s">
        <v>3817</v>
      </c>
      <c r="Q1238" t="s">
        <v>3832</v>
      </c>
      <c r="S1238">
        <v>2020</v>
      </c>
      <c r="T1238" t="s">
        <v>771</v>
      </c>
      <c r="U1238" t="s">
        <v>129</v>
      </c>
      <c r="V1238">
        <v>23915.67</v>
      </c>
      <c r="W1238">
        <v>1800</v>
      </c>
      <c r="X1238">
        <v>25</v>
      </c>
      <c r="Y1238">
        <v>43</v>
      </c>
      <c r="AA1238">
        <v>300</v>
      </c>
      <c r="AE1238">
        <v>0</v>
      </c>
      <c r="AF1238">
        <v>200</v>
      </c>
      <c r="AG1238">
        <v>189</v>
      </c>
      <c r="AH1238" t="s">
        <v>1121</v>
      </c>
      <c r="AN1238" t="s">
        <v>132</v>
      </c>
      <c r="BV1238">
        <v>1355.7</v>
      </c>
      <c r="BW1238">
        <v>1500</v>
      </c>
      <c r="BX1238">
        <v>12906.3</v>
      </c>
      <c r="CE1238" s="19">
        <f>SUM(Table1[[#This Row],[Low38]],Table1[[#This Row],[Low35]],Table1[[#This Row],[Low32]],Table1[[#This Row],[Low29]],Table1[[#This Row],[Low26]],Table1[[#This Row],[Low23]],Table1[[#This Row],[Low20]],Table1[[#This Row],[Low17]],Table1[[#This Row],[Low14]],Table1[[#This Row],[Low11]],Table1[[#This Row],[Low8]],Table1[[#This Row],[Low5]],Table1[[#This Row],[Low2]],Table1[[#This Row],[Low]])</f>
        <v>1355.7</v>
      </c>
      <c r="CF1238" s="19">
        <f>SUM(Table1[[#This Row],[Mid39]],Table1[[#This Row],[Mid36]],Table1[[#This Row],[Mid33]],Table1[[#This Row],[Mid30]],Table1[[#This Row],[Mid27]],Table1[[#This Row],[Mid24]],Table1[[#This Row],[Mid21]],Table1[[#This Row],[Mid18]],Table1[[#This Row],[Mid15]],Table1[[#This Row],[Mid12]],Table1[[#This Row],[Mid9]],Table1[[#This Row],[Mid6]],Table1[[#This Row],[Mid3]],Table1[[#This Row],[Mid]])</f>
        <v>1500</v>
      </c>
      <c r="CG12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12906.3</v>
      </c>
      <c r="CH1238" t="s">
        <v>158</v>
      </c>
      <c r="CI1238" s="35" t="s">
        <v>134</v>
      </c>
      <c r="CJ1238" t="s">
        <v>157</v>
      </c>
      <c r="CL1238" s="19">
        <f>IF(Table1[[#This Row],[Type]]="Petroleum",1,IF(ISERROR(Table1[[#This Row],[Well Density]]*Table1[[#This Row],[Single Well Discovery Area]]),"",IF(Table1[[#This Row],[Well Density]]*Table1[[#This Row],[Single Well Discovery Area]]&gt;1,1,Table1[[#This Row],[Well Density]]*Table1[[#This Row],[Single Well Discovery Area]])))</f>
        <v>0</v>
      </c>
      <c r="CN1238" s="19">
        <f>Table1[[#This Row],[Mid]]</f>
        <v>0</v>
      </c>
      <c r="CO1238" s="19">
        <f>Table1[[#This Row],[Mid3]]+Table1[[#This Row],[Mid6]]+Table1[[#This Row],[Mid9]]</f>
        <v>0</v>
      </c>
      <c r="CP1238" s="19">
        <f>Table1[[#This Row],[Mid12]]+Table1[[#This Row],[Mid15]]+Table1[[#This Row],[Mid18]]+Table1[[#This Row],[Mid21]]+Table1[[#This Row],[Mid24]]</f>
        <v>0</v>
      </c>
      <c r="CQ1238" s="19">
        <f>Table1[[#This Row],[Mid27]]+Table1[[#This Row],[Mid30]]+Table1[[#This Row],[Mid33]]+Table1[[#This Row],[Mid36]]+Table1[[#This Row],[Mid39]]</f>
        <v>1500</v>
      </c>
      <c r="CR1238" t="s">
        <v>415</v>
      </c>
      <c r="CS1238" s="19" t="str">
        <f>IF(AND(Table1[[#This Row],[Low41]]=0, Table1[[#This Row],[High43]]=0),"N","Y")</f>
        <v>Y</v>
      </c>
    </row>
    <row r="1239" spans="1:97" ht="19.5" customHeight="1" x14ac:dyDescent="0.25">
      <c r="A1239">
        <v>11241</v>
      </c>
      <c r="B1239" t="s">
        <v>3789</v>
      </c>
      <c r="C1239" t="s">
        <v>223</v>
      </c>
      <c r="D1239">
        <v>44.519444440000001</v>
      </c>
      <c r="E1239">
        <v>25.453888890000002</v>
      </c>
      <c r="F1239" t="s">
        <v>3835</v>
      </c>
      <c r="G1239" t="s">
        <v>3797</v>
      </c>
      <c r="H1239" t="s">
        <v>3205</v>
      </c>
      <c r="I1239" t="s">
        <v>118</v>
      </c>
      <c r="J1239" t="s">
        <v>119</v>
      </c>
      <c r="K1239" t="s">
        <v>167</v>
      </c>
      <c r="L1239" t="s">
        <v>18</v>
      </c>
      <c r="M1239" t="s">
        <v>2731</v>
      </c>
      <c r="N1239" s="6" t="s">
        <v>3836</v>
      </c>
      <c r="O1239" t="s">
        <v>3816</v>
      </c>
      <c r="P1239" t="s">
        <v>3817</v>
      </c>
      <c r="Q1239" t="s">
        <v>3832</v>
      </c>
      <c r="S1239">
        <v>2020</v>
      </c>
      <c r="T1239" t="s">
        <v>771</v>
      </c>
      <c r="U1239" t="s">
        <v>129</v>
      </c>
      <c r="V1239">
        <v>19600</v>
      </c>
      <c r="W1239">
        <v>1000</v>
      </c>
      <c r="X1239">
        <v>25</v>
      </c>
      <c r="Y1239">
        <v>43</v>
      </c>
      <c r="Z1239">
        <v>30</v>
      </c>
      <c r="AA1239">
        <v>500</v>
      </c>
      <c r="AE1239">
        <v>0</v>
      </c>
      <c r="AF1239">
        <v>200</v>
      </c>
      <c r="AG1239">
        <v>90</v>
      </c>
      <c r="AH1239" t="s">
        <v>1121</v>
      </c>
      <c r="AN1239" t="s">
        <v>132</v>
      </c>
      <c r="BV1239">
        <v>912.4</v>
      </c>
      <c r="BW1239">
        <v>1000</v>
      </c>
      <c r="BX1239">
        <v>1459.8</v>
      </c>
      <c r="CE1239" s="19">
        <f>SUM(Table1[[#This Row],[Low38]],Table1[[#This Row],[Low35]],Table1[[#This Row],[Low32]],Table1[[#This Row],[Low29]],Table1[[#This Row],[Low26]],Table1[[#This Row],[Low23]],Table1[[#This Row],[Low20]],Table1[[#This Row],[Low17]],Table1[[#This Row],[Low14]],Table1[[#This Row],[Low11]],Table1[[#This Row],[Low8]],Table1[[#This Row],[Low5]],Table1[[#This Row],[Low2]],Table1[[#This Row],[Low]])</f>
        <v>912.4</v>
      </c>
      <c r="CF1239" s="19">
        <f>SUM(Table1[[#This Row],[Mid39]],Table1[[#This Row],[Mid36]],Table1[[#This Row],[Mid33]],Table1[[#This Row],[Mid30]],Table1[[#This Row],[Mid27]],Table1[[#This Row],[Mid24]],Table1[[#This Row],[Mid21]],Table1[[#This Row],[Mid18]],Table1[[#This Row],[Mid15]],Table1[[#This Row],[Mid12]],Table1[[#This Row],[Mid9]],Table1[[#This Row],[Mid6]],Table1[[#This Row],[Mid3]],Table1[[#This Row],[Mid]])</f>
        <v>1000</v>
      </c>
      <c r="CG12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1459.8</v>
      </c>
      <c r="CH1239" t="s">
        <v>158</v>
      </c>
      <c r="CI1239" s="35" t="s">
        <v>134</v>
      </c>
      <c r="CJ1239" t="s">
        <v>157</v>
      </c>
      <c r="CL1239" s="19">
        <f>IF(Table1[[#This Row],[Type]]="Petroleum",1,IF(ISERROR(Table1[[#This Row],[Well Density]]*Table1[[#This Row],[Single Well Discovery Area]]),"",IF(Table1[[#This Row],[Well Density]]*Table1[[#This Row],[Single Well Discovery Area]]&gt;1,1,Table1[[#This Row],[Well Density]]*Table1[[#This Row],[Single Well Discovery Area]])))</f>
        <v>0</v>
      </c>
      <c r="CN1239" s="19">
        <f>Table1[[#This Row],[Mid]]</f>
        <v>0</v>
      </c>
      <c r="CO1239" s="19">
        <f>Table1[[#This Row],[Mid3]]+Table1[[#This Row],[Mid6]]+Table1[[#This Row],[Mid9]]</f>
        <v>0</v>
      </c>
      <c r="CP1239" s="19">
        <f>Table1[[#This Row],[Mid12]]+Table1[[#This Row],[Mid15]]+Table1[[#This Row],[Mid18]]+Table1[[#This Row],[Mid21]]+Table1[[#This Row],[Mid24]]</f>
        <v>0</v>
      </c>
      <c r="CQ1239" s="19">
        <f>Table1[[#This Row],[Mid27]]+Table1[[#This Row],[Mid30]]+Table1[[#This Row],[Mid33]]+Table1[[#This Row],[Mid36]]+Table1[[#This Row],[Mid39]]</f>
        <v>1000</v>
      </c>
      <c r="CR1239" t="s">
        <v>415</v>
      </c>
      <c r="CS1239" s="19" t="str">
        <f>IF(AND(Table1[[#This Row],[Low41]]=0, Table1[[#This Row],[High43]]=0),"N","Y")</f>
        <v>Y</v>
      </c>
    </row>
    <row r="1240" spans="1:97" ht="19.5" customHeight="1" x14ac:dyDescent="0.25">
      <c r="A1240">
        <v>11242</v>
      </c>
      <c r="B1240" t="s">
        <v>3789</v>
      </c>
      <c r="C1240" t="s">
        <v>223</v>
      </c>
      <c r="D1240">
        <v>45.921111109999998</v>
      </c>
      <c r="E1240">
        <v>27.664999999999999</v>
      </c>
      <c r="F1240" t="s">
        <v>3837</v>
      </c>
      <c r="G1240" t="s">
        <v>3797</v>
      </c>
      <c r="H1240" t="s">
        <v>3205</v>
      </c>
      <c r="I1240" t="s">
        <v>118</v>
      </c>
      <c r="J1240" t="s">
        <v>119</v>
      </c>
      <c r="K1240" t="s">
        <v>167</v>
      </c>
      <c r="L1240" t="s">
        <v>18</v>
      </c>
      <c r="M1240" t="s">
        <v>2731</v>
      </c>
      <c r="N1240" s="6" t="s">
        <v>3838</v>
      </c>
      <c r="O1240" t="s">
        <v>3816</v>
      </c>
      <c r="P1240" t="s">
        <v>3817</v>
      </c>
      <c r="Q1240" t="s">
        <v>3839</v>
      </c>
      <c r="S1240">
        <v>2020</v>
      </c>
      <c r="T1240" t="s">
        <v>771</v>
      </c>
      <c r="U1240" t="s">
        <v>129</v>
      </c>
      <c r="V1240">
        <v>4562</v>
      </c>
      <c r="W1240">
        <v>1400</v>
      </c>
      <c r="X1240">
        <v>50</v>
      </c>
      <c r="Y1240">
        <v>40</v>
      </c>
      <c r="Z1240">
        <v>20</v>
      </c>
      <c r="AA1240">
        <v>300</v>
      </c>
      <c r="AE1240">
        <v>0</v>
      </c>
      <c r="AF1240">
        <v>200</v>
      </c>
      <c r="AG1240">
        <v>105</v>
      </c>
      <c r="AH1240" t="s">
        <v>1121</v>
      </c>
      <c r="AN1240" t="s">
        <v>132</v>
      </c>
      <c r="BV1240">
        <v>6319.8</v>
      </c>
      <c r="BW1240">
        <v>800</v>
      </c>
      <c r="BX1240">
        <v>1239.5999999999999</v>
      </c>
      <c r="CE1240" s="19">
        <f>SUM(Table1[[#This Row],[Low38]],Table1[[#This Row],[Low35]],Table1[[#This Row],[Low32]],Table1[[#This Row],[Low29]],Table1[[#This Row],[Low26]],Table1[[#This Row],[Low23]],Table1[[#This Row],[Low20]],Table1[[#This Row],[Low17]],Table1[[#This Row],[Low14]],Table1[[#This Row],[Low11]],Table1[[#This Row],[Low8]],Table1[[#This Row],[Low5]],Table1[[#This Row],[Low2]],Table1[[#This Row],[Low]])</f>
        <v>6319.8</v>
      </c>
      <c r="CF1240" s="19">
        <f>SUM(Table1[[#This Row],[Mid39]],Table1[[#This Row],[Mid36]],Table1[[#This Row],[Mid33]],Table1[[#This Row],[Mid30]],Table1[[#This Row],[Mid27]],Table1[[#This Row],[Mid24]],Table1[[#This Row],[Mid21]],Table1[[#This Row],[Mid18]],Table1[[#This Row],[Mid15]],Table1[[#This Row],[Mid12]],Table1[[#This Row],[Mid9]],Table1[[#This Row],[Mid6]],Table1[[#This Row],[Mid3]],Table1[[#This Row],[Mid]])</f>
        <v>800</v>
      </c>
      <c r="CG12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1239.5999999999999</v>
      </c>
      <c r="CH1240" t="s">
        <v>158</v>
      </c>
      <c r="CI1240" s="35" t="s">
        <v>134</v>
      </c>
      <c r="CJ1240" t="s">
        <v>157</v>
      </c>
      <c r="CL1240" s="19">
        <f>IF(Table1[[#This Row],[Type]]="Petroleum",1,IF(ISERROR(Table1[[#This Row],[Well Density]]*Table1[[#This Row],[Single Well Discovery Area]]),"",IF(Table1[[#This Row],[Well Density]]*Table1[[#This Row],[Single Well Discovery Area]]&gt;1,1,Table1[[#This Row],[Well Density]]*Table1[[#This Row],[Single Well Discovery Area]])))</f>
        <v>0</v>
      </c>
      <c r="CN1240" s="19">
        <f>Table1[[#This Row],[Mid]]</f>
        <v>0</v>
      </c>
      <c r="CO1240" s="19">
        <f>Table1[[#This Row],[Mid3]]+Table1[[#This Row],[Mid6]]+Table1[[#This Row],[Mid9]]</f>
        <v>0</v>
      </c>
      <c r="CP1240" s="19">
        <f>Table1[[#This Row],[Mid12]]+Table1[[#This Row],[Mid15]]+Table1[[#This Row],[Mid18]]+Table1[[#This Row],[Mid21]]+Table1[[#This Row],[Mid24]]</f>
        <v>0</v>
      </c>
      <c r="CQ1240" s="19">
        <f>Table1[[#This Row],[Mid27]]+Table1[[#This Row],[Mid30]]+Table1[[#This Row],[Mid33]]+Table1[[#This Row],[Mid36]]+Table1[[#This Row],[Mid39]]</f>
        <v>800</v>
      </c>
      <c r="CR1240" t="s">
        <v>415</v>
      </c>
      <c r="CS1240" s="19" t="str">
        <f>IF(AND(Table1[[#This Row],[Low41]]=0, Table1[[#This Row],[High43]]=0),"N","Y")</f>
        <v>Y</v>
      </c>
    </row>
    <row r="1241" spans="1:97" ht="19.5" customHeight="1" x14ac:dyDescent="0.25">
      <c r="A1241">
        <v>11243</v>
      </c>
      <c r="B1241" t="s">
        <v>3789</v>
      </c>
      <c r="C1241" t="s">
        <v>223</v>
      </c>
      <c r="D1241">
        <v>44.734444439999997</v>
      </c>
      <c r="E1241">
        <v>23.606388890000002</v>
      </c>
      <c r="F1241" t="s">
        <v>3840</v>
      </c>
      <c r="G1241" t="s">
        <v>3797</v>
      </c>
      <c r="H1241" t="s">
        <v>3205</v>
      </c>
      <c r="I1241" t="s">
        <v>118</v>
      </c>
      <c r="J1241" t="s">
        <v>119</v>
      </c>
      <c r="K1241" t="s">
        <v>167</v>
      </c>
      <c r="L1241" t="s">
        <v>18</v>
      </c>
      <c r="M1241" t="s">
        <v>2731</v>
      </c>
      <c r="N1241" s="6" t="s">
        <v>3841</v>
      </c>
      <c r="O1241" t="s">
        <v>3816</v>
      </c>
      <c r="P1241" t="s">
        <v>3817</v>
      </c>
      <c r="Q1241" t="s">
        <v>3818</v>
      </c>
      <c r="S1241">
        <v>2020</v>
      </c>
      <c r="T1241" t="s">
        <v>771</v>
      </c>
      <c r="U1241" t="s">
        <v>129</v>
      </c>
      <c r="V1241">
        <v>11590</v>
      </c>
      <c r="W1241">
        <v>800</v>
      </c>
      <c r="X1241">
        <v>25</v>
      </c>
      <c r="Y1241">
        <v>40</v>
      </c>
      <c r="Z1241">
        <v>20</v>
      </c>
      <c r="AA1241">
        <v>300</v>
      </c>
      <c r="AE1241">
        <v>0</v>
      </c>
      <c r="AF1241">
        <v>200</v>
      </c>
      <c r="AG1241">
        <v>110</v>
      </c>
      <c r="AH1241" t="s">
        <v>1121</v>
      </c>
      <c r="AN1241" t="s">
        <v>132</v>
      </c>
      <c r="BV1241">
        <v>810.2</v>
      </c>
      <c r="BW1241">
        <v>1000</v>
      </c>
      <c r="BX1241">
        <v>3240.6</v>
      </c>
      <c r="CE1241" s="19">
        <f>SUM(Table1[[#This Row],[Low38]],Table1[[#This Row],[Low35]],Table1[[#This Row],[Low32]],Table1[[#This Row],[Low29]],Table1[[#This Row],[Low26]],Table1[[#This Row],[Low23]],Table1[[#This Row],[Low20]],Table1[[#This Row],[Low17]],Table1[[#This Row],[Low14]],Table1[[#This Row],[Low11]],Table1[[#This Row],[Low8]],Table1[[#This Row],[Low5]],Table1[[#This Row],[Low2]],Table1[[#This Row],[Low]])</f>
        <v>810.2</v>
      </c>
      <c r="CF1241" s="19">
        <f>SUM(Table1[[#This Row],[Mid39]],Table1[[#This Row],[Mid36]],Table1[[#This Row],[Mid33]],Table1[[#This Row],[Mid30]],Table1[[#This Row],[Mid27]],Table1[[#This Row],[Mid24]],Table1[[#This Row],[Mid21]],Table1[[#This Row],[Mid18]],Table1[[#This Row],[Mid15]],Table1[[#This Row],[Mid12]],Table1[[#This Row],[Mid9]],Table1[[#This Row],[Mid6]],Table1[[#This Row],[Mid3]],Table1[[#This Row],[Mid]])</f>
        <v>1000</v>
      </c>
      <c r="CG12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3240.6</v>
      </c>
      <c r="CH1241" t="s">
        <v>158</v>
      </c>
      <c r="CI1241" s="35" t="s">
        <v>134</v>
      </c>
      <c r="CJ1241" t="s">
        <v>157</v>
      </c>
      <c r="CL1241" s="19">
        <f>IF(Table1[[#This Row],[Type]]="Petroleum",1,IF(ISERROR(Table1[[#This Row],[Well Density]]*Table1[[#This Row],[Single Well Discovery Area]]),"",IF(Table1[[#This Row],[Well Density]]*Table1[[#This Row],[Single Well Discovery Area]]&gt;1,1,Table1[[#This Row],[Well Density]]*Table1[[#This Row],[Single Well Discovery Area]])))</f>
        <v>0</v>
      </c>
      <c r="CN1241" s="19">
        <f>Table1[[#This Row],[Mid]]</f>
        <v>0</v>
      </c>
      <c r="CO1241" s="19">
        <f>Table1[[#This Row],[Mid3]]+Table1[[#This Row],[Mid6]]+Table1[[#This Row],[Mid9]]</f>
        <v>0</v>
      </c>
      <c r="CP1241" s="19">
        <f>Table1[[#This Row],[Mid12]]+Table1[[#This Row],[Mid15]]+Table1[[#This Row],[Mid18]]+Table1[[#This Row],[Mid21]]+Table1[[#This Row],[Mid24]]</f>
        <v>0</v>
      </c>
      <c r="CQ1241" s="19">
        <f>Table1[[#This Row],[Mid27]]+Table1[[#This Row],[Mid30]]+Table1[[#This Row],[Mid33]]+Table1[[#This Row],[Mid36]]+Table1[[#This Row],[Mid39]]</f>
        <v>1000</v>
      </c>
      <c r="CR1241" t="s">
        <v>415</v>
      </c>
      <c r="CS1241" s="19" t="str">
        <f>IF(AND(Table1[[#This Row],[Low41]]=0, Table1[[#This Row],[High43]]=0),"N","Y")</f>
        <v>Y</v>
      </c>
    </row>
    <row r="1242" spans="1:97" ht="19.5" customHeight="1" x14ac:dyDescent="0.25">
      <c r="A1242">
        <v>11244</v>
      </c>
      <c r="B1242" t="s">
        <v>3789</v>
      </c>
      <c r="C1242" t="s">
        <v>223</v>
      </c>
      <c r="D1242">
        <v>46.376111109999997</v>
      </c>
      <c r="E1242">
        <v>24.583333329999999</v>
      </c>
      <c r="F1242" t="s">
        <v>3842</v>
      </c>
      <c r="G1242" t="s">
        <v>3791</v>
      </c>
      <c r="H1242" t="s">
        <v>3205</v>
      </c>
      <c r="I1242" t="s">
        <v>118</v>
      </c>
      <c r="J1242" t="s">
        <v>119</v>
      </c>
      <c r="K1242" t="s">
        <v>167</v>
      </c>
      <c r="L1242" t="s">
        <v>18</v>
      </c>
      <c r="M1242" t="s">
        <v>2731</v>
      </c>
      <c r="N1242" s="6" t="s">
        <v>3843</v>
      </c>
      <c r="O1242" t="s">
        <v>3816</v>
      </c>
      <c r="P1242" t="s">
        <v>3817</v>
      </c>
      <c r="Q1242" t="s">
        <v>3832</v>
      </c>
      <c r="S1242">
        <v>2020</v>
      </c>
      <c r="T1242" t="s">
        <v>771</v>
      </c>
      <c r="U1242" t="s">
        <v>129</v>
      </c>
      <c r="V1242">
        <v>9800.6749999999993</v>
      </c>
      <c r="W1242">
        <v>1075</v>
      </c>
      <c r="X1242">
        <v>100</v>
      </c>
      <c r="Y1242">
        <v>40</v>
      </c>
      <c r="Z1242">
        <v>2</v>
      </c>
      <c r="AA1242">
        <v>300</v>
      </c>
      <c r="AE1242">
        <v>0</v>
      </c>
      <c r="AF1242">
        <v>200</v>
      </c>
      <c r="AG1242">
        <v>107</v>
      </c>
      <c r="AH1242" t="s">
        <v>1121</v>
      </c>
      <c r="AN1242" t="s">
        <v>132</v>
      </c>
      <c r="BV1242">
        <v>2696.8</v>
      </c>
      <c r="BW1242">
        <v>3000</v>
      </c>
      <c r="BX1242">
        <v>5393.5</v>
      </c>
      <c r="CE1242" s="19">
        <f>SUM(Table1[[#This Row],[Low38]],Table1[[#This Row],[Low35]],Table1[[#This Row],[Low32]],Table1[[#This Row],[Low29]],Table1[[#This Row],[Low26]],Table1[[#This Row],[Low23]],Table1[[#This Row],[Low20]],Table1[[#This Row],[Low17]],Table1[[#This Row],[Low14]],Table1[[#This Row],[Low11]],Table1[[#This Row],[Low8]],Table1[[#This Row],[Low5]],Table1[[#This Row],[Low2]],Table1[[#This Row],[Low]])</f>
        <v>2696.8</v>
      </c>
      <c r="CF1242" s="19">
        <f>SUM(Table1[[#This Row],[Mid39]],Table1[[#This Row],[Mid36]],Table1[[#This Row],[Mid33]],Table1[[#This Row],[Mid30]],Table1[[#This Row],[Mid27]],Table1[[#This Row],[Mid24]],Table1[[#This Row],[Mid21]],Table1[[#This Row],[Mid18]],Table1[[#This Row],[Mid15]],Table1[[#This Row],[Mid12]],Table1[[#This Row],[Mid9]],Table1[[#This Row],[Mid6]],Table1[[#This Row],[Mid3]],Table1[[#This Row],[Mid]])</f>
        <v>3000</v>
      </c>
      <c r="CG12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5393.5</v>
      </c>
      <c r="CH1242" t="s">
        <v>158</v>
      </c>
      <c r="CI1242" s="35" t="s">
        <v>134</v>
      </c>
      <c r="CJ1242" t="s">
        <v>157</v>
      </c>
      <c r="CL1242" s="19">
        <f>IF(Table1[[#This Row],[Type]]="Petroleum",1,IF(ISERROR(Table1[[#This Row],[Well Density]]*Table1[[#This Row],[Single Well Discovery Area]]),"",IF(Table1[[#This Row],[Well Density]]*Table1[[#This Row],[Single Well Discovery Area]]&gt;1,1,Table1[[#This Row],[Well Density]]*Table1[[#This Row],[Single Well Discovery Area]])))</f>
        <v>0</v>
      </c>
      <c r="CN1242" s="19">
        <f>Table1[[#This Row],[Mid]]</f>
        <v>0</v>
      </c>
      <c r="CO1242" s="19">
        <f>Table1[[#This Row],[Mid3]]+Table1[[#This Row],[Mid6]]+Table1[[#This Row],[Mid9]]</f>
        <v>0</v>
      </c>
      <c r="CP1242" s="19">
        <f>Table1[[#This Row],[Mid12]]+Table1[[#This Row],[Mid15]]+Table1[[#This Row],[Mid18]]+Table1[[#This Row],[Mid21]]+Table1[[#This Row],[Mid24]]</f>
        <v>0</v>
      </c>
      <c r="CQ1242" s="19">
        <f>Table1[[#This Row],[Mid27]]+Table1[[#This Row],[Mid30]]+Table1[[#This Row],[Mid33]]+Table1[[#This Row],[Mid36]]+Table1[[#This Row],[Mid39]]</f>
        <v>3000</v>
      </c>
      <c r="CR1242" t="s">
        <v>415</v>
      </c>
      <c r="CS1242" s="19" t="str">
        <f>IF(AND(Table1[[#This Row],[Low41]]=0, Table1[[#This Row],[High43]]=0),"N","Y")</f>
        <v>Y</v>
      </c>
    </row>
    <row r="1243" spans="1:97" ht="19.5" customHeight="1" x14ac:dyDescent="0.25">
      <c r="A1243">
        <v>11245</v>
      </c>
      <c r="B1243" t="s">
        <v>3789</v>
      </c>
      <c r="C1243" t="s">
        <v>223</v>
      </c>
      <c r="D1243">
        <v>45.03083333</v>
      </c>
      <c r="E1243">
        <v>25.95444444</v>
      </c>
      <c r="F1243" t="s">
        <v>3844</v>
      </c>
      <c r="G1243" t="s">
        <v>3797</v>
      </c>
      <c r="H1243" t="s">
        <v>3804</v>
      </c>
      <c r="I1243" t="s">
        <v>118</v>
      </c>
      <c r="J1243" t="s">
        <v>119</v>
      </c>
      <c r="K1243" t="s">
        <v>167</v>
      </c>
      <c r="L1243" t="s">
        <v>18</v>
      </c>
      <c r="M1243" t="s">
        <v>2731</v>
      </c>
      <c r="N1243" s="6" t="s">
        <v>3845</v>
      </c>
      <c r="O1243" t="s">
        <v>3816</v>
      </c>
      <c r="P1243" t="s">
        <v>3817</v>
      </c>
      <c r="Q1243"/>
      <c r="S1243">
        <v>2020</v>
      </c>
      <c r="T1243" t="s">
        <v>771</v>
      </c>
      <c r="U1243" t="s">
        <v>129</v>
      </c>
      <c r="V1243">
        <v>3564.1</v>
      </c>
      <c r="W1243">
        <v>1000</v>
      </c>
      <c r="X1243">
        <v>25</v>
      </c>
      <c r="Y1243">
        <v>50</v>
      </c>
      <c r="Z1243">
        <v>22</v>
      </c>
      <c r="AA1243">
        <v>300</v>
      </c>
      <c r="AE1243">
        <v>0</v>
      </c>
      <c r="AF1243">
        <v>200</v>
      </c>
      <c r="AG1243">
        <v>100</v>
      </c>
      <c r="AH1243" t="s">
        <v>1121</v>
      </c>
      <c r="AN1243" t="s">
        <v>132</v>
      </c>
      <c r="BV1243">
        <v>234.4</v>
      </c>
      <c r="BW1243">
        <v>300</v>
      </c>
      <c r="BX1243">
        <v>937.7</v>
      </c>
      <c r="CE1243" s="19">
        <f>SUM(Table1[[#This Row],[Low38]],Table1[[#This Row],[Low35]],Table1[[#This Row],[Low32]],Table1[[#This Row],[Low29]],Table1[[#This Row],[Low26]],Table1[[#This Row],[Low23]],Table1[[#This Row],[Low20]],Table1[[#This Row],[Low17]],Table1[[#This Row],[Low14]],Table1[[#This Row],[Low11]],Table1[[#This Row],[Low8]],Table1[[#This Row],[Low5]],Table1[[#This Row],[Low2]],Table1[[#This Row],[Low]])</f>
        <v>234.4</v>
      </c>
      <c r="CF1243" s="19">
        <f>SUM(Table1[[#This Row],[Mid39]],Table1[[#This Row],[Mid36]],Table1[[#This Row],[Mid33]],Table1[[#This Row],[Mid30]],Table1[[#This Row],[Mid27]],Table1[[#This Row],[Mid24]],Table1[[#This Row],[Mid21]],Table1[[#This Row],[Mid18]],Table1[[#This Row],[Mid15]],Table1[[#This Row],[Mid12]],Table1[[#This Row],[Mid9]],Table1[[#This Row],[Mid6]],Table1[[#This Row],[Mid3]],Table1[[#This Row],[Mid]])</f>
        <v>300</v>
      </c>
      <c r="CG12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937.7</v>
      </c>
      <c r="CH1243" t="s">
        <v>158</v>
      </c>
      <c r="CI1243" s="35" t="s">
        <v>134</v>
      </c>
      <c r="CJ1243" t="s">
        <v>157</v>
      </c>
      <c r="CL1243" s="19">
        <f>IF(Table1[[#This Row],[Type]]="Petroleum",1,IF(ISERROR(Table1[[#This Row],[Well Density]]*Table1[[#This Row],[Single Well Discovery Area]]),"",IF(Table1[[#This Row],[Well Density]]*Table1[[#This Row],[Single Well Discovery Area]]&gt;1,1,Table1[[#This Row],[Well Density]]*Table1[[#This Row],[Single Well Discovery Area]])))</f>
        <v>0</v>
      </c>
      <c r="CN1243" s="19">
        <f>Table1[[#This Row],[Mid]]</f>
        <v>0</v>
      </c>
      <c r="CO1243" s="19">
        <f>Table1[[#This Row],[Mid3]]+Table1[[#This Row],[Mid6]]+Table1[[#This Row],[Mid9]]</f>
        <v>0</v>
      </c>
      <c r="CP1243" s="19">
        <f>Table1[[#This Row],[Mid12]]+Table1[[#This Row],[Mid15]]+Table1[[#This Row],[Mid18]]+Table1[[#This Row],[Mid21]]+Table1[[#This Row],[Mid24]]</f>
        <v>0</v>
      </c>
      <c r="CQ1243" s="19">
        <f>Table1[[#This Row],[Mid27]]+Table1[[#This Row],[Mid30]]+Table1[[#This Row],[Mid33]]+Table1[[#This Row],[Mid36]]+Table1[[#This Row],[Mid39]]</f>
        <v>300</v>
      </c>
      <c r="CR1243" t="s">
        <v>415</v>
      </c>
      <c r="CS1243" s="19" t="str">
        <f>IF(AND(Table1[[#This Row],[Low41]]=0, Table1[[#This Row],[High43]]=0),"N","Y")</f>
        <v>Y</v>
      </c>
    </row>
    <row r="1244" spans="1:97" ht="19.5" customHeight="1" x14ac:dyDescent="0.25">
      <c r="A1244">
        <v>11246</v>
      </c>
      <c r="B1244" t="s">
        <v>3789</v>
      </c>
      <c r="C1244" t="s">
        <v>223</v>
      </c>
      <c r="D1244">
        <v>47.077500000000001</v>
      </c>
      <c r="E1244">
        <v>27.12833333</v>
      </c>
      <c r="F1244" t="s">
        <v>3846</v>
      </c>
      <c r="G1244" t="s">
        <v>3797</v>
      </c>
      <c r="I1244" t="s">
        <v>118</v>
      </c>
      <c r="J1244" t="s">
        <v>119</v>
      </c>
      <c r="K1244" t="s">
        <v>167</v>
      </c>
      <c r="L1244" t="s">
        <v>18</v>
      </c>
      <c r="M1244" t="s">
        <v>2049</v>
      </c>
      <c r="N1244" s="6" t="s">
        <v>3847</v>
      </c>
      <c r="O1244" t="s">
        <v>3816</v>
      </c>
      <c r="P1244" t="s">
        <v>3817</v>
      </c>
      <c r="Q1244"/>
      <c r="S1244">
        <v>2020</v>
      </c>
      <c r="T1244" t="s">
        <v>771</v>
      </c>
      <c r="U1244" t="s">
        <v>129</v>
      </c>
      <c r="V1244">
        <v>17068.28</v>
      </c>
      <c r="W1244">
        <v>3000</v>
      </c>
      <c r="X1244">
        <v>25</v>
      </c>
      <c r="Y1244">
        <v>30</v>
      </c>
      <c r="Z1244">
        <v>14</v>
      </c>
      <c r="AA1244">
        <v>300</v>
      </c>
      <c r="AE1244">
        <v>0</v>
      </c>
      <c r="AF1244">
        <v>200</v>
      </c>
      <c r="AG1244">
        <v>300</v>
      </c>
      <c r="AH1244" t="s">
        <v>1121</v>
      </c>
      <c r="AN1244" t="s">
        <v>132</v>
      </c>
      <c r="BV1244">
        <v>1234.9000000000001</v>
      </c>
      <c r="BW1244">
        <v>1400</v>
      </c>
      <c r="BX1244">
        <v>4939.8</v>
      </c>
      <c r="CE1244" s="19">
        <f>SUM(Table1[[#This Row],[Low38]],Table1[[#This Row],[Low35]],Table1[[#This Row],[Low32]],Table1[[#This Row],[Low29]],Table1[[#This Row],[Low26]],Table1[[#This Row],[Low23]],Table1[[#This Row],[Low20]],Table1[[#This Row],[Low17]],Table1[[#This Row],[Low14]],Table1[[#This Row],[Low11]],Table1[[#This Row],[Low8]],Table1[[#This Row],[Low5]],Table1[[#This Row],[Low2]],Table1[[#This Row],[Low]])</f>
        <v>1234.9000000000001</v>
      </c>
      <c r="CF1244" s="19">
        <f>SUM(Table1[[#This Row],[Mid39]],Table1[[#This Row],[Mid36]],Table1[[#This Row],[Mid33]],Table1[[#This Row],[Mid30]],Table1[[#This Row],[Mid27]],Table1[[#This Row],[Mid24]],Table1[[#This Row],[Mid21]],Table1[[#This Row],[Mid18]],Table1[[#This Row],[Mid15]],Table1[[#This Row],[Mid12]],Table1[[#This Row],[Mid9]],Table1[[#This Row],[Mid6]],Table1[[#This Row],[Mid3]],Table1[[#This Row],[Mid]])</f>
        <v>1400</v>
      </c>
      <c r="CG12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4939.8</v>
      </c>
      <c r="CH1244" t="s">
        <v>158</v>
      </c>
      <c r="CI1244" s="35" t="s">
        <v>176</v>
      </c>
      <c r="CJ1244" t="s">
        <v>157</v>
      </c>
      <c r="CL1244" s="19">
        <f>IF(Table1[[#This Row],[Type]]="Petroleum",1,IF(ISERROR(Table1[[#This Row],[Well Density]]*Table1[[#This Row],[Single Well Discovery Area]]),"",IF(Table1[[#This Row],[Well Density]]*Table1[[#This Row],[Single Well Discovery Area]]&gt;1,1,Table1[[#This Row],[Well Density]]*Table1[[#This Row],[Single Well Discovery Area]])))</f>
        <v>0</v>
      </c>
      <c r="CN1244" s="19">
        <f>Table1[[#This Row],[Mid]]</f>
        <v>0</v>
      </c>
      <c r="CO1244" s="19">
        <f>Table1[[#This Row],[Mid3]]+Table1[[#This Row],[Mid6]]+Table1[[#This Row],[Mid9]]</f>
        <v>0</v>
      </c>
      <c r="CP1244" s="19">
        <f>Table1[[#This Row],[Mid12]]+Table1[[#This Row],[Mid15]]+Table1[[#This Row],[Mid18]]+Table1[[#This Row],[Mid21]]+Table1[[#This Row],[Mid24]]</f>
        <v>0</v>
      </c>
      <c r="CQ1244" s="19">
        <f>Table1[[#This Row],[Mid27]]+Table1[[#This Row],[Mid30]]+Table1[[#This Row],[Mid33]]+Table1[[#This Row],[Mid36]]+Table1[[#This Row],[Mid39]]</f>
        <v>1400</v>
      </c>
      <c r="CR1244" t="s">
        <v>415</v>
      </c>
      <c r="CS1244" s="19" t="str">
        <f>IF(AND(Table1[[#This Row],[Low41]]=0, Table1[[#This Row],[High43]]=0),"N","Y")</f>
        <v>Y</v>
      </c>
    </row>
    <row r="1245" spans="1:97" ht="19.5" customHeight="1" x14ac:dyDescent="0.25">
      <c r="A1245">
        <v>11247</v>
      </c>
      <c r="B1245" t="s">
        <v>3789</v>
      </c>
      <c r="C1245" t="s">
        <v>223</v>
      </c>
      <c r="D1245">
        <v>47.204166669999999</v>
      </c>
      <c r="E1245">
        <v>27.044444439999999</v>
      </c>
      <c r="F1245" t="s">
        <v>3848</v>
      </c>
      <c r="G1245" t="s">
        <v>3797</v>
      </c>
      <c r="H1245" t="s">
        <v>3205</v>
      </c>
      <c r="I1245" t="s">
        <v>118</v>
      </c>
      <c r="J1245" t="s">
        <v>119</v>
      </c>
      <c r="K1245" t="s">
        <v>167</v>
      </c>
      <c r="L1245" t="s">
        <v>18</v>
      </c>
      <c r="M1245" t="s">
        <v>2731</v>
      </c>
      <c r="N1245" s="6" t="s">
        <v>3849</v>
      </c>
      <c r="O1245" t="s">
        <v>3816</v>
      </c>
      <c r="P1245" t="s">
        <v>3817</v>
      </c>
      <c r="Q1245" t="s">
        <v>3818</v>
      </c>
      <c r="S1245">
        <v>2020</v>
      </c>
      <c r="T1245" t="s">
        <v>771</v>
      </c>
      <c r="U1245" t="s">
        <v>129</v>
      </c>
      <c r="V1245">
        <v>8667.3940000000002</v>
      </c>
      <c r="W1245">
        <v>1820</v>
      </c>
      <c r="X1245">
        <v>25</v>
      </c>
      <c r="Y1245">
        <v>40</v>
      </c>
      <c r="Z1245">
        <v>20</v>
      </c>
      <c r="AA1245">
        <v>300</v>
      </c>
      <c r="AE1245">
        <v>0</v>
      </c>
      <c r="AF1245">
        <v>200</v>
      </c>
      <c r="AG1245">
        <v>150</v>
      </c>
      <c r="AH1245" t="s">
        <v>1121</v>
      </c>
      <c r="AN1245" t="s">
        <v>132</v>
      </c>
      <c r="BV1245">
        <v>603.20000000000005</v>
      </c>
      <c r="BW1245">
        <v>700</v>
      </c>
      <c r="BX1245">
        <v>2412.8000000000002</v>
      </c>
      <c r="CE1245" s="19">
        <f>SUM(Table1[[#This Row],[Low38]],Table1[[#This Row],[Low35]],Table1[[#This Row],[Low32]],Table1[[#This Row],[Low29]],Table1[[#This Row],[Low26]],Table1[[#This Row],[Low23]],Table1[[#This Row],[Low20]],Table1[[#This Row],[Low17]],Table1[[#This Row],[Low14]],Table1[[#This Row],[Low11]],Table1[[#This Row],[Low8]],Table1[[#This Row],[Low5]],Table1[[#This Row],[Low2]],Table1[[#This Row],[Low]])</f>
        <v>603.20000000000005</v>
      </c>
      <c r="CF1245" s="19">
        <f>SUM(Table1[[#This Row],[Mid39]],Table1[[#This Row],[Mid36]],Table1[[#This Row],[Mid33]],Table1[[#This Row],[Mid30]],Table1[[#This Row],[Mid27]],Table1[[#This Row],[Mid24]],Table1[[#This Row],[Mid21]],Table1[[#This Row],[Mid18]],Table1[[#This Row],[Mid15]],Table1[[#This Row],[Mid12]],Table1[[#This Row],[Mid9]],Table1[[#This Row],[Mid6]],Table1[[#This Row],[Mid3]],Table1[[#This Row],[Mid]])</f>
        <v>700</v>
      </c>
      <c r="CG12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2412.8000000000002</v>
      </c>
      <c r="CH1245" t="s">
        <v>158</v>
      </c>
      <c r="CI1245" s="35" t="s">
        <v>134</v>
      </c>
      <c r="CJ1245" t="s">
        <v>157</v>
      </c>
      <c r="CL1245" s="19">
        <f>IF(Table1[[#This Row],[Type]]="Petroleum",1,IF(ISERROR(Table1[[#This Row],[Well Density]]*Table1[[#This Row],[Single Well Discovery Area]]),"",IF(Table1[[#This Row],[Well Density]]*Table1[[#This Row],[Single Well Discovery Area]]&gt;1,1,Table1[[#This Row],[Well Density]]*Table1[[#This Row],[Single Well Discovery Area]])))</f>
        <v>0</v>
      </c>
      <c r="CN1245" s="19">
        <f>Table1[[#This Row],[Mid]]</f>
        <v>0</v>
      </c>
      <c r="CO1245" s="19">
        <f>Table1[[#This Row],[Mid3]]+Table1[[#This Row],[Mid6]]+Table1[[#This Row],[Mid9]]</f>
        <v>0</v>
      </c>
      <c r="CP1245" s="19">
        <f>Table1[[#This Row],[Mid12]]+Table1[[#This Row],[Mid15]]+Table1[[#This Row],[Mid18]]+Table1[[#This Row],[Mid21]]+Table1[[#This Row],[Mid24]]</f>
        <v>0</v>
      </c>
      <c r="CQ1245" s="19">
        <f>Table1[[#This Row],[Mid27]]+Table1[[#This Row],[Mid30]]+Table1[[#This Row],[Mid33]]+Table1[[#This Row],[Mid36]]+Table1[[#This Row],[Mid39]]</f>
        <v>700</v>
      </c>
      <c r="CR1245" t="s">
        <v>415</v>
      </c>
      <c r="CS1245" s="19" t="str">
        <f>IF(AND(Table1[[#This Row],[Low41]]=0, Table1[[#This Row],[High43]]=0),"N","Y")</f>
        <v>Y</v>
      </c>
    </row>
    <row r="1246" spans="1:97" ht="19.5" customHeight="1" x14ac:dyDescent="0.25">
      <c r="A1246">
        <v>11248</v>
      </c>
      <c r="B1246" t="s">
        <v>3789</v>
      </c>
      <c r="C1246" t="s">
        <v>223</v>
      </c>
      <c r="D1246">
        <v>47.071944440000003</v>
      </c>
      <c r="E1246">
        <v>26.331666670000001</v>
      </c>
      <c r="F1246" t="s">
        <v>3850</v>
      </c>
      <c r="G1246" t="s">
        <v>3797</v>
      </c>
      <c r="H1246" t="s">
        <v>3804</v>
      </c>
      <c r="I1246" t="s">
        <v>118</v>
      </c>
      <c r="J1246" t="s">
        <v>119</v>
      </c>
      <c r="K1246" t="s">
        <v>167</v>
      </c>
      <c r="L1246" t="s">
        <v>18</v>
      </c>
      <c r="M1246" t="s">
        <v>2731</v>
      </c>
      <c r="N1246" s="6" t="s">
        <v>3851</v>
      </c>
      <c r="O1246" t="s">
        <v>3816</v>
      </c>
      <c r="P1246" t="s">
        <v>3817</v>
      </c>
      <c r="Q1246"/>
      <c r="S1246">
        <v>2020</v>
      </c>
      <c r="T1246" t="s">
        <v>771</v>
      </c>
      <c r="U1246" t="s">
        <v>129</v>
      </c>
      <c r="V1246">
        <v>3684</v>
      </c>
      <c r="W1246">
        <v>1000</v>
      </c>
      <c r="X1246">
        <v>25</v>
      </c>
      <c r="Y1246">
        <v>50</v>
      </c>
      <c r="Z1246">
        <v>20</v>
      </c>
      <c r="AA1246">
        <v>300</v>
      </c>
      <c r="AE1246">
        <v>0</v>
      </c>
      <c r="AF1246">
        <v>200</v>
      </c>
      <c r="AG1246">
        <v>100</v>
      </c>
      <c r="AH1246" t="s">
        <v>1121</v>
      </c>
      <c r="AN1246" t="s">
        <v>132</v>
      </c>
      <c r="BV1246">
        <v>242.3</v>
      </c>
      <c r="BW1246">
        <v>400</v>
      </c>
      <c r="BX1246">
        <v>969.3</v>
      </c>
      <c r="CE1246" s="19">
        <f>SUM(Table1[[#This Row],[Low38]],Table1[[#This Row],[Low35]],Table1[[#This Row],[Low32]],Table1[[#This Row],[Low29]],Table1[[#This Row],[Low26]],Table1[[#This Row],[Low23]],Table1[[#This Row],[Low20]],Table1[[#This Row],[Low17]],Table1[[#This Row],[Low14]],Table1[[#This Row],[Low11]],Table1[[#This Row],[Low8]],Table1[[#This Row],[Low5]],Table1[[#This Row],[Low2]],Table1[[#This Row],[Low]])</f>
        <v>242.3</v>
      </c>
      <c r="CF1246" s="19">
        <f>SUM(Table1[[#This Row],[Mid39]],Table1[[#This Row],[Mid36]],Table1[[#This Row],[Mid33]],Table1[[#This Row],[Mid30]],Table1[[#This Row],[Mid27]],Table1[[#This Row],[Mid24]],Table1[[#This Row],[Mid21]],Table1[[#This Row],[Mid18]],Table1[[#This Row],[Mid15]],Table1[[#This Row],[Mid12]],Table1[[#This Row],[Mid9]],Table1[[#This Row],[Mid6]],Table1[[#This Row],[Mid3]],Table1[[#This Row],[Mid]])</f>
        <v>400</v>
      </c>
      <c r="CG12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969.3</v>
      </c>
      <c r="CH1246" t="s">
        <v>158</v>
      </c>
      <c r="CI1246" s="35" t="s">
        <v>134</v>
      </c>
      <c r="CJ1246" t="s">
        <v>157</v>
      </c>
      <c r="CL1246" s="19">
        <f>IF(Table1[[#This Row],[Type]]="Petroleum",1,IF(ISERROR(Table1[[#This Row],[Well Density]]*Table1[[#This Row],[Single Well Discovery Area]]),"",IF(Table1[[#This Row],[Well Density]]*Table1[[#This Row],[Single Well Discovery Area]]&gt;1,1,Table1[[#This Row],[Well Density]]*Table1[[#This Row],[Single Well Discovery Area]])))</f>
        <v>0</v>
      </c>
      <c r="CN1246" s="19">
        <f>Table1[[#This Row],[Mid]]</f>
        <v>0</v>
      </c>
      <c r="CO1246" s="19">
        <f>Table1[[#This Row],[Mid3]]+Table1[[#This Row],[Mid6]]+Table1[[#This Row],[Mid9]]</f>
        <v>0</v>
      </c>
      <c r="CP1246" s="19">
        <f>Table1[[#This Row],[Mid12]]+Table1[[#This Row],[Mid15]]+Table1[[#This Row],[Mid18]]+Table1[[#This Row],[Mid21]]+Table1[[#This Row],[Mid24]]</f>
        <v>0</v>
      </c>
      <c r="CQ1246" s="19">
        <f>Table1[[#This Row],[Mid27]]+Table1[[#This Row],[Mid30]]+Table1[[#This Row],[Mid33]]+Table1[[#This Row],[Mid36]]+Table1[[#This Row],[Mid39]]</f>
        <v>400</v>
      </c>
      <c r="CR1246" t="s">
        <v>415</v>
      </c>
      <c r="CS1246" s="19" t="str">
        <f>IF(AND(Table1[[#This Row],[Low41]]=0, Table1[[#This Row],[High43]]=0),"N","Y")</f>
        <v>Y</v>
      </c>
    </row>
    <row r="1247" spans="1:97" ht="19.5" customHeight="1" x14ac:dyDescent="0.25">
      <c r="A1247">
        <v>11249</v>
      </c>
      <c r="B1247" t="s">
        <v>2786</v>
      </c>
      <c r="C1247" t="s">
        <v>2832</v>
      </c>
      <c r="D1247">
        <v>43.5</v>
      </c>
      <c r="E1247">
        <v>15.142777779999999</v>
      </c>
      <c r="F1247" t="s">
        <v>3852</v>
      </c>
      <c r="G1247" t="s">
        <v>2811</v>
      </c>
      <c r="H1247" t="s">
        <v>2839</v>
      </c>
      <c r="I1247" t="s">
        <v>118</v>
      </c>
      <c r="J1247" t="s">
        <v>119</v>
      </c>
      <c r="K1247" t="s">
        <v>203</v>
      </c>
      <c r="L1247" t="s">
        <v>18</v>
      </c>
      <c r="M1247" t="s">
        <v>2840</v>
      </c>
      <c r="N1247" s="6" t="s">
        <v>2841</v>
      </c>
      <c r="O1247" t="s">
        <v>2652</v>
      </c>
      <c r="P1247" t="s">
        <v>2652</v>
      </c>
      <c r="Q1247" s="21" t="s">
        <v>2842</v>
      </c>
      <c r="R1247" t="s">
        <v>2843</v>
      </c>
      <c r="S1247">
        <v>2024</v>
      </c>
      <c r="T1247" t="s">
        <v>771</v>
      </c>
      <c r="U1247" t="s">
        <v>1479</v>
      </c>
      <c r="V1247">
        <v>42</v>
      </c>
      <c r="W1247">
        <v>2300</v>
      </c>
      <c r="X1247">
        <v>570</v>
      </c>
      <c r="Z1247">
        <v>9</v>
      </c>
      <c r="AC1247">
        <v>903</v>
      </c>
      <c r="AD1247">
        <v>1</v>
      </c>
      <c r="AE1247">
        <v>2.3809523999999999E-2</v>
      </c>
      <c r="AF1247">
        <v>20</v>
      </c>
      <c r="AH1247" t="s">
        <v>2259</v>
      </c>
      <c r="AI1247">
        <v>0.17</v>
      </c>
      <c r="AJ1247">
        <v>6.9999999999999994E-5</v>
      </c>
      <c r="AL1247">
        <v>20.97</v>
      </c>
      <c r="AM1247" t="s">
        <v>2815</v>
      </c>
      <c r="AN1247" t="s">
        <v>132</v>
      </c>
      <c r="AO1247">
        <v>0</v>
      </c>
      <c r="AP1247">
        <v>0</v>
      </c>
      <c r="AQ1247">
        <v>0</v>
      </c>
      <c r="AR1247">
        <v>0</v>
      </c>
      <c r="AS1247">
        <v>0</v>
      </c>
      <c r="AT1247">
        <v>0</v>
      </c>
      <c r="AU1247">
        <v>0</v>
      </c>
      <c r="AV1247">
        <v>0</v>
      </c>
      <c r="AW1247">
        <v>0</v>
      </c>
      <c r="AX1247">
        <v>0</v>
      </c>
      <c r="AY1247">
        <v>0</v>
      </c>
      <c r="AZ1247">
        <v>0</v>
      </c>
      <c r="BA1247">
        <v>0</v>
      </c>
      <c r="BB1247">
        <v>0</v>
      </c>
      <c r="BC1247">
        <v>0</v>
      </c>
      <c r="BD1247">
        <v>0</v>
      </c>
      <c r="BE1247">
        <v>0</v>
      </c>
      <c r="BF1247">
        <v>0</v>
      </c>
      <c r="BG1247">
        <v>0</v>
      </c>
      <c r="BH1247">
        <v>0</v>
      </c>
      <c r="BI1247">
        <v>0</v>
      </c>
      <c r="BJ1247">
        <v>0</v>
      </c>
      <c r="BL1247">
        <v>0</v>
      </c>
      <c r="BM1247">
        <v>0</v>
      </c>
      <c r="BN1247">
        <v>0</v>
      </c>
      <c r="BO1247">
        <v>0</v>
      </c>
      <c r="BQ1247">
        <v>26</v>
      </c>
      <c r="BR1247">
        <v>0</v>
      </c>
      <c r="BS1247">
        <v>0</v>
      </c>
      <c r="BT1247">
        <v>0</v>
      </c>
      <c r="BU1247">
        <v>0</v>
      </c>
      <c r="BW1247">
        <v>0</v>
      </c>
      <c r="BX1247">
        <v>0</v>
      </c>
      <c r="BY1247">
        <v>0</v>
      </c>
      <c r="BZ1247">
        <v>0</v>
      </c>
      <c r="CA1247">
        <v>0</v>
      </c>
      <c r="CB1247">
        <v>0</v>
      </c>
      <c r="CC1247">
        <v>0</v>
      </c>
      <c r="CD1247">
        <v>0</v>
      </c>
      <c r="CE124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47" s="19">
        <f>SUM(Table1[[#This Row],[Mid39]],Table1[[#This Row],[Mid36]],Table1[[#This Row],[Mid33]],Table1[[#This Row],[Mid30]],Table1[[#This Row],[Mid27]],Table1[[#This Row],[Mid24]],Table1[[#This Row],[Mid21]],Table1[[#This Row],[Mid18]],Table1[[#This Row],[Mid15]],Table1[[#This Row],[Mid12]],Table1[[#This Row],[Mid9]],Table1[[#This Row],[Mid6]],Table1[[#This Row],[Mid3]],Table1[[#This Row],[Mid]])</f>
        <v>26</v>
      </c>
      <c r="CG12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47" t="s">
        <v>157</v>
      </c>
      <c r="CI1247" s="35" t="s">
        <v>176</v>
      </c>
      <c r="CJ1247" t="s">
        <v>158</v>
      </c>
      <c r="CL1247" s="19">
        <f>IF(Table1[[#This Row],[Type]]="Petroleum",1,IF(ISERROR(Table1[[#This Row],[Well Density]]*Table1[[#This Row],[Single Well Discovery Area]]),"",IF(Table1[[#This Row],[Well Density]]*Table1[[#This Row],[Single Well Discovery Area]]&gt;1,1,Table1[[#This Row],[Well Density]]*Table1[[#This Row],[Single Well Discovery Area]])))</f>
        <v>0.47619047999999997</v>
      </c>
      <c r="CN1247" s="19">
        <f>Table1[[#This Row],[Mid]]</f>
        <v>0</v>
      </c>
      <c r="CO1247" s="19">
        <f>Table1[[#This Row],[Mid3]]+Table1[[#This Row],[Mid6]]+Table1[[#This Row],[Mid9]]</f>
        <v>0</v>
      </c>
      <c r="CP1247" s="19">
        <f>Table1[[#This Row],[Mid12]]+Table1[[#This Row],[Mid15]]+Table1[[#This Row],[Mid18]]+Table1[[#This Row],[Mid21]]+Table1[[#This Row],[Mid24]]</f>
        <v>0</v>
      </c>
      <c r="CQ1247" s="19">
        <f>Table1[[#This Row],[Mid27]]+Table1[[#This Row],[Mid30]]+Table1[[#This Row],[Mid33]]+Table1[[#This Row],[Mid36]]+Table1[[#This Row],[Mid39]]</f>
        <v>26</v>
      </c>
      <c r="CR1247" t="s">
        <v>415</v>
      </c>
      <c r="CS1247" s="19" t="str">
        <f>IF(AND(Table1[[#This Row],[Low41]]=0, Table1[[#This Row],[High43]]=0),"N","Y")</f>
        <v>N</v>
      </c>
    </row>
    <row r="1248" spans="1:97" s="23" customFormat="1" ht="19.5" customHeight="1" x14ac:dyDescent="0.25">
      <c r="A1248" s="28">
        <v>11250</v>
      </c>
      <c r="B1248" s="28" t="s">
        <v>2786</v>
      </c>
      <c r="C1248" s="28" t="s">
        <v>2832</v>
      </c>
      <c r="D1248" s="23">
        <v>43.523299999999999</v>
      </c>
      <c r="E1248" s="23">
        <v>15.36444444</v>
      </c>
      <c r="F1248" s="28" t="s">
        <v>3853</v>
      </c>
      <c r="G1248" s="28" t="s">
        <v>2811</v>
      </c>
      <c r="H1248" s="28" t="s">
        <v>2845</v>
      </c>
      <c r="I1248" s="28" t="s">
        <v>118</v>
      </c>
      <c r="J1248" s="28" t="s">
        <v>119</v>
      </c>
      <c r="K1248" s="28" t="s">
        <v>203</v>
      </c>
      <c r="L1248" s="28" t="s">
        <v>18</v>
      </c>
      <c r="M1248" s="28" t="s">
        <v>2846</v>
      </c>
      <c r="N1248" s="29" t="s">
        <v>2841</v>
      </c>
      <c r="O1248" s="28" t="s">
        <v>2652</v>
      </c>
      <c r="P1248" s="28" t="s">
        <v>2652</v>
      </c>
      <c r="Q1248" s="31" t="s">
        <v>2847</v>
      </c>
      <c r="R1248" s="28" t="s">
        <v>2843</v>
      </c>
      <c r="S1248" s="28">
        <v>2024</v>
      </c>
      <c r="T1248" s="28" t="s">
        <v>771</v>
      </c>
      <c r="U1248" s="28" t="s">
        <v>1479</v>
      </c>
      <c r="V1248" s="28">
        <v>12</v>
      </c>
      <c r="W1248" s="28">
        <v>2300</v>
      </c>
      <c r="X1248" s="28">
        <v>502</v>
      </c>
      <c r="Y1248" s="28"/>
      <c r="Z1248" s="28">
        <v>12</v>
      </c>
      <c r="AA1248" s="28"/>
      <c r="AB1248" s="28"/>
      <c r="AC1248" s="28">
        <v>905</v>
      </c>
      <c r="AD1248" s="28">
        <v>1</v>
      </c>
      <c r="AE1248" s="28">
        <v>8.3333332999999996E-2</v>
      </c>
      <c r="AF1248" s="28">
        <v>20</v>
      </c>
      <c r="AG1248" s="28"/>
      <c r="AH1248" s="28" t="s">
        <v>2259</v>
      </c>
      <c r="AI1248" s="28">
        <v>0.17</v>
      </c>
      <c r="AJ1248" s="28">
        <v>6.9999999999999994E-5</v>
      </c>
      <c r="AK1248" s="28"/>
      <c r="AL1248" s="28">
        <v>21.4</v>
      </c>
      <c r="AM1248" s="28" t="s">
        <v>2815</v>
      </c>
      <c r="AN1248" s="28" t="s">
        <v>132</v>
      </c>
      <c r="AO1248" s="28">
        <v>0</v>
      </c>
      <c r="AP1248" s="28">
        <v>0</v>
      </c>
      <c r="AQ1248" s="28">
        <v>0</v>
      </c>
      <c r="AR1248" s="28">
        <v>0</v>
      </c>
      <c r="AS1248" s="28">
        <v>0</v>
      </c>
      <c r="AT1248" s="28">
        <v>0</v>
      </c>
      <c r="AU1248" s="28">
        <v>0</v>
      </c>
      <c r="AV1248" s="28">
        <v>0</v>
      </c>
      <c r="AW1248" s="28">
        <v>0</v>
      </c>
      <c r="AX1248" s="28">
        <v>0</v>
      </c>
      <c r="AY1248" s="28">
        <v>0</v>
      </c>
      <c r="AZ1248" s="28">
        <v>0</v>
      </c>
      <c r="BA1248" s="28">
        <v>0</v>
      </c>
      <c r="BB1248" s="28">
        <v>0</v>
      </c>
      <c r="BC1248" s="28">
        <v>0</v>
      </c>
      <c r="BD1248" s="28">
        <v>0</v>
      </c>
      <c r="BE1248" s="28">
        <v>0</v>
      </c>
      <c r="BF1248" s="28">
        <v>0</v>
      </c>
      <c r="BG1248" s="28">
        <v>0</v>
      </c>
      <c r="BH1248" s="28">
        <v>0</v>
      </c>
      <c r="BI1248" s="28">
        <v>0</v>
      </c>
      <c r="BJ1248" s="28">
        <v>0</v>
      </c>
      <c r="BK1248" s="28"/>
      <c r="BL1248" s="28">
        <v>0</v>
      </c>
      <c r="BM1248" s="28">
        <v>0</v>
      </c>
      <c r="BN1248" s="28">
        <v>0</v>
      </c>
      <c r="BO1248" s="28">
        <v>0</v>
      </c>
      <c r="BP1248" s="28"/>
      <c r="BQ1248" s="28">
        <v>15</v>
      </c>
      <c r="BR1248" s="28">
        <v>0</v>
      </c>
      <c r="BS1248" s="28">
        <v>0</v>
      </c>
      <c r="BT1248" s="28"/>
      <c r="BU1248" s="28">
        <v>0</v>
      </c>
      <c r="BV1248" s="28">
        <v>0</v>
      </c>
      <c r="BW1248" s="28">
        <v>0</v>
      </c>
      <c r="BX1248" s="28">
        <v>0</v>
      </c>
      <c r="BY1248" s="28">
        <v>0</v>
      </c>
      <c r="BZ1248" s="28">
        <v>0</v>
      </c>
      <c r="CA1248" s="28">
        <v>0</v>
      </c>
      <c r="CB1248" s="28">
        <v>0</v>
      </c>
      <c r="CC1248" s="28">
        <v>0</v>
      </c>
      <c r="CD1248" s="28">
        <v>0</v>
      </c>
      <c r="CE1248" s="22">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48" s="22">
        <f>SUM(Table1[[#This Row],[Mid39]],Table1[[#This Row],[Mid36]],Table1[[#This Row],[Mid33]],Table1[[#This Row],[Mid30]],Table1[[#This Row],[Mid27]],Table1[[#This Row],[Mid24]],Table1[[#This Row],[Mid21]],Table1[[#This Row],[Mid18]],Table1[[#This Row],[Mid15]],Table1[[#This Row],[Mid12]],Table1[[#This Row],[Mid9]],Table1[[#This Row],[Mid6]],Table1[[#This Row],[Mid3]],Table1[[#This Row],[Mid]])</f>
        <v>15</v>
      </c>
      <c r="CG1248" s="22">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48" s="28" t="s">
        <v>157</v>
      </c>
      <c r="CI1248" s="30" t="s">
        <v>176</v>
      </c>
      <c r="CJ1248" s="23" t="s">
        <v>158</v>
      </c>
      <c r="CL1248" s="22">
        <f>IF(Table1[[#This Row],[Type]]="Petroleum",1,IF(ISERROR(Table1[[#This Row],[Well Density]]*Table1[[#This Row],[Single Well Discovery Area]]),"",IF(Table1[[#This Row],[Well Density]]*Table1[[#This Row],[Single Well Discovery Area]]&gt;1,1,Table1[[#This Row],[Well Density]]*Table1[[#This Row],[Single Well Discovery Area]])))</f>
        <v>1</v>
      </c>
      <c r="CN1248" s="22">
        <f>Table1[[#This Row],[Mid]]</f>
        <v>0</v>
      </c>
      <c r="CO1248" s="22">
        <f>Table1[[#This Row],[Mid3]]+Table1[[#This Row],[Mid6]]+Table1[[#This Row],[Mid9]]</f>
        <v>0</v>
      </c>
      <c r="CP1248" s="22">
        <f>Table1[[#This Row],[Mid12]]+Table1[[#This Row],[Mid15]]+Table1[[#This Row],[Mid18]]+Table1[[#This Row],[Mid21]]+Table1[[#This Row],[Mid24]]</f>
        <v>0</v>
      </c>
      <c r="CQ1248" s="22">
        <f>Table1[[#This Row],[Mid27]]+Table1[[#This Row],[Mid30]]+Table1[[#This Row],[Mid33]]+Table1[[#This Row],[Mid36]]+Table1[[#This Row],[Mid39]]</f>
        <v>15</v>
      </c>
      <c r="CR1248" s="28" t="s">
        <v>415</v>
      </c>
      <c r="CS1248" s="22" t="str">
        <f>IF(AND(Table1[[#This Row],[Low41]]=0, Table1[[#This Row],[High43]]=0),"N","Y")</f>
        <v>N</v>
      </c>
    </row>
    <row r="1249" spans="1:97" ht="19.5" customHeight="1" x14ac:dyDescent="0.25">
      <c r="A1249">
        <v>11251</v>
      </c>
      <c r="B1249" t="s">
        <v>3854</v>
      </c>
      <c r="C1249" t="s">
        <v>1449</v>
      </c>
      <c r="D1249">
        <v>53.093888890000002</v>
      </c>
      <c r="E1249">
        <v>2.9038888890000001</v>
      </c>
      <c r="F1249" t="s">
        <v>3855</v>
      </c>
      <c r="G1249" t="s">
        <v>1687</v>
      </c>
      <c r="H1249" t="s">
        <v>3856</v>
      </c>
      <c r="I1249" t="s">
        <v>2245</v>
      </c>
      <c r="J1249" t="s">
        <v>202</v>
      </c>
      <c r="K1249" t="s">
        <v>167</v>
      </c>
      <c r="L1249" t="s">
        <v>121</v>
      </c>
      <c r="M1249" t="s">
        <v>252</v>
      </c>
      <c r="N1249" s="6" t="s">
        <v>3857</v>
      </c>
      <c r="O1249" t="s">
        <v>3858</v>
      </c>
      <c r="P1249" t="s">
        <v>3858</v>
      </c>
      <c r="Q1249" t="s">
        <v>255</v>
      </c>
      <c r="R1249" t="s">
        <v>3859</v>
      </c>
      <c r="S1249">
        <v>2024</v>
      </c>
      <c r="T1249" t="s">
        <v>771</v>
      </c>
      <c r="U1249" t="s">
        <v>3389</v>
      </c>
      <c r="V1249"/>
      <c r="W1249">
        <v>2000</v>
      </c>
      <c r="AF1249">
        <v>200</v>
      </c>
      <c r="AH1249" t="s">
        <v>3860</v>
      </c>
      <c r="AM1249" t="s">
        <v>167</v>
      </c>
      <c r="AY1249">
        <v>400</v>
      </c>
      <c r="CE124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49" s="19">
        <f>SUM(Table1[[#This Row],[Mid39]],Table1[[#This Row],[Mid36]],Table1[[#This Row],[Mid33]],Table1[[#This Row],[Mid30]],Table1[[#This Row],[Mid27]],Table1[[#This Row],[Mid24]],Table1[[#This Row],[Mid21]],Table1[[#This Row],[Mid18]],Table1[[#This Row],[Mid15]],Table1[[#This Row],[Mid12]],Table1[[#This Row],[Mid9]],Table1[[#This Row],[Mid6]],Table1[[#This Row],[Mid3]],Table1[[#This Row],[Mid]])</f>
        <v>400</v>
      </c>
      <c r="CG12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49" t="s">
        <v>157</v>
      </c>
      <c r="CI1249" s="35" t="s">
        <v>134</v>
      </c>
      <c r="CJ1249" t="s">
        <v>133</v>
      </c>
      <c r="CL1249" s="19">
        <f>IF(Table1[[#This Row],[Type]]="Petroleum",1,IF(ISERROR(Table1[[#This Row],[Well Density]]*Table1[[#This Row],[Single Well Discovery Area]]),"",IF(Table1[[#This Row],[Well Density]]*Table1[[#This Row],[Single Well Discovery Area]]&gt;1,1,Table1[[#This Row],[Well Density]]*Table1[[#This Row],[Single Well Discovery Area]])))</f>
        <v>1</v>
      </c>
      <c r="CN1249" s="19">
        <f>Table1[[#This Row],[Mid]]</f>
        <v>0</v>
      </c>
      <c r="CO1249" s="19">
        <f>Table1[[#This Row],[Mid3]]+Table1[[#This Row],[Mid6]]+Table1[[#This Row],[Mid9]]</f>
        <v>400</v>
      </c>
      <c r="CP1249" s="19">
        <f>Table1[[#This Row],[Mid12]]+Table1[[#This Row],[Mid15]]+Table1[[#This Row],[Mid18]]+Table1[[#This Row],[Mid21]]+Table1[[#This Row],[Mid24]]</f>
        <v>0</v>
      </c>
      <c r="CQ1249" s="19">
        <f>Table1[[#This Row],[Mid27]]+Table1[[#This Row],[Mid30]]+Table1[[#This Row],[Mid33]]+Table1[[#This Row],[Mid36]]+Table1[[#This Row],[Mid39]]</f>
        <v>0</v>
      </c>
      <c r="CR1249" t="s">
        <v>415</v>
      </c>
      <c r="CS1249" s="19" t="str">
        <f>IF(AND(Table1[[#This Row],[Low41]]=0, Table1[[#This Row],[High43]]=0),"N","Y")</f>
        <v>N</v>
      </c>
    </row>
    <row r="1250" spans="1:97" ht="19.5" customHeight="1" x14ac:dyDescent="0.25">
      <c r="A1250">
        <v>11252</v>
      </c>
      <c r="B1250" t="s">
        <v>3854</v>
      </c>
      <c r="C1250" t="s">
        <v>1449</v>
      </c>
      <c r="D1250">
        <v>52.211388890000002</v>
      </c>
      <c r="E1250">
        <v>3.673333333</v>
      </c>
      <c r="F1250" t="s">
        <v>3861</v>
      </c>
      <c r="G1250" t="s">
        <v>1687</v>
      </c>
      <c r="H1250" t="s">
        <v>3666</v>
      </c>
      <c r="I1250" t="s">
        <v>2245</v>
      </c>
      <c r="J1250" t="s">
        <v>202</v>
      </c>
      <c r="K1250" t="s">
        <v>167</v>
      </c>
      <c r="L1250" t="s">
        <v>121</v>
      </c>
      <c r="M1250" t="s">
        <v>252</v>
      </c>
      <c r="N1250" s="6" t="s">
        <v>3862</v>
      </c>
      <c r="O1250" t="s">
        <v>3863</v>
      </c>
      <c r="P1250" t="s">
        <v>3863</v>
      </c>
      <c r="Q1250" t="s">
        <v>255</v>
      </c>
      <c r="R1250" t="s">
        <v>3864</v>
      </c>
      <c r="S1250">
        <v>2024</v>
      </c>
      <c r="T1250" t="s">
        <v>771</v>
      </c>
      <c r="U1250" t="s">
        <v>3389</v>
      </c>
      <c r="V1250"/>
      <c r="W1250">
        <v>3000</v>
      </c>
      <c r="AF1250">
        <v>200</v>
      </c>
      <c r="AH1250" t="s">
        <v>3860</v>
      </c>
      <c r="AM1250" t="s">
        <v>167</v>
      </c>
      <c r="BB1250">
        <v>37</v>
      </c>
      <c r="CE125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50" s="19">
        <f>SUM(Table1[[#This Row],[Mid39]],Table1[[#This Row],[Mid36]],Table1[[#This Row],[Mid33]],Table1[[#This Row],[Mid30]],Table1[[#This Row],[Mid27]],Table1[[#This Row],[Mid24]],Table1[[#This Row],[Mid21]],Table1[[#This Row],[Mid18]],Table1[[#This Row],[Mid15]],Table1[[#This Row],[Mid12]],Table1[[#This Row],[Mid9]],Table1[[#This Row],[Mid6]],Table1[[#This Row],[Mid3]],Table1[[#This Row],[Mid]])</f>
        <v>37</v>
      </c>
      <c r="CG12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50" t="s">
        <v>157</v>
      </c>
      <c r="CI1250" s="35" t="s">
        <v>134</v>
      </c>
      <c r="CJ1250" t="s">
        <v>133</v>
      </c>
      <c r="CL1250" s="19">
        <f>IF(Table1[[#This Row],[Type]]="Petroleum",1,IF(ISERROR(Table1[[#This Row],[Well Density]]*Table1[[#This Row],[Single Well Discovery Area]]),"",IF(Table1[[#This Row],[Well Density]]*Table1[[#This Row],[Single Well Discovery Area]]&gt;1,1,Table1[[#This Row],[Well Density]]*Table1[[#This Row],[Single Well Discovery Area]])))</f>
        <v>1</v>
      </c>
      <c r="CN1250" s="19">
        <f>Table1[[#This Row],[Mid]]</f>
        <v>0</v>
      </c>
      <c r="CO1250" s="19">
        <f>Table1[[#This Row],[Mid3]]+Table1[[#This Row],[Mid6]]+Table1[[#This Row],[Mid9]]</f>
        <v>0</v>
      </c>
      <c r="CP1250" s="19">
        <f>Table1[[#This Row],[Mid12]]+Table1[[#This Row],[Mid15]]+Table1[[#This Row],[Mid18]]+Table1[[#This Row],[Mid21]]+Table1[[#This Row],[Mid24]]</f>
        <v>37</v>
      </c>
      <c r="CQ1250" s="19">
        <f>Table1[[#This Row],[Mid27]]+Table1[[#This Row],[Mid30]]+Table1[[#This Row],[Mid33]]+Table1[[#This Row],[Mid36]]+Table1[[#This Row],[Mid39]]</f>
        <v>0</v>
      </c>
      <c r="CR1250" t="s">
        <v>415</v>
      </c>
      <c r="CS1250" s="19" t="str">
        <f>IF(AND(Table1[[#This Row],[Low41]]=0, Table1[[#This Row],[High43]]=0),"N","Y")</f>
        <v>N</v>
      </c>
    </row>
    <row r="1251" spans="1:97" ht="19.5" customHeight="1" x14ac:dyDescent="0.25">
      <c r="A1251">
        <v>11253</v>
      </c>
      <c r="B1251" t="s">
        <v>3854</v>
      </c>
      <c r="C1251" t="s">
        <v>1449</v>
      </c>
      <c r="D1251">
        <v>52.192</v>
      </c>
      <c r="E1251">
        <v>3.6819999999999999</v>
      </c>
      <c r="F1251" t="s">
        <v>3865</v>
      </c>
      <c r="G1251" t="s">
        <v>1687</v>
      </c>
      <c r="H1251" t="s">
        <v>167</v>
      </c>
      <c r="I1251" t="s">
        <v>2245</v>
      </c>
      <c r="J1251" t="s">
        <v>202</v>
      </c>
      <c r="K1251" t="s">
        <v>167</v>
      </c>
      <c r="L1251" t="s">
        <v>121</v>
      </c>
      <c r="M1251" t="s">
        <v>252</v>
      </c>
      <c r="N1251" s="6" t="s">
        <v>3866</v>
      </c>
      <c r="O1251" t="s">
        <v>3867</v>
      </c>
      <c r="P1251" t="s">
        <v>3868</v>
      </c>
      <c r="Q1251" t="s">
        <v>255</v>
      </c>
      <c r="R1251" t="s">
        <v>3869</v>
      </c>
      <c r="S1251">
        <v>2024</v>
      </c>
      <c r="T1251" t="s">
        <v>771</v>
      </c>
      <c r="U1251" t="s">
        <v>3389</v>
      </c>
      <c r="V1251"/>
      <c r="AF1251">
        <v>200</v>
      </c>
      <c r="AH1251" t="s">
        <v>3860</v>
      </c>
      <c r="AM1251" t="s">
        <v>167</v>
      </c>
      <c r="CE12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5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2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51" t="s">
        <v>157</v>
      </c>
      <c r="CI1251" s="35" t="s">
        <v>189</v>
      </c>
      <c r="CJ1251" t="s">
        <v>158</v>
      </c>
      <c r="CL1251" s="19">
        <f>IF(Table1[[#This Row],[Type]]="Petroleum",1,IF(ISERROR(Table1[[#This Row],[Well Density]]*Table1[[#This Row],[Single Well Discovery Area]]),"",IF(Table1[[#This Row],[Well Density]]*Table1[[#This Row],[Single Well Discovery Area]]&gt;1,1,Table1[[#This Row],[Well Density]]*Table1[[#This Row],[Single Well Discovery Area]])))</f>
        <v>1</v>
      </c>
      <c r="CN1251" s="19">
        <f>Table1[[#This Row],[Mid]]</f>
        <v>0</v>
      </c>
      <c r="CO1251" s="19">
        <f>Table1[[#This Row],[Mid3]]+Table1[[#This Row],[Mid6]]+Table1[[#This Row],[Mid9]]</f>
        <v>0</v>
      </c>
      <c r="CP1251" s="19">
        <f>Table1[[#This Row],[Mid12]]+Table1[[#This Row],[Mid15]]+Table1[[#This Row],[Mid18]]+Table1[[#This Row],[Mid21]]+Table1[[#This Row],[Mid24]]</f>
        <v>0</v>
      </c>
      <c r="CQ1251" s="19">
        <f>Table1[[#This Row],[Mid27]]+Table1[[#This Row],[Mid30]]+Table1[[#This Row],[Mid33]]+Table1[[#This Row],[Mid36]]+Table1[[#This Row],[Mid39]]</f>
        <v>0</v>
      </c>
      <c r="CR1251" t="s">
        <v>415</v>
      </c>
      <c r="CS1251" s="19" t="str">
        <f>IF(AND(Table1[[#This Row],[Low41]]=0, Table1[[#This Row],[High43]]=0),"N","Y")</f>
        <v>N</v>
      </c>
    </row>
    <row r="1252" spans="1:97" ht="19.5" customHeight="1" x14ac:dyDescent="0.25">
      <c r="A1252">
        <v>11254</v>
      </c>
      <c r="B1252" t="s">
        <v>3854</v>
      </c>
      <c r="C1252" t="s">
        <v>1449</v>
      </c>
      <c r="D1252">
        <v>52.75444444</v>
      </c>
      <c r="E1252">
        <v>4.0250000000000004</v>
      </c>
      <c r="F1252" t="s">
        <v>3870</v>
      </c>
      <c r="G1252" t="s">
        <v>1687</v>
      </c>
      <c r="H1252" t="s">
        <v>3871</v>
      </c>
      <c r="I1252" t="s">
        <v>2245</v>
      </c>
      <c r="J1252" t="s">
        <v>202</v>
      </c>
      <c r="K1252" t="s">
        <v>203</v>
      </c>
      <c r="L1252" t="s">
        <v>121</v>
      </c>
      <c r="M1252" t="s">
        <v>3734</v>
      </c>
      <c r="N1252" s="6" t="s">
        <v>3872</v>
      </c>
      <c r="O1252" t="s">
        <v>3387</v>
      </c>
      <c r="P1252" t="s">
        <v>2652</v>
      </c>
      <c r="Q1252" t="s">
        <v>255</v>
      </c>
      <c r="R1252" t="s">
        <v>3873</v>
      </c>
      <c r="S1252">
        <v>2009</v>
      </c>
      <c r="T1252" t="s">
        <v>771</v>
      </c>
      <c r="U1252" t="s">
        <v>3389</v>
      </c>
      <c r="V1252"/>
      <c r="AF1252">
        <v>200</v>
      </c>
      <c r="AH1252" t="s">
        <v>3715</v>
      </c>
      <c r="AI1252">
        <v>0.02</v>
      </c>
      <c r="AM1252" t="s">
        <v>1121</v>
      </c>
      <c r="BN1252">
        <v>337</v>
      </c>
      <c r="CE12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52" s="19">
        <f>SUM(Table1[[#This Row],[Mid39]],Table1[[#This Row],[Mid36]],Table1[[#This Row],[Mid33]],Table1[[#This Row],[Mid30]],Table1[[#This Row],[Mid27]],Table1[[#This Row],[Mid24]],Table1[[#This Row],[Mid21]],Table1[[#This Row],[Mid18]],Table1[[#This Row],[Mid15]],Table1[[#This Row],[Mid12]],Table1[[#This Row],[Mid9]],Table1[[#This Row],[Mid6]],Table1[[#This Row],[Mid3]],Table1[[#This Row],[Mid]])</f>
        <v>337</v>
      </c>
      <c r="CG12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52" t="s">
        <v>157</v>
      </c>
      <c r="CI1252" s="35" t="s">
        <v>134</v>
      </c>
      <c r="CJ1252" t="s">
        <v>158</v>
      </c>
      <c r="CL1252" s="19">
        <f>IF(Table1[[#This Row],[Type]]="Petroleum",1,IF(ISERROR(Table1[[#This Row],[Well Density]]*Table1[[#This Row],[Single Well Discovery Area]]),"",IF(Table1[[#This Row],[Well Density]]*Table1[[#This Row],[Single Well Discovery Area]]&gt;1,1,Table1[[#This Row],[Well Density]]*Table1[[#This Row],[Single Well Discovery Area]])))</f>
        <v>1</v>
      </c>
      <c r="CN1252" s="19">
        <f>Table1[[#This Row],[Mid]]</f>
        <v>0</v>
      </c>
      <c r="CO1252" s="19">
        <f>Table1[[#This Row],[Mid3]]+Table1[[#This Row],[Mid6]]+Table1[[#This Row],[Mid9]]</f>
        <v>0</v>
      </c>
      <c r="CP1252" s="19">
        <f>Table1[[#This Row],[Mid12]]+Table1[[#This Row],[Mid15]]+Table1[[#This Row],[Mid18]]+Table1[[#This Row],[Mid21]]+Table1[[#This Row],[Mid24]]</f>
        <v>337</v>
      </c>
      <c r="CQ1252" s="19">
        <f>Table1[[#This Row],[Mid27]]+Table1[[#This Row],[Mid30]]+Table1[[#This Row],[Mid33]]+Table1[[#This Row],[Mid36]]+Table1[[#This Row],[Mid39]]</f>
        <v>0</v>
      </c>
      <c r="CR1252" t="s">
        <v>415</v>
      </c>
      <c r="CS1252" s="19" t="str">
        <f>IF(AND(Table1[[#This Row],[Low41]]=0, Table1[[#This Row],[High43]]=0),"N","Y")</f>
        <v>N</v>
      </c>
    </row>
    <row r="1253" spans="1:97" ht="19.5" customHeight="1" x14ac:dyDescent="0.25">
      <c r="A1253">
        <v>11255</v>
      </c>
      <c r="B1253" t="s">
        <v>3854</v>
      </c>
      <c r="C1253" t="s">
        <v>1449</v>
      </c>
      <c r="D1253">
        <v>54.13777778</v>
      </c>
      <c r="E1253">
        <v>4.5927777780000003</v>
      </c>
      <c r="F1253" t="s">
        <v>3874</v>
      </c>
      <c r="G1253" t="s">
        <v>1687</v>
      </c>
      <c r="H1253" t="s">
        <v>3610</v>
      </c>
      <c r="I1253" t="s">
        <v>2245</v>
      </c>
      <c r="J1253" t="s">
        <v>202</v>
      </c>
      <c r="K1253" t="s">
        <v>203</v>
      </c>
      <c r="L1253" t="s">
        <v>121</v>
      </c>
      <c r="M1253" t="s">
        <v>745</v>
      </c>
      <c r="N1253" s="6" t="s">
        <v>3875</v>
      </c>
      <c r="O1253" t="s">
        <v>3387</v>
      </c>
      <c r="P1253" t="s">
        <v>2652</v>
      </c>
      <c r="Q1253" t="s">
        <v>255</v>
      </c>
      <c r="R1253" t="s">
        <v>3873</v>
      </c>
      <c r="S1253">
        <v>2009</v>
      </c>
      <c r="T1253" t="s">
        <v>771</v>
      </c>
      <c r="U1253" t="s">
        <v>3389</v>
      </c>
      <c r="V1253"/>
      <c r="AF1253">
        <v>200</v>
      </c>
      <c r="AH1253" t="s">
        <v>3715</v>
      </c>
      <c r="AI1253">
        <v>1.02</v>
      </c>
      <c r="AM1253" t="s">
        <v>1121</v>
      </c>
      <c r="BN1253">
        <v>77</v>
      </c>
      <c r="CE12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53" s="19">
        <f>SUM(Table1[[#This Row],[Mid39]],Table1[[#This Row],[Mid36]],Table1[[#This Row],[Mid33]],Table1[[#This Row],[Mid30]],Table1[[#This Row],[Mid27]],Table1[[#This Row],[Mid24]],Table1[[#This Row],[Mid21]],Table1[[#This Row],[Mid18]],Table1[[#This Row],[Mid15]],Table1[[#This Row],[Mid12]],Table1[[#This Row],[Mid9]],Table1[[#This Row],[Mid6]],Table1[[#This Row],[Mid3]],Table1[[#This Row],[Mid]])</f>
        <v>77</v>
      </c>
      <c r="CG12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53" t="s">
        <v>157</v>
      </c>
      <c r="CI1253" s="35" t="s">
        <v>134</v>
      </c>
      <c r="CJ1253" t="s">
        <v>158</v>
      </c>
      <c r="CL1253" s="19">
        <f>IF(Table1[[#This Row],[Type]]="Petroleum",1,IF(ISERROR(Table1[[#This Row],[Well Density]]*Table1[[#This Row],[Single Well Discovery Area]]),"",IF(Table1[[#This Row],[Well Density]]*Table1[[#This Row],[Single Well Discovery Area]]&gt;1,1,Table1[[#This Row],[Well Density]]*Table1[[#This Row],[Single Well Discovery Area]])))</f>
        <v>1</v>
      </c>
      <c r="CN1253" s="19">
        <f>Table1[[#This Row],[Mid]]</f>
        <v>0</v>
      </c>
      <c r="CO1253" s="19">
        <f>Table1[[#This Row],[Mid3]]+Table1[[#This Row],[Mid6]]+Table1[[#This Row],[Mid9]]</f>
        <v>0</v>
      </c>
      <c r="CP1253" s="19">
        <f>Table1[[#This Row],[Mid12]]+Table1[[#This Row],[Mid15]]+Table1[[#This Row],[Mid18]]+Table1[[#This Row],[Mid21]]+Table1[[#This Row],[Mid24]]</f>
        <v>77</v>
      </c>
      <c r="CQ1253" s="19">
        <f>Table1[[#This Row],[Mid27]]+Table1[[#This Row],[Mid30]]+Table1[[#This Row],[Mid33]]+Table1[[#This Row],[Mid36]]+Table1[[#This Row],[Mid39]]</f>
        <v>0</v>
      </c>
      <c r="CR1253" t="s">
        <v>415</v>
      </c>
      <c r="CS1253" s="19" t="str">
        <f>IF(AND(Table1[[#This Row],[Low41]]=0, Table1[[#This Row],[High43]]=0),"N","Y")</f>
        <v>N</v>
      </c>
    </row>
    <row r="1254" spans="1:97" ht="19.5" customHeight="1" x14ac:dyDescent="0.25">
      <c r="A1254">
        <v>11256</v>
      </c>
      <c r="B1254" t="s">
        <v>3854</v>
      </c>
      <c r="C1254" t="s">
        <v>1449</v>
      </c>
      <c r="D1254">
        <v>53.764722220000003</v>
      </c>
      <c r="E1254">
        <v>5.659166667</v>
      </c>
      <c r="F1254" t="s">
        <v>3876</v>
      </c>
      <c r="G1254" t="s">
        <v>1687</v>
      </c>
      <c r="H1254" t="s">
        <v>3877</v>
      </c>
      <c r="I1254" t="s">
        <v>2245</v>
      </c>
      <c r="J1254" t="s">
        <v>202</v>
      </c>
      <c r="K1254" t="s">
        <v>203</v>
      </c>
      <c r="L1254" t="s">
        <v>121</v>
      </c>
      <c r="M1254" t="s">
        <v>2618</v>
      </c>
      <c r="N1254" s="6" t="s">
        <v>3878</v>
      </c>
      <c r="O1254" t="s">
        <v>3387</v>
      </c>
      <c r="P1254" t="s">
        <v>2652</v>
      </c>
      <c r="Q1254" t="s">
        <v>255</v>
      </c>
      <c r="R1254" t="s">
        <v>3873</v>
      </c>
      <c r="S1254">
        <v>2009</v>
      </c>
      <c r="T1254" t="s">
        <v>771</v>
      </c>
      <c r="U1254" t="s">
        <v>3389</v>
      </c>
      <c r="V1254"/>
      <c r="AF1254">
        <v>200</v>
      </c>
      <c r="AH1254" t="s">
        <v>3715</v>
      </c>
      <c r="AI1254">
        <v>2.02</v>
      </c>
      <c r="AM1254" t="s">
        <v>1121</v>
      </c>
      <c r="BN1254">
        <v>24</v>
      </c>
      <c r="CE125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54" s="19">
        <f>SUM(Table1[[#This Row],[Mid39]],Table1[[#This Row],[Mid36]],Table1[[#This Row],[Mid33]],Table1[[#This Row],[Mid30]],Table1[[#This Row],[Mid27]],Table1[[#This Row],[Mid24]],Table1[[#This Row],[Mid21]],Table1[[#This Row],[Mid18]],Table1[[#This Row],[Mid15]],Table1[[#This Row],[Mid12]],Table1[[#This Row],[Mid9]],Table1[[#This Row],[Mid6]],Table1[[#This Row],[Mid3]],Table1[[#This Row],[Mid]])</f>
        <v>24</v>
      </c>
      <c r="CG125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54" t="s">
        <v>157</v>
      </c>
      <c r="CI1254" s="35" t="s">
        <v>134</v>
      </c>
      <c r="CJ1254" t="s">
        <v>158</v>
      </c>
      <c r="CL1254" s="19">
        <f>IF(Table1[[#This Row],[Type]]="Petroleum",1,IF(ISERROR(Table1[[#This Row],[Well Density]]*Table1[[#This Row],[Single Well Discovery Area]]),"",IF(Table1[[#This Row],[Well Density]]*Table1[[#This Row],[Single Well Discovery Area]]&gt;1,1,Table1[[#This Row],[Well Density]]*Table1[[#This Row],[Single Well Discovery Area]])))</f>
        <v>1</v>
      </c>
      <c r="CN1254" s="19">
        <f>Table1[[#This Row],[Mid]]</f>
        <v>0</v>
      </c>
      <c r="CO1254" s="19">
        <f>Table1[[#This Row],[Mid3]]+Table1[[#This Row],[Mid6]]+Table1[[#This Row],[Mid9]]</f>
        <v>0</v>
      </c>
      <c r="CP1254" s="19">
        <f>Table1[[#This Row],[Mid12]]+Table1[[#This Row],[Mid15]]+Table1[[#This Row],[Mid18]]+Table1[[#This Row],[Mid21]]+Table1[[#This Row],[Mid24]]</f>
        <v>24</v>
      </c>
      <c r="CQ1254" s="19">
        <f>Table1[[#This Row],[Mid27]]+Table1[[#This Row],[Mid30]]+Table1[[#This Row],[Mid33]]+Table1[[#This Row],[Mid36]]+Table1[[#This Row],[Mid39]]</f>
        <v>0</v>
      </c>
      <c r="CR1254" t="s">
        <v>415</v>
      </c>
      <c r="CS1254" s="19" t="str">
        <f>IF(AND(Table1[[#This Row],[Low41]]=0, Table1[[#This Row],[High43]]=0),"N","Y")</f>
        <v>N</v>
      </c>
    </row>
    <row r="1255" spans="1:97" ht="19.5" customHeight="1" x14ac:dyDescent="0.25">
      <c r="A1255">
        <v>11257</v>
      </c>
      <c r="B1255" t="s">
        <v>3854</v>
      </c>
      <c r="C1255" t="s">
        <v>1449</v>
      </c>
      <c r="D1255">
        <v>53.368888890000001</v>
      </c>
      <c r="E1255">
        <v>3.8872222220000001</v>
      </c>
      <c r="F1255" t="s">
        <v>3879</v>
      </c>
      <c r="G1255" t="s">
        <v>1687</v>
      </c>
      <c r="H1255" t="s">
        <v>3880</v>
      </c>
      <c r="I1255" t="s">
        <v>2245</v>
      </c>
      <c r="J1255" t="s">
        <v>202</v>
      </c>
      <c r="K1255" t="s">
        <v>203</v>
      </c>
      <c r="L1255" t="s">
        <v>121</v>
      </c>
      <c r="M1255" t="s">
        <v>298</v>
      </c>
      <c r="N1255" s="6" t="s">
        <v>3881</v>
      </c>
      <c r="O1255" t="s">
        <v>3882</v>
      </c>
      <c r="P1255" t="s">
        <v>2652</v>
      </c>
      <c r="Q1255" t="s">
        <v>3883</v>
      </c>
      <c r="R1255" t="s">
        <v>3884</v>
      </c>
      <c r="S1255">
        <v>2021</v>
      </c>
      <c r="T1255" t="s">
        <v>771</v>
      </c>
      <c r="U1255" t="s">
        <v>3389</v>
      </c>
      <c r="V1255"/>
      <c r="AA1255">
        <v>400</v>
      </c>
      <c r="AD1255">
        <v>9</v>
      </c>
      <c r="AF1255">
        <v>200</v>
      </c>
      <c r="AH1255" t="s">
        <v>167</v>
      </c>
      <c r="AM1255" t="s">
        <v>167</v>
      </c>
      <c r="AP1255">
        <v>0.1</v>
      </c>
      <c r="BH1255">
        <v>24.9</v>
      </c>
      <c r="CE125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55" s="19">
        <f>SUM(Table1[[#This Row],[Mid39]],Table1[[#This Row],[Mid36]],Table1[[#This Row],[Mid33]],Table1[[#This Row],[Mid30]],Table1[[#This Row],[Mid27]],Table1[[#This Row],[Mid24]],Table1[[#This Row],[Mid21]],Table1[[#This Row],[Mid18]],Table1[[#This Row],[Mid15]],Table1[[#This Row],[Mid12]],Table1[[#This Row],[Mid9]],Table1[[#This Row],[Mid6]],Table1[[#This Row],[Mid3]],Table1[[#This Row],[Mid]])</f>
        <v>25</v>
      </c>
      <c r="CG125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55" t="s">
        <v>157</v>
      </c>
      <c r="CI1255" s="35" t="s">
        <v>134</v>
      </c>
      <c r="CJ1255" t="s">
        <v>158</v>
      </c>
      <c r="CL1255" s="19">
        <f>IF(Table1[[#This Row],[Type]]="Petroleum",1,IF(ISERROR(Table1[[#This Row],[Well Density]]*Table1[[#This Row],[Single Well Discovery Area]]),"",IF(Table1[[#This Row],[Well Density]]*Table1[[#This Row],[Single Well Discovery Area]]&gt;1,1,Table1[[#This Row],[Well Density]]*Table1[[#This Row],[Single Well Discovery Area]])))</f>
        <v>1</v>
      </c>
      <c r="CN1255" s="19">
        <f>Table1[[#This Row],[Mid]]</f>
        <v>0.1</v>
      </c>
      <c r="CO1255" s="19">
        <f>Table1[[#This Row],[Mid3]]+Table1[[#This Row],[Mid6]]+Table1[[#This Row],[Mid9]]</f>
        <v>0</v>
      </c>
      <c r="CP1255" s="19">
        <f>Table1[[#This Row],[Mid12]]+Table1[[#This Row],[Mid15]]+Table1[[#This Row],[Mid18]]+Table1[[#This Row],[Mid21]]+Table1[[#This Row],[Mid24]]</f>
        <v>24.9</v>
      </c>
      <c r="CQ1255" s="19">
        <f>Table1[[#This Row],[Mid27]]+Table1[[#This Row],[Mid30]]+Table1[[#This Row],[Mid33]]+Table1[[#This Row],[Mid36]]+Table1[[#This Row],[Mid39]]</f>
        <v>0</v>
      </c>
      <c r="CR1255" t="s">
        <v>415</v>
      </c>
      <c r="CS1255" s="19" t="str">
        <f>IF(AND(Table1[[#This Row],[Low41]]=0, Table1[[#This Row],[High43]]=0),"N","Y")</f>
        <v>N</v>
      </c>
    </row>
    <row r="1256" spans="1:97" ht="19.5" customHeight="1" x14ac:dyDescent="0.25">
      <c r="A1256">
        <v>11258</v>
      </c>
      <c r="B1256" t="s">
        <v>3854</v>
      </c>
      <c r="C1256" t="s">
        <v>1449</v>
      </c>
      <c r="D1256">
        <v>52.976999999999997</v>
      </c>
      <c r="E1256">
        <v>4.1185999999999998</v>
      </c>
      <c r="F1256" t="s">
        <v>3885</v>
      </c>
      <c r="G1256" t="s">
        <v>1687</v>
      </c>
      <c r="H1256" t="s">
        <v>167</v>
      </c>
      <c r="I1256" t="s">
        <v>118</v>
      </c>
      <c r="J1256" t="s">
        <v>119</v>
      </c>
      <c r="K1256" t="s">
        <v>167</v>
      </c>
      <c r="L1256" t="s">
        <v>18</v>
      </c>
      <c r="M1256" t="s">
        <v>148</v>
      </c>
      <c r="N1256" s="6" t="s">
        <v>3886</v>
      </c>
      <c r="O1256" t="s">
        <v>3887</v>
      </c>
      <c r="P1256" t="s">
        <v>3888</v>
      </c>
      <c r="Q1256" t="s">
        <v>3889</v>
      </c>
      <c r="R1256" t="s">
        <v>3890</v>
      </c>
      <c r="S1256">
        <v>2013</v>
      </c>
      <c r="T1256" t="s">
        <v>771</v>
      </c>
      <c r="U1256" t="s">
        <v>3389</v>
      </c>
      <c r="V1256"/>
      <c r="AH1256" t="s">
        <v>3891</v>
      </c>
      <c r="BV1256">
        <v>110</v>
      </c>
      <c r="BZ1256">
        <v>225</v>
      </c>
      <c r="CE1256" s="19">
        <f>SUM(Table1[[#This Row],[Low38]],Table1[[#This Row],[Low35]],Table1[[#This Row],[Low32]],Table1[[#This Row],[Low29]],Table1[[#This Row],[Low26]],Table1[[#This Row],[Low23]],Table1[[#This Row],[Low20]],Table1[[#This Row],[Low17]],Table1[[#This Row],[Low14]],Table1[[#This Row],[Low11]],Table1[[#This Row],[Low8]],Table1[[#This Row],[Low5]],Table1[[#This Row],[Low2]],Table1[[#This Row],[Low]])</f>
        <v>110</v>
      </c>
      <c r="CF1256" s="19">
        <f>SUM(Table1[[#This Row],[Mid39]],Table1[[#This Row],[Mid36]],Table1[[#This Row],[Mid33]],Table1[[#This Row],[Mid30]],Table1[[#This Row],[Mid27]],Table1[[#This Row],[Mid24]],Table1[[#This Row],[Mid21]],Table1[[#This Row],[Mid18]],Table1[[#This Row],[Mid15]],Table1[[#This Row],[Mid12]],Table1[[#This Row],[Mid9]],Table1[[#This Row],[Mid6]],Table1[[#This Row],[Mid3]],Table1[[#This Row],[Mid]])</f>
        <v>225</v>
      </c>
      <c r="CG125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56" t="s">
        <v>157</v>
      </c>
      <c r="CI1256" s="35" t="s">
        <v>189</v>
      </c>
      <c r="CJ1256" t="s">
        <v>158</v>
      </c>
      <c r="CL1256" s="19">
        <f>IF(Table1[[#This Row],[Type]]="Petroleum",1,IF(ISERROR(Table1[[#This Row],[Well Density]]*Table1[[#This Row],[Single Well Discovery Area]]),"",IF(Table1[[#This Row],[Well Density]]*Table1[[#This Row],[Single Well Discovery Area]]&gt;1,1,Table1[[#This Row],[Well Density]]*Table1[[#This Row],[Single Well Discovery Area]])))</f>
        <v>0</v>
      </c>
      <c r="CN1256" s="19">
        <f>Table1[[#This Row],[Mid]]</f>
        <v>0</v>
      </c>
      <c r="CO1256" s="19">
        <f>Table1[[#This Row],[Mid3]]+Table1[[#This Row],[Mid6]]+Table1[[#This Row],[Mid9]]</f>
        <v>0</v>
      </c>
      <c r="CP1256" s="19">
        <f>Table1[[#This Row],[Mid12]]+Table1[[#This Row],[Mid15]]+Table1[[#This Row],[Mid18]]+Table1[[#This Row],[Mid21]]+Table1[[#This Row],[Mid24]]</f>
        <v>0</v>
      </c>
      <c r="CQ1256" s="19">
        <f>Table1[[#This Row],[Mid27]]+Table1[[#This Row],[Mid30]]+Table1[[#This Row],[Mid33]]+Table1[[#This Row],[Mid36]]+Table1[[#This Row],[Mid39]]</f>
        <v>225</v>
      </c>
      <c r="CR1256" t="s">
        <v>415</v>
      </c>
      <c r="CS1256" s="19" t="str">
        <f>IF(AND(Table1[[#This Row],[Low41]]=0, Table1[[#This Row],[High43]]=0),"N","Y")</f>
        <v>Y</v>
      </c>
    </row>
    <row r="1257" spans="1:97" ht="19.5" customHeight="1" x14ac:dyDescent="0.25">
      <c r="A1257">
        <v>11259</v>
      </c>
      <c r="B1257" t="s">
        <v>3854</v>
      </c>
      <c r="C1257" t="s">
        <v>1449</v>
      </c>
      <c r="D1257">
        <v>52.518000000000001</v>
      </c>
      <c r="E1257">
        <v>3.867</v>
      </c>
      <c r="F1257" t="s">
        <v>3892</v>
      </c>
      <c r="G1257" t="s">
        <v>1687</v>
      </c>
      <c r="H1257" t="s">
        <v>167</v>
      </c>
      <c r="I1257" t="s">
        <v>118</v>
      </c>
      <c r="J1257" t="s">
        <v>119</v>
      </c>
      <c r="K1257" t="s">
        <v>167</v>
      </c>
      <c r="L1257" t="s">
        <v>18</v>
      </c>
      <c r="M1257" t="s">
        <v>148</v>
      </c>
      <c r="N1257" s="6" t="s">
        <v>3886</v>
      </c>
      <c r="O1257" t="s">
        <v>3887</v>
      </c>
      <c r="P1257" t="s">
        <v>3888</v>
      </c>
      <c r="Q1257" t="s">
        <v>3893</v>
      </c>
      <c r="R1257" t="s">
        <v>3890</v>
      </c>
      <c r="S1257">
        <v>2013</v>
      </c>
      <c r="T1257" t="s">
        <v>771</v>
      </c>
      <c r="U1257" t="s">
        <v>3389</v>
      </c>
      <c r="V1257"/>
      <c r="AH1257" t="s">
        <v>3891</v>
      </c>
      <c r="BW1257">
        <v>360</v>
      </c>
      <c r="CE125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57" s="19">
        <f>SUM(Table1[[#This Row],[Mid39]],Table1[[#This Row],[Mid36]],Table1[[#This Row],[Mid33]],Table1[[#This Row],[Mid30]],Table1[[#This Row],[Mid27]],Table1[[#This Row],[Mid24]],Table1[[#This Row],[Mid21]],Table1[[#This Row],[Mid18]],Table1[[#This Row],[Mid15]],Table1[[#This Row],[Mid12]],Table1[[#This Row],[Mid9]],Table1[[#This Row],[Mid6]],Table1[[#This Row],[Mid3]],Table1[[#This Row],[Mid]])</f>
        <v>360</v>
      </c>
      <c r="CG125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57" t="s">
        <v>157</v>
      </c>
      <c r="CI1257" s="35" t="s">
        <v>189</v>
      </c>
      <c r="CJ1257" t="s">
        <v>158</v>
      </c>
      <c r="CL1257" s="19">
        <f>IF(Table1[[#This Row],[Type]]="Petroleum",1,IF(ISERROR(Table1[[#This Row],[Well Density]]*Table1[[#This Row],[Single Well Discovery Area]]),"",IF(Table1[[#This Row],[Well Density]]*Table1[[#This Row],[Single Well Discovery Area]]&gt;1,1,Table1[[#This Row],[Well Density]]*Table1[[#This Row],[Single Well Discovery Area]])))</f>
        <v>0</v>
      </c>
      <c r="CN1257" s="19">
        <f>Table1[[#This Row],[Mid]]</f>
        <v>0</v>
      </c>
      <c r="CO1257" s="19">
        <f>Table1[[#This Row],[Mid3]]+Table1[[#This Row],[Mid6]]+Table1[[#This Row],[Mid9]]</f>
        <v>0</v>
      </c>
      <c r="CP1257" s="19">
        <f>Table1[[#This Row],[Mid12]]+Table1[[#This Row],[Mid15]]+Table1[[#This Row],[Mid18]]+Table1[[#This Row],[Mid21]]+Table1[[#This Row],[Mid24]]</f>
        <v>0</v>
      </c>
      <c r="CQ1257" s="19">
        <f>Table1[[#This Row],[Mid27]]+Table1[[#This Row],[Mid30]]+Table1[[#This Row],[Mid33]]+Table1[[#This Row],[Mid36]]+Table1[[#This Row],[Mid39]]</f>
        <v>360</v>
      </c>
      <c r="CR1257" t="s">
        <v>415</v>
      </c>
      <c r="CS1257" s="19" t="str">
        <f>IF(AND(Table1[[#This Row],[Low41]]=0, Table1[[#This Row],[High43]]=0),"N","Y")</f>
        <v>N</v>
      </c>
    </row>
    <row r="1258" spans="1:97" ht="19.5" customHeight="1" x14ac:dyDescent="0.25">
      <c r="A1258">
        <v>11260</v>
      </c>
      <c r="B1258" t="s">
        <v>3854</v>
      </c>
      <c r="C1258" t="s">
        <v>1449</v>
      </c>
      <c r="D1258">
        <v>54.393000000000001</v>
      </c>
      <c r="E1258">
        <v>4.5510000000000002</v>
      </c>
      <c r="F1258" t="s">
        <v>3894</v>
      </c>
      <c r="G1258" t="s">
        <v>1687</v>
      </c>
      <c r="H1258" t="s">
        <v>167</v>
      </c>
      <c r="I1258" t="s">
        <v>118</v>
      </c>
      <c r="J1258" t="s">
        <v>119</v>
      </c>
      <c r="K1258" t="s">
        <v>167</v>
      </c>
      <c r="L1258" t="s">
        <v>18</v>
      </c>
      <c r="M1258" t="s">
        <v>392</v>
      </c>
      <c r="N1258" s="6" t="s">
        <v>3886</v>
      </c>
      <c r="O1258" t="s">
        <v>3887</v>
      </c>
      <c r="P1258" t="s">
        <v>3895</v>
      </c>
      <c r="Q1258" t="s">
        <v>3893</v>
      </c>
      <c r="R1258" t="s">
        <v>3890</v>
      </c>
      <c r="S1258">
        <v>2013</v>
      </c>
      <c r="T1258" t="s">
        <v>771</v>
      </c>
      <c r="U1258" t="s">
        <v>3389</v>
      </c>
      <c r="V1258"/>
      <c r="AH1258" t="s">
        <v>3891</v>
      </c>
      <c r="BW1258">
        <v>650</v>
      </c>
      <c r="CE125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58" s="19">
        <f>SUM(Table1[[#This Row],[Mid39]],Table1[[#This Row],[Mid36]],Table1[[#This Row],[Mid33]],Table1[[#This Row],[Mid30]],Table1[[#This Row],[Mid27]],Table1[[#This Row],[Mid24]],Table1[[#This Row],[Mid21]],Table1[[#This Row],[Mid18]],Table1[[#This Row],[Mid15]],Table1[[#This Row],[Mid12]],Table1[[#This Row],[Mid9]],Table1[[#This Row],[Mid6]],Table1[[#This Row],[Mid3]],Table1[[#This Row],[Mid]])</f>
        <v>650</v>
      </c>
      <c r="CG125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58" t="s">
        <v>157</v>
      </c>
      <c r="CI1258" s="35" t="s">
        <v>189</v>
      </c>
      <c r="CJ1258" t="s">
        <v>158</v>
      </c>
      <c r="CL1258" s="19">
        <f>IF(Table1[[#This Row],[Type]]="Petroleum",1,IF(ISERROR(Table1[[#This Row],[Well Density]]*Table1[[#This Row],[Single Well Discovery Area]]),"",IF(Table1[[#This Row],[Well Density]]*Table1[[#This Row],[Single Well Discovery Area]]&gt;1,1,Table1[[#This Row],[Well Density]]*Table1[[#This Row],[Single Well Discovery Area]])))</f>
        <v>0</v>
      </c>
      <c r="CN1258" s="19">
        <f>Table1[[#This Row],[Mid]]</f>
        <v>0</v>
      </c>
      <c r="CO1258" s="19">
        <f>Table1[[#This Row],[Mid3]]+Table1[[#This Row],[Mid6]]+Table1[[#This Row],[Mid9]]</f>
        <v>0</v>
      </c>
      <c r="CP1258" s="19">
        <f>Table1[[#This Row],[Mid12]]+Table1[[#This Row],[Mid15]]+Table1[[#This Row],[Mid18]]+Table1[[#This Row],[Mid21]]+Table1[[#This Row],[Mid24]]</f>
        <v>0</v>
      </c>
      <c r="CQ1258" s="19">
        <f>Table1[[#This Row],[Mid27]]+Table1[[#This Row],[Mid30]]+Table1[[#This Row],[Mid33]]+Table1[[#This Row],[Mid36]]+Table1[[#This Row],[Mid39]]</f>
        <v>650</v>
      </c>
      <c r="CR1258" t="s">
        <v>415</v>
      </c>
      <c r="CS1258" s="19" t="str">
        <f>IF(AND(Table1[[#This Row],[Low41]]=0, Table1[[#This Row],[High43]]=0),"N","Y")</f>
        <v>N</v>
      </c>
    </row>
    <row r="1259" spans="1:97" ht="19.5" customHeight="1" x14ac:dyDescent="0.25">
      <c r="A1259">
        <v>11261</v>
      </c>
      <c r="B1259" t="s">
        <v>3854</v>
      </c>
      <c r="C1259" t="s">
        <v>1449</v>
      </c>
      <c r="D1259">
        <v>53.411000000000001</v>
      </c>
      <c r="E1259">
        <v>4.0049999999999999</v>
      </c>
      <c r="F1259" t="s">
        <v>3896</v>
      </c>
      <c r="G1259" t="s">
        <v>1687</v>
      </c>
      <c r="H1259" t="s">
        <v>3897</v>
      </c>
      <c r="I1259" t="s">
        <v>118</v>
      </c>
      <c r="J1259" t="s">
        <v>119</v>
      </c>
      <c r="K1259" t="s">
        <v>167</v>
      </c>
      <c r="L1259" t="s">
        <v>18</v>
      </c>
      <c r="M1259" t="s">
        <v>252</v>
      </c>
      <c r="N1259" s="6" t="s">
        <v>3886</v>
      </c>
      <c r="O1259" t="s">
        <v>3887</v>
      </c>
      <c r="P1259" t="s">
        <v>3898</v>
      </c>
      <c r="Q1259" t="s">
        <v>3893</v>
      </c>
      <c r="R1259" t="s">
        <v>3890</v>
      </c>
      <c r="S1259">
        <v>2013</v>
      </c>
      <c r="T1259" t="s">
        <v>771</v>
      </c>
      <c r="U1259" t="s">
        <v>3389</v>
      </c>
      <c r="V1259"/>
      <c r="AF1259">
        <v>200</v>
      </c>
      <c r="AH1259" t="s">
        <v>3891</v>
      </c>
      <c r="BW1259">
        <v>60</v>
      </c>
      <c r="CE125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59" s="19">
        <f>SUM(Table1[[#This Row],[Mid39]],Table1[[#This Row],[Mid36]],Table1[[#This Row],[Mid33]],Table1[[#This Row],[Mid30]],Table1[[#This Row],[Mid27]],Table1[[#This Row],[Mid24]],Table1[[#This Row],[Mid21]],Table1[[#This Row],[Mid18]],Table1[[#This Row],[Mid15]],Table1[[#This Row],[Mid12]],Table1[[#This Row],[Mid9]],Table1[[#This Row],[Mid6]],Table1[[#This Row],[Mid3]],Table1[[#This Row],[Mid]])</f>
        <v>60</v>
      </c>
      <c r="CG125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59" t="s">
        <v>157</v>
      </c>
      <c r="CI1259" s="35" t="s">
        <v>134</v>
      </c>
      <c r="CJ1259" t="s">
        <v>158</v>
      </c>
      <c r="CL1259" s="19">
        <f>IF(Table1[[#This Row],[Type]]="Petroleum",1,IF(ISERROR(Table1[[#This Row],[Well Density]]*Table1[[#This Row],[Single Well Discovery Area]]),"",IF(Table1[[#This Row],[Well Density]]*Table1[[#This Row],[Single Well Discovery Area]]&gt;1,1,Table1[[#This Row],[Well Density]]*Table1[[#This Row],[Single Well Discovery Area]])))</f>
        <v>0</v>
      </c>
      <c r="CN1259" s="19">
        <f>Table1[[#This Row],[Mid]]</f>
        <v>0</v>
      </c>
      <c r="CO1259" s="19">
        <f>Table1[[#This Row],[Mid3]]+Table1[[#This Row],[Mid6]]+Table1[[#This Row],[Mid9]]</f>
        <v>0</v>
      </c>
      <c r="CP1259" s="19">
        <f>Table1[[#This Row],[Mid12]]+Table1[[#This Row],[Mid15]]+Table1[[#This Row],[Mid18]]+Table1[[#This Row],[Mid21]]+Table1[[#This Row],[Mid24]]</f>
        <v>0</v>
      </c>
      <c r="CQ1259" s="19">
        <f>Table1[[#This Row],[Mid27]]+Table1[[#This Row],[Mid30]]+Table1[[#This Row],[Mid33]]+Table1[[#This Row],[Mid36]]+Table1[[#This Row],[Mid39]]</f>
        <v>60</v>
      </c>
      <c r="CR1259" t="s">
        <v>415</v>
      </c>
      <c r="CS1259" s="19" t="str">
        <f>IF(AND(Table1[[#This Row],[Low41]]=0, Table1[[#This Row],[High43]]=0),"N","Y")</f>
        <v>N</v>
      </c>
    </row>
    <row r="1260" spans="1:97" ht="19.5" customHeight="1" x14ac:dyDescent="0.25">
      <c r="A1260">
        <v>11262</v>
      </c>
      <c r="B1260" t="s">
        <v>3854</v>
      </c>
      <c r="C1260" t="s">
        <v>1449</v>
      </c>
      <c r="D1260">
        <v>55.121000000000002</v>
      </c>
      <c r="E1260">
        <v>4.2640000000000002</v>
      </c>
      <c r="F1260" t="s">
        <v>3899</v>
      </c>
      <c r="G1260" t="s">
        <v>1687</v>
      </c>
      <c r="H1260" t="s">
        <v>167</v>
      </c>
      <c r="I1260" t="s">
        <v>118</v>
      </c>
      <c r="J1260" t="s">
        <v>119</v>
      </c>
      <c r="K1260" t="s">
        <v>167</v>
      </c>
      <c r="L1260" t="s">
        <v>18</v>
      </c>
      <c r="M1260" t="s">
        <v>252</v>
      </c>
      <c r="N1260" s="6" t="s">
        <v>3886</v>
      </c>
      <c r="O1260" t="s">
        <v>3887</v>
      </c>
      <c r="P1260" t="s">
        <v>3895</v>
      </c>
      <c r="Q1260" t="s">
        <v>3893</v>
      </c>
      <c r="R1260" t="s">
        <v>3890</v>
      </c>
      <c r="S1260">
        <v>2013</v>
      </c>
      <c r="T1260" t="s">
        <v>771</v>
      </c>
      <c r="U1260" t="s">
        <v>3389</v>
      </c>
      <c r="V1260"/>
      <c r="AH1260" t="s">
        <v>3891</v>
      </c>
      <c r="BW1260">
        <v>190</v>
      </c>
      <c r="CE126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60" s="19">
        <f>SUM(Table1[[#This Row],[Mid39]],Table1[[#This Row],[Mid36]],Table1[[#This Row],[Mid33]],Table1[[#This Row],[Mid30]],Table1[[#This Row],[Mid27]],Table1[[#This Row],[Mid24]],Table1[[#This Row],[Mid21]],Table1[[#This Row],[Mid18]],Table1[[#This Row],[Mid15]],Table1[[#This Row],[Mid12]],Table1[[#This Row],[Mid9]],Table1[[#This Row],[Mid6]],Table1[[#This Row],[Mid3]],Table1[[#This Row],[Mid]])</f>
        <v>190</v>
      </c>
      <c r="CG126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60" t="s">
        <v>157</v>
      </c>
      <c r="CI1260" s="35" t="s">
        <v>189</v>
      </c>
      <c r="CJ1260" t="s">
        <v>158</v>
      </c>
      <c r="CL1260" s="19">
        <f>IF(Table1[[#This Row],[Type]]="Petroleum",1,IF(ISERROR(Table1[[#This Row],[Well Density]]*Table1[[#This Row],[Single Well Discovery Area]]),"",IF(Table1[[#This Row],[Well Density]]*Table1[[#This Row],[Single Well Discovery Area]]&gt;1,1,Table1[[#This Row],[Well Density]]*Table1[[#This Row],[Single Well Discovery Area]])))</f>
        <v>0</v>
      </c>
      <c r="CN1260" s="19">
        <f>Table1[[#This Row],[Mid]]</f>
        <v>0</v>
      </c>
      <c r="CO1260" s="19">
        <f>Table1[[#This Row],[Mid3]]+Table1[[#This Row],[Mid6]]+Table1[[#This Row],[Mid9]]</f>
        <v>0</v>
      </c>
      <c r="CP1260" s="19">
        <f>Table1[[#This Row],[Mid12]]+Table1[[#This Row],[Mid15]]+Table1[[#This Row],[Mid18]]+Table1[[#This Row],[Mid21]]+Table1[[#This Row],[Mid24]]</f>
        <v>0</v>
      </c>
      <c r="CQ1260" s="19">
        <f>Table1[[#This Row],[Mid27]]+Table1[[#This Row],[Mid30]]+Table1[[#This Row],[Mid33]]+Table1[[#This Row],[Mid36]]+Table1[[#This Row],[Mid39]]</f>
        <v>190</v>
      </c>
      <c r="CR1260" t="s">
        <v>415</v>
      </c>
      <c r="CS1260" s="19" t="str">
        <f>IF(AND(Table1[[#This Row],[Low41]]=0, Table1[[#This Row],[High43]]=0),"N","Y")</f>
        <v>N</v>
      </c>
    </row>
    <row r="1261" spans="1:97" ht="19.5" customHeight="1" x14ac:dyDescent="0.25">
      <c r="A1261">
        <v>11263</v>
      </c>
      <c r="B1261" t="s">
        <v>3854</v>
      </c>
      <c r="C1261" t="s">
        <v>1449</v>
      </c>
      <c r="D1261">
        <v>53.232999999999997</v>
      </c>
      <c r="E1261">
        <v>4.0179999999999998</v>
      </c>
      <c r="F1261" t="s">
        <v>3900</v>
      </c>
      <c r="G1261" t="s">
        <v>1687</v>
      </c>
      <c r="H1261" t="s">
        <v>3901</v>
      </c>
      <c r="I1261" t="s">
        <v>2245</v>
      </c>
      <c r="J1261" t="s">
        <v>202</v>
      </c>
      <c r="K1261" t="s">
        <v>167</v>
      </c>
      <c r="L1261" t="s">
        <v>121</v>
      </c>
      <c r="M1261" t="s">
        <v>252</v>
      </c>
      <c r="N1261" s="6" t="s">
        <v>3886</v>
      </c>
      <c r="O1261" t="s">
        <v>3887</v>
      </c>
      <c r="P1261" t="s">
        <v>3902</v>
      </c>
      <c r="Q1261" t="s">
        <v>3903</v>
      </c>
      <c r="R1261" t="s">
        <v>3904</v>
      </c>
      <c r="S1261">
        <v>2013</v>
      </c>
      <c r="T1261" t="s">
        <v>771</v>
      </c>
      <c r="U1261" t="s">
        <v>3389</v>
      </c>
      <c r="V1261"/>
      <c r="AH1261" t="s">
        <v>3905</v>
      </c>
      <c r="BE1261">
        <v>111</v>
      </c>
      <c r="CE126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61" s="19">
        <f>SUM(Table1[[#This Row],[Mid39]],Table1[[#This Row],[Mid36]],Table1[[#This Row],[Mid33]],Table1[[#This Row],[Mid30]],Table1[[#This Row],[Mid27]],Table1[[#This Row],[Mid24]],Table1[[#This Row],[Mid21]],Table1[[#This Row],[Mid18]],Table1[[#This Row],[Mid15]],Table1[[#This Row],[Mid12]],Table1[[#This Row],[Mid9]],Table1[[#This Row],[Mid6]],Table1[[#This Row],[Mid3]],Table1[[#This Row],[Mid]])</f>
        <v>111</v>
      </c>
      <c r="CG126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61" t="s">
        <v>157</v>
      </c>
      <c r="CI1261" s="35" t="s">
        <v>189</v>
      </c>
      <c r="CJ1261" t="s">
        <v>135</v>
      </c>
      <c r="CL1261" s="19">
        <f>IF(Table1[[#This Row],[Type]]="Petroleum",1,IF(ISERROR(Table1[[#This Row],[Well Density]]*Table1[[#This Row],[Single Well Discovery Area]]),"",IF(Table1[[#This Row],[Well Density]]*Table1[[#This Row],[Single Well Discovery Area]]&gt;1,1,Table1[[#This Row],[Well Density]]*Table1[[#This Row],[Single Well Discovery Area]])))</f>
        <v>1</v>
      </c>
      <c r="CN1261" s="19">
        <f>Table1[[#This Row],[Mid]]</f>
        <v>0</v>
      </c>
      <c r="CO1261" s="19">
        <f>Table1[[#This Row],[Mid3]]+Table1[[#This Row],[Mid6]]+Table1[[#This Row],[Mid9]]</f>
        <v>0</v>
      </c>
      <c r="CP1261" s="19">
        <f>Table1[[#This Row],[Mid12]]+Table1[[#This Row],[Mid15]]+Table1[[#This Row],[Mid18]]+Table1[[#This Row],[Mid21]]+Table1[[#This Row],[Mid24]]</f>
        <v>111</v>
      </c>
      <c r="CQ1261" s="19">
        <f>Table1[[#This Row],[Mid27]]+Table1[[#This Row],[Mid30]]+Table1[[#This Row],[Mid33]]+Table1[[#This Row],[Mid36]]+Table1[[#This Row],[Mid39]]</f>
        <v>0</v>
      </c>
      <c r="CR1261" t="s">
        <v>415</v>
      </c>
      <c r="CS1261" s="19" t="str">
        <f>IF(AND(Table1[[#This Row],[Low41]]=0, Table1[[#This Row],[High43]]=0),"N","Y")</f>
        <v>N</v>
      </c>
    </row>
    <row r="1262" spans="1:97" ht="19.5" customHeight="1" x14ac:dyDescent="0.25">
      <c r="A1262">
        <v>11264</v>
      </c>
      <c r="B1262" t="s">
        <v>3854</v>
      </c>
      <c r="C1262" t="s">
        <v>1449</v>
      </c>
      <c r="D1262">
        <v>53.155000000000001</v>
      </c>
      <c r="E1262">
        <v>4.0179999999999998</v>
      </c>
      <c r="F1262" t="s">
        <v>3906</v>
      </c>
      <c r="G1262" t="s">
        <v>1687</v>
      </c>
      <c r="H1262" t="s">
        <v>3901</v>
      </c>
      <c r="I1262" t="s">
        <v>2245</v>
      </c>
      <c r="J1262" t="s">
        <v>202</v>
      </c>
      <c r="K1262" t="s">
        <v>167</v>
      </c>
      <c r="L1262" t="s">
        <v>121</v>
      </c>
      <c r="M1262" t="s">
        <v>252</v>
      </c>
      <c r="N1262" s="6" t="s">
        <v>3886</v>
      </c>
      <c r="O1262" t="s">
        <v>3887</v>
      </c>
      <c r="P1262" t="s">
        <v>2652</v>
      </c>
      <c r="Q1262" t="s">
        <v>255</v>
      </c>
      <c r="R1262" t="s">
        <v>3907</v>
      </c>
      <c r="S1262">
        <v>2013</v>
      </c>
      <c r="T1262" t="s">
        <v>771</v>
      </c>
      <c r="U1262" t="s">
        <v>3389</v>
      </c>
      <c r="V1262"/>
      <c r="AH1262" t="s">
        <v>3905</v>
      </c>
      <c r="BN1262">
        <v>54</v>
      </c>
      <c r="CE126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62" s="19">
        <f>SUM(Table1[[#This Row],[Mid39]],Table1[[#This Row],[Mid36]],Table1[[#This Row],[Mid33]],Table1[[#This Row],[Mid30]],Table1[[#This Row],[Mid27]],Table1[[#This Row],[Mid24]],Table1[[#This Row],[Mid21]],Table1[[#This Row],[Mid18]],Table1[[#This Row],[Mid15]],Table1[[#This Row],[Mid12]],Table1[[#This Row],[Mid9]],Table1[[#This Row],[Mid6]],Table1[[#This Row],[Mid3]],Table1[[#This Row],[Mid]])</f>
        <v>54</v>
      </c>
      <c r="CG126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62" t="s">
        <v>157</v>
      </c>
      <c r="CI1262" s="35" t="s">
        <v>189</v>
      </c>
      <c r="CJ1262" t="s">
        <v>158</v>
      </c>
      <c r="CL1262" s="19">
        <f>IF(Table1[[#This Row],[Type]]="Petroleum",1,IF(ISERROR(Table1[[#This Row],[Well Density]]*Table1[[#This Row],[Single Well Discovery Area]]),"",IF(Table1[[#This Row],[Well Density]]*Table1[[#This Row],[Single Well Discovery Area]]&gt;1,1,Table1[[#This Row],[Well Density]]*Table1[[#This Row],[Single Well Discovery Area]])))</f>
        <v>1</v>
      </c>
      <c r="CN1262" s="19">
        <f>Table1[[#This Row],[Mid]]</f>
        <v>0</v>
      </c>
      <c r="CO1262" s="19">
        <f>Table1[[#This Row],[Mid3]]+Table1[[#This Row],[Mid6]]+Table1[[#This Row],[Mid9]]</f>
        <v>0</v>
      </c>
      <c r="CP1262" s="19">
        <f>Table1[[#This Row],[Mid12]]+Table1[[#This Row],[Mid15]]+Table1[[#This Row],[Mid18]]+Table1[[#This Row],[Mid21]]+Table1[[#This Row],[Mid24]]</f>
        <v>54</v>
      </c>
      <c r="CQ1262" s="19">
        <f>Table1[[#This Row],[Mid27]]+Table1[[#This Row],[Mid30]]+Table1[[#This Row],[Mid33]]+Table1[[#This Row],[Mid36]]+Table1[[#This Row],[Mid39]]</f>
        <v>0</v>
      </c>
      <c r="CR1262" t="s">
        <v>415</v>
      </c>
      <c r="CS1262" s="19" t="str">
        <f>IF(AND(Table1[[#This Row],[Low41]]=0, Table1[[#This Row],[High43]]=0),"N","Y")</f>
        <v>N</v>
      </c>
    </row>
    <row r="1263" spans="1:97" ht="19.5" customHeight="1" x14ac:dyDescent="0.25">
      <c r="A1263">
        <v>11265</v>
      </c>
      <c r="B1263" t="s">
        <v>3854</v>
      </c>
      <c r="C1263" t="s">
        <v>1449</v>
      </c>
      <c r="D1263">
        <v>53.735999999999997</v>
      </c>
      <c r="E1263">
        <v>3.266</v>
      </c>
      <c r="F1263" t="s">
        <v>3908</v>
      </c>
      <c r="G1263" t="s">
        <v>1687</v>
      </c>
      <c r="H1263" t="s">
        <v>167</v>
      </c>
      <c r="I1263" t="s">
        <v>2245</v>
      </c>
      <c r="J1263" t="s">
        <v>202</v>
      </c>
      <c r="K1263" t="s">
        <v>167</v>
      </c>
      <c r="L1263" t="s">
        <v>121</v>
      </c>
      <c r="M1263" t="s">
        <v>252</v>
      </c>
      <c r="N1263" s="6" t="s">
        <v>3886</v>
      </c>
      <c r="O1263" t="s">
        <v>3887</v>
      </c>
      <c r="P1263" t="s">
        <v>3909</v>
      </c>
      <c r="Q1263" t="s">
        <v>3910</v>
      </c>
      <c r="R1263" t="s">
        <v>3907</v>
      </c>
      <c r="S1263">
        <v>2013</v>
      </c>
      <c r="T1263" t="s">
        <v>771</v>
      </c>
      <c r="U1263" t="s">
        <v>3389</v>
      </c>
      <c r="V1263"/>
      <c r="AH1263" t="s">
        <v>3905</v>
      </c>
      <c r="BN1263">
        <v>100</v>
      </c>
      <c r="CE126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63"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126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63" t="s">
        <v>157</v>
      </c>
      <c r="CI1263" s="35" t="s">
        <v>189</v>
      </c>
      <c r="CJ1263" t="s">
        <v>135</v>
      </c>
      <c r="CL1263" s="19">
        <f>IF(Table1[[#This Row],[Type]]="Petroleum",1,IF(ISERROR(Table1[[#This Row],[Well Density]]*Table1[[#This Row],[Single Well Discovery Area]]),"",IF(Table1[[#This Row],[Well Density]]*Table1[[#This Row],[Single Well Discovery Area]]&gt;1,1,Table1[[#This Row],[Well Density]]*Table1[[#This Row],[Single Well Discovery Area]])))</f>
        <v>1</v>
      </c>
      <c r="CN1263" s="19">
        <f>Table1[[#This Row],[Mid]]</f>
        <v>0</v>
      </c>
      <c r="CO1263" s="19">
        <f>Table1[[#This Row],[Mid3]]+Table1[[#This Row],[Mid6]]+Table1[[#This Row],[Mid9]]</f>
        <v>0</v>
      </c>
      <c r="CP1263" s="19">
        <f>Table1[[#This Row],[Mid12]]+Table1[[#This Row],[Mid15]]+Table1[[#This Row],[Mid18]]+Table1[[#This Row],[Mid21]]+Table1[[#This Row],[Mid24]]</f>
        <v>100</v>
      </c>
      <c r="CQ1263" s="19">
        <f>Table1[[#This Row],[Mid27]]+Table1[[#This Row],[Mid30]]+Table1[[#This Row],[Mid33]]+Table1[[#This Row],[Mid36]]+Table1[[#This Row],[Mid39]]</f>
        <v>0</v>
      </c>
      <c r="CR1263" t="s">
        <v>415</v>
      </c>
      <c r="CS1263" s="19" t="str">
        <f>IF(AND(Table1[[#This Row],[Low41]]=0, Table1[[#This Row],[High43]]=0),"N","Y")</f>
        <v>N</v>
      </c>
    </row>
    <row r="1264" spans="1:97" ht="19.5" customHeight="1" x14ac:dyDescent="0.25">
      <c r="A1264">
        <v>11266</v>
      </c>
      <c r="B1264" t="s">
        <v>3854</v>
      </c>
      <c r="C1264" t="s">
        <v>1449</v>
      </c>
      <c r="D1264">
        <v>53.828000000000003</v>
      </c>
      <c r="E1264">
        <v>3.266</v>
      </c>
      <c r="F1264" t="s">
        <v>3911</v>
      </c>
      <c r="G1264" t="s">
        <v>1687</v>
      </c>
      <c r="H1264" t="s">
        <v>167</v>
      </c>
      <c r="I1264" t="s">
        <v>2245</v>
      </c>
      <c r="J1264" t="s">
        <v>202</v>
      </c>
      <c r="K1264" t="s">
        <v>167</v>
      </c>
      <c r="L1264" t="s">
        <v>121</v>
      </c>
      <c r="M1264" t="s">
        <v>252</v>
      </c>
      <c r="N1264" s="6" t="s">
        <v>3886</v>
      </c>
      <c r="O1264" t="s">
        <v>3887</v>
      </c>
      <c r="P1264" t="s">
        <v>2652</v>
      </c>
      <c r="Q1264" t="s">
        <v>255</v>
      </c>
      <c r="R1264" t="s">
        <v>3907</v>
      </c>
      <c r="S1264">
        <v>2013</v>
      </c>
      <c r="T1264" t="s">
        <v>771</v>
      </c>
      <c r="U1264" t="s">
        <v>3389</v>
      </c>
      <c r="V1264"/>
      <c r="AH1264" t="s">
        <v>3905</v>
      </c>
      <c r="BN1264">
        <v>40</v>
      </c>
      <c r="CE126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64" s="19">
        <f>SUM(Table1[[#This Row],[Mid39]],Table1[[#This Row],[Mid36]],Table1[[#This Row],[Mid33]],Table1[[#This Row],[Mid30]],Table1[[#This Row],[Mid27]],Table1[[#This Row],[Mid24]],Table1[[#This Row],[Mid21]],Table1[[#This Row],[Mid18]],Table1[[#This Row],[Mid15]],Table1[[#This Row],[Mid12]],Table1[[#This Row],[Mid9]],Table1[[#This Row],[Mid6]],Table1[[#This Row],[Mid3]],Table1[[#This Row],[Mid]])</f>
        <v>40</v>
      </c>
      <c r="CG126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64" t="s">
        <v>157</v>
      </c>
      <c r="CI1264" s="35" t="s">
        <v>189</v>
      </c>
      <c r="CJ1264" t="s">
        <v>158</v>
      </c>
      <c r="CL1264" s="19">
        <f>IF(Table1[[#This Row],[Type]]="Petroleum",1,IF(ISERROR(Table1[[#This Row],[Well Density]]*Table1[[#This Row],[Single Well Discovery Area]]),"",IF(Table1[[#This Row],[Well Density]]*Table1[[#This Row],[Single Well Discovery Area]]&gt;1,1,Table1[[#This Row],[Well Density]]*Table1[[#This Row],[Single Well Discovery Area]])))</f>
        <v>1</v>
      </c>
      <c r="CN1264" s="19">
        <f>Table1[[#This Row],[Mid]]</f>
        <v>0</v>
      </c>
      <c r="CO1264" s="19">
        <f>Table1[[#This Row],[Mid3]]+Table1[[#This Row],[Mid6]]+Table1[[#This Row],[Mid9]]</f>
        <v>0</v>
      </c>
      <c r="CP1264" s="19">
        <f>Table1[[#This Row],[Mid12]]+Table1[[#This Row],[Mid15]]+Table1[[#This Row],[Mid18]]+Table1[[#This Row],[Mid21]]+Table1[[#This Row],[Mid24]]</f>
        <v>40</v>
      </c>
      <c r="CQ1264" s="19">
        <f>Table1[[#This Row],[Mid27]]+Table1[[#This Row],[Mid30]]+Table1[[#This Row],[Mid33]]+Table1[[#This Row],[Mid36]]+Table1[[#This Row],[Mid39]]</f>
        <v>0</v>
      </c>
      <c r="CR1264" t="s">
        <v>415</v>
      </c>
      <c r="CS1264" s="19" t="str">
        <f>IF(AND(Table1[[#This Row],[Low41]]=0, Table1[[#This Row],[High43]]=0),"N","Y")</f>
        <v>N</v>
      </c>
    </row>
    <row r="1265" spans="1:98" ht="19.5" customHeight="1" x14ac:dyDescent="0.25">
      <c r="A1265">
        <v>11267</v>
      </c>
      <c r="B1265" t="s">
        <v>3854</v>
      </c>
      <c r="C1265" t="s">
        <v>1449</v>
      </c>
      <c r="D1265">
        <v>53.478000000000002</v>
      </c>
      <c r="E1265">
        <v>3.3540000000000001</v>
      </c>
      <c r="F1265" t="s">
        <v>3912</v>
      </c>
      <c r="G1265" t="s">
        <v>1687</v>
      </c>
      <c r="H1265" t="s">
        <v>3901</v>
      </c>
      <c r="I1265" t="s">
        <v>2245</v>
      </c>
      <c r="J1265" t="s">
        <v>202</v>
      </c>
      <c r="K1265" t="s">
        <v>167</v>
      </c>
      <c r="L1265" t="s">
        <v>121</v>
      </c>
      <c r="M1265" t="s">
        <v>252</v>
      </c>
      <c r="N1265" s="6" t="s">
        <v>3886</v>
      </c>
      <c r="O1265" t="s">
        <v>3887</v>
      </c>
      <c r="P1265" t="s">
        <v>3913</v>
      </c>
      <c r="Q1265" t="s">
        <v>3914</v>
      </c>
      <c r="R1265" t="s">
        <v>3907</v>
      </c>
      <c r="S1265">
        <v>2013</v>
      </c>
      <c r="T1265" t="s">
        <v>771</v>
      </c>
      <c r="U1265" t="s">
        <v>3389</v>
      </c>
      <c r="V1265"/>
      <c r="AH1265" t="s">
        <v>3905</v>
      </c>
      <c r="BN1265">
        <v>65</v>
      </c>
      <c r="CE126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65" s="19">
        <f>SUM(Table1[[#This Row],[Mid39]],Table1[[#This Row],[Mid36]],Table1[[#This Row],[Mid33]],Table1[[#This Row],[Mid30]],Table1[[#This Row],[Mid27]],Table1[[#This Row],[Mid24]],Table1[[#This Row],[Mid21]],Table1[[#This Row],[Mid18]],Table1[[#This Row],[Mid15]],Table1[[#This Row],[Mid12]],Table1[[#This Row],[Mid9]],Table1[[#This Row],[Mid6]],Table1[[#This Row],[Mid3]],Table1[[#This Row],[Mid]])</f>
        <v>65</v>
      </c>
      <c r="CG126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65" t="s">
        <v>157</v>
      </c>
      <c r="CI1265" s="35" t="s">
        <v>189</v>
      </c>
      <c r="CJ1265" t="s">
        <v>135</v>
      </c>
      <c r="CL1265" s="19">
        <f>IF(Table1[[#This Row],[Type]]="Petroleum",1,IF(ISERROR(Table1[[#This Row],[Well Density]]*Table1[[#This Row],[Single Well Discovery Area]]),"",IF(Table1[[#This Row],[Well Density]]*Table1[[#This Row],[Single Well Discovery Area]]&gt;1,1,Table1[[#This Row],[Well Density]]*Table1[[#This Row],[Single Well Discovery Area]])))</f>
        <v>1</v>
      </c>
      <c r="CN1265" s="19">
        <f>Table1[[#This Row],[Mid]]</f>
        <v>0</v>
      </c>
      <c r="CO1265" s="19">
        <f>Table1[[#This Row],[Mid3]]+Table1[[#This Row],[Mid6]]+Table1[[#This Row],[Mid9]]</f>
        <v>0</v>
      </c>
      <c r="CP1265" s="19">
        <f>Table1[[#This Row],[Mid12]]+Table1[[#This Row],[Mid15]]+Table1[[#This Row],[Mid18]]+Table1[[#This Row],[Mid21]]+Table1[[#This Row],[Mid24]]</f>
        <v>65</v>
      </c>
      <c r="CQ1265" s="19">
        <f>Table1[[#This Row],[Mid27]]+Table1[[#This Row],[Mid30]]+Table1[[#This Row],[Mid33]]+Table1[[#This Row],[Mid36]]+Table1[[#This Row],[Mid39]]</f>
        <v>0</v>
      </c>
      <c r="CR1265" t="s">
        <v>415</v>
      </c>
      <c r="CS1265" s="19" t="str">
        <f>IF(AND(Table1[[#This Row],[Low41]]=0, Table1[[#This Row],[High43]]=0),"N","Y")</f>
        <v>N</v>
      </c>
    </row>
    <row r="1266" spans="1:98" ht="19.5" customHeight="1" x14ac:dyDescent="0.25">
      <c r="A1266">
        <v>11268</v>
      </c>
      <c r="B1266" t="s">
        <v>3854</v>
      </c>
      <c r="C1266" t="s">
        <v>1449</v>
      </c>
      <c r="D1266">
        <v>53.341999999999999</v>
      </c>
      <c r="E1266">
        <v>3.3540000000000001</v>
      </c>
      <c r="F1266" t="s">
        <v>3915</v>
      </c>
      <c r="G1266" t="s">
        <v>1687</v>
      </c>
      <c r="H1266" t="s">
        <v>3901</v>
      </c>
      <c r="I1266" t="s">
        <v>2245</v>
      </c>
      <c r="J1266" t="s">
        <v>202</v>
      </c>
      <c r="K1266" t="s">
        <v>167</v>
      </c>
      <c r="L1266" t="s">
        <v>121</v>
      </c>
      <c r="M1266" t="s">
        <v>252</v>
      </c>
      <c r="N1266" s="6" t="s">
        <v>3886</v>
      </c>
      <c r="O1266" t="s">
        <v>3887</v>
      </c>
      <c r="P1266" t="s">
        <v>2652</v>
      </c>
      <c r="Q1266" t="s">
        <v>3914</v>
      </c>
      <c r="R1266" t="s">
        <v>3907</v>
      </c>
      <c r="S1266">
        <v>2013</v>
      </c>
      <c r="T1266" t="s">
        <v>771</v>
      </c>
      <c r="U1266" t="s">
        <v>3389</v>
      </c>
      <c r="V1266"/>
      <c r="AH1266" t="s">
        <v>3905</v>
      </c>
      <c r="BN1266">
        <v>130</v>
      </c>
      <c r="CE126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66" s="19">
        <f>SUM(Table1[[#This Row],[Mid39]],Table1[[#This Row],[Mid36]],Table1[[#This Row],[Mid33]],Table1[[#This Row],[Mid30]],Table1[[#This Row],[Mid27]],Table1[[#This Row],[Mid24]],Table1[[#This Row],[Mid21]],Table1[[#This Row],[Mid18]],Table1[[#This Row],[Mid15]],Table1[[#This Row],[Mid12]],Table1[[#This Row],[Mid9]],Table1[[#This Row],[Mid6]],Table1[[#This Row],[Mid3]],Table1[[#This Row],[Mid]])</f>
        <v>130</v>
      </c>
      <c r="CG126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66" t="s">
        <v>157</v>
      </c>
      <c r="CI1266" s="35" t="s">
        <v>189</v>
      </c>
      <c r="CJ1266" t="s">
        <v>158</v>
      </c>
      <c r="CL1266" s="19">
        <f>IF(Table1[[#This Row],[Type]]="Petroleum",1,IF(ISERROR(Table1[[#This Row],[Well Density]]*Table1[[#This Row],[Single Well Discovery Area]]),"",IF(Table1[[#This Row],[Well Density]]*Table1[[#This Row],[Single Well Discovery Area]]&gt;1,1,Table1[[#This Row],[Well Density]]*Table1[[#This Row],[Single Well Discovery Area]])))</f>
        <v>1</v>
      </c>
      <c r="CN1266" s="19">
        <f>Table1[[#This Row],[Mid]]</f>
        <v>0</v>
      </c>
      <c r="CO1266" s="19">
        <f>Table1[[#This Row],[Mid3]]+Table1[[#This Row],[Mid6]]+Table1[[#This Row],[Mid9]]</f>
        <v>0</v>
      </c>
      <c r="CP1266" s="19">
        <f>Table1[[#This Row],[Mid12]]+Table1[[#This Row],[Mid15]]+Table1[[#This Row],[Mid18]]+Table1[[#This Row],[Mid21]]+Table1[[#This Row],[Mid24]]</f>
        <v>130</v>
      </c>
      <c r="CQ1266" s="19">
        <f>Table1[[#This Row],[Mid27]]+Table1[[#This Row],[Mid30]]+Table1[[#This Row],[Mid33]]+Table1[[#This Row],[Mid36]]+Table1[[#This Row],[Mid39]]</f>
        <v>0</v>
      </c>
      <c r="CR1266" t="s">
        <v>415</v>
      </c>
      <c r="CS1266" s="19" t="str">
        <f>IF(AND(Table1[[#This Row],[Low41]]=0, Table1[[#This Row],[High43]]=0),"N","Y")</f>
        <v>N</v>
      </c>
    </row>
    <row r="1267" spans="1:98" ht="19.5" customHeight="1" x14ac:dyDescent="0.25">
      <c r="A1267">
        <v>11269</v>
      </c>
      <c r="B1267" t="s">
        <v>3854</v>
      </c>
      <c r="C1267" t="s">
        <v>1449</v>
      </c>
      <c r="D1267">
        <v>53.469000000000001</v>
      </c>
      <c r="E1267">
        <v>4.2729999999999997</v>
      </c>
      <c r="F1267" t="s">
        <v>3916</v>
      </c>
      <c r="G1267" t="s">
        <v>1687</v>
      </c>
      <c r="H1267" t="s">
        <v>3901</v>
      </c>
      <c r="I1267" t="s">
        <v>2245</v>
      </c>
      <c r="J1267" t="s">
        <v>202</v>
      </c>
      <c r="K1267" t="s">
        <v>167</v>
      </c>
      <c r="L1267" t="s">
        <v>121</v>
      </c>
      <c r="M1267" t="s">
        <v>252</v>
      </c>
      <c r="N1267" s="6" t="s">
        <v>3886</v>
      </c>
      <c r="O1267" t="s">
        <v>3887</v>
      </c>
      <c r="P1267" t="s">
        <v>3917</v>
      </c>
      <c r="Q1267" t="s">
        <v>3918</v>
      </c>
      <c r="R1267" t="s">
        <v>3907</v>
      </c>
      <c r="S1267">
        <v>2013</v>
      </c>
      <c r="T1267" t="s">
        <v>771</v>
      </c>
      <c r="U1267" t="s">
        <v>3389</v>
      </c>
      <c r="V1267"/>
      <c r="AH1267" t="s">
        <v>3905</v>
      </c>
      <c r="BN1267">
        <v>50</v>
      </c>
      <c r="CE126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67" s="19">
        <f>SUM(Table1[[#This Row],[Mid39]],Table1[[#This Row],[Mid36]],Table1[[#This Row],[Mid33]],Table1[[#This Row],[Mid30]],Table1[[#This Row],[Mid27]],Table1[[#This Row],[Mid24]],Table1[[#This Row],[Mid21]],Table1[[#This Row],[Mid18]],Table1[[#This Row],[Mid15]],Table1[[#This Row],[Mid12]],Table1[[#This Row],[Mid9]],Table1[[#This Row],[Mid6]],Table1[[#This Row],[Mid3]],Table1[[#This Row],[Mid]])</f>
        <v>50</v>
      </c>
      <c r="CG126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67" t="s">
        <v>157</v>
      </c>
      <c r="CI1267" s="35" t="s">
        <v>189</v>
      </c>
      <c r="CJ1267" t="s">
        <v>135</v>
      </c>
      <c r="CL1267" s="19">
        <f>IF(Table1[[#This Row],[Type]]="Petroleum",1,IF(ISERROR(Table1[[#This Row],[Well Density]]*Table1[[#This Row],[Single Well Discovery Area]]),"",IF(Table1[[#This Row],[Well Density]]*Table1[[#This Row],[Single Well Discovery Area]]&gt;1,1,Table1[[#This Row],[Well Density]]*Table1[[#This Row],[Single Well Discovery Area]])))</f>
        <v>1</v>
      </c>
      <c r="CN1267" s="19">
        <f>Table1[[#This Row],[Mid]]</f>
        <v>0</v>
      </c>
      <c r="CO1267" s="19">
        <f>Table1[[#This Row],[Mid3]]+Table1[[#This Row],[Mid6]]+Table1[[#This Row],[Mid9]]</f>
        <v>0</v>
      </c>
      <c r="CP1267" s="19">
        <f>Table1[[#This Row],[Mid12]]+Table1[[#This Row],[Mid15]]+Table1[[#This Row],[Mid18]]+Table1[[#This Row],[Mid21]]+Table1[[#This Row],[Mid24]]</f>
        <v>50</v>
      </c>
      <c r="CQ1267" s="19">
        <f>Table1[[#This Row],[Mid27]]+Table1[[#This Row],[Mid30]]+Table1[[#This Row],[Mid33]]+Table1[[#This Row],[Mid36]]+Table1[[#This Row],[Mid39]]</f>
        <v>0</v>
      </c>
      <c r="CR1267" t="s">
        <v>415</v>
      </c>
      <c r="CS1267" s="19" t="str">
        <f>IF(AND(Table1[[#This Row],[Low41]]=0, Table1[[#This Row],[High43]]=0),"N","Y")</f>
        <v>N</v>
      </c>
    </row>
    <row r="1268" spans="1:98" ht="19.5" customHeight="1" x14ac:dyDescent="0.25">
      <c r="A1268">
        <v>11270</v>
      </c>
      <c r="B1268" t="s">
        <v>3854</v>
      </c>
      <c r="C1268" t="s">
        <v>1449</v>
      </c>
      <c r="D1268">
        <v>53.406999999999996</v>
      </c>
      <c r="E1268">
        <v>4.2729999999999997</v>
      </c>
      <c r="F1268" t="s">
        <v>3919</v>
      </c>
      <c r="G1268" t="s">
        <v>1687</v>
      </c>
      <c r="H1268" t="s">
        <v>3901</v>
      </c>
      <c r="I1268" t="s">
        <v>2245</v>
      </c>
      <c r="J1268" t="s">
        <v>202</v>
      </c>
      <c r="K1268" t="s">
        <v>167</v>
      </c>
      <c r="L1268" t="s">
        <v>121</v>
      </c>
      <c r="M1268" t="s">
        <v>252</v>
      </c>
      <c r="N1268" s="6" t="s">
        <v>3886</v>
      </c>
      <c r="O1268" t="s">
        <v>3887</v>
      </c>
      <c r="P1268" t="s">
        <v>2652</v>
      </c>
      <c r="Q1268" t="s">
        <v>255</v>
      </c>
      <c r="R1268" t="s">
        <v>3907</v>
      </c>
      <c r="S1268">
        <v>2013</v>
      </c>
      <c r="T1268" t="s">
        <v>771</v>
      </c>
      <c r="U1268" t="s">
        <v>3389</v>
      </c>
      <c r="V1268"/>
      <c r="AH1268" t="s">
        <v>3905</v>
      </c>
      <c r="BN1268">
        <v>125</v>
      </c>
      <c r="CE126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68" s="19">
        <f>SUM(Table1[[#This Row],[Mid39]],Table1[[#This Row],[Mid36]],Table1[[#This Row],[Mid33]],Table1[[#This Row],[Mid30]],Table1[[#This Row],[Mid27]],Table1[[#This Row],[Mid24]],Table1[[#This Row],[Mid21]],Table1[[#This Row],[Mid18]],Table1[[#This Row],[Mid15]],Table1[[#This Row],[Mid12]],Table1[[#This Row],[Mid9]],Table1[[#This Row],[Mid6]],Table1[[#This Row],[Mid3]],Table1[[#This Row],[Mid]])</f>
        <v>125</v>
      </c>
      <c r="CG126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68" t="s">
        <v>157</v>
      </c>
      <c r="CI1268" s="35" t="s">
        <v>189</v>
      </c>
      <c r="CJ1268" t="s">
        <v>158</v>
      </c>
      <c r="CL1268" s="19">
        <f>IF(Table1[[#This Row],[Type]]="Petroleum",1,IF(ISERROR(Table1[[#This Row],[Well Density]]*Table1[[#This Row],[Single Well Discovery Area]]),"",IF(Table1[[#This Row],[Well Density]]*Table1[[#This Row],[Single Well Discovery Area]]&gt;1,1,Table1[[#This Row],[Well Density]]*Table1[[#This Row],[Single Well Discovery Area]])))</f>
        <v>1</v>
      </c>
      <c r="CN1268" s="19">
        <f>Table1[[#This Row],[Mid]]</f>
        <v>0</v>
      </c>
      <c r="CO1268" s="19">
        <f>Table1[[#This Row],[Mid3]]+Table1[[#This Row],[Mid6]]+Table1[[#This Row],[Mid9]]</f>
        <v>0</v>
      </c>
      <c r="CP1268" s="19">
        <f>Table1[[#This Row],[Mid12]]+Table1[[#This Row],[Mid15]]+Table1[[#This Row],[Mid18]]+Table1[[#This Row],[Mid21]]+Table1[[#This Row],[Mid24]]</f>
        <v>125</v>
      </c>
      <c r="CQ1268" s="19">
        <f>Table1[[#This Row],[Mid27]]+Table1[[#This Row],[Mid30]]+Table1[[#This Row],[Mid33]]+Table1[[#This Row],[Mid36]]+Table1[[#This Row],[Mid39]]</f>
        <v>0</v>
      </c>
      <c r="CR1268" t="s">
        <v>415</v>
      </c>
      <c r="CS1268" s="19" t="str">
        <f>IF(AND(Table1[[#This Row],[Low41]]=0, Table1[[#This Row],[High43]]=0),"N","Y")</f>
        <v>N</v>
      </c>
    </row>
    <row r="1269" spans="1:98" ht="19.5" customHeight="1" x14ac:dyDescent="0.25">
      <c r="A1269">
        <v>11271</v>
      </c>
      <c r="B1269" t="s">
        <v>3854</v>
      </c>
      <c r="C1269" t="s">
        <v>1449</v>
      </c>
      <c r="D1269">
        <v>53.470999999999997</v>
      </c>
      <c r="E1269">
        <v>4.2729999999999997</v>
      </c>
      <c r="F1269" t="s">
        <v>3920</v>
      </c>
      <c r="G1269" t="s">
        <v>1687</v>
      </c>
      <c r="H1269" t="s">
        <v>3901</v>
      </c>
      <c r="I1269" t="s">
        <v>2245</v>
      </c>
      <c r="J1269" t="s">
        <v>202</v>
      </c>
      <c r="K1269" t="s">
        <v>203</v>
      </c>
      <c r="L1269" t="s">
        <v>121</v>
      </c>
      <c r="M1269" t="s">
        <v>252</v>
      </c>
      <c r="N1269" s="6" t="s">
        <v>3921</v>
      </c>
      <c r="O1269" t="s">
        <v>3922</v>
      </c>
      <c r="P1269" s="21" t="s">
        <v>3923</v>
      </c>
      <c r="Q1269" t="s">
        <v>255</v>
      </c>
      <c r="R1269" t="s">
        <v>3924</v>
      </c>
      <c r="T1269" t="s">
        <v>771</v>
      </c>
      <c r="U1269" t="s">
        <v>3389</v>
      </c>
      <c r="V1269"/>
      <c r="AH1269" t="s">
        <v>3860</v>
      </c>
      <c r="AM1269" t="s">
        <v>167</v>
      </c>
      <c r="BE1269">
        <v>150</v>
      </c>
      <c r="CE126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69" s="19">
        <f>SUM(Table1[[#This Row],[Mid39]],Table1[[#This Row],[Mid36]],Table1[[#This Row],[Mid33]],Table1[[#This Row],[Mid30]],Table1[[#This Row],[Mid27]],Table1[[#This Row],[Mid24]],Table1[[#This Row],[Mid21]],Table1[[#This Row],[Mid18]],Table1[[#This Row],[Mid15]],Table1[[#This Row],[Mid12]],Table1[[#This Row],[Mid9]],Table1[[#This Row],[Mid6]],Table1[[#This Row],[Mid3]],Table1[[#This Row],[Mid]])</f>
        <v>150</v>
      </c>
      <c r="CG126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69" t="s">
        <v>157</v>
      </c>
      <c r="CI1269" t="s">
        <v>189</v>
      </c>
      <c r="CJ1269" t="s">
        <v>135</v>
      </c>
      <c r="CL1269" s="19">
        <f>IF(Table1[[#This Row],[Type]]="Petroleum",1,IF(ISERROR(Table1[[#This Row],[Well Density]]*Table1[[#This Row],[Single Well Discovery Area]]),"",IF(Table1[[#This Row],[Well Density]]*Table1[[#This Row],[Single Well Discovery Area]]&gt;1,1,Table1[[#This Row],[Well Density]]*Table1[[#This Row],[Single Well Discovery Area]])))</f>
        <v>1</v>
      </c>
      <c r="CN1269" s="19">
        <f>Table1[[#This Row],[Mid]]</f>
        <v>0</v>
      </c>
      <c r="CO1269" s="19">
        <f>Table1[[#This Row],[Mid3]]+Table1[[#This Row],[Mid6]]+Table1[[#This Row],[Mid9]]</f>
        <v>0</v>
      </c>
      <c r="CP1269" s="19">
        <f>Table1[[#This Row],[Mid12]]+Table1[[#This Row],[Mid15]]+Table1[[#This Row],[Mid18]]+Table1[[#This Row],[Mid21]]+Table1[[#This Row],[Mid24]]</f>
        <v>150</v>
      </c>
      <c r="CQ1269" s="19">
        <f>Table1[[#This Row],[Mid27]]+Table1[[#This Row],[Mid30]]+Table1[[#This Row],[Mid33]]+Table1[[#This Row],[Mid36]]+Table1[[#This Row],[Mid39]]</f>
        <v>0</v>
      </c>
      <c r="CR1269" t="s">
        <v>415</v>
      </c>
      <c r="CS1269" s="19" t="str">
        <f>IF(AND(Table1[[#This Row],[Low41]]=0, Table1[[#This Row],[High43]]=0),"N","Y")</f>
        <v>N</v>
      </c>
    </row>
    <row r="1270" spans="1:98" ht="19.5" customHeight="1" x14ac:dyDescent="0.25">
      <c r="A1270">
        <v>11272</v>
      </c>
      <c r="B1270" t="s">
        <v>3373</v>
      </c>
      <c r="C1270" t="s">
        <v>3374</v>
      </c>
      <c r="D1270">
        <v>50.357222219999997</v>
      </c>
      <c r="E1270">
        <v>14.96833333</v>
      </c>
      <c r="F1270" t="s">
        <v>3925</v>
      </c>
      <c r="H1270" t="s">
        <v>167</v>
      </c>
      <c r="I1270" t="s">
        <v>118</v>
      </c>
      <c r="J1270" t="s">
        <v>119</v>
      </c>
      <c r="K1270" t="s">
        <v>167</v>
      </c>
      <c r="L1270" t="s">
        <v>18</v>
      </c>
      <c r="M1270" t="s">
        <v>298</v>
      </c>
      <c r="N1270" s="6" t="s">
        <v>3377</v>
      </c>
      <c r="O1270" t="s">
        <v>3331</v>
      </c>
      <c r="P1270" t="s">
        <v>1150</v>
      </c>
      <c r="Q1270" t="s">
        <v>3926</v>
      </c>
      <c r="R1270" t="s">
        <v>3379</v>
      </c>
      <c r="S1270">
        <v>2013</v>
      </c>
      <c r="T1270" t="s">
        <v>771</v>
      </c>
      <c r="U1270" t="s">
        <v>1479</v>
      </c>
      <c r="V1270">
        <v>593</v>
      </c>
      <c r="W1270">
        <v>1000</v>
      </c>
      <c r="X1270">
        <v>131</v>
      </c>
      <c r="Z1270">
        <v>10</v>
      </c>
      <c r="AB1270">
        <v>15</v>
      </c>
      <c r="AC1270">
        <v>683</v>
      </c>
      <c r="AD1270">
        <v>26</v>
      </c>
      <c r="AE1270">
        <v>4.3844857000000001E-2</v>
      </c>
      <c r="AF1270">
        <v>200</v>
      </c>
      <c r="AH1270" t="s">
        <v>2259</v>
      </c>
      <c r="AI1270">
        <v>2.4</v>
      </c>
      <c r="AM1270" t="s">
        <v>3380</v>
      </c>
      <c r="AN1270" t="s">
        <v>132</v>
      </c>
      <c r="BY1270">
        <v>100</v>
      </c>
      <c r="BZ1270">
        <v>109</v>
      </c>
      <c r="CA1270">
        <v>120</v>
      </c>
      <c r="CE1270" s="19">
        <f>SUM(Table1[[#This Row],[Low38]],Table1[[#This Row],[Low35]],Table1[[#This Row],[Low32]],Table1[[#This Row],[Low29]],Table1[[#This Row],[Low26]],Table1[[#This Row],[Low23]],Table1[[#This Row],[Low20]],Table1[[#This Row],[Low17]],Table1[[#This Row],[Low14]],Table1[[#This Row],[Low11]],Table1[[#This Row],[Low8]],Table1[[#This Row],[Low5]],Table1[[#This Row],[Low2]],Table1[[#This Row],[Low]])</f>
        <v>100</v>
      </c>
      <c r="CF1270" s="19">
        <f>SUM(Table1[[#This Row],[Mid39]],Table1[[#This Row],[Mid36]],Table1[[#This Row],[Mid33]],Table1[[#This Row],[Mid30]],Table1[[#This Row],[Mid27]],Table1[[#This Row],[Mid24]],Table1[[#This Row],[Mid21]],Table1[[#This Row],[Mid18]],Table1[[#This Row],[Mid15]],Table1[[#This Row],[Mid12]],Table1[[#This Row],[Mid9]],Table1[[#This Row],[Mid6]],Table1[[#This Row],[Mid3]],Table1[[#This Row],[Mid]])</f>
        <v>109</v>
      </c>
      <c r="CG127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120</v>
      </c>
      <c r="CH1270" t="s">
        <v>157</v>
      </c>
      <c r="CI1270" s="35" t="s">
        <v>134</v>
      </c>
      <c r="CJ1270" t="s">
        <v>158</v>
      </c>
      <c r="CL1270" s="19">
        <f>IF(Table1[[#This Row],[Type]]="Petroleum",1,IF(ISERROR(Table1[[#This Row],[Well Density]]*Table1[[#This Row],[Single Well Discovery Area]]),"",IF(Table1[[#This Row],[Well Density]]*Table1[[#This Row],[Single Well Discovery Area]]&gt;1,1,Table1[[#This Row],[Well Density]]*Table1[[#This Row],[Single Well Discovery Area]])))</f>
        <v>1</v>
      </c>
      <c r="CN1270" s="19">
        <f>Table1[[#This Row],[Mid]]</f>
        <v>0</v>
      </c>
      <c r="CO1270" s="19">
        <f>Table1[[#This Row],[Mid3]]+Table1[[#This Row],[Mid6]]+Table1[[#This Row],[Mid9]]</f>
        <v>0</v>
      </c>
      <c r="CP1270" s="19">
        <f>Table1[[#This Row],[Mid12]]+Table1[[#This Row],[Mid15]]+Table1[[#This Row],[Mid18]]+Table1[[#This Row],[Mid21]]+Table1[[#This Row],[Mid24]]</f>
        <v>0</v>
      </c>
      <c r="CQ1270" s="19">
        <f>Table1[[#This Row],[Mid27]]+Table1[[#This Row],[Mid30]]+Table1[[#This Row],[Mid33]]+Table1[[#This Row],[Mid36]]+Table1[[#This Row],[Mid39]]</f>
        <v>109</v>
      </c>
      <c r="CR1270" t="s">
        <v>415</v>
      </c>
      <c r="CS1270" s="19" t="str">
        <f>IF(AND(Table1[[#This Row],[Low41]]=0, Table1[[#This Row],[High43]]=0),"N","Y")</f>
        <v>Y</v>
      </c>
    </row>
    <row r="1271" spans="1:98" ht="19.5" customHeight="1" x14ac:dyDescent="0.25">
      <c r="A1271">
        <v>11273</v>
      </c>
      <c r="B1271" t="s">
        <v>3373</v>
      </c>
      <c r="C1271" t="s">
        <v>3374</v>
      </c>
      <c r="D1271">
        <v>50.59</v>
      </c>
      <c r="E1271">
        <v>15.605833329999999</v>
      </c>
      <c r="F1271" t="s">
        <v>3927</v>
      </c>
      <c r="H1271" t="s">
        <v>167</v>
      </c>
      <c r="I1271" t="s">
        <v>118</v>
      </c>
      <c r="J1271" t="s">
        <v>119</v>
      </c>
      <c r="K1271" t="s">
        <v>167</v>
      </c>
      <c r="L1271" t="s">
        <v>18</v>
      </c>
      <c r="M1271" t="s">
        <v>298</v>
      </c>
      <c r="N1271" s="6" t="s">
        <v>3377</v>
      </c>
      <c r="O1271" t="s">
        <v>3331</v>
      </c>
      <c r="P1271" t="s">
        <v>1150</v>
      </c>
      <c r="Q1271" t="s">
        <v>3928</v>
      </c>
      <c r="R1271" t="s">
        <v>3379</v>
      </c>
      <c r="S1271">
        <v>2013</v>
      </c>
      <c r="T1271" t="s">
        <v>771</v>
      </c>
      <c r="U1271" t="s">
        <v>1479</v>
      </c>
      <c r="V1271">
        <v>297</v>
      </c>
      <c r="W1271">
        <v>1200</v>
      </c>
      <c r="X1271">
        <v>37</v>
      </c>
      <c r="Z1271">
        <v>13</v>
      </c>
      <c r="AB1271">
        <v>10</v>
      </c>
      <c r="AC1271">
        <v>754</v>
      </c>
      <c r="AD1271">
        <v>3</v>
      </c>
      <c r="AE1271">
        <v>1.0101010000000001E-2</v>
      </c>
      <c r="AF1271">
        <v>200</v>
      </c>
      <c r="AH1271" t="s">
        <v>2259</v>
      </c>
      <c r="AI1271">
        <v>2.4</v>
      </c>
      <c r="AM1271" t="s">
        <v>3380</v>
      </c>
      <c r="AN1271" t="s">
        <v>132</v>
      </c>
      <c r="BY1271">
        <v>18</v>
      </c>
      <c r="BZ1271">
        <v>20</v>
      </c>
      <c r="CA1271">
        <v>22</v>
      </c>
      <c r="CE1271" s="19">
        <f>SUM(Table1[[#This Row],[Low38]],Table1[[#This Row],[Low35]],Table1[[#This Row],[Low32]],Table1[[#This Row],[Low29]],Table1[[#This Row],[Low26]],Table1[[#This Row],[Low23]],Table1[[#This Row],[Low20]],Table1[[#This Row],[Low17]],Table1[[#This Row],[Low14]],Table1[[#This Row],[Low11]],Table1[[#This Row],[Low8]],Table1[[#This Row],[Low5]],Table1[[#This Row],[Low2]],Table1[[#This Row],[Low]])</f>
        <v>18</v>
      </c>
      <c r="CF1271" s="19">
        <f>SUM(Table1[[#This Row],[Mid39]],Table1[[#This Row],[Mid36]],Table1[[#This Row],[Mid33]],Table1[[#This Row],[Mid30]],Table1[[#This Row],[Mid27]],Table1[[#This Row],[Mid24]],Table1[[#This Row],[Mid21]],Table1[[#This Row],[Mid18]],Table1[[#This Row],[Mid15]],Table1[[#This Row],[Mid12]],Table1[[#This Row],[Mid9]],Table1[[#This Row],[Mid6]],Table1[[#This Row],[Mid3]],Table1[[#This Row],[Mid]])</f>
        <v>20</v>
      </c>
      <c r="CG127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22</v>
      </c>
      <c r="CH1271" t="s">
        <v>157</v>
      </c>
      <c r="CI1271" s="35" t="s">
        <v>134</v>
      </c>
      <c r="CJ1271" t="s">
        <v>158</v>
      </c>
      <c r="CL1271" s="19">
        <f>IF(Table1[[#This Row],[Type]]="Petroleum",1,IF(ISERROR(Table1[[#This Row],[Well Density]]*Table1[[#This Row],[Single Well Discovery Area]]),"",IF(Table1[[#This Row],[Well Density]]*Table1[[#This Row],[Single Well Discovery Area]]&gt;1,1,Table1[[#This Row],[Well Density]]*Table1[[#This Row],[Single Well Discovery Area]])))</f>
        <v>1</v>
      </c>
      <c r="CN1271" s="19">
        <f>Table1[[#This Row],[Mid]]</f>
        <v>0</v>
      </c>
      <c r="CO1271" s="19">
        <f>Table1[[#This Row],[Mid3]]+Table1[[#This Row],[Mid6]]+Table1[[#This Row],[Mid9]]</f>
        <v>0</v>
      </c>
      <c r="CP1271" s="19">
        <f>Table1[[#This Row],[Mid12]]+Table1[[#This Row],[Mid15]]+Table1[[#This Row],[Mid18]]+Table1[[#This Row],[Mid21]]+Table1[[#This Row],[Mid24]]</f>
        <v>0</v>
      </c>
      <c r="CQ1271" s="19">
        <f>Table1[[#This Row],[Mid27]]+Table1[[#This Row],[Mid30]]+Table1[[#This Row],[Mid33]]+Table1[[#This Row],[Mid36]]+Table1[[#This Row],[Mid39]]</f>
        <v>20</v>
      </c>
      <c r="CR1271" t="s">
        <v>415</v>
      </c>
      <c r="CS1271" s="19" t="str">
        <f>IF(AND(Table1[[#This Row],[Low41]]=0, Table1[[#This Row],[High43]]=0),"N","Y")</f>
        <v>Y</v>
      </c>
    </row>
    <row r="1272" spans="1:98" ht="19.5" customHeight="1" x14ac:dyDescent="0.25">
      <c r="A1272">
        <v>11274</v>
      </c>
      <c r="B1272" t="s">
        <v>3373</v>
      </c>
      <c r="C1272" t="s">
        <v>2767</v>
      </c>
      <c r="D1272">
        <v>48.983611109999998</v>
      </c>
      <c r="E1272">
        <v>16.73</v>
      </c>
      <c r="F1272" t="s">
        <v>3929</v>
      </c>
      <c r="G1272" t="s">
        <v>3930</v>
      </c>
      <c r="H1272" t="s">
        <v>167</v>
      </c>
      <c r="I1272" t="s">
        <v>118</v>
      </c>
      <c r="J1272" t="s">
        <v>119</v>
      </c>
      <c r="K1272" t="s">
        <v>167</v>
      </c>
      <c r="L1272" t="s">
        <v>18</v>
      </c>
      <c r="M1272" t="s">
        <v>2761</v>
      </c>
      <c r="N1272" s="6" t="s">
        <v>3377</v>
      </c>
      <c r="O1272" t="s">
        <v>3331</v>
      </c>
      <c r="P1272" t="s">
        <v>1150</v>
      </c>
      <c r="Q1272"/>
      <c r="R1272" t="s">
        <v>3379</v>
      </c>
      <c r="S1272">
        <v>2013</v>
      </c>
      <c r="T1272" t="s">
        <v>771</v>
      </c>
      <c r="U1272" t="s">
        <v>1479</v>
      </c>
      <c r="V1272">
        <v>69</v>
      </c>
      <c r="W1272">
        <v>945</v>
      </c>
      <c r="X1272">
        <v>35</v>
      </c>
      <c r="Y1272">
        <v>1</v>
      </c>
      <c r="Z1272">
        <v>15</v>
      </c>
      <c r="AB1272">
        <v>3.5</v>
      </c>
      <c r="AC1272">
        <v>732</v>
      </c>
      <c r="AD1272">
        <v>8</v>
      </c>
      <c r="AE1272">
        <v>0.115942029</v>
      </c>
      <c r="AF1272">
        <v>200</v>
      </c>
      <c r="AH1272" t="s">
        <v>2259</v>
      </c>
      <c r="AI1272">
        <v>10</v>
      </c>
      <c r="AM1272" t="s">
        <v>3380</v>
      </c>
      <c r="AN1272" t="s">
        <v>132</v>
      </c>
      <c r="BY1272">
        <v>9.516</v>
      </c>
      <c r="BZ1272">
        <v>23.865030000000001</v>
      </c>
      <c r="CA1272">
        <v>42.748800000000003</v>
      </c>
      <c r="CE1272" s="19">
        <f>SUM(Table1[[#This Row],[Low38]],Table1[[#This Row],[Low35]],Table1[[#This Row],[Low32]],Table1[[#This Row],[Low29]],Table1[[#This Row],[Low26]],Table1[[#This Row],[Low23]],Table1[[#This Row],[Low20]],Table1[[#This Row],[Low17]],Table1[[#This Row],[Low14]],Table1[[#This Row],[Low11]],Table1[[#This Row],[Low8]],Table1[[#This Row],[Low5]],Table1[[#This Row],[Low2]],Table1[[#This Row],[Low]])</f>
        <v>9.516</v>
      </c>
      <c r="CF1272" s="19">
        <f>SUM(Table1[[#This Row],[Mid39]],Table1[[#This Row],[Mid36]],Table1[[#This Row],[Mid33]],Table1[[#This Row],[Mid30]],Table1[[#This Row],[Mid27]],Table1[[#This Row],[Mid24]],Table1[[#This Row],[Mid21]],Table1[[#This Row],[Mid18]],Table1[[#This Row],[Mid15]],Table1[[#This Row],[Mid12]],Table1[[#This Row],[Mid9]],Table1[[#This Row],[Mid6]],Table1[[#This Row],[Mid3]],Table1[[#This Row],[Mid]])</f>
        <v>23.865030000000001</v>
      </c>
      <c r="CG127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42.748800000000003</v>
      </c>
      <c r="CH1272" t="s">
        <v>157</v>
      </c>
      <c r="CI1272" s="35" t="s">
        <v>134</v>
      </c>
      <c r="CJ1272" t="s">
        <v>158</v>
      </c>
      <c r="CL1272" s="19">
        <f>IF(Table1[[#This Row],[Type]]="Petroleum",1,IF(ISERROR(Table1[[#This Row],[Well Density]]*Table1[[#This Row],[Single Well Discovery Area]]),"",IF(Table1[[#This Row],[Well Density]]*Table1[[#This Row],[Single Well Discovery Area]]&gt;1,1,Table1[[#This Row],[Well Density]]*Table1[[#This Row],[Single Well Discovery Area]])))</f>
        <v>1</v>
      </c>
      <c r="CN1272" s="19">
        <f>Table1[[#This Row],[Mid]]</f>
        <v>0</v>
      </c>
      <c r="CO1272" s="19">
        <f>Table1[[#This Row],[Mid3]]+Table1[[#This Row],[Mid6]]+Table1[[#This Row],[Mid9]]</f>
        <v>0</v>
      </c>
      <c r="CP1272" s="19">
        <f>Table1[[#This Row],[Mid12]]+Table1[[#This Row],[Mid15]]+Table1[[#This Row],[Mid18]]+Table1[[#This Row],[Mid21]]+Table1[[#This Row],[Mid24]]</f>
        <v>0</v>
      </c>
      <c r="CQ1272" s="19">
        <f>Table1[[#This Row],[Mid27]]+Table1[[#This Row],[Mid30]]+Table1[[#This Row],[Mid33]]+Table1[[#This Row],[Mid36]]+Table1[[#This Row],[Mid39]]</f>
        <v>23.865030000000001</v>
      </c>
      <c r="CR1272" t="s">
        <v>415</v>
      </c>
      <c r="CS1272" s="19" t="str">
        <f>IF(AND(Table1[[#This Row],[Low41]]=0, Table1[[#This Row],[High43]]=0),"N","Y")</f>
        <v>Y</v>
      </c>
    </row>
    <row r="1273" spans="1:98" ht="19.5" customHeight="1" x14ac:dyDescent="0.25">
      <c r="A1273">
        <v>11275</v>
      </c>
      <c r="B1273" t="s">
        <v>3373</v>
      </c>
      <c r="C1273" t="s">
        <v>2767</v>
      </c>
      <c r="D1273">
        <v>48.912500000000001</v>
      </c>
      <c r="E1273">
        <v>16.574999999999999</v>
      </c>
      <c r="F1273" t="s">
        <v>3931</v>
      </c>
      <c r="G1273" t="s">
        <v>3930</v>
      </c>
      <c r="H1273" t="s">
        <v>167</v>
      </c>
      <c r="I1273" t="s">
        <v>118</v>
      </c>
      <c r="J1273" t="s">
        <v>119</v>
      </c>
      <c r="K1273" t="s">
        <v>167</v>
      </c>
      <c r="L1273" t="s">
        <v>18</v>
      </c>
      <c r="M1273" t="s">
        <v>2761</v>
      </c>
      <c r="N1273" s="6" t="s">
        <v>3377</v>
      </c>
      <c r="O1273" t="s">
        <v>3331</v>
      </c>
      <c r="P1273" t="s">
        <v>1150</v>
      </c>
      <c r="Q1273"/>
      <c r="R1273" t="s">
        <v>3379</v>
      </c>
      <c r="S1273">
        <v>2013</v>
      </c>
      <c r="T1273" t="s">
        <v>771</v>
      </c>
      <c r="U1273" t="s">
        <v>1479</v>
      </c>
      <c r="V1273">
        <v>37</v>
      </c>
      <c r="W1273">
        <v>800</v>
      </c>
      <c r="X1273">
        <v>54</v>
      </c>
      <c r="Y1273">
        <v>0.9</v>
      </c>
      <c r="Z1273">
        <v>20</v>
      </c>
      <c r="AB1273">
        <v>2</v>
      </c>
      <c r="AC1273">
        <v>761</v>
      </c>
      <c r="AD1273">
        <v>5</v>
      </c>
      <c r="AE1273">
        <v>0.13513513499999999</v>
      </c>
      <c r="AF1273">
        <v>200</v>
      </c>
      <c r="AH1273" t="s">
        <v>2259</v>
      </c>
      <c r="AI1273">
        <v>10</v>
      </c>
      <c r="AM1273" t="s">
        <v>3380</v>
      </c>
      <c r="AN1273" t="s">
        <v>132</v>
      </c>
      <c r="BY1273">
        <v>12.5850375</v>
      </c>
      <c r="BZ1273">
        <v>24.327648</v>
      </c>
      <c r="CA1273">
        <v>68.113304999999997</v>
      </c>
      <c r="CE1273" s="19">
        <f>SUM(Table1[[#This Row],[Low38]],Table1[[#This Row],[Low35]],Table1[[#This Row],[Low32]],Table1[[#This Row],[Low29]],Table1[[#This Row],[Low26]],Table1[[#This Row],[Low23]],Table1[[#This Row],[Low20]],Table1[[#This Row],[Low17]],Table1[[#This Row],[Low14]],Table1[[#This Row],[Low11]],Table1[[#This Row],[Low8]],Table1[[#This Row],[Low5]],Table1[[#This Row],[Low2]],Table1[[#This Row],[Low]])</f>
        <v>12.5850375</v>
      </c>
      <c r="CF1273" s="19">
        <f>SUM(Table1[[#This Row],[Mid39]],Table1[[#This Row],[Mid36]],Table1[[#This Row],[Mid33]],Table1[[#This Row],[Mid30]],Table1[[#This Row],[Mid27]],Table1[[#This Row],[Mid24]],Table1[[#This Row],[Mid21]],Table1[[#This Row],[Mid18]],Table1[[#This Row],[Mid15]],Table1[[#This Row],[Mid12]],Table1[[#This Row],[Mid9]],Table1[[#This Row],[Mid6]],Table1[[#This Row],[Mid3]],Table1[[#This Row],[Mid]])</f>
        <v>24.327648</v>
      </c>
      <c r="CG127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68.113304999999997</v>
      </c>
      <c r="CH1273" t="s">
        <v>157</v>
      </c>
      <c r="CI1273" s="35" t="s">
        <v>134</v>
      </c>
      <c r="CJ1273" t="s">
        <v>158</v>
      </c>
      <c r="CL1273" s="19">
        <f>IF(Table1[[#This Row],[Type]]="Petroleum",1,IF(ISERROR(Table1[[#This Row],[Well Density]]*Table1[[#This Row],[Single Well Discovery Area]]),"",IF(Table1[[#This Row],[Well Density]]*Table1[[#This Row],[Single Well Discovery Area]]&gt;1,1,Table1[[#This Row],[Well Density]]*Table1[[#This Row],[Single Well Discovery Area]])))</f>
        <v>1</v>
      </c>
      <c r="CN1273" s="19">
        <f>Table1[[#This Row],[Mid]]</f>
        <v>0</v>
      </c>
      <c r="CO1273" s="19">
        <f>Table1[[#This Row],[Mid3]]+Table1[[#This Row],[Mid6]]+Table1[[#This Row],[Mid9]]</f>
        <v>0</v>
      </c>
      <c r="CP1273" s="19">
        <f>Table1[[#This Row],[Mid12]]+Table1[[#This Row],[Mid15]]+Table1[[#This Row],[Mid18]]+Table1[[#This Row],[Mid21]]+Table1[[#This Row],[Mid24]]</f>
        <v>0</v>
      </c>
      <c r="CQ1273" s="19">
        <f>Table1[[#This Row],[Mid27]]+Table1[[#This Row],[Mid30]]+Table1[[#This Row],[Mid33]]+Table1[[#This Row],[Mid36]]+Table1[[#This Row],[Mid39]]</f>
        <v>24.327648</v>
      </c>
      <c r="CR1273" t="s">
        <v>415</v>
      </c>
      <c r="CS1273" s="19" t="str">
        <f>IF(AND(Table1[[#This Row],[Low41]]=0, Table1[[#This Row],[High43]]=0),"N","Y")</f>
        <v>Y</v>
      </c>
    </row>
    <row r="1274" spans="1:98" ht="19.5" customHeight="1" x14ac:dyDescent="0.25">
      <c r="A1274">
        <v>11276</v>
      </c>
      <c r="B1274" t="s">
        <v>3373</v>
      </c>
      <c r="C1274" t="s">
        <v>2767</v>
      </c>
      <c r="D1274">
        <v>48.895277780000001</v>
      </c>
      <c r="E1274">
        <v>16.885000000000002</v>
      </c>
      <c r="F1274" t="s">
        <v>3932</v>
      </c>
      <c r="G1274" t="s">
        <v>3930</v>
      </c>
      <c r="H1274" t="s">
        <v>167</v>
      </c>
      <c r="I1274" t="s">
        <v>118</v>
      </c>
      <c r="J1274" t="s">
        <v>119</v>
      </c>
      <c r="K1274" t="s">
        <v>167</v>
      </c>
      <c r="L1274" t="s">
        <v>18</v>
      </c>
      <c r="M1274" t="s">
        <v>2761</v>
      </c>
      <c r="N1274" s="6" t="s">
        <v>3377</v>
      </c>
      <c r="O1274" t="s">
        <v>3331</v>
      </c>
      <c r="P1274" t="s">
        <v>1150</v>
      </c>
      <c r="Q1274"/>
      <c r="R1274" t="s">
        <v>3379</v>
      </c>
      <c r="S1274">
        <v>2013</v>
      </c>
      <c r="T1274" t="s">
        <v>771</v>
      </c>
      <c r="U1274" t="s">
        <v>1479</v>
      </c>
      <c r="V1274">
        <v>44</v>
      </c>
      <c r="W1274">
        <v>1100</v>
      </c>
      <c r="X1274">
        <v>222</v>
      </c>
      <c r="Y1274">
        <v>0.9</v>
      </c>
      <c r="Z1274">
        <v>25</v>
      </c>
      <c r="AB1274">
        <v>7</v>
      </c>
      <c r="AC1274">
        <v>712</v>
      </c>
      <c r="AD1274">
        <v>6</v>
      </c>
      <c r="AE1274">
        <v>0.13636363600000001</v>
      </c>
      <c r="AF1274">
        <v>200</v>
      </c>
      <c r="AH1274" t="s">
        <v>2259</v>
      </c>
      <c r="AI1274">
        <v>10</v>
      </c>
      <c r="AM1274" t="s">
        <v>3380</v>
      </c>
      <c r="AN1274" t="s">
        <v>132</v>
      </c>
      <c r="BY1274">
        <v>29.904</v>
      </c>
      <c r="BZ1274">
        <v>89.021644800000004</v>
      </c>
      <c r="CA1274">
        <v>307.584</v>
      </c>
      <c r="CE1274" s="19">
        <f>SUM(Table1[[#This Row],[Low38]],Table1[[#This Row],[Low35]],Table1[[#This Row],[Low32]],Table1[[#This Row],[Low29]],Table1[[#This Row],[Low26]],Table1[[#This Row],[Low23]],Table1[[#This Row],[Low20]],Table1[[#This Row],[Low17]],Table1[[#This Row],[Low14]],Table1[[#This Row],[Low11]],Table1[[#This Row],[Low8]],Table1[[#This Row],[Low5]],Table1[[#This Row],[Low2]],Table1[[#This Row],[Low]])</f>
        <v>29.904</v>
      </c>
      <c r="CF1274" s="19">
        <f>SUM(Table1[[#This Row],[Mid39]],Table1[[#This Row],[Mid36]],Table1[[#This Row],[Mid33]],Table1[[#This Row],[Mid30]],Table1[[#This Row],[Mid27]],Table1[[#This Row],[Mid24]],Table1[[#This Row],[Mid21]],Table1[[#This Row],[Mid18]],Table1[[#This Row],[Mid15]],Table1[[#This Row],[Mid12]],Table1[[#This Row],[Mid9]],Table1[[#This Row],[Mid6]],Table1[[#This Row],[Mid3]],Table1[[#This Row],[Mid]])</f>
        <v>89.021644800000004</v>
      </c>
      <c r="CG127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307.584</v>
      </c>
      <c r="CH1274" t="s">
        <v>157</v>
      </c>
      <c r="CI1274" s="35" t="s">
        <v>134</v>
      </c>
      <c r="CJ1274" t="s">
        <v>158</v>
      </c>
      <c r="CL1274" s="19">
        <f>IF(Table1[[#This Row],[Type]]="Petroleum",1,IF(ISERROR(Table1[[#This Row],[Well Density]]*Table1[[#This Row],[Single Well Discovery Area]]),"",IF(Table1[[#This Row],[Well Density]]*Table1[[#This Row],[Single Well Discovery Area]]&gt;1,1,Table1[[#This Row],[Well Density]]*Table1[[#This Row],[Single Well Discovery Area]])))</f>
        <v>1</v>
      </c>
      <c r="CN1274" s="19">
        <f>Table1[[#This Row],[Mid]]</f>
        <v>0</v>
      </c>
      <c r="CO1274" s="19">
        <f>Table1[[#This Row],[Mid3]]+Table1[[#This Row],[Mid6]]+Table1[[#This Row],[Mid9]]</f>
        <v>0</v>
      </c>
      <c r="CP1274" s="19">
        <f>Table1[[#This Row],[Mid12]]+Table1[[#This Row],[Mid15]]+Table1[[#This Row],[Mid18]]+Table1[[#This Row],[Mid21]]+Table1[[#This Row],[Mid24]]</f>
        <v>0</v>
      </c>
      <c r="CQ1274" s="19">
        <f>Table1[[#This Row],[Mid27]]+Table1[[#This Row],[Mid30]]+Table1[[#This Row],[Mid33]]+Table1[[#This Row],[Mid36]]+Table1[[#This Row],[Mid39]]</f>
        <v>89.021644800000004</v>
      </c>
      <c r="CR1274" t="s">
        <v>415</v>
      </c>
      <c r="CS1274" s="19" t="str">
        <f>IF(AND(Table1[[#This Row],[Low41]]=0, Table1[[#This Row],[High43]]=0),"N","Y")</f>
        <v>Y</v>
      </c>
    </row>
    <row r="1275" spans="1:98" ht="19.5" customHeight="1" x14ac:dyDescent="0.25">
      <c r="A1275">
        <v>11277</v>
      </c>
      <c r="B1275" t="s">
        <v>3373</v>
      </c>
      <c r="C1275" t="s">
        <v>2767</v>
      </c>
      <c r="D1275">
        <v>49.342500000000001</v>
      </c>
      <c r="E1275">
        <v>17.383055559999999</v>
      </c>
      <c r="F1275" t="s">
        <v>3933</v>
      </c>
      <c r="G1275" t="s">
        <v>3930</v>
      </c>
      <c r="H1275" t="s">
        <v>167</v>
      </c>
      <c r="I1275" t="s">
        <v>118</v>
      </c>
      <c r="J1275" t="s">
        <v>119</v>
      </c>
      <c r="K1275" t="s">
        <v>167</v>
      </c>
      <c r="L1275" t="s">
        <v>18</v>
      </c>
      <c r="M1275" t="s">
        <v>2761</v>
      </c>
      <c r="N1275" s="6" t="s">
        <v>3377</v>
      </c>
      <c r="O1275" t="s">
        <v>3331</v>
      </c>
      <c r="P1275" t="s">
        <v>1150</v>
      </c>
      <c r="Q1275"/>
      <c r="R1275" t="s">
        <v>3379</v>
      </c>
      <c r="S1275">
        <v>2013</v>
      </c>
      <c r="T1275" t="s">
        <v>771</v>
      </c>
      <c r="U1275" t="s">
        <v>1479</v>
      </c>
      <c r="V1275">
        <v>119</v>
      </c>
      <c r="W1275">
        <v>800</v>
      </c>
      <c r="X1275">
        <v>67</v>
      </c>
      <c r="Y1275">
        <v>0.95</v>
      </c>
      <c r="Z1275">
        <v>15</v>
      </c>
      <c r="AB1275">
        <v>6</v>
      </c>
      <c r="AC1275">
        <v>761</v>
      </c>
      <c r="AD1275">
        <v>11</v>
      </c>
      <c r="AE1275">
        <v>9.2436975000000005E-2</v>
      </c>
      <c r="AF1275">
        <v>200</v>
      </c>
      <c r="AH1275" t="s">
        <v>2259</v>
      </c>
      <c r="AI1275">
        <v>10</v>
      </c>
      <c r="AM1275" t="s">
        <v>3380</v>
      </c>
      <c r="AN1275" t="s">
        <v>132</v>
      </c>
      <c r="BY1275">
        <v>14.230700000000001</v>
      </c>
      <c r="BZ1275">
        <v>81.910615500000006</v>
      </c>
      <c r="CA1275">
        <v>197.36535000000001</v>
      </c>
      <c r="CE1275" s="19">
        <f>SUM(Table1[[#This Row],[Low38]],Table1[[#This Row],[Low35]],Table1[[#This Row],[Low32]],Table1[[#This Row],[Low29]],Table1[[#This Row],[Low26]],Table1[[#This Row],[Low23]],Table1[[#This Row],[Low20]],Table1[[#This Row],[Low17]],Table1[[#This Row],[Low14]],Table1[[#This Row],[Low11]],Table1[[#This Row],[Low8]],Table1[[#This Row],[Low5]],Table1[[#This Row],[Low2]],Table1[[#This Row],[Low]])</f>
        <v>14.230700000000001</v>
      </c>
      <c r="CF1275" s="19">
        <f>SUM(Table1[[#This Row],[Mid39]],Table1[[#This Row],[Mid36]],Table1[[#This Row],[Mid33]],Table1[[#This Row],[Mid30]],Table1[[#This Row],[Mid27]],Table1[[#This Row],[Mid24]],Table1[[#This Row],[Mid21]],Table1[[#This Row],[Mid18]],Table1[[#This Row],[Mid15]],Table1[[#This Row],[Mid12]],Table1[[#This Row],[Mid9]],Table1[[#This Row],[Mid6]],Table1[[#This Row],[Mid3]],Table1[[#This Row],[Mid]])</f>
        <v>81.910615500000006</v>
      </c>
      <c r="CG127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197.36535000000001</v>
      </c>
      <c r="CH1275" t="s">
        <v>157</v>
      </c>
      <c r="CI1275" s="35" t="s">
        <v>134</v>
      </c>
      <c r="CJ1275" t="s">
        <v>158</v>
      </c>
      <c r="CL1275" s="19">
        <f>IF(Table1[[#This Row],[Type]]="Petroleum",1,IF(ISERROR(Table1[[#This Row],[Well Density]]*Table1[[#This Row],[Single Well Discovery Area]]),"",IF(Table1[[#This Row],[Well Density]]*Table1[[#This Row],[Single Well Discovery Area]]&gt;1,1,Table1[[#This Row],[Well Density]]*Table1[[#This Row],[Single Well Discovery Area]])))</f>
        <v>1</v>
      </c>
      <c r="CN1275" s="19">
        <f>Table1[[#This Row],[Mid]]</f>
        <v>0</v>
      </c>
      <c r="CO1275" s="19">
        <f>Table1[[#This Row],[Mid3]]+Table1[[#This Row],[Mid6]]+Table1[[#This Row],[Mid9]]</f>
        <v>0</v>
      </c>
      <c r="CP1275" s="19">
        <f>Table1[[#This Row],[Mid12]]+Table1[[#This Row],[Mid15]]+Table1[[#This Row],[Mid18]]+Table1[[#This Row],[Mid21]]+Table1[[#This Row],[Mid24]]</f>
        <v>0</v>
      </c>
      <c r="CQ1275" s="19">
        <f>Table1[[#This Row],[Mid27]]+Table1[[#This Row],[Mid30]]+Table1[[#This Row],[Mid33]]+Table1[[#This Row],[Mid36]]+Table1[[#This Row],[Mid39]]</f>
        <v>81.910615500000006</v>
      </c>
      <c r="CR1275" t="s">
        <v>415</v>
      </c>
      <c r="CS1275" s="19" t="str">
        <f>IF(AND(Table1[[#This Row],[Low41]]=0, Table1[[#This Row],[High43]]=0),"N","Y")</f>
        <v>Y</v>
      </c>
    </row>
    <row r="1276" spans="1:98" ht="19.5" customHeight="1" x14ac:dyDescent="0.25">
      <c r="A1276">
        <v>11278</v>
      </c>
      <c r="B1276" t="s">
        <v>3934</v>
      </c>
      <c r="C1276" t="s">
        <v>3935</v>
      </c>
      <c r="D1276">
        <v>49.166111110000003</v>
      </c>
      <c r="E1276">
        <v>16.909444440000001</v>
      </c>
      <c r="F1276" t="s">
        <v>3935</v>
      </c>
      <c r="G1276" t="s">
        <v>3318</v>
      </c>
      <c r="H1276" t="s">
        <v>2731</v>
      </c>
      <c r="I1276" t="s">
        <v>118</v>
      </c>
      <c r="J1276" t="s">
        <v>119</v>
      </c>
      <c r="K1276" t="s">
        <v>120</v>
      </c>
      <c r="L1276" t="s">
        <v>18</v>
      </c>
      <c r="M1276" t="s">
        <v>2731</v>
      </c>
      <c r="N1276" s="6" t="s">
        <v>3936</v>
      </c>
      <c r="O1276" t="s">
        <v>3331</v>
      </c>
      <c r="P1276" t="s">
        <v>1150</v>
      </c>
      <c r="Q1276" t="s">
        <v>255</v>
      </c>
      <c r="R1276" t="s">
        <v>3937</v>
      </c>
      <c r="S1276">
        <v>2013</v>
      </c>
      <c r="T1276" t="s">
        <v>771</v>
      </c>
      <c r="U1276" t="s">
        <v>3322</v>
      </c>
      <c r="V1276">
        <v>4718</v>
      </c>
      <c r="W1276">
        <v>1500</v>
      </c>
      <c r="Z1276">
        <v>18</v>
      </c>
      <c r="AA1276">
        <v>100</v>
      </c>
      <c r="AE1276">
        <v>0</v>
      </c>
      <c r="AF1276">
        <v>200</v>
      </c>
      <c r="AH1276" t="s">
        <v>2259</v>
      </c>
      <c r="AM1276" t="s">
        <v>3167</v>
      </c>
      <c r="AN1276" t="s">
        <v>132</v>
      </c>
      <c r="AO1276">
        <v>0</v>
      </c>
      <c r="AP1276">
        <v>0</v>
      </c>
      <c r="AQ1276">
        <v>0</v>
      </c>
      <c r="AR1276">
        <v>0</v>
      </c>
      <c r="AS1276">
        <v>0</v>
      </c>
      <c r="AT1276">
        <v>0</v>
      </c>
      <c r="AU1276">
        <v>0</v>
      </c>
      <c r="AV1276">
        <v>0</v>
      </c>
      <c r="AW1276">
        <v>0</v>
      </c>
      <c r="AX1276">
        <v>0</v>
      </c>
      <c r="AY1276">
        <v>0</v>
      </c>
      <c r="AZ1276">
        <v>0</v>
      </c>
      <c r="BA1276">
        <v>0</v>
      </c>
      <c r="BB1276">
        <v>0</v>
      </c>
      <c r="BC1276">
        <v>0</v>
      </c>
      <c r="BD1276">
        <v>0</v>
      </c>
      <c r="BE1276">
        <v>0</v>
      </c>
      <c r="BF1276">
        <v>0</v>
      </c>
      <c r="BG1276">
        <v>0</v>
      </c>
      <c r="BH1276">
        <v>0</v>
      </c>
      <c r="BI1276">
        <v>0</v>
      </c>
      <c r="BJ1276">
        <v>0</v>
      </c>
      <c r="BK1276">
        <v>0</v>
      </c>
      <c r="BL1276">
        <v>0</v>
      </c>
      <c r="BM1276">
        <v>0</v>
      </c>
      <c r="BN1276">
        <v>0</v>
      </c>
      <c r="BO1276">
        <v>0</v>
      </c>
      <c r="BP1276">
        <v>0</v>
      </c>
      <c r="BQ1276">
        <v>0</v>
      </c>
      <c r="BR1276">
        <v>0</v>
      </c>
      <c r="BS1276">
        <v>0</v>
      </c>
      <c r="BT1276">
        <v>0</v>
      </c>
      <c r="BU1276">
        <v>0</v>
      </c>
      <c r="BV1276">
        <v>0</v>
      </c>
      <c r="BW1276">
        <v>0</v>
      </c>
      <c r="BX1276">
        <v>0</v>
      </c>
      <c r="BY1276">
        <v>0</v>
      </c>
      <c r="BZ1276">
        <v>75.67</v>
      </c>
      <c r="CA1276">
        <v>0</v>
      </c>
      <c r="CB1276">
        <v>0</v>
      </c>
      <c r="CC1276">
        <v>0</v>
      </c>
      <c r="CD1276">
        <v>0</v>
      </c>
      <c r="CE127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76" s="19">
        <f>SUM(Table1[[#This Row],[Mid39]],Table1[[#This Row],[Mid36]],Table1[[#This Row],[Mid33]],Table1[[#This Row],[Mid30]],Table1[[#This Row],[Mid27]],Table1[[#This Row],[Mid24]],Table1[[#This Row],[Mid21]],Table1[[#This Row],[Mid18]],Table1[[#This Row],[Mid15]],Table1[[#This Row],[Mid12]],Table1[[#This Row],[Mid9]],Table1[[#This Row],[Mid6]],Table1[[#This Row],[Mid3]],Table1[[#This Row],[Mid]])</f>
        <v>75.67</v>
      </c>
      <c r="CG127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76" t="s">
        <v>157</v>
      </c>
      <c r="CI1276" s="35" t="s">
        <v>134</v>
      </c>
      <c r="CJ1276" t="s">
        <v>158</v>
      </c>
      <c r="CL1276" s="19">
        <f>IF(Table1[[#This Row],[Type]]="Petroleum",1,IF(ISERROR(Table1[[#This Row],[Well Density]]*Table1[[#This Row],[Single Well Discovery Area]]),"",IF(Table1[[#This Row],[Well Density]]*Table1[[#This Row],[Single Well Discovery Area]]&gt;1,1,Table1[[#This Row],[Well Density]]*Table1[[#This Row],[Single Well Discovery Area]])))</f>
        <v>0</v>
      </c>
      <c r="CN1276" s="19">
        <f>Table1[[#This Row],[Mid]]</f>
        <v>0</v>
      </c>
      <c r="CO1276" s="19">
        <f>Table1[[#This Row],[Mid3]]+Table1[[#This Row],[Mid6]]+Table1[[#This Row],[Mid9]]</f>
        <v>0</v>
      </c>
      <c r="CP1276" s="19">
        <f>Table1[[#This Row],[Mid12]]+Table1[[#This Row],[Mid15]]+Table1[[#This Row],[Mid18]]+Table1[[#This Row],[Mid21]]+Table1[[#This Row],[Mid24]]</f>
        <v>0</v>
      </c>
      <c r="CQ1276" s="19">
        <f>Table1[[#This Row],[Mid27]]+Table1[[#This Row],[Mid30]]+Table1[[#This Row],[Mid33]]+Table1[[#This Row],[Mid36]]+Table1[[#This Row],[Mid39]]</f>
        <v>75.67</v>
      </c>
      <c r="CR1276" t="s">
        <v>415</v>
      </c>
      <c r="CS1276" s="19" t="str">
        <f>IF(AND(Table1[[#This Row],[Low41]]=0, Table1[[#This Row],[High43]]=0),"N","Y")</f>
        <v>N</v>
      </c>
    </row>
    <row r="1277" spans="1:98" ht="19.5" customHeight="1" x14ac:dyDescent="0.25">
      <c r="A1277">
        <v>11279</v>
      </c>
      <c r="B1277" t="s">
        <v>3934</v>
      </c>
      <c r="C1277" t="s">
        <v>3938</v>
      </c>
      <c r="D1277">
        <v>50.554722220000002</v>
      </c>
      <c r="E1277">
        <v>14.669166669999999</v>
      </c>
      <c r="F1277" t="s">
        <v>3938</v>
      </c>
      <c r="G1277" t="s">
        <v>3318</v>
      </c>
      <c r="H1277" t="s">
        <v>3541</v>
      </c>
      <c r="I1277" t="s">
        <v>118</v>
      </c>
      <c r="J1277" t="s">
        <v>119</v>
      </c>
      <c r="K1277" t="s">
        <v>120</v>
      </c>
      <c r="L1277" t="s">
        <v>18</v>
      </c>
      <c r="M1277" t="s">
        <v>3541</v>
      </c>
      <c r="N1277" s="6" t="s">
        <v>3939</v>
      </c>
      <c r="O1277" t="s">
        <v>3331</v>
      </c>
      <c r="P1277" t="s">
        <v>1150</v>
      </c>
      <c r="Q1277" t="s">
        <v>255</v>
      </c>
      <c r="R1277" t="s">
        <v>3940</v>
      </c>
      <c r="S1277">
        <v>2013</v>
      </c>
      <c r="T1277" t="s">
        <v>771</v>
      </c>
      <c r="U1277" t="s">
        <v>3322</v>
      </c>
      <c r="V1277">
        <v>2250</v>
      </c>
      <c r="W1277">
        <v>1000</v>
      </c>
      <c r="Z1277">
        <v>15</v>
      </c>
      <c r="AA1277">
        <v>40</v>
      </c>
      <c r="AE1277">
        <v>0</v>
      </c>
      <c r="AF1277">
        <v>200</v>
      </c>
      <c r="AH1277" t="s">
        <v>2259</v>
      </c>
      <c r="AM1277" t="s">
        <v>3167</v>
      </c>
      <c r="AN1277" t="s">
        <v>132</v>
      </c>
      <c r="AO1277">
        <v>0</v>
      </c>
      <c r="AP1277">
        <v>0</v>
      </c>
      <c r="AQ1277">
        <v>0</v>
      </c>
      <c r="AR1277">
        <v>0</v>
      </c>
      <c r="AS1277">
        <v>0</v>
      </c>
      <c r="AT1277">
        <v>0</v>
      </c>
      <c r="AU1277">
        <v>0</v>
      </c>
      <c r="AV1277">
        <v>0</v>
      </c>
      <c r="AW1277">
        <v>0</v>
      </c>
      <c r="AX1277">
        <v>0</v>
      </c>
      <c r="AY1277">
        <v>0</v>
      </c>
      <c r="AZ1277">
        <v>0</v>
      </c>
      <c r="BA1277">
        <v>0</v>
      </c>
      <c r="BB1277">
        <v>0</v>
      </c>
      <c r="BC1277">
        <v>0</v>
      </c>
      <c r="BD1277">
        <v>0</v>
      </c>
      <c r="BE1277">
        <v>0</v>
      </c>
      <c r="BF1277">
        <v>0</v>
      </c>
      <c r="BG1277">
        <v>0</v>
      </c>
      <c r="BH1277">
        <v>0</v>
      </c>
      <c r="BI1277">
        <v>0</v>
      </c>
      <c r="BJ1277">
        <v>0</v>
      </c>
      <c r="BK1277">
        <v>0</v>
      </c>
      <c r="BL1277">
        <v>0</v>
      </c>
      <c r="BM1277">
        <v>0</v>
      </c>
      <c r="BN1277">
        <v>0</v>
      </c>
      <c r="BO1277">
        <v>0</v>
      </c>
      <c r="BP1277">
        <v>0</v>
      </c>
      <c r="BQ1277">
        <v>0</v>
      </c>
      <c r="BR1277">
        <v>0</v>
      </c>
      <c r="BS1277">
        <v>0</v>
      </c>
      <c r="BT1277">
        <v>0</v>
      </c>
      <c r="BU1277">
        <v>0</v>
      </c>
      <c r="BV1277">
        <v>0</v>
      </c>
      <c r="BW1277">
        <v>0</v>
      </c>
      <c r="BX1277">
        <v>0</v>
      </c>
      <c r="BY1277">
        <v>0</v>
      </c>
      <c r="BZ1277">
        <v>35</v>
      </c>
      <c r="CA1277">
        <v>0</v>
      </c>
      <c r="CB1277">
        <v>0</v>
      </c>
      <c r="CC1277">
        <v>0</v>
      </c>
      <c r="CD1277">
        <v>0</v>
      </c>
      <c r="CE127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77" s="19">
        <f>SUM(Table1[[#This Row],[Mid39]],Table1[[#This Row],[Mid36]],Table1[[#This Row],[Mid33]],Table1[[#This Row],[Mid30]],Table1[[#This Row],[Mid27]],Table1[[#This Row],[Mid24]],Table1[[#This Row],[Mid21]],Table1[[#This Row],[Mid18]],Table1[[#This Row],[Mid15]],Table1[[#This Row],[Mid12]],Table1[[#This Row],[Mid9]],Table1[[#This Row],[Mid6]],Table1[[#This Row],[Mid3]],Table1[[#This Row],[Mid]])</f>
        <v>35</v>
      </c>
      <c r="CG127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77" t="s">
        <v>157</v>
      </c>
      <c r="CI1277" s="35" t="s">
        <v>134</v>
      </c>
      <c r="CJ1277" t="s">
        <v>158</v>
      </c>
      <c r="CL1277" s="19">
        <f>IF(Table1[[#This Row],[Type]]="Petroleum",1,IF(ISERROR(Table1[[#This Row],[Well Density]]*Table1[[#This Row],[Single Well Discovery Area]]),"",IF(Table1[[#This Row],[Well Density]]*Table1[[#This Row],[Single Well Discovery Area]]&gt;1,1,Table1[[#This Row],[Well Density]]*Table1[[#This Row],[Single Well Discovery Area]])))</f>
        <v>0</v>
      </c>
      <c r="CN1277" s="19">
        <f>Table1[[#This Row],[Mid]]</f>
        <v>0</v>
      </c>
      <c r="CO1277" s="19">
        <f>Table1[[#This Row],[Mid3]]+Table1[[#This Row],[Mid6]]+Table1[[#This Row],[Mid9]]</f>
        <v>0</v>
      </c>
      <c r="CP1277" s="19">
        <f>Table1[[#This Row],[Mid12]]+Table1[[#This Row],[Mid15]]+Table1[[#This Row],[Mid18]]+Table1[[#This Row],[Mid21]]+Table1[[#This Row],[Mid24]]</f>
        <v>0</v>
      </c>
      <c r="CQ1277" s="19">
        <f>Table1[[#This Row],[Mid27]]+Table1[[#This Row],[Mid30]]+Table1[[#This Row],[Mid33]]+Table1[[#This Row],[Mid36]]+Table1[[#This Row],[Mid39]]</f>
        <v>35</v>
      </c>
      <c r="CR1277" t="s">
        <v>415</v>
      </c>
      <c r="CS1277" s="19" t="str">
        <f>IF(AND(Table1[[#This Row],[Low41]]=0, Table1[[#This Row],[High43]]=0),"N","Y")</f>
        <v>N</v>
      </c>
    </row>
    <row r="1278" spans="1:98" ht="19.5" customHeight="1" x14ac:dyDescent="0.25">
      <c r="A1278">
        <v>11280</v>
      </c>
      <c r="B1278" t="s">
        <v>3934</v>
      </c>
      <c r="C1278" t="s">
        <v>3935</v>
      </c>
      <c r="D1278">
        <v>48.836388890000002</v>
      </c>
      <c r="E1278">
        <v>17.053611109999999</v>
      </c>
      <c r="F1278" t="s">
        <v>3941</v>
      </c>
      <c r="G1278" t="s">
        <v>3318</v>
      </c>
      <c r="H1278" t="s">
        <v>167</v>
      </c>
      <c r="I1278" t="s">
        <v>520</v>
      </c>
      <c r="J1278" t="s">
        <v>202</v>
      </c>
      <c r="K1278" t="s">
        <v>167</v>
      </c>
      <c r="L1278" t="s">
        <v>121</v>
      </c>
      <c r="M1278" t="s">
        <v>252</v>
      </c>
      <c r="N1278" s="6" t="s">
        <v>3942</v>
      </c>
      <c r="O1278" t="s">
        <v>3331</v>
      </c>
      <c r="P1278" t="s">
        <v>1150</v>
      </c>
      <c r="Q1278" t="s">
        <v>255</v>
      </c>
      <c r="R1278" t="s">
        <v>3943</v>
      </c>
      <c r="S1278">
        <v>2014</v>
      </c>
      <c r="T1278" t="s">
        <v>771</v>
      </c>
      <c r="U1278" t="s">
        <v>3322</v>
      </c>
      <c r="V1278"/>
      <c r="AF1278">
        <v>200</v>
      </c>
      <c r="AH1278" t="s">
        <v>2259</v>
      </c>
      <c r="AM1278" t="s">
        <v>3167</v>
      </c>
      <c r="AN1278" t="s">
        <v>132</v>
      </c>
      <c r="BK1278">
        <v>33</v>
      </c>
      <c r="CE127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78" s="19">
        <f>SUM(Table1[[#This Row],[Mid39]],Table1[[#This Row],[Mid36]],Table1[[#This Row],[Mid33]],Table1[[#This Row],[Mid30]],Table1[[#This Row],[Mid27]],Table1[[#This Row],[Mid24]],Table1[[#This Row],[Mid21]],Table1[[#This Row],[Mid18]],Table1[[#This Row],[Mid15]],Table1[[#This Row],[Mid12]],Table1[[#This Row],[Mid9]],Table1[[#This Row],[Mid6]],Table1[[#This Row],[Mid3]],Table1[[#This Row],[Mid]])</f>
        <v>33</v>
      </c>
      <c r="CG127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278" t="s">
        <v>157</v>
      </c>
      <c r="CI1278" s="35" t="s">
        <v>134</v>
      </c>
      <c r="CJ1278" t="s">
        <v>158</v>
      </c>
      <c r="CL1278" s="19">
        <f>IF(Table1[[#This Row],[Type]]="Petroleum",1,IF(ISERROR(Table1[[#This Row],[Well Density]]*Table1[[#This Row],[Single Well Discovery Area]]),"",IF(Table1[[#This Row],[Well Density]]*Table1[[#This Row],[Single Well Discovery Area]]&gt;1,1,Table1[[#This Row],[Well Density]]*Table1[[#This Row],[Single Well Discovery Area]])))</f>
        <v>1</v>
      </c>
      <c r="CN1278" s="19">
        <f>Table1[[#This Row],[Mid]]</f>
        <v>0</v>
      </c>
      <c r="CO1278" s="19">
        <f>Table1[[#This Row],[Mid3]]+Table1[[#This Row],[Mid6]]+Table1[[#This Row],[Mid9]]</f>
        <v>0</v>
      </c>
      <c r="CP1278" s="19">
        <f>Table1[[#This Row],[Mid12]]+Table1[[#This Row],[Mid15]]+Table1[[#This Row],[Mid18]]+Table1[[#This Row],[Mid21]]+Table1[[#This Row],[Mid24]]</f>
        <v>33</v>
      </c>
      <c r="CQ1278" s="19">
        <f>Table1[[#This Row],[Mid27]]+Table1[[#This Row],[Mid30]]+Table1[[#This Row],[Mid33]]+Table1[[#This Row],[Mid36]]+Table1[[#This Row],[Mid39]]</f>
        <v>0</v>
      </c>
      <c r="CR1278" t="s">
        <v>415</v>
      </c>
      <c r="CS1278" s="19" t="str">
        <f>IF(AND(Table1[[#This Row],[Low41]]=0, Table1[[#This Row],[High43]]=0),"N","Y")</f>
        <v>N</v>
      </c>
    </row>
    <row r="1279" spans="1:98" ht="19.5" customHeight="1" x14ac:dyDescent="0.25">
      <c r="A1279">
        <v>11281</v>
      </c>
      <c r="B1279" s="32" t="s">
        <v>3944</v>
      </c>
      <c r="C1279" s="32"/>
      <c r="D1279" s="11">
        <v>5.053055555555555</v>
      </c>
      <c r="E1279" s="11">
        <v>114.22222222222223</v>
      </c>
      <c r="F1279" s="32" t="s">
        <v>3945</v>
      </c>
      <c r="G1279" s="32" t="s">
        <v>3946</v>
      </c>
      <c r="H1279" t="s">
        <v>3945</v>
      </c>
      <c r="I1279" s="32" t="s">
        <v>118</v>
      </c>
      <c r="J1279" s="32" t="s">
        <v>119</v>
      </c>
      <c r="K1279" s="32" t="s">
        <v>190</v>
      </c>
      <c r="L1279" s="32" t="s">
        <v>18</v>
      </c>
      <c r="M1279" s="32" t="s">
        <v>1177</v>
      </c>
      <c r="N1279" s="6" t="s">
        <v>2509</v>
      </c>
      <c r="O1279" t="s">
        <v>3947</v>
      </c>
      <c r="P1279" t="s">
        <v>3948</v>
      </c>
      <c r="Q1279" s="6" t="s">
        <v>3949</v>
      </c>
      <c r="R1279" s="33" t="s">
        <v>3950</v>
      </c>
      <c r="S1279">
        <v>2010</v>
      </c>
      <c r="T1279" t="s">
        <v>2257</v>
      </c>
      <c r="U1279" t="s">
        <v>129</v>
      </c>
      <c r="V1279" s="7">
        <v>49000</v>
      </c>
      <c r="W1279" s="7">
        <v>2000</v>
      </c>
      <c r="X1279" s="7">
        <v>50</v>
      </c>
      <c r="Z1279">
        <v>20</v>
      </c>
      <c r="AA1279">
        <v>980</v>
      </c>
      <c r="AC1279" s="7"/>
      <c r="AD1279" s="7"/>
      <c r="AE1279" s="7"/>
      <c r="AF1279">
        <v>200</v>
      </c>
      <c r="AG1279">
        <v>20</v>
      </c>
      <c r="AH1279" t="s">
        <v>130</v>
      </c>
      <c r="AI1279" s="34" t="s">
        <v>2447</v>
      </c>
      <c r="AJ1279" s="34"/>
      <c r="AK1279">
        <v>16</v>
      </c>
      <c r="AL1279">
        <v>20</v>
      </c>
      <c r="AN1279" t="s">
        <v>132</v>
      </c>
      <c r="AO1279" s="19"/>
      <c r="AP1279" s="19"/>
      <c r="AQ1279" s="19"/>
      <c r="AR1279" s="19"/>
      <c r="AS1279" s="19"/>
      <c r="AT1279" s="19"/>
      <c r="AU1279" s="19"/>
      <c r="AV1279" s="19"/>
      <c r="AW1279" s="19"/>
      <c r="AX1279" s="19"/>
      <c r="AY1279" s="19"/>
      <c r="AZ1279" s="19"/>
      <c r="BA1279" s="19"/>
      <c r="BB1279" s="19"/>
      <c r="BC1279" s="19"/>
      <c r="BD1279" s="19"/>
      <c r="BE1279" s="19"/>
      <c r="BF1279" s="19"/>
      <c r="BG1279" s="19"/>
      <c r="BH1279" s="19"/>
      <c r="BI1279" s="19"/>
      <c r="BJ1279" s="19"/>
      <c r="BK1279" s="19"/>
      <c r="BL1279" s="19"/>
      <c r="BM1279" s="19"/>
      <c r="BN1279" s="19"/>
      <c r="BO1279" s="19"/>
      <c r="BP1279" s="19"/>
      <c r="BQ1279" s="19"/>
      <c r="BR1279" s="19"/>
      <c r="BS1279" s="19"/>
      <c r="BT1279" s="19"/>
      <c r="BU1279" s="19"/>
      <c r="BV1279" s="19"/>
      <c r="BW1279" s="19">
        <v>548</v>
      </c>
      <c r="BX1279" s="19"/>
      <c r="BY1279" s="19"/>
      <c r="BZ1279" s="19"/>
      <c r="CA1279" s="19"/>
      <c r="CB1279" s="19"/>
      <c r="CC1279" s="19"/>
      <c r="CD1279" s="19"/>
      <c r="CE1279" s="19">
        <v>0</v>
      </c>
      <c r="CF1279" s="19">
        <v>548</v>
      </c>
      <c r="CG1279" s="19">
        <v>0</v>
      </c>
      <c r="CH1279" s="19" t="s">
        <v>157</v>
      </c>
      <c r="CI1279" t="s">
        <v>3951</v>
      </c>
      <c r="CJ1279" s="35" t="s">
        <v>135</v>
      </c>
      <c r="CL1279" s="19">
        <v>0</v>
      </c>
      <c r="CM1279" s="11" t="s">
        <v>135</v>
      </c>
      <c r="CN1279" s="19">
        <v>0</v>
      </c>
      <c r="CO1279" s="19">
        <v>0</v>
      </c>
      <c r="CP1279" s="19">
        <v>0</v>
      </c>
      <c r="CQ1279" s="19">
        <v>548</v>
      </c>
      <c r="CR1279" s="19" t="s">
        <v>439</v>
      </c>
      <c r="CS1279" s="19" t="s">
        <v>3952</v>
      </c>
      <c r="CT1279" s="19"/>
    </row>
    <row r="1280" spans="1:98" ht="19.5" customHeight="1" x14ac:dyDescent="0.25">
      <c r="A1280">
        <v>11282</v>
      </c>
      <c r="B1280" t="s">
        <v>3953</v>
      </c>
      <c r="C1280" t="s">
        <v>223</v>
      </c>
      <c r="D1280">
        <v>56.713999999999999</v>
      </c>
      <c r="E1280">
        <v>21.459499999999998</v>
      </c>
      <c r="F1280" t="s">
        <v>3954</v>
      </c>
      <c r="G1280" t="s">
        <v>2682</v>
      </c>
      <c r="H1280" t="s">
        <v>167</v>
      </c>
      <c r="I1280" t="s">
        <v>118</v>
      </c>
      <c r="J1280" t="s">
        <v>119</v>
      </c>
      <c r="K1280" t="s">
        <v>203</v>
      </c>
      <c r="L1280" t="s">
        <v>3955</v>
      </c>
      <c r="M1280" t="s">
        <v>597</v>
      </c>
      <c r="N1280" s="6" t="s">
        <v>3956</v>
      </c>
      <c r="O1280" t="s">
        <v>2652</v>
      </c>
      <c r="P1280" t="s">
        <v>1150</v>
      </c>
      <c r="Q1280" t="s">
        <v>3957</v>
      </c>
      <c r="R1280" t="s">
        <v>3958</v>
      </c>
      <c r="S1280">
        <v>2009</v>
      </c>
      <c r="T1280" t="s">
        <v>3959</v>
      </c>
      <c r="U1280" t="s">
        <v>1479</v>
      </c>
      <c r="V1280">
        <v>51</v>
      </c>
      <c r="W1280">
        <v>1110</v>
      </c>
      <c r="Z1280">
        <v>12.7</v>
      </c>
      <c r="AA1280">
        <v>191</v>
      </c>
      <c r="AE1280" t="str">
        <f>IF(ISERROR([2]!Table1[[#This Row],[Well Count]]/[2]!Table1[[#This Row],[Site Area km2]]),"",[2]!Table1[[#This Row],[Well Count]]/[2]!Table1[[#This Row],[Site Area km2]])</f>
        <v/>
      </c>
      <c r="AF1280">
        <v>200</v>
      </c>
      <c r="AH1280" t="s">
        <v>2259</v>
      </c>
      <c r="AI1280">
        <v>40</v>
      </c>
      <c r="AM1280" t="s">
        <v>3960</v>
      </c>
      <c r="AN1280" t="s">
        <v>132</v>
      </c>
      <c r="CC1280">
        <v>14</v>
      </c>
      <c r="CE128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80" s="19">
        <f>SUM(Table1[[#This Row],[Mid39]],Table1[[#This Row],[Mid36]],Table1[[#This Row],[Mid33]],Table1[[#This Row],[Mid30]],Table1[[#This Row],[Mid27]],Table1[[#This Row],[Mid24]],Table1[[#This Row],[Mid21]],Table1[[#This Row],[Mid18]],Table1[[#This Row],[Mid15]],Table1[[#This Row],[Mid12]],Table1[[#This Row],[Mid9]],Table1[[#This Row],[Mid6]],Table1[[#This Row],[Mid3]],Table1[[#This Row],[Mid]])</f>
        <v>14</v>
      </c>
      <c r="CG128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280" s="35" t="s">
        <v>134</v>
      </c>
      <c r="CJ1280" t="s">
        <v>158</v>
      </c>
      <c r="CL1280" s="19" t="str">
        <f>IF(Table1[[#This Row],[Type]]="Petroleum",1,IF(ISERROR(Table1[[#This Row],[Well Density]]*Table1[[#This Row],[Single Well Discovery Area]]),"",IF(Table1[[#This Row],[Well Density]]*Table1[[#This Row],[Single Well Discovery Area]]&gt;1,1,Table1[[#This Row],[Well Density]]*Table1[[#This Row],[Single Well Discovery Area]])))</f>
        <v/>
      </c>
      <c r="CM1280" t="s">
        <v>158</v>
      </c>
      <c r="CN1280" s="19">
        <f>Table1[[#This Row],[Mid]]</f>
        <v>0</v>
      </c>
      <c r="CO1280" s="19">
        <f>Table1[[#This Row],[Mid3]]+Table1[[#This Row],[Mid6]]+Table1[[#This Row],[Mid9]]</f>
        <v>0</v>
      </c>
      <c r="CP1280" s="19">
        <f>Table1[[#This Row],[Mid12]]+Table1[[#This Row],[Mid15]]+Table1[[#This Row],[Mid18]]+Table1[[#This Row],[Mid21]]+Table1[[#This Row],[Mid24]]</f>
        <v>0</v>
      </c>
      <c r="CQ1280" s="19">
        <f>Table1[[#This Row],[Mid27]]+Table1[[#This Row],[Mid30]]+Table1[[#This Row],[Mid33]]+Table1[[#This Row],[Mid36]]+Table1[[#This Row],[Mid39]]</f>
        <v>14</v>
      </c>
      <c r="CR1280" t="s">
        <v>415</v>
      </c>
      <c r="CS1280" s="19" t="str">
        <f>IF(AND(Table1[[#This Row],[Low41]]=0, Table1[[#This Row],[High43]]=0),"N","Y")</f>
        <v>N</v>
      </c>
    </row>
    <row r="1281" spans="1:97" ht="19.5" customHeight="1" x14ac:dyDescent="0.25">
      <c r="A1281">
        <v>11283</v>
      </c>
      <c r="B1281" t="s">
        <v>3953</v>
      </c>
      <c r="C1281" t="s">
        <v>223</v>
      </c>
      <c r="D1281">
        <v>56.598500000000001</v>
      </c>
      <c r="E1281">
        <v>22.666799999999999</v>
      </c>
      <c r="F1281" t="s">
        <v>3961</v>
      </c>
      <c r="G1281" t="s">
        <v>2682</v>
      </c>
      <c r="H1281" t="s">
        <v>3962</v>
      </c>
      <c r="I1281" t="s">
        <v>118</v>
      </c>
      <c r="J1281" t="s">
        <v>119</v>
      </c>
      <c r="K1281" t="s">
        <v>203</v>
      </c>
      <c r="L1281" t="s">
        <v>121</v>
      </c>
      <c r="M1281" t="s">
        <v>3963</v>
      </c>
      <c r="N1281" s="6" t="s">
        <v>3964</v>
      </c>
      <c r="O1281" t="s">
        <v>2652</v>
      </c>
      <c r="P1281" t="s">
        <v>3965</v>
      </c>
      <c r="Q1281" t="s">
        <v>3966</v>
      </c>
      <c r="R1281" t="s">
        <v>3967</v>
      </c>
      <c r="S1281">
        <v>2009</v>
      </c>
      <c r="T1281" t="s">
        <v>3959</v>
      </c>
      <c r="U1281" t="s">
        <v>1479</v>
      </c>
      <c r="V1281">
        <v>62</v>
      </c>
      <c r="W1281">
        <v>1168</v>
      </c>
      <c r="X1281">
        <v>60</v>
      </c>
      <c r="Y1281">
        <v>80</v>
      </c>
      <c r="Z1281">
        <v>21</v>
      </c>
      <c r="AA1281">
        <v>860</v>
      </c>
      <c r="AB1281">
        <v>107</v>
      </c>
      <c r="AC1281">
        <v>866</v>
      </c>
      <c r="AD1281">
        <v>1</v>
      </c>
      <c r="AE1281" t="str">
        <f>IF(ISERROR([2]!Table1[[#This Row],[Well Count]]/[2]!Table1[[#This Row],[Site Area km2]]),"",[2]!Table1[[#This Row],[Well Count]]/[2]!Table1[[#This Row],[Site Area km2]])</f>
        <v/>
      </c>
      <c r="AF1281">
        <v>200</v>
      </c>
      <c r="AG1281">
        <v>12.65</v>
      </c>
      <c r="AH1281" t="s">
        <v>3968</v>
      </c>
      <c r="AI1281">
        <v>4</v>
      </c>
      <c r="AM1281" t="s">
        <v>3960</v>
      </c>
      <c r="AN1281" t="s">
        <v>132</v>
      </c>
      <c r="BN1281">
        <v>17.8</v>
      </c>
      <c r="CE128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81" s="19">
        <f>SUM(Table1[[#This Row],[Mid39]],Table1[[#This Row],[Mid36]],Table1[[#This Row],[Mid33]],Table1[[#This Row],[Mid30]],Table1[[#This Row],[Mid27]],Table1[[#This Row],[Mid24]],Table1[[#This Row],[Mid21]],Table1[[#This Row],[Mid18]],Table1[[#This Row],[Mid15]],Table1[[#This Row],[Mid12]],Table1[[#This Row],[Mid9]],Table1[[#This Row],[Mid6]],Table1[[#This Row],[Mid3]],Table1[[#This Row],[Mid]])</f>
        <v>17.8</v>
      </c>
      <c r="CG128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281" s="35" t="s">
        <v>134</v>
      </c>
      <c r="CJ1281" t="s">
        <v>135</v>
      </c>
      <c r="CL1281" s="19" t="str">
        <f>IF(Table1[[#This Row],[Type]]="Petroleum",1,IF(ISERROR(Table1[[#This Row],[Well Density]]*Table1[[#This Row],[Single Well Discovery Area]]),"",IF(Table1[[#This Row],[Well Density]]*Table1[[#This Row],[Single Well Discovery Area]]&gt;1,1,Table1[[#This Row],[Well Density]]*Table1[[#This Row],[Single Well Discovery Area]])))</f>
        <v/>
      </c>
      <c r="CM1281" t="s">
        <v>158</v>
      </c>
      <c r="CN1281" s="19">
        <f>Table1[[#This Row],[Mid]]</f>
        <v>0</v>
      </c>
      <c r="CO1281" s="19">
        <f>Table1[[#This Row],[Mid3]]+Table1[[#This Row],[Mid6]]+Table1[[#This Row],[Mid9]]</f>
        <v>0</v>
      </c>
      <c r="CP1281" s="19">
        <f>Table1[[#This Row],[Mid12]]+Table1[[#This Row],[Mid15]]+Table1[[#This Row],[Mid18]]+Table1[[#This Row],[Mid21]]+Table1[[#This Row],[Mid24]]</f>
        <v>17.8</v>
      </c>
      <c r="CQ1281" s="19">
        <f>Table1[[#This Row],[Mid27]]+Table1[[#This Row],[Mid30]]+Table1[[#This Row],[Mid33]]+Table1[[#This Row],[Mid36]]+Table1[[#This Row],[Mid39]]</f>
        <v>0</v>
      </c>
      <c r="CR1281" t="s">
        <v>415</v>
      </c>
      <c r="CS1281" s="19" t="str">
        <f>IF(AND(Table1[[#This Row],[Low41]]=0, Table1[[#This Row],[High43]]=0),"N","Y")</f>
        <v>N</v>
      </c>
    </row>
    <row r="1282" spans="1:97" ht="19.5" customHeight="1" x14ac:dyDescent="0.25">
      <c r="A1282">
        <v>11284</v>
      </c>
      <c r="B1282" t="s">
        <v>3953</v>
      </c>
      <c r="C1282" t="s">
        <v>223</v>
      </c>
      <c r="D1282">
        <v>56.8947</v>
      </c>
      <c r="E1282">
        <v>23.113199999999999</v>
      </c>
      <c r="F1282" t="s">
        <v>3969</v>
      </c>
      <c r="G1282" t="s">
        <v>2682</v>
      </c>
      <c r="H1282" t="s">
        <v>167</v>
      </c>
      <c r="I1282" t="s">
        <v>118</v>
      </c>
      <c r="J1282" t="s">
        <v>119</v>
      </c>
      <c r="K1282" t="s">
        <v>203</v>
      </c>
      <c r="L1282" t="s">
        <v>3955</v>
      </c>
      <c r="M1282" t="s">
        <v>597</v>
      </c>
      <c r="N1282" s="6" t="s">
        <v>3970</v>
      </c>
      <c r="O1282" t="s">
        <v>2652</v>
      </c>
      <c r="P1282" t="s">
        <v>1150</v>
      </c>
      <c r="Q1282" t="s">
        <v>3957</v>
      </c>
      <c r="R1282" t="s">
        <v>3971</v>
      </c>
      <c r="S1282">
        <v>2009</v>
      </c>
      <c r="T1282" t="s">
        <v>3959</v>
      </c>
      <c r="U1282" t="s">
        <v>1479</v>
      </c>
      <c r="V1282">
        <v>41</v>
      </c>
      <c r="W1282">
        <v>1110</v>
      </c>
      <c r="Z1282">
        <v>12.7</v>
      </c>
      <c r="AA1282">
        <v>191</v>
      </c>
      <c r="AE1282" t="str">
        <f>IF(ISERROR([2]!Table1[[#This Row],[Well Count]]/[2]!Table1[[#This Row],[Site Area km2]]),"",[2]!Table1[[#This Row],[Well Count]]/[2]!Table1[[#This Row],[Site Area km2]])</f>
        <v/>
      </c>
      <c r="AF1282">
        <v>200</v>
      </c>
      <c r="AH1282" t="s">
        <v>2259</v>
      </c>
      <c r="AI1282">
        <v>40</v>
      </c>
      <c r="AM1282" t="s">
        <v>3960</v>
      </c>
      <c r="AN1282" t="s">
        <v>132</v>
      </c>
      <c r="CC1282">
        <v>21</v>
      </c>
      <c r="CE128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82" s="19">
        <f>SUM(Table1[[#This Row],[Mid39]],Table1[[#This Row],[Mid36]],Table1[[#This Row],[Mid33]],Table1[[#This Row],[Mid30]],Table1[[#This Row],[Mid27]],Table1[[#This Row],[Mid24]],Table1[[#This Row],[Mid21]],Table1[[#This Row],[Mid18]],Table1[[#This Row],[Mid15]],Table1[[#This Row],[Mid12]],Table1[[#This Row],[Mid9]],Table1[[#This Row],[Mid6]],Table1[[#This Row],[Mid3]],Table1[[#This Row],[Mid]])</f>
        <v>21</v>
      </c>
      <c r="CG128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282" s="35" t="s">
        <v>134</v>
      </c>
      <c r="CJ1282" t="s">
        <v>158</v>
      </c>
      <c r="CL1282" s="19" t="str">
        <f>IF(Table1[[#This Row],[Type]]="Petroleum",1,IF(ISERROR(Table1[[#This Row],[Well Density]]*Table1[[#This Row],[Single Well Discovery Area]]),"",IF(Table1[[#This Row],[Well Density]]*Table1[[#This Row],[Single Well Discovery Area]]&gt;1,1,Table1[[#This Row],[Well Density]]*Table1[[#This Row],[Single Well Discovery Area]])))</f>
        <v/>
      </c>
      <c r="CM1282" t="s">
        <v>158</v>
      </c>
      <c r="CN1282" s="19">
        <f>Table1[[#This Row],[Mid]]</f>
        <v>0</v>
      </c>
      <c r="CO1282" s="19">
        <f>Table1[[#This Row],[Mid3]]+Table1[[#This Row],[Mid6]]+Table1[[#This Row],[Mid9]]</f>
        <v>0</v>
      </c>
      <c r="CP1282" s="19">
        <f>Table1[[#This Row],[Mid12]]+Table1[[#This Row],[Mid15]]+Table1[[#This Row],[Mid18]]+Table1[[#This Row],[Mid21]]+Table1[[#This Row],[Mid24]]</f>
        <v>0</v>
      </c>
      <c r="CQ1282" s="19">
        <f>Table1[[#This Row],[Mid27]]+Table1[[#This Row],[Mid30]]+Table1[[#This Row],[Mid33]]+Table1[[#This Row],[Mid36]]+Table1[[#This Row],[Mid39]]</f>
        <v>21</v>
      </c>
      <c r="CR1282" t="s">
        <v>415</v>
      </c>
      <c r="CS1282" s="19" t="str">
        <f>IF(AND(Table1[[#This Row],[Low41]]=0, Table1[[#This Row],[High43]]=0),"N","Y")</f>
        <v>N</v>
      </c>
    </row>
    <row r="1283" spans="1:97" ht="19.5" customHeight="1" x14ac:dyDescent="0.25">
      <c r="A1283">
        <v>11285</v>
      </c>
      <c r="B1283" t="s">
        <v>3953</v>
      </c>
      <c r="C1283" t="s">
        <v>223</v>
      </c>
      <c r="D1283">
        <v>56.629899999999999</v>
      </c>
      <c r="E1283">
        <v>22.674299999999999</v>
      </c>
      <c r="F1283" t="s">
        <v>3972</v>
      </c>
      <c r="G1283" t="s">
        <v>2682</v>
      </c>
      <c r="H1283" t="s">
        <v>167</v>
      </c>
      <c r="I1283" t="s">
        <v>118</v>
      </c>
      <c r="J1283" t="s">
        <v>119</v>
      </c>
      <c r="K1283" t="s">
        <v>203</v>
      </c>
      <c r="L1283" t="s">
        <v>3973</v>
      </c>
      <c r="M1283" t="s">
        <v>597</v>
      </c>
      <c r="N1283" s="6" t="s">
        <v>3974</v>
      </c>
      <c r="O1283" t="s">
        <v>2652</v>
      </c>
      <c r="P1283" t="s">
        <v>1150</v>
      </c>
      <c r="Q1283" t="s">
        <v>3975</v>
      </c>
      <c r="R1283" t="s">
        <v>3976</v>
      </c>
      <c r="S1283">
        <v>2021</v>
      </c>
      <c r="T1283" t="s">
        <v>3959</v>
      </c>
      <c r="U1283" t="s">
        <v>1479</v>
      </c>
      <c r="V1283">
        <v>67</v>
      </c>
      <c r="W1283">
        <v>1000</v>
      </c>
      <c r="X1283">
        <v>70</v>
      </c>
      <c r="Z1283">
        <v>23</v>
      </c>
      <c r="AA1283">
        <v>700</v>
      </c>
      <c r="AB1283">
        <v>120</v>
      </c>
      <c r="AE1283" t="str">
        <f>IF(ISERROR([2]!Table1[[#This Row],[Well Count]]/[2]!Table1[[#This Row],[Site Area km2]]),"",[2]!Table1[[#This Row],[Well Count]]/[2]!Table1[[#This Row],[Site Area km2]])</f>
        <v/>
      </c>
      <c r="AF1283">
        <v>200</v>
      </c>
      <c r="AG1283">
        <v>130</v>
      </c>
      <c r="AH1283" t="s">
        <v>2259</v>
      </c>
      <c r="AI1283">
        <v>40</v>
      </c>
      <c r="AM1283" t="s">
        <v>3977</v>
      </c>
      <c r="AN1283" t="s">
        <v>132</v>
      </c>
      <c r="BN1283">
        <v>150</v>
      </c>
      <c r="CE128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83" s="19">
        <f>SUM(Table1[[#This Row],[Mid39]],Table1[[#This Row],[Mid36]],Table1[[#This Row],[Mid33]],Table1[[#This Row],[Mid30]],Table1[[#This Row],[Mid27]],Table1[[#This Row],[Mid24]],Table1[[#This Row],[Mid21]],Table1[[#This Row],[Mid18]],Table1[[#This Row],[Mid15]],Table1[[#This Row],[Mid12]],Table1[[#This Row],[Mid9]],Table1[[#This Row],[Mid6]],Table1[[#This Row],[Mid3]],Table1[[#This Row],[Mid]])</f>
        <v>150</v>
      </c>
      <c r="CG128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283" s="35" t="s">
        <v>134</v>
      </c>
      <c r="CJ1283" t="s">
        <v>158</v>
      </c>
      <c r="CL1283" s="19" t="str">
        <f>IF(Table1[[#This Row],[Type]]="Petroleum",1,IF(ISERROR(Table1[[#This Row],[Well Density]]*Table1[[#This Row],[Single Well Discovery Area]]),"",IF(Table1[[#This Row],[Well Density]]*Table1[[#This Row],[Single Well Discovery Area]]&gt;1,1,Table1[[#This Row],[Well Density]]*Table1[[#This Row],[Single Well Discovery Area]])))</f>
        <v/>
      </c>
      <c r="CM1283" t="s">
        <v>158</v>
      </c>
      <c r="CN1283" s="19">
        <f>Table1[[#This Row],[Mid]]</f>
        <v>0</v>
      </c>
      <c r="CO1283" s="19">
        <f>Table1[[#This Row],[Mid3]]+Table1[[#This Row],[Mid6]]+Table1[[#This Row],[Mid9]]</f>
        <v>0</v>
      </c>
      <c r="CP1283" s="19">
        <f>Table1[[#This Row],[Mid12]]+Table1[[#This Row],[Mid15]]+Table1[[#This Row],[Mid18]]+Table1[[#This Row],[Mid21]]+Table1[[#This Row],[Mid24]]</f>
        <v>150</v>
      </c>
      <c r="CQ1283" s="19">
        <f>Table1[[#This Row],[Mid27]]+Table1[[#This Row],[Mid30]]+Table1[[#This Row],[Mid33]]+Table1[[#This Row],[Mid36]]+Table1[[#This Row],[Mid39]]</f>
        <v>0</v>
      </c>
      <c r="CR1283" t="s">
        <v>415</v>
      </c>
      <c r="CS1283" s="19" t="str">
        <f>IF(AND(Table1[[#This Row],[Low41]]=0, Table1[[#This Row],[High43]]=0),"N","Y")</f>
        <v>N</v>
      </c>
    </row>
    <row r="1284" spans="1:97" ht="19.5" customHeight="1" x14ac:dyDescent="0.25">
      <c r="A1284">
        <v>11286</v>
      </c>
      <c r="B1284" t="s">
        <v>3953</v>
      </c>
      <c r="C1284" t="s">
        <v>223</v>
      </c>
      <c r="D1284">
        <v>56.601100000000002</v>
      </c>
      <c r="E1284">
        <v>21.870699999999999</v>
      </c>
      <c r="F1284" t="s">
        <v>3978</v>
      </c>
      <c r="G1284" t="s">
        <v>2682</v>
      </c>
      <c r="H1284" t="s">
        <v>167</v>
      </c>
      <c r="I1284" t="s">
        <v>118</v>
      </c>
      <c r="J1284" t="s">
        <v>119</v>
      </c>
      <c r="K1284" t="s">
        <v>203</v>
      </c>
      <c r="L1284" t="s">
        <v>3955</v>
      </c>
      <c r="M1284" t="s">
        <v>597</v>
      </c>
      <c r="N1284" s="6" t="s">
        <v>3979</v>
      </c>
      <c r="O1284" t="s">
        <v>2652</v>
      </c>
      <c r="P1284" t="s">
        <v>1150</v>
      </c>
      <c r="Q1284" t="s">
        <v>3957</v>
      </c>
      <c r="R1284" t="s">
        <v>3971</v>
      </c>
      <c r="S1284">
        <v>2009</v>
      </c>
      <c r="T1284" t="s">
        <v>3959</v>
      </c>
      <c r="U1284" t="s">
        <v>1479</v>
      </c>
      <c r="V1284">
        <v>19</v>
      </c>
      <c r="W1284">
        <v>1110</v>
      </c>
      <c r="Z1284">
        <v>12.7</v>
      </c>
      <c r="AA1284">
        <v>191</v>
      </c>
      <c r="AE1284" t="str">
        <f>IF(ISERROR([2]!Table1[[#This Row],[Well Count]]/[2]!Table1[[#This Row],[Site Area km2]]),"",[2]!Table1[[#This Row],[Well Count]]/[2]!Table1[[#This Row],[Site Area km2]])</f>
        <v/>
      </c>
      <c r="AF1284">
        <v>200</v>
      </c>
      <c r="AH1284" t="s">
        <v>2259</v>
      </c>
      <c r="AI1284">
        <v>40</v>
      </c>
      <c r="AM1284" t="s">
        <v>3960</v>
      </c>
      <c r="AN1284" t="s">
        <v>132</v>
      </c>
      <c r="CC1284">
        <v>14</v>
      </c>
      <c r="CE128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84" s="19">
        <f>SUM(Table1[[#This Row],[Mid39]],Table1[[#This Row],[Mid36]],Table1[[#This Row],[Mid33]],Table1[[#This Row],[Mid30]],Table1[[#This Row],[Mid27]],Table1[[#This Row],[Mid24]],Table1[[#This Row],[Mid21]],Table1[[#This Row],[Mid18]],Table1[[#This Row],[Mid15]],Table1[[#This Row],[Mid12]],Table1[[#This Row],[Mid9]],Table1[[#This Row],[Mid6]],Table1[[#This Row],[Mid3]],Table1[[#This Row],[Mid]])</f>
        <v>14</v>
      </c>
      <c r="CG128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284" s="35" t="s">
        <v>134</v>
      </c>
      <c r="CJ1284" t="s">
        <v>158</v>
      </c>
      <c r="CL1284" s="19" t="str">
        <f>IF(Table1[[#This Row],[Type]]="Petroleum",1,IF(ISERROR(Table1[[#This Row],[Well Density]]*Table1[[#This Row],[Single Well Discovery Area]]),"",IF(Table1[[#This Row],[Well Density]]*Table1[[#This Row],[Single Well Discovery Area]]&gt;1,1,Table1[[#This Row],[Well Density]]*Table1[[#This Row],[Single Well Discovery Area]])))</f>
        <v/>
      </c>
      <c r="CM1284" t="s">
        <v>158</v>
      </c>
      <c r="CN1284" s="19">
        <f>Table1[[#This Row],[Mid]]</f>
        <v>0</v>
      </c>
      <c r="CO1284" s="19">
        <f>Table1[[#This Row],[Mid3]]+Table1[[#This Row],[Mid6]]+Table1[[#This Row],[Mid9]]</f>
        <v>0</v>
      </c>
      <c r="CP1284" s="19">
        <f>Table1[[#This Row],[Mid12]]+Table1[[#This Row],[Mid15]]+Table1[[#This Row],[Mid18]]+Table1[[#This Row],[Mid21]]+Table1[[#This Row],[Mid24]]</f>
        <v>0</v>
      </c>
      <c r="CQ1284" s="19">
        <f>Table1[[#This Row],[Mid27]]+Table1[[#This Row],[Mid30]]+Table1[[#This Row],[Mid33]]+Table1[[#This Row],[Mid36]]+Table1[[#This Row],[Mid39]]</f>
        <v>14</v>
      </c>
      <c r="CR1284" t="s">
        <v>415</v>
      </c>
      <c r="CS1284" s="19" t="str">
        <f>IF(AND(Table1[[#This Row],[Low41]]=0, Table1[[#This Row],[High43]]=0),"N","Y")</f>
        <v>N</v>
      </c>
    </row>
    <row r="1285" spans="1:97" ht="19.5" customHeight="1" x14ac:dyDescent="0.25">
      <c r="A1285">
        <v>11287</v>
      </c>
      <c r="B1285" t="s">
        <v>3953</v>
      </c>
      <c r="C1285" t="s">
        <v>223</v>
      </c>
      <c r="D1285">
        <v>56.570700000000002</v>
      </c>
      <c r="E1285">
        <v>22.258199999999999</v>
      </c>
      <c r="F1285" t="s">
        <v>3980</v>
      </c>
      <c r="G1285" t="s">
        <v>2682</v>
      </c>
      <c r="H1285" t="s">
        <v>3962</v>
      </c>
      <c r="I1285" t="s">
        <v>118</v>
      </c>
      <c r="J1285" t="s">
        <v>119</v>
      </c>
      <c r="K1285" t="s">
        <v>203</v>
      </c>
      <c r="L1285" t="s">
        <v>121</v>
      </c>
      <c r="M1285" t="s">
        <v>597</v>
      </c>
      <c r="N1285" s="6" t="s">
        <v>3981</v>
      </c>
      <c r="O1285" t="s">
        <v>2652</v>
      </c>
      <c r="P1285" t="s">
        <v>1150</v>
      </c>
      <c r="Q1285" t="s">
        <v>3966</v>
      </c>
      <c r="R1285" t="s">
        <v>3982</v>
      </c>
      <c r="S1285">
        <v>2009</v>
      </c>
      <c r="T1285" t="s">
        <v>3959</v>
      </c>
      <c r="U1285" t="s">
        <v>1479</v>
      </c>
      <c r="V1285">
        <v>50</v>
      </c>
      <c r="W1285">
        <v>1024</v>
      </c>
      <c r="X1285">
        <v>45</v>
      </c>
      <c r="Y1285">
        <v>80</v>
      </c>
      <c r="Z1285">
        <v>22</v>
      </c>
      <c r="AA1285">
        <v>300</v>
      </c>
      <c r="AD1285">
        <v>3</v>
      </c>
      <c r="AE1285" t="str">
        <f>IF(ISERROR([2]!Table1[[#This Row],[Well Count]]/[2]!Table1[[#This Row],[Site Area km2]]),"",[2]!Table1[[#This Row],[Well Count]]/[2]!Table1[[#This Row],[Site Area km2]])</f>
        <v/>
      </c>
      <c r="AF1285">
        <v>200</v>
      </c>
      <c r="AG1285">
        <v>9.3699999999999992</v>
      </c>
      <c r="AH1285" t="s">
        <v>2259</v>
      </c>
      <c r="AI1285">
        <v>40</v>
      </c>
      <c r="AM1285" t="s">
        <v>3960</v>
      </c>
      <c r="AN1285" t="s">
        <v>132</v>
      </c>
      <c r="BN1285">
        <v>40.200000000000003</v>
      </c>
      <c r="CE128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85" s="19">
        <f>SUM(Table1[[#This Row],[Mid39]],Table1[[#This Row],[Mid36]],Table1[[#This Row],[Mid33]],Table1[[#This Row],[Mid30]],Table1[[#This Row],[Mid27]],Table1[[#This Row],[Mid24]],Table1[[#This Row],[Mid21]],Table1[[#This Row],[Mid18]],Table1[[#This Row],[Mid15]],Table1[[#This Row],[Mid12]],Table1[[#This Row],[Mid9]],Table1[[#This Row],[Mid6]],Table1[[#This Row],[Mid3]],Table1[[#This Row],[Mid]])</f>
        <v>40.200000000000003</v>
      </c>
      <c r="CG128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285" s="35" t="s">
        <v>134</v>
      </c>
      <c r="CJ1285" t="s">
        <v>158</v>
      </c>
      <c r="CL1285" s="19" t="str">
        <f>IF(Table1[[#This Row],[Type]]="Petroleum",1,IF(ISERROR(Table1[[#This Row],[Well Density]]*Table1[[#This Row],[Single Well Discovery Area]]),"",IF(Table1[[#This Row],[Well Density]]*Table1[[#This Row],[Single Well Discovery Area]]&gt;1,1,Table1[[#This Row],[Well Density]]*Table1[[#This Row],[Single Well Discovery Area]])))</f>
        <v/>
      </c>
      <c r="CM1285" t="s">
        <v>158</v>
      </c>
      <c r="CN1285" s="19">
        <f>Table1[[#This Row],[Mid]]</f>
        <v>0</v>
      </c>
      <c r="CO1285" s="19">
        <f>Table1[[#This Row],[Mid3]]+Table1[[#This Row],[Mid6]]+Table1[[#This Row],[Mid9]]</f>
        <v>0</v>
      </c>
      <c r="CP1285" s="19">
        <f>Table1[[#This Row],[Mid12]]+Table1[[#This Row],[Mid15]]+Table1[[#This Row],[Mid18]]+Table1[[#This Row],[Mid21]]+Table1[[#This Row],[Mid24]]</f>
        <v>40.200000000000003</v>
      </c>
      <c r="CQ1285" s="19">
        <f>Table1[[#This Row],[Mid27]]+Table1[[#This Row],[Mid30]]+Table1[[#This Row],[Mid33]]+Table1[[#This Row],[Mid36]]+Table1[[#This Row],[Mid39]]</f>
        <v>0</v>
      </c>
      <c r="CR1285" t="s">
        <v>415</v>
      </c>
      <c r="CS1285" s="19" t="str">
        <f>IF(AND(Table1[[#This Row],[Low41]]=0, Table1[[#This Row],[High43]]=0),"N","Y")</f>
        <v>N</v>
      </c>
    </row>
    <row r="1286" spans="1:97" ht="19.5" customHeight="1" x14ac:dyDescent="0.25">
      <c r="A1286">
        <v>11288</v>
      </c>
      <c r="B1286" t="s">
        <v>3953</v>
      </c>
      <c r="C1286" t="s">
        <v>223</v>
      </c>
      <c r="D1286">
        <v>56.936799999999998</v>
      </c>
      <c r="E1286">
        <v>21.642299999999999</v>
      </c>
      <c r="F1286" t="s">
        <v>3983</v>
      </c>
      <c r="G1286" t="s">
        <v>2682</v>
      </c>
      <c r="H1286" t="s">
        <v>167</v>
      </c>
      <c r="I1286" t="s">
        <v>118</v>
      </c>
      <c r="J1286" t="s">
        <v>119</v>
      </c>
      <c r="K1286" t="s">
        <v>203</v>
      </c>
      <c r="L1286" t="s">
        <v>3955</v>
      </c>
      <c r="M1286" t="s">
        <v>597</v>
      </c>
      <c r="N1286" s="6" t="s">
        <v>3984</v>
      </c>
      <c r="O1286" t="s">
        <v>2652</v>
      </c>
      <c r="P1286" t="s">
        <v>1150</v>
      </c>
      <c r="Q1286" t="s">
        <v>3957</v>
      </c>
      <c r="R1286" t="s">
        <v>3971</v>
      </c>
      <c r="S1286">
        <v>2009</v>
      </c>
      <c r="T1286" t="s">
        <v>3959</v>
      </c>
      <c r="U1286" t="s">
        <v>1479</v>
      </c>
      <c r="V1286">
        <v>18</v>
      </c>
      <c r="W1286">
        <v>1110</v>
      </c>
      <c r="Z1286">
        <v>12.7</v>
      </c>
      <c r="AA1286">
        <v>191</v>
      </c>
      <c r="AE1286" t="str">
        <f>IF(ISERROR([2]!Table1[[#This Row],[Well Count]]/[2]!Table1[[#This Row],[Site Area km2]]),"",[2]!Table1[[#This Row],[Well Count]]/[2]!Table1[[#This Row],[Site Area km2]])</f>
        <v/>
      </c>
      <c r="AF1286">
        <v>200</v>
      </c>
      <c r="AH1286" t="s">
        <v>2259</v>
      </c>
      <c r="AI1286">
        <v>40</v>
      </c>
      <c r="AM1286" t="s">
        <v>3960</v>
      </c>
      <c r="AN1286" t="s">
        <v>132</v>
      </c>
      <c r="CC1286">
        <v>13</v>
      </c>
      <c r="CE128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86" s="19">
        <f>SUM(Table1[[#This Row],[Mid39]],Table1[[#This Row],[Mid36]],Table1[[#This Row],[Mid33]],Table1[[#This Row],[Mid30]],Table1[[#This Row],[Mid27]],Table1[[#This Row],[Mid24]],Table1[[#This Row],[Mid21]],Table1[[#This Row],[Mid18]],Table1[[#This Row],[Mid15]],Table1[[#This Row],[Mid12]],Table1[[#This Row],[Mid9]],Table1[[#This Row],[Mid6]],Table1[[#This Row],[Mid3]],Table1[[#This Row],[Mid]])</f>
        <v>13</v>
      </c>
      <c r="CG128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286" s="35" t="s">
        <v>134</v>
      </c>
      <c r="CJ1286" t="s">
        <v>158</v>
      </c>
      <c r="CL1286" s="19" t="str">
        <f>IF(Table1[[#This Row],[Type]]="Petroleum",1,IF(ISERROR(Table1[[#This Row],[Well Density]]*Table1[[#This Row],[Single Well Discovery Area]]),"",IF(Table1[[#This Row],[Well Density]]*Table1[[#This Row],[Single Well Discovery Area]]&gt;1,1,Table1[[#This Row],[Well Density]]*Table1[[#This Row],[Single Well Discovery Area]])))</f>
        <v/>
      </c>
      <c r="CM1286" t="s">
        <v>158</v>
      </c>
      <c r="CN1286" s="19">
        <f>Table1[[#This Row],[Mid]]</f>
        <v>0</v>
      </c>
      <c r="CO1286" s="19">
        <f>Table1[[#This Row],[Mid3]]+Table1[[#This Row],[Mid6]]+Table1[[#This Row],[Mid9]]</f>
        <v>0</v>
      </c>
      <c r="CP1286" s="19">
        <f>Table1[[#This Row],[Mid12]]+Table1[[#This Row],[Mid15]]+Table1[[#This Row],[Mid18]]+Table1[[#This Row],[Mid21]]+Table1[[#This Row],[Mid24]]</f>
        <v>0</v>
      </c>
      <c r="CQ1286" s="19">
        <f>Table1[[#This Row],[Mid27]]+Table1[[#This Row],[Mid30]]+Table1[[#This Row],[Mid33]]+Table1[[#This Row],[Mid36]]+Table1[[#This Row],[Mid39]]</f>
        <v>13</v>
      </c>
      <c r="CR1286" t="s">
        <v>415</v>
      </c>
      <c r="CS1286" s="19" t="str">
        <f>IF(AND(Table1[[#This Row],[Low41]]=0, Table1[[#This Row],[High43]]=0),"N","Y")</f>
        <v>N</v>
      </c>
    </row>
    <row r="1287" spans="1:97" ht="19.5" customHeight="1" x14ac:dyDescent="0.25">
      <c r="A1287">
        <v>11289</v>
      </c>
      <c r="B1287" t="s">
        <v>3953</v>
      </c>
      <c r="C1287" t="s">
        <v>223</v>
      </c>
      <c r="D1287">
        <v>57.304400000000001</v>
      </c>
      <c r="E1287">
        <v>25.138200000000001</v>
      </c>
      <c r="F1287" t="s">
        <v>3985</v>
      </c>
      <c r="G1287" t="s">
        <v>2682</v>
      </c>
      <c r="H1287" t="s">
        <v>167</v>
      </c>
      <c r="I1287" t="s">
        <v>118</v>
      </c>
      <c r="J1287" t="s">
        <v>119</v>
      </c>
      <c r="K1287" t="s">
        <v>203</v>
      </c>
      <c r="L1287" t="s">
        <v>3955</v>
      </c>
      <c r="M1287" t="s">
        <v>597</v>
      </c>
      <c r="N1287" s="6" t="s">
        <v>3986</v>
      </c>
      <c r="O1287" t="s">
        <v>2652</v>
      </c>
      <c r="P1287" t="s">
        <v>1150</v>
      </c>
      <c r="Q1287" t="s">
        <v>3957</v>
      </c>
      <c r="R1287" t="s">
        <v>3971</v>
      </c>
      <c r="S1287">
        <v>2009</v>
      </c>
      <c r="T1287" t="s">
        <v>3959</v>
      </c>
      <c r="U1287" t="s">
        <v>1479</v>
      </c>
      <c r="V1287">
        <v>30</v>
      </c>
      <c r="W1287">
        <v>1110</v>
      </c>
      <c r="Z1287">
        <v>12.7</v>
      </c>
      <c r="AA1287">
        <v>191</v>
      </c>
      <c r="AE1287" t="str">
        <f>IF(ISERROR([2]!Table1[[#This Row],[Well Count]]/[2]!Table1[[#This Row],[Site Area km2]]),"",[2]!Table1[[#This Row],[Well Count]]/[2]!Table1[[#This Row],[Site Area km2]])</f>
        <v/>
      </c>
      <c r="AF1287">
        <v>200</v>
      </c>
      <c r="AH1287" t="s">
        <v>2259</v>
      </c>
      <c r="AI1287">
        <v>40</v>
      </c>
      <c r="AM1287" t="s">
        <v>3960</v>
      </c>
      <c r="AN1287" t="s">
        <v>132</v>
      </c>
      <c r="CC1287">
        <v>23</v>
      </c>
      <c r="CE128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87" s="19">
        <f>SUM(Table1[[#This Row],[Mid39]],Table1[[#This Row],[Mid36]],Table1[[#This Row],[Mid33]],Table1[[#This Row],[Mid30]],Table1[[#This Row],[Mid27]],Table1[[#This Row],[Mid24]],Table1[[#This Row],[Mid21]],Table1[[#This Row],[Mid18]],Table1[[#This Row],[Mid15]],Table1[[#This Row],[Mid12]],Table1[[#This Row],[Mid9]],Table1[[#This Row],[Mid6]],Table1[[#This Row],[Mid3]],Table1[[#This Row],[Mid]])</f>
        <v>23</v>
      </c>
      <c r="CG128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287" s="35" t="s">
        <v>134</v>
      </c>
      <c r="CJ1287" t="s">
        <v>158</v>
      </c>
      <c r="CL1287" s="19" t="str">
        <f>IF(Table1[[#This Row],[Type]]="Petroleum",1,IF(ISERROR(Table1[[#This Row],[Well Density]]*Table1[[#This Row],[Single Well Discovery Area]]),"",IF(Table1[[#This Row],[Well Density]]*Table1[[#This Row],[Single Well Discovery Area]]&gt;1,1,Table1[[#This Row],[Well Density]]*Table1[[#This Row],[Single Well Discovery Area]])))</f>
        <v/>
      </c>
      <c r="CM1287" t="s">
        <v>158</v>
      </c>
      <c r="CN1287" s="19">
        <f>Table1[[#This Row],[Mid]]</f>
        <v>0</v>
      </c>
      <c r="CO1287" s="19">
        <f>Table1[[#This Row],[Mid3]]+Table1[[#This Row],[Mid6]]+Table1[[#This Row],[Mid9]]</f>
        <v>0</v>
      </c>
      <c r="CP1287" s="19">
        <f>Table1[[#This Row],[Mid12]]+Table1[[#This Row],[Mid15]]+Table1[[#This Row],[Mid18]]+Table1[[#This Row],[Mid21]]+Table1[[#This Row],[Mid24]]</f>
        <v>0</v>
      </c>
      <c r="CQ1287" s="19">
        <f>Table1[[#This Row],[Mid27]]+Table1[[#This Row],[Mid30]]+Table1[[#This Row],[Mid33]]+Table1[[#This Row],[Mid36]]+Table1[[#This Row],[Mid39]]</f>
        <v>23</v>
      </c>
      <c r="CR1287" t="s">
        <v>415</v>
      </c>
      <c r="CS1287" s="19" t="str">
        <f>IF(AND(Table1[[#This Row],[Low41]]=0, Table1[[#This Row],[High43]]=0),"N","Y")</f>
        <v>N</v>
      </c>
    </row>
    <row r="1288" spans="1:97" ht="19.5" customHeight="1" x14ac:dyDescent="0.25">
      <c r="A1288">
        <v>11290</v>
      </c>
      <c r="B1288" t="s">
        <v>3953</v>
      </c>
      <c r="C1288" t="s">
        <v>223</v>
      </c>
      <c r="D1288">
        <v>56.6419</v>
      </c>
      <c r="E1288">
        <v>22.640999999999998</v>
      </c>
      <c r="F1288" t="s">
        <v>3987</v>
      </c>
      <c r="G1288" t="s">
        <v>2682</v>
      </c>
      <c r="H1288" t="s">
        <v>3962</v>
      </c>
      <c r="I1288" t="s">
        <v>118</v>
      </c>
      <c r="J1288" t="s">
        <v>119</v>
      </c>
      <c r="K1288" t="s">
        <v>203</v>
      </c>
      <c r="L1288" t="s">
        <v>121</v>
      </c>
      <c r="M1288" t="s">
        <v>3963</v>
      </c>
      <c r="N1288" s="6" t="s">
        <v>3964</v>
      </c>
      <c r="O1288" t="s">
        <v>2652</v>
      </c>
      <c r="P1288" t="s">
        <v>3965</v>
      </c>
      <c r="Q1288" t="s">
        <v>3966</v>
      </c>
      <c r="R1288" t="s">
        <v>3967</v>
      </c>
      <c r="S1288">
        <v>2018</v>
      </c>
      <c r="T1288" t="s">
        <v>3959</v>
      </c>
      <c r="U1288" t="s">
        <v>1479</v>
      </c>
      <c r="V1288">
        <v>141</v>
      </c>
      <c r="W1288">
        <v>1035</v>
      </c>
      <c r="X1288">
        <v>48</v>
      </c>
      <c r="Y1288">
        <v>75</v>
      </c>
      <c r="Z1288">
        <v>20</v>
      </c>
      <c r="AA1288">
        <v>385</v>
      </c>
      <c r="AB1288">
        <v>107</v>
      </c>
      <c r="AC1288">
        <v>881</v>
      </c>
      <c r="AD1288">
        <v>2</v>
      </c>
      <c r="AE1288" t="str">
        <f>IF(ISERROR([2]!Table1[[#This Row],[Well Count]]/[2]!Table1[[#This Row],[Site Area km2]]),"",[2]!Table1[[#This Row],[Well Count]]/[2]!Table1[[#This Row],[Site Area km2]])</f>
        <v/>
      </c>
      <c r="AF1288">
        <v>200</v>
      </c>
      <c r="AG1288">
        <v>11</v>
      </c>
      <c r="AH1288" t="s">
        <v>3968</v>
      </c>
      <c r="AI1288">
        <v>4</v>
      </c>
      <c r="AM1288" t="s">
        <v>3960</v>
      </c>
      <c r="AN1288" t="s">
        <v>132</v>
      </c>
      <c r="BN1288">
        <v>35.6</v>
      </c>
      <c r="CE128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88" s="19">
        <f>SUM(Table1[[#This Row],[Mid39]],Table1[[#This Row],[Mid36]],Table1[[#This Row],[Mid33]],Table1[[#This Row],[Mid30]],Table1[[#This Row],[Mid27]],Table1[[#This Row],[Mid24]],Table1[[#This Row],[Mid21]],Table1[[#This Row],[Mid18]],Table1[[#This Row],[Mid15]],Table1[[#This Row],[Mid12]],Table1[[#This Row],[Mid9]],Table1[[#This Row],[Mid6]],Table1[[#This Row],[Mid3]],Table1[[#This Row],[Mid]])</f>
        <v>35.6</v>
      </c>
      <c r="CG128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288" s="35" t="s">
        <v>134</v>
      </c>
      <c r="CJ1288" t="s">
        <v>135</v>
      </c>
      <c r="CL1288" s="19" t="str">
        <f>IF(Table1[[#This Row],[Type]]="Petroleum",1,IF(ISERROR(Table1[[#This Row],[Well Density]]*Table1[[#This Row],[Single Well Discovery Area]]),"",IF(Table1[[#This Row],[Well Density]]*Table1[[#This Row],[Single Well Discovery Area]]&gt;1,1,Table1[[#This Row],[Well Density]]*Table1[[#This Row],[Single Well Discovery Area]])))</f>
        <v/>
      </c>
      <c r="CM1288" t="s">
        <v>158</v>
      </c>
      <c r="CN1288" s="19">
        <f>Table1[[#This Row],[Mid]]</f>
        <v>0</v>
      </c>
      <c r="CO1288" s="19">
        <f>Table1[[#This Row],[Mid3]]+Table1[[#This Row],[Mid6]]+Table1[[#This Row],[Mid9]]</f>
        <v>0</v>
      </c>
      <c r="CP1288" s="19">
        <f>Table1[[#This Row],[Mid12]]+Table1[[#This Row],[Mid15]]+Table1[[#This Row],[Mid18]]+Table1[[#This Row],[Mid21]]+Table1[[#This Row],[Mid24]]</f>
        <v>35.6</v>
      </c>
      <c r="CQ1288" s="19">
        <f>Table1[[#This Row],[Mid27]]+Table1[[#This Row],[Mid30]]+Table1[[#This Row],[Mid33]]+Table1[[#This Row],[Mid36]]+Table1[[#This Row],[Mid39]]</f>
        <v>0</v>
      </c>
      <c r="CR1288" t="s">
        <v>415</v>
      </c>
      <c r="CS1288" s="19" t="str">
        <f>IF(AND(Table1[[#This Row],[Low41]]=0, Table1[[#This Row],[High43]]=0),"N","Y")</f>
        <v>N</v>
      </c>
    </row>
    <row r="1289" spans="1:97" ht="19.5" customHeight="1" x14ac:dyDescent="0.25">
      <c r="A1289">
        <v>11291</v>
      </c>
      <c r="B1289" t="s">
        <v>3953</v>
      </c>
      <c r="C1289" t="s">
        <v>223</v>
      </c>
      <c r="D1289">
        <v>56.8048</v>
      </c>
      <c r="E1289">
        <v>22.619199999999999</v>
      </c>
      <c r="F1289" t="s">
        <v>3988</v>
      </c>
      <c r="G1289" t="s">
        <v>2682</v>
      </c>
      <c r="H1289" t="s">
        <v>3962</v>
      </c>
      <c r="I1289" t="s">
        <v>118</v>
      </c>
      <c r="J1289" t="s">
        <v>119</v>
      </c>
      <c r="K1289" t="s">
        <v>203</v>
      </c>
      <c r="L1289" t="s">
        <v>121</v>
      </c>
      <c r="M1289" t="s">
        <v>597</v>
      </c>
      <c r="N1289" s="6" t="s">
        <v>3981</v>
      </c>
      <c r="O1289" t="s">
        <v>2652</v>
      </c>
      <c r="P1289" t="s">
        <v>1150</v>
      </c>
      <c r="Q1289" t="s">
        <v>3966</v>
      </c>
      <c r="R1289" t="s">
        <v>3982</v>
      </c>
      <c r="S1289">
        <v>2009</v>
      </c>
      <c r="T1289" t="s">
        <v>3959</v>
      </c>
      <c r="U1289" t="s">
        <v>1479</v>
      </c>
      <c r="V1289">
        <v>69</v>
      </c>
      <c r="W1289">
        <v>1053</v>
      </c>
      <c r="X1289">
        <v>28</v>
      </c>
      <c r="Y1289">
        <v>80</v>
      </c>
      <c r="Z1289">
        <v>20</v>
      </c>
      <c r="AA1289">
        <v>300</v>
      </c>
      <c r="AD1289">
        <v>4</v>
      </c>
      <c r="AE1289" t="str">
        <f>IF(ISERROR([2]!Table1[[#This Row],[Well Count]]/[2]!Table1[[#This Row],[Site Area km2]]),"",[2]!Table1[[#This Row],[Well Count]]/[2]!Table1[[#This Row],[Site Area km2]])</f>
        <v/>
      </c>
      <c r="AF1289">
        <v>200</v>
      </c>
      <c r="AG1289">
        <v>9.84</v>
      </c>
      <c r="AH1289" t="s">
        <v>2259</v>
      </c>
      <c r="AI1289">
        <v>40</v>
      </c>
      <c r="AM1289" t="s">
        <v>3960</v>
      </c>
      <c r="AN1289" t="s">
        <v>132</v>
      </c>
      <c r="BN1289">
        <v>44</v>
      </c>
      <c r="CE128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89" s="19">
        <f>SUM(Table1[[#This Row],[Mid39]],Table1[[#This Row],[Mid36]],Table1[[#This Row],[Mid33]],Table1[[#This Row],[Mid30]],Table1[[#This Row],[Mid27]],Table1[[#This Row],[Mid24]],Table1[[#This Row],[Mid21]],Table1[[#This Row],[Mid18]],Table1[[#This Row],[Mid15]],Table1[[#This Row],[Mid12]],Table1[[#This Row],[Mid9]],Table1[[#This Row],[Mid6]],Table1[[#This Row],[Mid3]],Table1[[#This Row],[Mid]])</f>
        <v>44</v>
      </c>
      <c r="CG128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289" s="35" t="s">
        <v>134</v>
      </c>
      <c r="CJ1289" t="s">
        <v>157</v>
      </c>
      <c r="CL1289" s="19" t="str">
        <f>IF(Table1[[#This Row],[Type]]="Petroleum",1,IF(ISERROR(Table1[[#This Row],[Well Density]]*Table1[[#This Row],[Single Well Discovery Area]]),"",IF(Table1[[#This Row],[Well Density]]*Table1[[#This Row],[Single Well Discovery Area]]&gt;1,1,Table1[[#This Row],[Well Density]]*Table1[[#This Row],[Single Well Discovery Area]])))</f>
        <v/>
      </c>
      <c r="CM1289" t="s">
        <v>158</v>
      </c>
      <c r="CN1289" s="19">
        <f>Table1[[#This Row],[Mid]]</f>
        <v>0</v>
      </c>
      <c r="CO1289" s="19">
        <f>Table1[[#This Row],[Mid3]]+Table1[[#This Row],[Mid6]]+Table1[[#This Row],[Mid9]]</f>
        <v>0</v>
      </c>
      <c r="CP1289" s="19">
        <f>Table1[[#This Row],[Mid12]]+Table1[[#This Row],[Mid15]]+Table1[[#This Row],[Mid18]]+Table1[[#This Row],[Mid21]]+Table1[[#This Row],[Mid24]]</f>
        <v>44</v>
      </c>
      <c r="CQ1289" s="19">
        <f>Table1[[#This Row],[Mid27]]+Table1[[#This Row],[Mid30]]+Table1[[#This Row],[Mid33]]+Table1[[#This Row],[Mid36]]+Table1[[#This Row],[Mid39]]</f>
        <v>0</v>
      </c>
      <c r="CR1289" t="s">
        <v>415</v>
      </c>
      <c r="CS1289" s="19" t="str">
        <f>IF(AND(Table1[[#This Row],[Low41]]=0, Table1[[#This Row],[High43]]=0),"N","Y")</f>
        <v>N</v>
      </c>
    </row>
    <row r="1290" spans="1:97" ht="19.5" customHeight="1" x14ac:dyDescent="0.25">
      <c r="A1290">
        <v>11292</v>
      </c>
      <c r="B1290" t="s">
        <v>3953</v>
      </c>
      <c r="C1290" t="s">
        <v>223</v>
      </c>
      <c r="D1290">
        <v>56.836300000000001</v>
      </c>
      <c r="E1290">
        <v>21.915600000000001</v>
      </c>
      <c r="F1290" t="s">
        <v>3989</v>
      </c>
      <c r="G1290" t="s">
        <v>2682</v>
      </c>
      <c r="H1290" t="s">
        <v>167</v>
      </c>
      <c r="I1290" t="s">
        <v>118</v>
      </c>
      <c r="J1290" t="s">
        <v>119</v>
      </c>
      <c r="K1290" t="s">
        <v>203</v>
      </c>
      <c r="L1290" t="s">
        <v>3955</v>
      </c>
      <c r="M1290" t="s">
        <v>597</v>
      </c>
      <c r="N1290" s="6" t="s">
        <v>3984</v>
      </c>
      <c r="O1290" t="s">
        <v>2652</v>
      </c>
      <c r="P1290" t="s">
        <v>1150</v>
      </c>
      <c r="Q1290" t="s">
        <v>3957</v>
      </c>
      <c r="R1290" t="s">
        <v>3971</v>
      </c>
      <c r="S1290">
        <v>2009</v>
      </c>
      <c r="T1290" t="s">
        <v>3959</v>
      </c>
      <c r="U1290" t="s">
        <v>1479</v>
      </c>
      <c r="V1290">
        <v>26</v>
      </c>
      <c r="W1290">
        <v>1110</v>
      </c>
      <c r="Z1290">
        <v>12.7</v>
      </c>
      <c r="AA1290">
        <v>191</v>
      </c>
      <c r="AE1290" t="str">
        <f>IF(ISERROR([2]!Table1[[#This Row],[Well Count]]/[2]!Table1[[#This Row],[Site Area km2]]),"",[2]!Table1[[#This Row],[Well Count]]/[2]!Table1[[#This Row],[Site Area km2]])</f>
        <v/>
      </c>
      <c r="AF1290">
        <v>200</v>
      </c>
      <c r="AH1290" t="s">
        <v>2259</v>
      </c>
      <c r="AI1290">
        <v>40</v>
      </c>
      <c r="AM1290" t="s">
        <v>3960</v>
      </c>
      <c r="AN1290" t="s">
        <v>132</v>
      </c>
      <c r="CC1290">
        <v>17</v>
      </c>
      <c r="CE129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90" s="19">
        <f>SUM(Table1[[#This Row],[Mid39]],Table1[[#This Row],[Mid36]],Table1[[#This Row],[Mid33]],Table1[[#This Row],[Mid30]],Table1[[#This Row],[Mid27]],Table1[[#This Row],[Mid24]],Table1[[#This Row],[Mid21]],Table1[[#This Row],[Mid18]],Table1[[#This Row],[Mid15]],Table1[[#This Row],[Mid12]],Table1[[#This Row],[Mid9]],Table1[[#This Row],[Mid6]],Table1[[#This Row],[Mid3]],Table1[[#This Row],[Mid]])</f>
        <v>17</v>
      </c>
      <c r="CG129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290" s="35" t="s">
        <v>134</v>
      </c>
      <c r="CJ1290" t="s">
        <v>158</v>
      </c>
      <c r="CL1290" s="19" t="str">
        <f>IF(Table1[[#This Row],[Type]]="Petroleum",1,IF(ISERROR(Table1[[#This Row],[Well Density]]*Table1[[#This Row],[Single Well Discovery Area]]),"",IF(Table1[[#This Row],[Well Density]]*Table1[[#This Row],[Single Well Discovery Area]]&gt;1,1,Table1[[#This Row],[Well Density]]*Table1[[#This Row],[Single Well Discovery Area]])))</f>
        <v/>
      </c>
      <c r="CM1290" t="s">
        <v>158</v>
      </c>
      <c r="CN1290" s="19">
        <f>Table1[[#This Row],[Mid]]</f>
        <v>0</v>
      </c>
      <c r="CO1290" s="19">
        <f>Table1[[#This Row],[Mid3]]+Table1[[#This Row],[Mid6]]+Table1[[#This Row],[Mid9]]</f>
        <v>0</v>
      </c>
      <c r="CP1290" s="19">
        <f>Table1[[#This Row],[Mid12]]+Table1[[#This Row],[Mid15]]+Table1[[#This Row],[Mid18]]+Table1[[#This Row],[Mid21]]+Table1[[#This Row],[Mid24]]</f>
        <v>0</v>
      </c>
      <c r="CQ1290" s="19">
        <f>Table1[[#This Row],[Mid27]]+Table1[[#This Row],[Mid30]]+Table1[[#This Row],[Mid33]]+Table1[[#This Row],[Mid36]]+Table1[[#This Row],[Mid39]]</f>
        <v>17</v>
      </c>
      <c r="CR1290" t="s">
        <v>415</v>
      </c>
      <c r="CS1290" s="19" t="str">
        <f>IF(AND(Table1[[#This Row],[Low41]]=0, Table1[[#This Row],[High43]]=0),"N","Y")</f>
        <v>N</v>
      </c>
    </row>
    <row r="1291" spans="1:97" ht="19.5" customHeight="1" x14ac:dyDescent="0.25">
      <c r="A1291">
        <v>11293</v>
      </c>
      <c r="B1291" t="s">
        <v>3953</v>
      </c>
      <c r="C1291" t="s">
        <v>223</v>
      </c>
      <c r="D1291">
        <v>56.799500000000002</v>
      </c>
      <c r="E1291">
        <v>23.027799999999999</v>
      </c>
      <c r="F1291" t="s">
        <v>3990</v>
      </c>
      <c r="G1291" t="s">
        <v>2682</v>
      </c>
      <c r="H1291" t="s">
        <v>167</v>
      </c>
      <c r="I1291" t="s">
        <v>118</v>
      </c>
      <c r="J1291" t="s">
        <v>119</v>
      </c>
      <c r="K1291" t="s">
        <v>203</v>
      </c>
      <c r="L1291" t="s">
        <v>3955</v>
      </c>
      <c r="M1291" t="s">
        <v>597</v>
      </c>
      <c r="N1291" s="6" t="s">
        <v>3986</v>
      </c>
      <c r="O1291" t="s">
        <v>2652</v>
      </c>
      <c r="P1291" t="s">
        <v>1150</v>
      </c>
      <c r="Q1291" t="s">
        <v>3957</v>
      </c>
      <c r="R1291" t="s">
        <v>3971</v>
      </c>
      <c r="S1291">
        <v>2009</v>
      </c>
      <c r="T1291" t="s">
        <v>3959</v>
      </c>
      <c r="U1291" t="s">
        <v>1479</v>
      </c>
      <c r="V1291">
        <v>19</v>
      </c>
      <c r="W1291">
        <v>1110</v>
      </c>
      <c r="Z1291">
        <v>12.7</v>
      </c>
      <c r="AA1291">
        <v>191</v>
      </c>
      <c r="AE1291" t="str">
        <f>IF(ISERROR([2]!Table1[[#This Row],[Well Count]]/[2]!Table1[[#This Row],[Site Area km2]]),"",[2]!Table1[[#This Row],[Well Count]]/[2]!Table1[[#This Row],[Site Area km2]])</f>
        <v/>
      </c>
      <c r="AF1291">
        <v>200</v>
      </c>
      <c r="AH1291" t="s">
        <v>2259</v>
      </c>
      <c r="AI1291">
        <v>40</v>
      </c>
      <c r="AM1291" t="s">
        <v>3960</v>
      </c>
      <c r="AN1291" t="s">
        <v>132</v>
      </c>
      <c r="CC1291">
        <v>10</v>
      </c>
      <c r="CE129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91"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129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291" s="35" t="s">
        <v>134</v>
      </c>
      <c r="CJ1291" t="s">
        <v>158</v>
      </c>
      <c r="CL1291" s="19" t="str">
        <f>IF(Table1[[#This Row],[Type]]="Petroleum",1,IF(ISERROR(Table1[[#This Row],[Well Density]]*Table1[[#This Row],[Single Well Discovery Area]]),"",IF(Table1[[#This Row],[Well Density]]*Table1[[#This Row],[Single Well Discovery Area]]&gt;1,1,Table1[[#This Row],[Well Density]]*Table1[[#This Row],[Single Well Discovery Area]])))</f>
        <v/>
      </c>
      <c r="CM1291" t="s">
        <v>158</v>
      </c>
      <c r="CN1291" s="19">
        <f>Table1[[#This Row],[Mid]]</f>
        <v>0</v>
      </c>
      <c r="CO1291" s="19">
        <f>Table1[[#This Row],[Mid3]]+Table1[[#This Row],[Mid6]]+Table1[[#This Row],[Mid9]]</f>
        <v>0</v>
      </c>
      <c r="CP1291" s="19">
        <f>Table1[[#This Row],[Mid12]]+Table1[[#This Row],[Mid15]]+Table1[[#This Row],[Mid18]]+Table1[[#This Row],[Mid21]]+Table1[[#This Row],[Mid24]]</f>
        <v>0</v>
      </c>
      <c r="CQ1291" s="19">
        <f>Table1[[#This Row],[Mid27]]+Table1[[#This Row],[Mid30]]+Table1[[#This Row],[Mid33]]+Table1[[#This Row],[Mid36]]+Table1[[#This Row],[Mid39]]</f>
        <v>10</v>
      </c>
      <c r="CR1291" t="s">
        <v>415</v>
      </c>
      <c r="CS1291" s="19" t="str">
        <f>IF(AND(Table1[[#This Row],[Low41]]=0, Table1[[#This Row],[High43]]=0),"N","Y")</f>
        <v>N</v>
      </c>
    </row>
    <row r="1292" spans="1:97" ht="19.5" customHeight="1" x14ac:dyDescent="0.25">
      <c r="A1292">
        <v>11294</v>
      </c>
      <c r="B1292" t="s">
        <v>3953</v>
      </c>
      <c r="C1292" t="s">
        <v>3991</v>
      </c>
      <c r="D1292">
        <v>56.1419</v>
      </c>
      <c r="E1292">
        <v>20.349</v>
      </c>
      <c r="F1292" t="s">
        <v>3992</v>
      </c>
      <c r="G1292" t="s">
        <v>2682</v>
      </c>
      <c r="H1292" t="s">
        <v>3962</v>
      </c>
      <c r="I1292" t="s">
        <v>118</v>
      </c>
      <c r="J1292" t="s">
        <v>119</v>
      </c>
      <c r="K1292" t="s">
        <v>203</v>
      </c>
      <c r="L1292" t="s">
        <v>121</v>
      </c>
      <c r="M1292" t="s">
        <v>597</v>
      </c>
      <c r="N1292" s="6" t="s">
        <v>3993</v>
      </c>
      <c r="O1292" t="s">
        <v>2652</v>
      </c>
      <c r="P1292" t="s">
        <v>1150</v>
      </c>
      <c r="Q1292" t="s">
        <v>3957</v>
      </c>
      <c r="R1292" t="s">
        <v>3994</v>
      </c>
      <c r="S1292">
        <v>2013</v>
      </c>
      <c r="T1292" t="s">
        <v>3959</v>
      </c>
      <c r="U1292" t="s">
        <v>1479</v>
      </c>
      <c r="V1292">
        <v>553</v>
      </c>
      <c r="W1292">
        <v>848</v>
      </c>
      <c r="X1292">
        <v>53</v>
      </c>
      <c r="AB1292">
        <v>99</v>
      </c>
      <c r="AC1292">
        <v>658</v>
      </c>
      <c r="AD1292">
        <v>1</v>
      </c>
      <c r="AE1292" t="str">
        <f>IF(ISERROR([2]!Table1[[#This Row],[Well Count]]/[2]!Table1[[#This Row],[Site Area km2]]),"",[2]!Table1[[#This Row],[Well Count]]/[2]!Table1[[#This Row],[Site Area km2]])</f>
        <v/>
      </c>
      <c r="AF1292">
        <v>200</v>
      </c>
      <c r="AG1292">
        <v>9.3000000000000007</v>
      </c>
      <c r="AH1292" t="s">
        <v>2259</v>
      </c>
      <c r="AI1292">
        <v>10</v>
      </c>
      <c r="AM1292" t="s">
        <v>3995</v>
      </c>
      <c r="AN1292" t="s">
        <v>132</v>
      </c>
      <c r="BN1292">
        <v>152</v>
      </c>
      <c r="CE129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92" s="19">
        <f>SUM(Table1[[#This Row],[Mid39]],Table1[[#This Row],[Mid36]],Table1[[#This Row],[Mid33]],Table1[[#This Row],[Mid30]],Table1[[#This Row],[Mid27]],Table1[[#This Row],[Mid24]],Table1[[#This Row],[Mid21]],Table1[[#This Row],[Mid18]],Table1[[#This Row],[Mid15]],Table1[[#This Row],[Mid12]],Table1[[#This Row],[Mid9]],Table1[[#This Row],[Mid6]],Table1[[#This Row],[Mid3]],Table1[[#This Row],[Mid]])</f>
        <v>152</v>
      </c>
      <c r="CG129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292" s="35" t="s">
        <v>134</v>
      </c>
      <c r="CJ1292" t="s">
        <v>158</v>
      </c>
      <c r="CL1292" s="19" t="str">
        <f>IF(Table1[[#This Row],[Type]]="Petroleum",1,IF(ISERROR(Table1[[#This Row],[Well Density]]*Table1[[#This Row],[Single Well Discovery Area]]),"",IF(Table1[[#This Row],[Well Density]]*Table1[[#This Row],[Single Well Discovery Area]]&gt;1,1,Table1[[#This Row],[Well Density]]*Table1[[#This Row],[Single Well Discovery Area]])))</f>
        <v/>
      </c>
      <c r="CM1292" t="s">
        <v>158</v>
      </c>
      <c r="CN1292" s="19">
        <f>Table1[[#This Row],[Mid]]</f>
        <v>0</v>
      </c>
      <c r="CO1292" s="19">
        <f>Table1[[#This Row],[Mid3]]+Table1[[#This Row],[Mid6]]+Table1[[#This Row],[Mid9]]</f>
        <v>0</v>
      </c>
      <c r="CP1292" s="19">
        <f>Table1[[#This Row],[Mid12]]+Table1[[#This Row],[Mid15]]+Table1[[#This Row],[Mid18]]+Table1[[#This Row],[Mid21]]+Table1[[#This Row],[Mid24]]</f>
        <v>152</v>
      </c>
      <c r="CQ1292" s="19">
        <f>Table1[[#This Row],[Mid27]]+Table1[[#This Row],[Mid30]]+Table1[[#This Row],[Mid33]]+Table1[[#This Row],[Mid36]]+Table1[[#This Row],[Mid39]]</f>
        <v>0</v>
      </c>
      <c r="CR1292" t="s">
        <v>415</v>
      </c>
      <c r="CS1292" s="19" t="str">
        <f>IF(AND(Table1[[#This Row],[Low41]]=0, Table1[[#This Row],[High43]]=0),"N","Y")</f>
        <v>N</v>
      </c>
    </row>
    <row r="1293" spans="1:97" ht="19.5" customHeight="1" x14ac:dyDescent="0.25">
      <c r="A1293">
        <v>11295</v>
      </c>
      <c r="B1293" t="s">
        <v>3996</v>
      </c>
      <c r="C1293" t="s">
        <v>223</v>
      </c>
      <c r="D1293">
        <v>40.5837</v>
      </c>
      <c r="E1293">
        <v>19.655999999999999</v>
      </c>
      <c r="F1293" t="s">
        <v>3997</v>
      </c>
      <c r="G1293" t="s">
        <v>2739</v>
      </c>
      <c r="H1293" t="s">
        <v>167</v>
      </c>
      <c r="I1293" t="s">
        <v>520</v>
      </c>
      <c r="J1293" t="s">
        <v>202</v>
      </c>
      <c r="K1293" t="s">
        <v>190</v>
      </c>
      <c r="L1293" t="s">
        <v>121</v>
      </c>
      <c r="M1293" t="s">
        <v>3998</v>
      </c>
      <c r="N1293" s="6" t="s">
        <v>3999</v>
      </c>
      <c r="O1293" t="s">
        <v>2652</v>
      </c>
      <c r="P1293" t="s">
        <v>1150</v>
      </c>
      <c r="Q1293" t="s">
        <v>4000</v>
      </c>
      <c r="R1293" t="s">
        <v>4001</v>
      </c>
      <c r="S1293">
        <v>2009</v>
      </c>
      <c r="T1293" t="s">
        <v>3959</v>
      </c>
      <c r="U1293" t="s">
        <v>1479</v>
      </c>
      <c r="V1293"/>
      <c r="AE1293" t="str">
        <f>IF(ISERROR([2]!Table1[[#This Row],[Well Count]]/[2]!Table1[[#This Row],[Site Area km2]]),"",[2]!Table1[[#This Row],[Well Count]]/[2]!Table1[[#This Row],[Site Area km2]])</f>
        <v/>
      </c>
      <c r="AF1293">
        <v>200</v>
      </c>
      <c r="AH1293" t="s">
        <v>2259</v>
      </c>
      <c r="AM1293" t="s">
        <v>167</v>
      </c>
      <c r="AN1293" t="s">
        <v>132</v>
      </c>
      <c r="BN1293">
        <v>111</v>
      </c>
      <c r="CE129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93" s="19">
        <f>SUM(Table1[[#This Row],[Mid39]],Table1[[#This Row],[Mid36]],Table1[[#This Row],[Mid33]],Table1[[#This Row],[Mid30]],Table1[[#This Row],[Mid27]],Table1[[#This Row],[Mid24]],Table1[[#This Row],[Mid21]],Table1[[#This Row],[Mid18]],Table1[[#This Row],[Mid15]],Table1[[#This Row],[Mid12]],Table1[[#This Row],[Mid9]],Table1[[#This Row],[Mid6]],Table1[[#This Row],[Mid3]],Table1[[#This Row],[Mid]])</f>
        <v>111</v>
      </c>
      <c r="CG129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293" s="35" t="s">
        <v>134</v>
      </c>
      <c r="CJ1293" t="s">
        <v>158</v>
      </c>
      <c r="CL1293" s="19">
        <f>IF(Table1[[#This Row],[Type]]="Petroleum",1,IF(ISERROR(Table1[[#This Row],[Well Density]]*Table1[[#This Row],[Single Well Discovery Area]]),"",IF(Table1[[#This Row],[Well Density]]*Table1[[#This Row],[Single Well Discovery Area]]&gt;1,1,Table1[[#This Row],[Well Density]]*Table1[[#This Row],[Single Well Discovery Area]])))</f>
        <v>1</v>
      </c>
      <c r="CM1293" t="s">
        <v>158</v>
      </c>
      <c r="CN1293" s="19">
        <f>Table1[[#This Row],[Mid]]</f>
        <v>0</v>
      </c>
      <c r="CO1293" s="19">
        <f>Table1[[#This Row],[Mid3]]+Table1[[#This Row],[Mid6]]+Table1[[#This Row],[Mid9]]</f>
        <v>0</v>
      </c>
      <c r="CP1293" s="19">
        <f>Table1[[#This Row],[Mid12]]+Table1[[#This Row],[Mid15]]+Table1[[#This Row],[Mid18]]+Table1[[#This Row],[Mid21]]+Table1[[#This Row],[Mid24]]</f>
        <v>111</v>
      </c>
      <c r="CQ1293" s="19">
        <f>Table1[[#This Row],[Mid27]]+Table1[[#This Row],[Mid30]]+Table1[[#This Row],[Mid33]]+Table1[[#This Row],[Mid36]]+Table1[[#This Row],[Mid39]]</f>
        <v>0</v>
      </c>
      <c r="CR1293" t="s">
        <v>415</v>
      </c>
      <c r="CS1293" s="19" t="str">
        <f>IF(AND(Table1[[#This Row],[Low41]]=0, Table1[[#This Row],[High43]]=0),"N","Y")</f>
        <v>N</v>
      </c>
    </row>
    <row r="1294" spans="1:97" ht="19.5" customHeight="1" x14ac:dyDescent="0.25">
      <c r="A1294">
        <v>11296</v>
      </c>
      <c r="B1294" t="s">
        <v>3996</v>
      </c>
      <c r="C1294" t="s">
        <v>223</v>
      </c>
      <c r="D1294">
        <v>40.889000000000003</v>
      </c>
      <c r="E1294">
        <v>19.922000000000001</v>
      </c>
      <c r="F1294" t="s">
        <v>4002</v>
      </c>
      <c r="G1294" t="s">
        <v>2739</v>
      </c>
      <c r="H1294" t="s">
        <v>167</v>
      </c>
      <c r="I1294" t="s">
        <v>118</v>
      </c>
      <c r="J1294" t="s">
        <v>119</v>
      </c>
      <c r="K1294" t="s">
        <v>190</v>
      </c>
      <c r="L1294" t="s">
        <v>18</v>
      </c>
      <c r="M1294" t="s">
        <v>252</v>
      </c>
      <c r="N1294" s="6" t="s">
        <v>3999</v>
      </c>
      <c r="O1294" t="s">
        <v>2652</v>
      </c>
      <c r="P1294" t="s">
        <v>1150</v>
      </c>
      <c r="Q1294" t="s">
        <v>4003</v>
      </c>
      <c r="R1294" t="s">
        <v>4004</v>
      </c>
      <c r="S1294">
        <v>2009</v>
      </c>
      <c r="T1294" t="s">
        <v>3959</v>
      </c>
      <c r="U1294" t="s">
        <v>1479</v>
      </c>
      <c r="V1294"/>
      <c r="AE1294" t="str">
        <f>IF(ISERROR([2]!Table1[[#This Row],[Well Count]]/[2]!Table1[[#This Row],[Site Area km2]]),"",[2]!Table1[[#This Row],[Well Count]]/[2]!Table1[[#This Row],[Site Area km2]])</f>
        <v/>
      </c>
      <c r="AF1294">
        <v>200</v>
      </c>
      <c r="AH1294" t="s">
        <v>2259</v>
      </c>
      <c r="AM1294" t="s">
        <v>167</v>
      </c>
      <c r="AN1294" t="s">
        <v>132</v>
      </c>
      <c r="CC1294">
        <v>20</v>
      </c>
      <c r="CE129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294" s="19">
        <f>SUM(Table1[[#This Row],[Mid39]],Table1[[#This Row],[Mid36]],Table1[[#This Row],[Mid33]],Table1[[#This Row],[Mid30]],Table1[[#This Row],[Mid27]],Table1[[#This Row],[Mid24]],Table1[[#This Row],[Mid21]],Table1[[#This Row],[Mid18]],Table1[[#This Row],[Mid15]],Table1[[#This Row],[Mid12]],Table1[[#This Row],[Mid9]],Table1[[#This Row],[Mid6]],Table1[[#This Row],[Mid3]],Table1[[#This Row],[Mid]])</f>
        <v>20</v>
      </c>
      <c r="CG129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294" s="35" t="s">
        <v>189</v>
      </c>
      <c r="CJ1294" t="s">
        <v>158</v>
      </c>
      <c r="CL1294" s="19" t="str">
        <f>IF(Table1[[#This Row],[Type]]="Petroleum",1,IF(ISERROR(Table1[[#This Row],[Well Density]]*Table1[[#This Row],[Single Well Discovery Area]]),"",IF(Table1[[#This Row],[Well Density]]*Table1[[#This Row],[Single Well Discovery Area]]&gt;1,1,Table1[[#This Row],[Well Density]]*Table1[[#This Row],[Single Well Discovery Area]])))</f>
        <v/>
      </c>
      <c r="CM1294" t="s">
        <v>158</v>
      </c>
      <c r="CN1294" s="19">
        <f>Table1[[#This Row],[Mid]]</f>
        <v>0</v>
      </c>
      <c r="CO1294" s="19">
        <f>Table1[[#This Row],[Mid3]]+Table1[[#This Row],[Mid6]]+Table1[[#This Row],[Mid9]]</f>
        <v>0</v>
      </c>
      <c r="CP1294" s="19">
        <f>Table1[[#This Row],[Mid12]]+Table1[[#This Row],[Mid15]]+Table1[[#This Row],[Mid18]]+Table1[[#This Row],[Mid21]]+Table1[[#This Row],[Mid24]]</f>
        <v>0</v>
      </c>
      <c r="CQ1294" s="19">
        <f>Table1[[#This Row],[Mid27]]+Table1[[#This Row],[Mid30]]+Table1[[#This Row],[Mid33]]+Table1[[#This Row],[Mid36]]+Table1[[#This Row],[Mid39]]</f>
        <v>20</v>
      </c>
      <c r="CR1294" t="s">
        <v>415</v>
      </c>
      <c r="CS1294" s="19" t="str">
        <f>IF(AND(Table1[[#This Row],[Low41]]=0, Table1[[#This Row],[High43]]=0),"N","Y")</f>
        <v>N</v>
      </c>
    </row>
    <row r="1295" spans="1:97" ht="19.5" customHeight="1" x14ac:dyDescent="0.25">
      <c r="A1295">
        <v>11297</v>
      </c>
      <c r="B1295" s="32" t="s">
        <v>4005</v>
      </c>
      <c r="C1295" s="32" t="s">
        <v>4006</v>
      </c>
      <c r="D1295">
        <v>51.115600000000001</v>
      </c>
      <c r="E1295">
        <v>5.3836000000000004</v>
      </c>
      <c r="F1295" s="32" t="s">
        <v>4007</v>
      </c>
      <c r="H1295" t="s">
        <v>2955</v>
      </c>
      <c r="I1295" s="32" t="s">
        <v>118</v>
      </c>
      <c r="J1295" s="32" t="s">
        <v>119</v>
      </c>
      <c r="K1295" s="32" t="s">
        <v>190</v>
      </c>
      <c r="L1295" s="32" t="s">
        <v>18</v>
      </c>
      <c r="M1295" t="s">
        <v>412</v>
      </c>
      <c r="N1295" s="27" t="s">
        <v>4008</v>
      </c>
      <c r="O1295" t="s">
        <v>2652</v>
      </c>
      <c r="P1295" t="s">
        <v>1150</v>
      </c>
      <c r="Q1295" s="6" t="s">
        <v>4009</v>
      </c>
      <c r="R1295" s="32" t="s">
        <v>4010</v>
      </c>
      <c r="S1295">
        <v>2013</v>
      </c>
      <c r="T1295" t="s">
        <v>3959</v>
      </c>
      <c r="U1295" t="s">
        <v>1479</v>
      </c>
      <c r="V1295" s="7">
        <v>186</v>
      </c>
      <c r="W1295" s="7">
        <v>1550</v>
      </c>
      <c r="X1295">
        <v>200</v>
      </c>
      <c r="Y1295">
        <v>25</v>
      </c>
      <c r="Z1295">
        <v>13.4</v>
      </c>
      <c r="AA1295">
        <v>37</v>
      </c>
      <c r="AC1295" s="7">
        <v>600</v>
      </c>
      <c r="AD1295" s="7"/>
      <c r="AE1295" t="str">
        <f>IF(ISERROR([2]!Table1[[#This Row],[Well Count]]/[2]!Table1[[#This Row],[Site Area km2]]),"",[2]!Table1[[#This Row],[Well Count]]/[2]!Table1[[#This Row],[Site Area km2]])</f>
        <v/>
      </c>
      <c r="AF1295">
        <v>200</v>
      </c>
      <c r="AG1295">
        <v>155</v>
      </c>
      <c r="AH1295" t="s">
        <v>2259</v>
      </c>
      <c r="AI1295" s="34">
        <v>2.5</v>
      </c>
      <c r="AM1295" s="21" t="s">
        <v>3380</v>
      </c>
      <c r="AN1295" t="s">
        <v>132</v>
      </c>
      <c r="AO1295" s="19"/>
      <c r="AP1295" s="19"/>
      <c r="AQ1295" s="19"/>
      <c r="AR1295" s="19"/>
      <c r="AS1295" s="19"/>
      <c r="AT1295" s="19"/>
      <c r="AU1295" s="19"/>
      <c r="AV1295" s="19"/>
      <c r="AW1295" s="19"/>
      <c r="AX1295" s="19"/>
      <c r="AY1295" s="19"/>
      <c r="AZ1295" s="19"/>
      <c r="BA1295" s="19"/>
      <c r="BB1295" s="19"/>
      <c r="BC1295" s="19"/>
      <c r="BD1295" s="19"/>
      <c r="BE1295" s="19"/>
      <c r="BF1295" s="19"/>
      <c r="BG1295" s="19"/>
      <c r="BH1295" s="19"/>
      <c r="BI1295" s="19"/>
      <c r="BJ1295" s="19"/>
      <c r="BK1295" s="19"/>
      <c r="BL1295" s="19"/>
      <c r="BM1295" s="19"/>
      <c r="BN1295" s="19"/>
      <c r="BO1295" s="19"/>
      <c r="BP1295" s="19"/>
      <c r="BQ1295" s="19"/>
      <c r="BR1295" s="19"/>
      <c r="BS1295" s="19"/>
      <c r="BT1295" s="19"/>
      <c r="BU1295" s="19"/>
      <c r="BV1295" s="19">
        <v>12</v>
      </c>
      <c r="BW1295" s="19">
        <v>31</v>
      </c>
      <c r="BX1295" s="19">
        <v>186</v>
      </c>
      <c r="BY1295" s="19"/>
      <c r="BZ1295" s="19"/>
      <c r="CA1295" s="19"/>
      <c r="CB1295" s="19"/>
      <c r="CC1295" s="19"/>
      <c r="CD1295" s="19"/>
      <c r="CE1295" s="19">
        <f>SUM(Table1[[#This Row],[Low38]],Table1[[#This Row],[Low35]],Table1[[#This Row],[Low32]],Table1[[#This Row],[Low29]],Table1[[#This Row],[Low26]],Table1[[#This Row],[Low23]],Table1[[#This Row],[Low20]],Table1[[#This Row],[Low17]],Table1[[#This Row],[Low14]],Table1[[#This Row],[Low11]],Table1[[#This Row],[Low8]],Table1[[#This Row],[Low5]],Table1[[#This Row],[Low2]],Table1[[#This Row],[Low]])</f>
        <v>12</v>
      </c>
      <c r="CF1295" s="19">
        <f>SUM(Table1[[#This Row],[Mid39]],Table1[[#This Row],[Mid36]],Table1[[#This Row],[Mid33]],Table1[[#This Row],[Mid30]],Table1[[#This Row],[Mid27]],Table1[[#This Row],[Mid24]],Table1[[#This Row],[Mid21]],Table1[[#This Row],[Mid18]],Table1[[#This Row],[Mid15]],Table1[[#This Row],[Mid12]],Table1[[#This Row],[Mid9]],Table1[[#This Row],[Mid6]],Table1[[#This Row],[Mid3]],Table1[[#This Row],[Mid]])</f>
        <v>31</v>
      </c>
      <c r="CG129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186</v>
      </c>
      <c r="CI1295" s="35" t="s">
        <v>134</v>
      </c>
      <c r="CJ1295" s="37" t="s">
        <v>158</v>
      </c>
      <c r="CL1295" s="19" t="str">
        <f>IF(Table1[[#This Row],[Type]]="Petroleum",1,IF(ISERROR(Table1[[#This Row],[Well Density]]*Table1[[#This Row],[Single Well Discovery Area]]),"",IF(Table1[[#This Row],[Well Density]]*Table1[[#This Row],[Single Well Discovery Area]]&gt;1,1,Table1[[#This Row],[Well Density]]*Table1[[#This Row],[Single Well Discovery Area]])))</f>
        <v/>
      </c>
      <c r="CM1295" t="s">
        <v>158</v>
      </c>
      <c r="CN1295" s="19">
        <f>Table1[[#This Row],[Mid]]</f>
        <v>0</v>
      </c>
      <c r="CO1295" s="19">
        <f>Table1[[#This Row],[Mid3]]+Table1[[#This Row],[Mid6]]+Table1[[#This Row],[Mid9]]</f>
        <v>0</v>
      </c>
      <c r="CP1295" s="19">
        <f>Table1[[#This Row],[Mid12]]+Table1[[#This Row],[Mid15]]+Table1[[#This Row],[Mid18]]+Table1[[#This Row],[Mid21]]+Table1[[#This Row],[Mid24]]</f>
        <v>0</v>
      </c>
      <c r="CQ1295" s="19">
        <f>Table1[[#This Row],[Mid27]]+Table1[[#This Row],[Mid30]]+Table1[[#This Row],[Mid33]]+Table1[[#This Row],[Mid36]]+Table1[[#This Row],[Mid39]]</f>
        <v>31</v>
      </c>
      <c r="CR1295" t="s">
        <v>415</v>
      </c>
      <c r="CS1295" s="19" t="str">
        <f>IF(AND(Table1[[#This Row],[Low41]]=0, Table1[[#This Row],[High43]]=0),"N","Y")</f>
        <v>Y</v>
      </c>
    </row>
    <row r="1296" spans="1:97" ht="19.5" customHeight="1" x14ac:dyDescent="0.25">
      <c r="A1296">
        <v>11298</v>
      </c>
      <c r="B1296" s="32" t="s">
        <v>4005</v>
      </c>
      <c r="C1296" s="32" t="s">
        <v>4006</v>
      </c>
      <c r="D1296">
        <v>51.1434</v>
      </c>
      <c r="E1296">
        <v>4.8278999999999996</v>
      </c>
      <c r="F1296" s="32" t="s">
        <v>4011</v>
      </c>
      <c r="H1296" t="s">
        <v>167</v>
      </c>
      <c r="I1296" s="32" t="s">
        <v>118</v>
      </c>
      <c r="J1296" s="32" t="s">
        <v>119</v>
      </c>
      <c r="K1296" s="32" t="s">
        <v>190</v>
      </c>
      <c r="L1296" s="32" t="s">
        <v>18</v>
      </c>
      <c r="M1296" t="s">
        <v>2889</v>
      </c>
      <c r="N1296" s="27" t="s">
        <v>4012</v>
      </c>
      <c r="O1296" t="s">
        <v>2652</v>
      </c>
      <c r="P1296" t="s">
        <v>1150</v>
      </c>
      <c r="Q1296" s="6" t="s">
        <v>4013</v>
      </c>
      <c r="R1296" s="32" t="s">
        <v>4014</v>
      </c>
      <c r="S1296">
        <v>2013</v>
      </c>
      <c r="T1296" t="s">
        <v>3959</v>
      </c>
      <c r="U1296" t="s">
        <v>1479</v>
      </c>
      <c r="W1296" s="7"/>
      <c r="AC1296" s="7"/>
      <c r="AD1296" s="7"/>
      <c r="AE1296" t="str">
        <f>IF(ISERROR([2]!Table1[[#This Row],[Well Count]]/[2]!Table1[[#This Row],[Site Area km2]]),"",[2]!Table1[[#This Row],[Well Count]]/[2]!Table1[[#This Row],[Site Area km2]])</f>
        <v/>
      </c>
      <c r="AF1296">
        <v>20</v>
      </c>
      <c r="AH1296" t="s">
        <v>2259</v>
      </c>
      <c r="AI1296" s="34"/>
      <c r="AM1296" s="21" t="s">
        <v>3380</v>
      </c>
      <c r="AN1296" t="s">
        <v>132</v>
      </c>
      <c r="AO1296" s="19"/>
      <c r="AP1296" s="19"/>
      <c r="AQ1296" s="19"/>
      <c r="AR1296" s="19"/>
      <c r="AS1296" s="19"/>
      <c r="AT1296" s="19"/>
      <c r="AU1296" s="19"/>
      <c r="AV1296" s="19"/>
      <c r="AW1296" s="19"/>
      <c r="AX1296" s="19"/>
      <c r="AY1296" s="19"/>
      <c r="AZ1296" s="19"/>
      <c r="BA1296" s="19"/>
      <c r="BB1296" s="19"/>
      <c r="BC1296" s="19"/>
      <c r="BD1296" s="19"/>
      <c r="BE1296" s="19"/>
      <c r="BF1296" s="19"/>
      <c r="BG1296" s="19"/>
      <c r="BH1296" s="19"/>
      <c r="BI1296" s="19"/>
      <c r="BJ1296" s="19"/>
      <c r="BK1296" s="19"/>
      <c r="BL1296" s="19"/>
      <c r="BM1296" s="19"/>
      <c r="BN1296" s="19"/>
      <c r="BO1296" s="19"/>
      <c r="BP1296" s="19"/>
      <c r="BQ1296" s="19"/>
      <c r="BR1296" s="19"/>
      <c r="BS1296" s="19"/>
      <c r="BT1296" s="19"/>
      <c r="BU1296" s="19"/>
      <c r="BV1296" s="19">
        <v>7</v>
      </c>
      <c r="BW1296" s="19">
        <v>17</v>
      </c>
      <c r="BX1296" s="19">
        <v>413</v>
      </c>
      <c r="BY1296" s="19"/>
      <c r="BZ1296" s="19"/>
      <c r="CA1296" s="19"/>
      <c r="CB1296" s="19"/>
      <c r="CC1296" s="19"/>
      <c r="CD1296" s="19"/>
      <c r="CE1296" s="19">
        <f>SUM(Table1[[#This Row],[Low38]],Table1[[#This Row],[Low35]],Table1[[#This Row],[Low32]],Table1[[#This Row],[Low29]],Table1[[#This Row],[Low26]],Table1[[#This Row],[Low23]],Table1[[#This Row],[Low20]],Table1[[#This Row],[Low17]],Table1[[#This Row],[Low14]],Table1[[#This Row],[Low11]],Table1[[#This Row],[Low8]],Table1[[#This Row],[Low5]],Table1[[#This Row],[Low2]],Table1[[#This Row],[Low]])</f>
        <v>7</v>
      </c>
      <c r="CF1296" s="19">
        <f>SUM(Table1[[#This Row],[Mid39]],Table1[[#This Row],[Mid36]],Table1[[#This Row],[Mid33]],Table1[[#This Row],[Mid30]],Table1[[#This Row],[Mid27]],Table1[[#This Row],[Mid24]],Table1[[#This Row],[Mid21]],Table1[[#This Row],[Mid18]],Table1[[#This Row],[Mid15]],Table1[[#This Row],[Mid12]],Table1[[#This Row],[Mid9]],Table1[[#This Row],[Mid6]],Table1[[#This Row],[Mid3]],Table1[[#This Row],[Mid]])</f>
        <v>17</v>
      </c>
      <c r="CG129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413</v>
      </c>
      <c r="CI1296" s="35" t="s">
        <v>134</v>
      </c>
      <c r="CJ1296" s="37" t="s">
        <v>158</v>
      </c>
      <c r="CL1296" s="19" t="str">
        <f>IF(Table1[[#This Row],[Type]]="Petroleum",1,IF(ISERROR(Table1[[#This Row],[Well Density]]*Table1[[#This Row],[Single Well Discovery Area]]),"",IF(Table1[[#This Row],[Well Density]]*Table1[[#This Row],[Single Well Discovery Area]]&gt;1,1,Table1[[#This Row],[Well Density]]*Table1[[#This Row],[Single Well Discovery Area]])))</f>
        <v/>
      </c>
      <c r="CM1296" t="s">
        <v>158</v>
      </c>
      <c r="CN1296" s="19">
        <f>Table1[[#This Row],[Mid]]</f>
        <v>0</v>
      </c>
      <c r="CO1296" s="19">
        <f>Table1[[#This Row],[Mid3]]+Table1[[#This Row],[Mid6]]+Table1[[#This Row],[Mid9]]</f>
        <v>0</v>
      </c>
      <c r="CP1296" s="19">
        <f>Table1[[#This Row],[Mid12]]+Table1[[#This Row],[Mid15]]+Table1[[#This Row],[Mid18]]+Table1[[#This Row],[Mid21]]+Table1[[#This Row],[Mid24]]</f>
        <v>0</v>
      </c>
      <c r="CQ1296" s="19">
        <f>Table1[[#This Row],[Mid27]]+Table1[[#This Row],[Mid30]]+Table1[[#This Row],[Mid33]]+Table1[[#This Row],[Mid36]]+Table1[[#This Row],[Mid39]]</f>
        <v>17</v>
      </c>
      <c r="CR1296" t="s">
        <v>415</v>
      </c>
      <c r="CS1296" s="19" t="str">
        <f>IF(AND(Table1[[#This Row],[Low41]]=0, Table1[[#This Row],[High43]]=0),"N","Y")</f>
        <v>Y</v>
      </c>
    </row>
    <row r="1297" spans="1:97" ht="19.5" customHeight="1" x14ac:dyDescent="0.25">
      <c r="A1297">
        <v>11299</v>
      </c>
      <c r="B1297" s="32" t="s">
        <v>4005</v>
      </c>
      <c r="C1297" s="32" t="s">
        <v>4006</v>
      </c>
      <c r="D1297">
        <v>51.159700000000001</v>
      </c>
      <c r="E1297">
        <v>4.851</v>
      </c>
      <c r="F1297" s="32" t="s">
        <v>4015</v>
      </c>
      <c r="H1297" t="s">
        <v>167</v>
      </c>
      <c r="I1297" s="32" t="s">
        <v>118</v>
      </c>
      <c r="J1297" s="32" t="s">
        <v>119</v>
      </c>
      <c r="K1297" s="32" t="s">
        <v>190</v>
      </c>
      <c r="L1297" s="32" t="s">
        <v>18</v>
      </c>
      <c r="M1297" t="s">
        <v>4016</v>
      </c>
      <c r="N1297" s="27" t="s">
        <v>4017</v>
      </c>
      <c r="O1297" t="s">
        <v>2652</v>
      </c>
      <c r="P1297" t="s">
        <v>1150</v>
      </c>
      <c r="Q1297" s="6" t="s">
        <v>4018</v>
      </c>
      <c r="R1297" s="38" t="s">
        <v>4019</v>
      </c>
      <c r="S1297">
        <v>2013</v>
      </c>
      <c r="T1297" t="s">
        <v>3959</v>
      </c>
      <c r="U1297" t="s">
        <v>1479</v>
      </c>
      <c r="V1297" s="7">
        <v>1100</v>
      </c>
      <c r="W1297" s="7">
        <v>1400</v>
      </c>
      <c r="X1297">
        <v>775</v>
      </c>
      <c r="Y1297">
        <v>25</v>
      </c>
      <c r="Z1297">
        <v>2.4</v>
      </c>
      <c r="AA1297">
        <v>225</v>
      </c>
      <c r="AC1297" s="7">
        <v>566</v>
      </c>
      <c r="AD1297" s="7"/>
      <c r="AE1297" t="str">
        <f>IF(ISERROR([2]!Table1[[#This Row],[Well Count]]/[2]!Table1[[#This Row],[Site Area km2]]),"",[2]!Table1[[#This Row],[Well Count]]/[2]!Table1[[#This Row],[Site Area km2]])</f>
        <v/>
      </c>
      <c r="AF1297">
        <v>20</v>
      </c>
      <c r="AG1297">
        <v>141</v>
      </c>
      <c r="AH1297" t="s">
        <v>2259</v>
      </c>
      <c r="AI1297" s="34">
        <v>1.5</v>
      </c>
      <c r="AM1297" s="21" t="s">
        <v>3380</v>
      </c>
      <c r="AN1297" t="s">
        <v>132</v>
      </c>
      <c r="AO1297" s="19"/>
      <c r="AP1297" s="19"/>
      <c r="AQ1297" s="19"/>
      <c r="AR1297" s="19"/>
      <c r="AS1297" s="19"/>
      <c r="AT1297" s="19"/>
      <c r="AU1297" s="19"/>
      <c r="AV1297" s="19"/>
      <c r="AW1297" s="19"/>
      <c r="AX1297" s="19"/>
      <c r="AY1297" s="19"/>
      <c r="AZ1297" s="19"/>
      <c r="BA1297" s="19"/>
      <c r="BB1297" s="19"/>
      <c r="BC1297" s="19"/>
      <c r="BD1297" s="19"/>
      <c r="BE1297" s="19"/>
      <c r="BF1297" s="19"/>
      <c r="BG1297" s="19"/>
      <c r="BH1297" s="19"/>
      <c r="BI1297" s="19"/>
      <c r="BJ1297" s="19"/>
      <c r="BK1297" s="19"/>
      <c r="BL1297" s="19"/>
      <c r="BM1297" s="19"/>
      <c r="BN1297" s="19"/>
      <c r="BO1297" s="19"/>
      <c r="BP1297" s="19"/>
      <c r="BQ1297" s="19"/>
      <c r="BR1297" s="19"/>
      <c r="BS1297" s="19"/>
      <c r="BT1297" s="19"/>
      <c r="BU1297" s="19"/>
      <c r="BV1297" s="19">
        <v>15</v>
      </c>
      <c r="BW1297" s="19">
        <v>54</v>
      </c>
      <c r="BX1297" s="19">
        <v>489</v>
      </c>
      <c r="BY1297" s="19"/>
      <c r="BZ1297" s="19"/>
      <c r="CA1297" s="19"/>
      <c r="CB1297" s="19"/>
      <c r="CC1297" s="19"/>
      <c r="CD1297" s="19"/>
      <c r="CE1297" s="19">
        <f>SUM(Table1[[#This Row],[Low38]],Table1[[#This Row],[Low35]],Table1[[#This Row],[Low32]],Table1[[#This Row],[Low29]],Table1[[#This Row],[Low26]],Table1[[#This Row],[Low23]],Table1[[#This Row],[Low20]],Table1[[#This Row],[Low17]],Table1[[#This Row],[Low14]],Table1[[#This Row],[Low11]],Table1[[#This Row],[Low8]],Table1[[#This Row],[Low5]],Table1[[#This Row],[Low2]],Table1[[#This Row],[Low]])</f>
        <v>15</v>
      </c>
      <c r="CF1297" s="19">
        <f>SUM(Table1[[#This Row],[Mid39]],Table1[[#This Row],[Mid36]],Table1[[#This Row],[Mid33]],Table1[[#This Row],[Mid30]],Table1[[#This Row],[Mid27]],Table1[[#This Row],[Mid24]],Table1[[#This Row],[Mid21]],Table1[[#This Row],[Mid18]],Table1[[#This Row],[Mid15]],Table1[[#This Row],[Mid12]],Table1[[#This Row],[Mid9]],Table1[[#This Row],[Mid6]],Table1[[#This Row],[Mid3]],Table1[[#This Row],[Mid]])</f>
        <v>54</v>
      </c>
      <c r="CG129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489</v>
      </c>
      <c r="CI1297" s="35" t="s">
        <v>176</v>
      </c>
      <c r="CJ1297" s="37" t="s">
        <v>158</v>
      </c>
      <c r="CL1297" s="19" t="str">
        <f>IF(Table1[[#This Row],[Type]]="Petroleum",1,IF(ISERROR(Table1[[#This Row],[Well Density]]*Table1[[#This Row],[Single Well Discovery Area]]),"",IF(Table1[[#This Row],[Well Density]]*Table1[[#This Row],[Single Well Discovery Area]]&gt;1,1,Table1[[#This Row],[Well Density]]*Table1[[#This Row],[Single Well Discovery Area]])))</f>
        <v/>
      </c>
      <c r="CM1297" t="s">
        <v>158</v>
      </c>
      <c r="CN1297" s="19">
        <f>Table1[[#This Row],[Mid]]</f>
        <v>0</v>
      </c>
      <c r="CO1297" s="19">
        <f>Table1[[#This Row],[Mid3]]+Table1[[#This Row],[Mid6]]+Table1[[#This Row],[Mid9]]</f>
        <v>0</v>
      </c>
      <c r="CP1297" s="19">
        <f>Table1[[#This Row],[Mid12]]+Table1[[#This Row],[Mid15]]+Table1[[#This Row],[Mid18]]+Table1[[#This Row],[Mid21]]+Table1[[#This Row],[Mid24]]</f>
        <v>0</v>
      </c>
      <c r="CQ1297" s="19">
        <f>Table1[[#This Row],[Mid27]]+Table1[[#This Row],[Mid30]]+Table1[[#This Row],[Mid33]]+Table1[[#This Row],[Mid36]]+Table1[[#This Row],[Mid39]]</f>
        <v>54</v>
      </c>
      <c r="CR1297" t="s">
        <v>415</v>
      </c>
      <c r="CS1297" s="19" t="str">
        <f>IF(AND(Table1[[#This Row],[Low41]]=0, Table1[[#This Row],[High43]]=0),"N","Y")</f>
        <v>Y</v>
      </c>
    </row>
    <row r="1298" spans="1:97" ht="19.5" customHeight="1" x14ac:dyDescent="0.25">
      <c r="A1298">
        <v>11300</v>
      </c>
      <c r="B1298" s="32" t="s">
        <v>4005</v>
      </c>
      <c r="C1298" s="32" t="s">
        <v>4020</v>
      </c>
      <c r="D1298">
        <v>50.621699999999997</v>
      </c>
      <c r="E1298">
        <v>5.5163000000000002</v>
      </c>
      <c r="F1298" s="32" t="s">
        <v>4021</v>
      </c>
      <c r="H1298" t="s">
        <v>167</v>
      </c>
      <c r="I1298" s="32" t="s">
        <v>118</v>
      </c>
      <c r="J1298" s="32" t="s">
        <v>119</v>
      </c>
      <c r="K1298" s="32" t="s">
        <v>190</v>
      </c>
      <c r="L1298" s="32" t="s">
        <v>18</v>
      </c>
      <c r="M1298" t="s">
        <v>4016</v>
      </c>
      <c r="N1298" s="27" t="s">
        <v>4022</v>
      </c>
      <c r="O1298" t="s">
        <v>2652</v>
      </c>
      <c r="P1298" t="s">
        <v>1150</v>
      </c>
      <c r="Q1298" s="6" t="s">
        <v>4023</v>
      </c>
      <c r="R1298" s="32" t="s">
        <v>4024</v>
      </c>
      <c r="S1298">
        <v>2011</v>
      </c>
      <c r="T1298" t="s">
        <v>3959</v>
      </c>
      <c r="U1298" t="s">
        <v>1479</v>
      </c>
      <c r="W1298" s="7"/>
      <c r="X1298">
        <v>1500</v>
      </c>
      <c r="Z1298">
        <v>5</v>
      </c>
      <c r="AC1298" s="7"/>
      <c r="AD1298" s="7"/>
      <c r="AE1298" t="str">
        <f>IF(ISERROR([2]!Table1[[#This Row],[Well Count]]/[2]!Table1[[#This Row],[Site Area km2]]),"",[2]!Table1[[#This Row],[Well Count]]/[2]!Table1[[#This Row],[Site Area km2]])</f>
        <v/>
      </c>
      <c r="AH1298" t="s">
        <v>2259</v>
      </c>
      <c r="AI1298" s="34"/>
      <c r="AM1298" s="21" t="s">
        <v>3380</v>
      </c>
      <c r="AN1298" t="s">
        <v>132</v>
      </c>
      <c r="AO1298" s="19"/>
      <c r="AP1298" s="19"/>
      <c r="AQ1298" s="19"/>
      <c r="AR1298" s="19"/>
      <c r="AS1298" s="19"/>
      <c r="AT1298" s="19"/>
      <c r="AU1298" s="19"/>
      <c r="AV1298" s="19"/>
      <c r="AW1298" s="19"/>
      <c r="AX1298" s="19"/>
      <c r="AY1298" s="19"/>
      <c r="AZ1298" s="19"/>
      <c r="BA1298" s="19"/>
      <c r="BB1298" s="19"/>
      <c r="BC1298" s="19"/>
      <c r="BD1298" s="19"/>
      <c r="BE1298" s="19"/>
      <c r="BF1298" s="19"/>
      <c r="BG1298" s="19"/>
      <c r="BH1298" s="19"/>
      <c r="BI1298" s="19"/>
      <c r="BJ1298" s="19"/>
      <c r="BK1298" s="19"/>
      <c r="BL1298" s="19"/>
      <c r="BM1298" s="19"/>
      <c r="BN1298" s="19"/>
      <c r="BO1298" s="19"/>
      <c r="BP1298" s="19"/>
      <c r="BQ1298" s="19"/>
      <c r="BR1298" s="19"/>
      <c r="BS1298" s="19"/>
      <c r="BT1298" s="19"/>
      <c r="BU1298" s="19"/>
      <c r="BV1298" s="19">
        <v>180</v>
      </c>
      <c r="BW1298" s="19">
        <v>225</v>
      </c>
      <c r="BX1298" s="19">
        <v>270</v>
      </c>
      <c r="BY1298" s="19"/>
      <c r="BZ1298" s="19"/>
      <c r="CA1298" s="19"/>
      <c r="CB1298" s="19"/>
      <c r="CC1298" s="19"/>
      <c r="CD1298" s="19"/>
      <c r="CE1298" s="19">
        <f>SUM(Table1[[#This Row],[Low38]],Table1[[#This Row],[Low35]],Table1[[#This Row],[Low32]],Table1[[#This Row],[Low29]],Table1[[#This Row],[Low26]],Table1[[#This Row],[Low23]],Table1[[#This Row],[Low20]],Table1[[#This Row],[Low17]],Table1[[#This Row],[Low14]],Table1[[#This Row],[Low11]],Table1[[#This Row],[Low8]],Table1[[#This Row],[Low5]],Table1[[#This Row],[Low2]],Table1[[#This Row],[Low]])</f>
        <v>180</v>
      </c>
      <c r="CF1298" s="19">
        <f>SUM(Table1[[#This Row],[Mid39]],Table1[[#This Row],[Mid36]],Table1[[#This Row],[Mid33]],Table1[[#This Row],[Mid30]],Table1[[#This Row],[Mid27]],Table1[[#This Row],[Mid24]],Table1[[#This Row],[Mid21]],Table1[[#This Row],[Mid18]],Table1[[#This Row],[Mid15]],Table1[[#This Row],[Mid12]],Table1[[#This Row],[Mid9]],Table1[[#This Row],[Mid6]],Table1[[#This Row],[Mid3]],Table1[[#This Row],[Mid]])</f>
        <v>225</v>
      </c>
      <c r="CG129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270</v>
      </c>
      <c r="CI1298" s="35" t="s">
        <v>176</v>
      </c>
      <c r="CJ1298" s="37" t="s">
        <v>158</v>
      </c>
      <c r="CL1298" s="19" t="str">
        <f>IF(Table1[[#This Row],[Type]]="Petroleum",1,IF(ISERROR(Table1[[#This Row],[Well Density]]*Table1[[#This Row],[Single Well Discovery Area]]),"",IF(Table1[[#This Row],[Well Density]]*Table1[[#This Row],[Single Well Discovery Area]]&gt;1,1,Table1[[#This Row],[Well Density]]*Table1[[#This Row],[Single Well Discovery Area]])))</f>
        <v/>
      </c>
      <c r="CM1298" t="s">
        <v>158</v>
      </c>
      <c r="CN1298" s="19">
        <f>Table1[[#This Row],[Mid]]</f>
        <v>0</v>
      </c>
      <c r="CO1298" s="19">
        <f>Table1[[#This Row],[Mid3]]+Table1[[#This Row],[Mid6]]+Table1[[#This Row],[Mid9]]</f>
        <v>0</v>
      </c>
      <c r="CP1298" s="19">
        <f>Table1[[#This Row],[Mid12]]+Table1[[#This Row],[Mid15]]+Table1[[#This Row],[Mid18]]+Table1[[#This Row],[Mid21]]+Table1[[#This Row],[Mid24]]</f>
        <v>0</v>
      </c>
      <c r="CQ1298" s="19">
        <f>Table1[[#This Row],[Mid27]]+Table1[[#This Row],[Mid30]]+Table1[[#This Row],[Mid33]]+Table1[[#This Row],[Mid36]]+Table1[[#This Row],[Mid39]]</f>
        <v>225</v>
      </c>
      <c r="CR1298" t="s">
        <v>415</v>
      </c>
      <c r="CS1298" s="19" t="str">
        <f>IF(AND(Table1[[#This Row],[Low41]]=0, Table1[[#This Row],[High43]]=0),"N","Y")</f>
        <v>Y</v>
      </c>
    </row>
    <row r="1299" spans="1:97" ht="19.5" customHeight="1" x14ac:dyDescent="0.25">
      <c r="A1299">
        <v>11301</v>
      </c>
      <c r="B1299" s="32" t="s">
        <v>4005</v>
      </c>
      <c r="C1299" s="32" t="s">
        <v>4025</v>
      </c>
      <c r="D1299">
        <v>50.189500000000002</v>
      </c>
      <c r="E1299">
        <v>5.0038999999999998</v>
      </c>
      <c r="F1299" s="32" t="s">
        <v>4026</v>
      </c>
      <c r="H1299" t="s">
        <v>167</v>
      </c>
      <c r="I1299" s="32" t="s">
        <v>118</v>
      </c>
      <c r="J1299" s="32" t="s">
        <v>119</v>
      </c>
      <c r="K1299" s="32" t="s">
        <v>190</v>
      </c>
      <c r="L1299" s="32" t="s">
        <v>18</v>
      </c>
      <c r="M1299" t="s">
        <v>2889</v>
      </c>
      <c r="N1299" s="27" t="s">
        <v>4017</v>
      </c>
      <c r="O1299" t="s">
        <v>2652</v>
      </c>
      <c r="P1299" t="s">
        <v>1150</v>
      </c>
      <c r="Q1299" s="6" t="s">
        <v>255</v>
      </c>
      <c r="R1299" s="32" t="s">
        <v>4014</v>
      </c>
      <c r="S1299">
        <v>2013</v>
      </c>
      <c r="T1299" t="s">
        <v>3959</v>
      </c>
      <c r="U1299" t="s">
        <v>1479</v>
      </c>
      <c r="W1299" s="7"/>
      <c r="AC1299" s="7"/>
      <c r="AD1299" s="7"/>
      <c r="AE1299" t="str">
        <f>IF(ISERROR([2]!Table1[[#This Row],[Well Count]]/[2]!Table1[[#This Row],[Site Area km2]]),"",[2]!Table1[[#This Row],[Well Count]]/[2]!Table1[[#This Row],[Site Area km2]])</f>
        <v/>
      </c>
      <c r="AF1299">
        <v>20</v>
      </c>
      <c r="AH1299" t="s">
        <v>2259</v>
      </c>
      <c r="AI1299" s="34"/>
      <c r="AM1299" s="21" t="s">
        <v>3380</v>
      </c>
      <c r="AN1299" t="s">
        <v>132</v>
      </c>
      <c r="AO1299" s="19"/>
      <c r="AP1299" s="19"/>
      <c r="AQ1299" s="19"/>
      <c r="AR1299" s="19"/>
      <c r="AS1299" s="19"/>
      <c r="AT1299" s="19"/>
      <c r="AU1299" s="19"/>
      <c r="AV1299" s="19"/>
      <c r="AW1299" s="19"/>
      <c r="AX1299" s="19"/>
      <c r="AY1299" s="19"/>
      <c r="AZ1299" s="19"/>
      <c r="BA1299" s="19"/>
      <c r="BB1299" s="19"/>
      <c r="BC1299" s="19"/>
      <c r="BD1299" s="19"/>
      <c r="BE1299" s="19"/>
      <c r="BF1299" s="19"/>
      <c r="BG1299" s="19"/>
      <c r="BH1299" s="19"/>
      <c r="BI1299" s="19"/>
      <c r="BJ1299" s="19"/>
      <c r="BK1299" s="19"/>
      <c r="BL1299" s="19"/>
      <c r="BM1299" s="19"/>
      <c r="BN1299" s="19"/>
      <c r="BO1299" s="19"/>
      <c r="BP1299" s="19"/>
      <c r="BQ1299" s="19"/>
      <c r="BR1299" s="19"/>
      <c r="BS1299" s="19"/>
      <c r="BT1299" s="19"/>
      <c r="BU1299" s="19"/>
      <c r="BV1299" s="19">
        <v>6</v>
      </c>
      <c r="BW1299" s="19">
        <v>11</v>
      </c>
      <c r="BX1299" s="19">
        <v>342</v>
      </c>
      <c r="BY1299" s="19"/>
      <c r="BZ1299" s="19"/>
      <c r="CA1299" s="19"/>
      <c r="CB1299" s="19"/>
      <c r="CC1299" s="19"/>
      <c r="CD1299" s="19"/>
      <c r="CE1299" s="19">
        <f>SUM(Table1[[#This Row],[Low38]],Table1[[#This Row],[Low35]],Table1[[#This Row],[Low32]],Table1[[#This Row],[Low29]],Table1[[#This Row],[Low26]],Table1[[#This Row],[Low23]],Table1[[#This Row],[Low20]],Table1[[#This Row],[Low17]],Table1[[#This Row],[Low14]],Table1[[#This Row],[Low11]],Table1[[#This Row],[Low8]],Table1[[#This Row],[Low5]],Table1[[#This Row],[Low2]],Table1[[#This Row],[Low]])</f>
        <v>6</v>
      </c>
      <c r="CF1299" s="19">
        <f>SUM(Table1[[#This Row],[Mid39]],Table1[[#This Row],[Mid36]],Table1[[#This Row],[Mid33]],Table1[[#This Row],[Mid30]],Table1[[#This Row],[Mid27]],Table1[[#This Row],[Mid24]],Table1[[#This Row],[Mid21]],Table1[[#This Row],[Mid18]],Table1[[#This Row],[Mid15]],Table1[[#This Row],[Mid12]],Table1[[#This Row],[Mid9]],Table1[[#This Row],[Mid6]],Table1[[#This Row],[Mid3]],Table1[[#This Row],[Mid]])</f>
        <v>11</v>
      </c>
      <c r="CG129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342</v>
      </c>
      <c r="CI1299" s="35" t="s">
        <v>189</v>
      </c>
      <c r="CJ1299" s="37" t="s">
        <v>158</v>
      </c>
      <c r="CL1299" s="19" t="str">
        <f>IF(Table1[[#This Row],[Type]]="Petroleum",1,IF(ISERROR(Table1[[#This Row],[Well Density]]*Table1[[#This Row],[Single Well Discovery Area]]),"",IF(Table1[[#This Row],[Well Density]]*Table1[[#This Row],[Single Well Discovery Area]]&gt;1,1,Table1[[#This Row],[Well Density]]*Table1[[#This Row],[Single Well Discovery Area]])))</f>
        <v/>
      </c>
      <c r="CM1299" t="s">
        <v>158</v>
      </c>
      <c r="CN1299" s="19">
        <f>Table1[[#This Row],[Mid]]</f>
        <v>0</v>
      </c>
      <c r="CO1299" s="19">
        <f>Table1[[#This Row],[Mid3]]+Table1[[#This Row],[Mid6]]+Table1[[#This Row],[Mid9]]</f>
        <v>0</v>
      </c>
      <c r="CP1299" s="19">
        <f>Table1[[#This Row],[Mid12]]+Table1[[#This Row],[Mid15]]+Table1[[#This Row],[Mid18]]+Table1[[#This Row],[Mid21]]+Table1[[#This Row],[Mid24]]</f>
        <v>0</v>
      </c>
      <c r="CQ1299" s="19">
        <f>Table1[[#This Row],[Mid27]]+Table1[[#This Row],[Mid30]]+Table1[[#This Row],[Mid33]]+Table1[[#This Row],[Mid36]]+Table1[[#This Row],[Mid39]]</f>
        <v>11</v>
      </c>
      <c r="CR1299" t="s">
        <v>415</v>
      </c>
      <c r="CS1299" s="19" t="str">
        <f>IF(AND(Table1[[#This Row],[Low41]]=0, Table1[[#This Row],[High43]]=0),"N","Y")</f>
        <v>Y</v>
      </c>
    </row>
    <row r="1300" spans="1:97" ht="19.5" customHeight="1" x14ac:dyDescent="0.25">
      <c r="A1300">
        <v>11302</v>
      </c>
      <c r="B1300" s="32" t="s">
        <v>4005</v>
      </c>
      <c r="C1300" s="32" t="s">
        <v>4006</v>
      </c>
      <c r="D1300">
        <v>51.164999999999999</v>
      </c>
      <c r="E1300">
        <v>5.5872999999999999</v>
      </c>
      <c r="F1300" s="32" t="s">
        <v>4027</v>
      </c>
      <c r="H1300" t="s">
        <v>4028</v>
      </c>
      <c r="I1300" s="32" t="s">
        <v>118</v>
      </c>
      <c r="J1300" s="32" t="s">
        <v>119</v>
      </c>
      <c r="K1300" s="32" t="s">
        <v>120</v>
      </c>
      <c r="L1300" s="32" t="s">
        <v>18</v>
      </c>
      <c r="M1300" t="s">
        <v>4029</v>
      </c>
      <c r="N1300" s="27" t="s">
        <v>4017</v>
      </c>
      <c r="O1300" t="s">
        <v>2652</v>
      </c>
      <c r="P1300" t="s">
        <v>1150</v>
      </c>
      <c r="Q1300" s="6" t="s">
        <v>4030</v>
      </c>
      <c r="R1300" s="38" t="s">
        <v>4031</v>
      </c>
      <c r="S1300">
        <v>2013</v>
      </c>
      <c r="T1300" t="s">
        <v>3959</v>
      </c>
      <c r="U1300" t="s">
        <v>1479</v>
      </c>
      <c r="V1300" s="7">
        <v>325</v>
      </c>
      <c r="W1300" s="7">
        <v>1400</v>
      </c>
      <c r="X1300">
        <v>200</v>
      </c>
      <c r="Y1300">
        <v>25</v>
      </c>
      <c r="Z1300">
        <v>15</v>
      </c>
      <c r="AA1300">
        <v>115</v>
      </c>
      <c r="AC1300" s="7">
        <v>566</v>
      </c>
      <c r="AD1300" s="7"/>
      <c r="AE1300" t="str">
        <f>IF(ISERROR([2]!Table1[[#This Row],[Well Count]]/[2]!Table1[[#This Row],[Site Area km2]]),"",[2]!Table1[[#This Row],[Well Count]]/[2]!Table1[[#This Row],[Site Area km2]])</f>
        <v/>
      </c>
      <c r="AF1300">
        <v>200</v>
      </c>
      <c r="AG1300">
        <v>141</v>
      </c>
      <c r="AH1300" t="s">
        <v>2259</v>
      </c>
      <c r="AI1300" s="34">
        <v>2.5</v>
      </c>
      <c r="AM1300" s="21" t="s">
        <v>3380</v>
      </c>
      <c r="AN1300" t="s">
        <v>132</v>
      </c>
      <c r="AO1300" s="19"/>
      <c r="AP1300" s="19"/>
      <c r="AQ1300" s="19"/>
      <c r="AR1300" s="19"/>
      <c r="AS1300" s="19"/>
      <c r="AT1300" s="19"/>
      <c r="AU1300" s="19"/>
      <c r="AV1300" s="19"/>
      <c r="AW1300" s="19"/>
      <c r="AX1300" s="19"/>
      <c r="AY1300" s="19"/>
      <c r="AZ1300" s="19"/>
      <c r="BA1300" s="19"/>
      <c r="BB1300" s="19"/>
      <c r="BC1300" s="19"/>
      <c r="BD1300" s="19"/>
      <c r="BE1300" s="19"/>
      <c r="BF1300" s="19"/>
      <c r="BG1300" s="19"/>
      <c r="BH1300" s="19"/>
      <c r="BI1300" s="19"/>
      <c r="BJ1300" s="19"/>
      <c r="BK1300" s="19"/>
      <c r="BL1300" s="19"/>
      <c r="BM1300" s="19"/>
      <c r="BN1300" s="19"/>
      <c r="BO1300" s="19"/>
      <c r="BP1300" s="19"/>
      <c r="BQ1300" s="19"/>
      <c r="BR1300" s="19"/>
      <c r="BS1300" s="19"/>
      <c r="BT1300" s="19"/>
      <c r="BU1300" s="19"/>
      <c r="BV1300" s="19">
        <v>25</v>
      </c>
      <c r="BW1300" s="19">
        <v>88</v>
      </c>
      <c r="BX1300" s="19">
        <v>740</v>
      </c>
      <c r="BY1300" s="19"/>
      <c r="BZ1300" s="19"/>
      <c r="CA1300" s="19"/>
      <c r="CB1300" s="19"/>
      <c r="CC1300" s="19"/>
      <c r="CD1300" s="19"/>
      <c r="CE1300" s="19">
        <f>SUM(Table1[[#This Row],[Low38]],Table1[[#This Row],[Low35]],Table1[[#This Row],[Low32]],Table1[[#This Row],[Low29]],Table1[[#This Row],[Low26]],Table1[[#This Row],[Low23]],Table1[[#This Row],[Low20]],Table1[[#This Row],[Low17]],Table1[[#This Row],[Low14]],Table1[[#This Row],[Low11]],Table1[[#This Row],[Low8]],Table1[[#This Row],[Low5]],Table1[[#This Row],[Low2]],Table1[[#This Row],[Low]])</f>
        <v>25</v>
      </c>
      <c r="CF1300" s="19">
        <f>SUM(Table1[[#This Row],[Mid39]],Table1[[#This Row],[Mid36]],Table1[[#This Row],[Mid33]],Table1[[#This Row],[Mid30]],Table1[[#This Row],[Mid27]],Table1[[#This Row],[Mid24]],Table1[[#This Row],[Mid21]],Table1[[#This Row],[Mid18]],Table1[[#This Row],[Mid15]],Table1[[#This Row],[Mid12]],Table1[[#This Row],[Mid9]],Table1[[#This Row],[Mid6]],Table1[[#This Row],[Mid3]],Table1[[#This Row],[Mid]])</f>
        <v>88</v>
      </c>
      <c r="CG130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740</v>
      </c>
      <c r="CI1300" s="35" t="s">
        <v>134</v>
      </c>
      <c r="CJ1300" s="37" t="s">
        <v>158</v>
      </c>
      <c r="CL1300" s="19" t="str">
        <f>IF(Table1[[#This Row],[Type]]="Petroleum",1,IF(ISERROR(Table1[[#This Row],[Well Density]]*Table1[[#This Row],[Single Well Discovery Area]]),"",IF(Table1[[#This Row],[Well Density]]*Table1[[#This Row],[Single Well Discovery Area]]&gt;1,1,Table1[[#This Row],[Well Density]]*Table1[[#This Row],[Single Well Discovery Area]])))</f>
        <v/>
      </c>
      <c r="CM1300" t="s">
        <v>158</v>
      </c>
      <c r="CN1300" s="19">
        <f>Table1[[#This Row],[Mid]]</f>
        <v>0</v>
      </c>
      <c r="CO1300" s="19">
        <f>Table1[[#This Row],[Mid3]]+Table1[[#This Row],[Mid6]]+Table1[[#This Row],[Mid9]]</f>
        <v>0</v>
      </c>
      <c r="CP1300" s="19">
        <f>Table1[[#This Row],[Mid12]]+Table1[[#This Row],[Mid15]]+Table1[[#This Row],[Mid18]]+Table1[[#This Row],[Mid21]]+Table1[[#This Row],[Mid24]]</f>
        <v>0</v>
      </c>
      <c r="CQ1300" s="19">
        <f>Table1[[#This Row],[Mid27]]+Table1[[#This Row],[Mid30]]+Table1[[#This Row],[Mid33]]+Table1[[#This Row],[Mid36]]+Table1[[#This Row],[Mid39]]</f>
        <v>88</v>
      </c>
      <c r="CR1300" t="s">
        <v>415</v>
      </c>
      <c r="CS1300" s="19" t="str">
        <f>IF(AND(Table1[[#This Row],[Low41]]=0, Table1[[#This Row],[High43]]=0),"N","Y")</f>
        <v>Y</v>
      </c>
    </row>
    <row r="1301" spans="1:97" ht="19.5" customHeight="1" x14ac:dyDescent="0.25">
      <c r="A1301">
        <v>11303</v>
      </c>
      <c r="B1301" s="32" t="s">
        <v>4032</v>
      </c>
      <c r="C1301" s="32" t="s">
        <v>2789</v>
      </c>
      <c r="D1301">
        <v>45.157299999999999</v>
      </c>
      <c r="E1301">
        <v>20.998799999999999</v>
      </c>
      <c r="F1301" s="32" t="s">
        <v>4033</v>
      </c>
      <c r="G1301" t="s">
        <v>2789</v>
      </c>
      <c r="H1301" t="s">
        <v>167</v>
      </c>
      <c r="I1301" s="32" t="s">
        <v>520</v>
      </c>
      <c r="J1301" s="32" t="s">
        <v>202</v>
      </c>
      <c r="K1301" s="32" t="s">
        <v>203</v>
      </c>
      <c r="L1301" s="32" t="s">
        <v>121</v>
      </c>
      <c r="M1301" t="s">
        <v>252</v>
      </c>
      <c r="N1301" s="27" t="s">
        <v>4034</v>
      </c>
      <c r="O1301" t="s">
        <v>2652</v>
      </c>
      <c r="P1301" t="s">
        <v>1150</v>
      </c>
      <c r="Q1301" s="6" t="s">
        <v>4000</v>
      </c>
      <c r="R1301" s="32" t="s">
        <v>4035</v>
      </c>
      <c r="S1301">
        <v>2019</v>
      </c>
      <c r="T1301" t="s">
        <v>3959</v>
      </c>
      <c r="U1301" t="s">
        <v>1479</v>
      </c>
      <c r="W1301" s="7"/>
      <c r="AC1301" s="7"/>
      <c r="AD1301" s="7"/>
      <c r="AE1301" t="str">
        <f>IF(ISERROR([2]!Table1[[#This Row],[Well Count]]/[2]!Table1[[#This Row],[Site Area km2]]),"",[2]!Table1[[#This Row],[Well Count]]/[2]!Table1[[#This Row],[Site Area km2]])</f>
        <v/>
      </c>
      <c r="AH1301" t="s">
        <v>2259</v>
      </c>
      <c r="AI1301" s="34"/>
      <c r="AM1301" s="21" t="s">
        <v>4036</v>
      </c>
      <c r="AN1301" t="s">
        <v>132</v>
      </c>
      <c r="AO1301" s="19"/>
      <c r="AP1301" s="19"/>
      <c r="AQ1301" s="19"/>
      <c r="AR1301" s="19"/>
      <c r="AS1301" s="19"/>
      <c r="AT1301" s="19"/>
      <c r="AU1301" s="19"/>
      <c r="AV1301" s="19"/>
      <c r="AW1301" s="19"/>
      <c r="AX1301" s="19"/>
      <c r="AY1301" s="19"/>
      <c r="AZ1301" s="19"/>
      <c r="BA1301" s="19"/>
      <c r="BB1301" s="19"/>
      <c r="BC1301" s="19"/>
      <c r="BD1301" s="19"/>
      <c r="BE1301" s="19"/>
      <c r="BF1301" s="19"/>
      <c r="BG1301" s="19"/>
      <c r="BH1301" s="19">
        <v>14</v>
      </c>
      <c r="BI1301" s="19"/>
      <c r="BJ1301" s="19"/>
      <c r="BK1301" s="19"/>
      <c r="BL1301" s="19"/>
      <c r="BM1301" s="19"/>
      <c r="BN1301" s="19"/>
      <c r="BO1301" s="19"/>
      <c r="BP1301" s="19"/>
      <c r="BQ1301" s="19"/>
      <c r="BR1301" s="19"/>
      <c r="BS1301" s="19"/>
      <c r="BT1301" s="19"/>
      <c r="BU1301" s="19"/>
      <c r="BV1301" s="19"/>
      <c r="BW1301" s="19"/>
      <c r="BX1301" s="19"/>
      <c r="BY1301" s="19"/>
      <c r="BZ1301" s="19"/>
      <c r="CA1301" s="19"/>
      <c r="CB1301" s="19"/>
      <c r="CC1301" s="19"/>
      <c r="CD1301" s="19"/>
      <c r="CE130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01" s="19">
        <f>SUM(Table1[[#This Row],[Mid39]],Table1[[#This Row],[Mid36]],Table1[[#This Row],[Mid33]],Table1[[#This Row],[Mid30]],Table1[[#This Row],[Mid27]],Table1[[#This Row],[Mid24]],Table1[[#This Row],[Mid21]],Table1[[#This Row],[Mid18]],Table1[[#This Row],[Mid15]],Table1[[#This Row],[Mid12]],Table1[[#This Row],[Mid9]],Table1[[#This Row],[Mid6]],Table1[[#This Row],[Mid3]],Table1[[#This Row],[Mid]])</f>
        <v>14</v>
      </c>
      <c r="CG130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01" s="35" t="s">
        <v>189</v>
      </c>
      <c r="CJ1301" s="37" t="s">
        <v>158</v>
      </c>
      <c r="CL1301" s="19">
        <f>IF(Table1[[#This Row],[Type]]="Petroleum",1,IF(ISERROR(Table1[[#This Row],[Well Density]]*Table1[[#This Row],[Single Well Discovery Area]]),"",IF(Table1[[#This Row],[Well Density]]*Table1[[#This Row],[Single Well Discovery Area]]&gt;1,1,Table1[[#This Row],[Well Density]]*Table1[[#This Row],[Single Well Discovery Area]])))</f>
        <v>1</v>
      </c>
      <c r="CM1301" t="s">
        <v>158</v>
      </c>
      <c r="CN1301" s="19">
        <f>Table1[[#This Row],[Mid]]</f>
        <v>0</v>
      </c>
      <c r="CO1301" s="19">
        <f>Table1[[#This Row],[Mid3]]+Table1[[#This Row],[Mid6]]+Table1[[#This Row],[Mid9]]</f>
        <v>0</v>
      </c>
      <c r="CP1301" s="19">
        <f>Table1[[#This Row],[Mid12]]+Table1[[#This Row],[Mid15]]+Table1[[#This Row],[Mid18]]+Table1[[#This Row],[Mid21]]+Table1[[#This Row],[Mid24]]</f>
        <v>14</v>
      </c>
      <c r="CQ1301" s="19">
        <f>Table1[[#This Row],[Mid27]]+Table1[[#This Row],[Mid30]]+Table1[[#This Row],[Mid33]]+Table1[[#This Row],[Mid36]]+Table1[[#This Row],[Mid39]]</f>
        <v>0</v>
      </c>
      <c r="CR1301" t="s">
        <v>415</v>
      </c>
      <c r="CS1301" s="19" t="str">
        <f>IF(AND(Table1[[#This Row],[Low41]]=0, Table1[[#This Row],[High43]]=0),"N","Y")</f>
        <v>N</v>
      </c>
    </row>
    <row r="1302" spans="1:97" ht="19.5" customHeight="1" x14ac:dyDescent="0.25">
      <c r="A1302">
        <v>11304</v>
      </c>
      <c r="B1302" s="32" t="s">
        <v>4032</v>
      </c>
      <c r="C1302" s="32" t="s">
        <v>2789</v>
      </c>
      <c r="D1302">
        <v>45.557000000000002</v>
      </c>
      <c r="E1302">
        <v>20.499199999999998</v>
      </c>
      <c r="F1302" s="32" t="s">
        <v>4037</v>
      </c>
      <c r="G1302" t="s">
        <v>2789</v>
      </c>
      <c r="H1302" t="s">
        <v>167</v>
      </c>
      <c r="I1302" s="32" t="s">
        <v>520</v>
      </c>
      <c r="J1302" s="32" t="s">
        <v>202</v>
      </c>
      <c r="K1302" s="32" t="s">
        <v>203</v>
      </c>
      <c r="L1302" s="32" t="s">
        <v>121</v>
      </c>
      <c r="M1302" t="s">
        <v>252</v>
      </c>
      <c r="N1302" s="27" t="s">
        <v>4034</v>
      </c>
      <c r="O1302" t="s">
        <v>2652</v>
      </c>
      <c r="P1302" t="s">
        <v>1150</v>
      </c>
      <c r="Q1302" s="6" t="s">
        <v>4000</v>
      </c>
      <c r="R1302" s="32" t="s">
        <v>4035</v>
      </c>
      <c r="S1302">
        <v>2019</v>
      </c>
      <c r="T1302" t="s">
        <v>3959</v>
      </c>
      <c r="U1302" t="s">
        <v>1479</v>
      </c>
      <c r="W1302" s="7"/>
      <c r="AC1302" s="7"/>
      <c r="AD1302" s="7"/>
      <c r="AE1302" t="str">
        <f>IF(ISERROR([2]!Table1[[#This Row],[Well Count]]/[2]!Table1[[#This Row],[Site Area km2]]),"",[2]!Table1[[#This Row],[Well Count]]/[2]!Table1[[#This Row],[Site Area km2]])</f>
        <v/>
      </c>
      <c r="AH1302" t="s">
        <v>2259</v>
      </c>
      <c r="AI1302" s="34"/>
      <c r="AM1302" s="21" t="s">
        <v>4036</v>
      </c>
      <c r="AN1302" t="s">
        <v>132</v>
      </c>
      <c r="AO1302" s="19"/>
      <c r="AP1302" s="19"/>
      <c r="AQ1302" s="19"/>
      <c r="AR1302" s="19"/>
      <c r="AS1302" s="19"/>
      <c r="AT1302" s="19"/>
      <c r="AU1302" s="19"/>
      <c r="AV1302" s="19"/>
      <c r="AW1302" s="19"/>
      <c r="AX1302" s="19"/>
      <c r="AY1302" s="19"/>
      <c r="AZ1302" s="19"/>
      <c r="BA1302" s="19"/>
      <c r="BB1302" s="19"/>
      <c r="BC1302" s="19"/>
      <c r="BD1302" s="19"/>
      <c r="BE1302" s="19"/>
      <c r="BF1302" s="19"/>
      <c r="BG1302" s="19"/>
      <c r="BH1302" s="19">
        <v>36</v>
      </c>
      <c r="BI1302" s="19"/>
      <c r="BJ1302" s="19"/>
      <c r="BK1302" s="19"/>
      <c r="BL1302" s="19"/>
      <c r="BM1302" s="19"/>
      <c r="BN1302" s="19"/>
      <c r="BO1302" s="19"/>
      <c r="BP1302" s="19"/>
      <c r="BQ1302" s="19"/>
      <c r="BR1302" s="19"/>
      <c r="BS1302" s="19"/>
      <c r="BT1302" s="19"/>
      <c r="BU1302" s="19"/>
      <c r="BV1302" s="19"/>
      <c r="BW1302" s="19"/>
      <c r="BX1302" s="19"/>
      <c r="BY1302" s="19"/>
      <c r="BZ1302" s="19"/>
      <c r="CA1302" s="19"/>
      <c r="CB1302" s="19"/>
      <c r="CC1302" s="19"/>
      <c r="CD1302" s="19"/>
      <c r="CE130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02" s="19">
        <f>SUM(Table1[[#This Row],[Mid39]],Table1[[#This Row],[Mid36]],Table1[[#This Row],[Mid33]],Table1[[#This Row],[Mid30]],Table1[[#This Row],[Mid27]],Table1[[#This Row],[Mid24]],Table1[[#This Row],[Mid21]],Table1[[#This Row],[Mid18]],Table1[[#This Row],[Mid15]],Table1[[#This Row],[Mid12]],Table1[[#This Row],[Mid9]],Table1[[#This Row],[Mid6]],Table1[[#This Row],[Mid3]],Table1[[#This Row],[Mid]])</f>
        <v>36</v>
      </c>
      <c r="CG130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02" s="35" t="s">
        <v>189</v>
      </c>
      <c r="CJ1302" s="37" t="s">
        <v>158</v>
      </c>
      <c r="CL1302" s="19">
        <f>IF(Table1[[#This Row],[Type]]="Petroleum",1,IF(ISERROR(Table1[[#This Row],[Well Density]]*Table1[[#This Row],[Single Well Discovery Area]]),"",IF(Table1[[#This Row],[Well Density]]*Table1[[#This Row],[Single Well Discovery Area]]&gt;1,1,Table1[[#This Row],[Well Density]]*Table1[[#This Row],[Single Well Discovery Area]])))</f>
        <v>1</v>
      </c>
      <c r="CM1302" t="s">
        <v>158</v>
      </c>
      <c r="CN1302" s="19">
        <f>Table1[[#This Row],[Mid]]</f>
        <v>0</v>
      </c>
      <c r="CO1302" s="19">
        <f>Table1[[#This Row],[Mid3]]+Table1[[#This Row],[Mid6]]+Table1[[#This Row],[Mid9]]</f>
        <v>0</v>
      </c>
      <c r="CP1302" s="19">
        <f>Table1[[#This Row],[Mid12]]+Table1[[#This Row],[Mid15]]+Table1[[#This Row],[Mid18]]+Table1[[#This Row],[Mid21]]+Table1[[#This Row],[Mid24]]</f>
        <v>36</v>
      </c>
      <c r="CQ1302" s="19">
        <f>Table1[[#This Row],[Mid27]]+Table1[[#This Row],[Mid30]]+Table1[[#This Row],[Mid33]]+Table1[[#This Row],[Mid36]]+Table1[[#This Row],[Mid39]]</f>
        <v>0</v>
      </c>
      <c r="CR1302" t="s">
        <v>415</v>
      </c>
      <c r="CS1302" s="19" t="str">
        <f>IF(AND(Table1[[#This Row],[Low41]]=0, Table1[[#This Row],[High43]]=0),"N","Y")</f>
        <v>N</v>
      </c>
    </row>
    <row r="1303" spans="1:97" ht="19.5" customHeight="1" x14ac:dyDescent="0.25">
      <c r="A1303">
        <v>11305</v>
      </c>
      <c r="B1303" s="32" t="s">
        <v>4032</v>
      </c>
      <c r="C1303" s="32" t="s">
        <v>2789</v>
      </c>
      <c r="D1303">
        <v>45.641500000000001</v>
      </c>
      <c r="E1303">
        <v>19.707599999999999</v>
      </c>
      <c r="F1303" s="32" t="s">
        <v>4038</v>
      </c>
      <c r="G1303" t="s">
        <v>2789</v>
      </c>
      <c r="H1303" t="s">
        <v>167</v>
      </c>
      <c r="I1303" s="32" t="s">
        <v>520</v>
      </c>
      <c r="J1303" s="32" t="s">
        <v>202</v>
      </c>
      <c r="K1303" s="32" t="s">
        <v>203</v>
      </c>
      <c r="L1303" s="32" t="s">
        <v>121</v>
      </c>
      <c r="M1303" t="s">
        <v>252</v>
      </c>
      <c r="N1303" s="27" t="s">
        <v>4034</v>
      </c>
      <c r="O1303" t="s">
        <v>2652</v>
      </c>
      <c r="P1303" t="s">
        <v>1150</v>
      </c>
      <c r="Q1303" s="6" t="s">
        <v>4000</v>
      </c>
      <c r="R1303" s="32" t="s">
        <v>4035</v>
      </c>
      <c r="S1303">
        <v>2019</v>
      </c>
      <c r="T1303" t="s">
        <v>3959</v>
      </c>
      <c r="U1303" t="s">
        <v>1479</v>
      </c>
      <c r="W1303" s="7"/>
      <c r="AC1303" s="7"/>
      <c r="AD1303" s="7"/>
      <c r="AE1303" t="str">
        <f>IF(ISERROR([2]!Table1[[#This Row],[Well Count]]/[2]!Table1[[#This Row],[Site Area km2]]),"",[2]!Table1[[#This Row],[Well Count]]/[2]!Table1[[#This Row],[Site Area km2]])</f>
        <v/>
      </c>
      <c r="AH1303" t="s">
        <v>2259</v>
      </c>
      <c r="AI1303" s="34"/>
      <c r="AM1303" s="21" t="s">
        <v>4036</v>
      </c>
      <c r="AN1303" t="s">
        <v>132</v>
      </c>
      <c r="AO1303" s="19"/>
      <c r="AP1303" s="19"/>
      <c r="AQ1303" s="19"/>
      <c r="AR1303" s="19"/>
      <c r="AS1303" s="19"/>
      <c r="AT1303" s="19"/>
      <c r="AU1303" s="19"/>
      <c r="AV1303" s="19"/>
      <c r="AW1303" s="19"/>
      <c r="AX1303" s="19"/>
      <c r="AY1303" s="19"/>
      <c r="AZ1303" s="19"/>
      <c r="BA1303" s="19"/>
      <c r="BB1303" s="19"/>
      <c r="BC1303" s="19"/>
      <c r="BD1303" s="19"/>
      <c r="BE1303" s="19"/>
      <c r="BF1303" s="19"/>
      <c r="BG1303" s="19"/>
      <c r="BH1303" s="19">
        <v>10</v>
      </c>
      <c r="BI1303" s="19"/>
      <c r="BJ1303" s="19"/>
      <c r="BK1303" s="19"/>
      <c r="BL1303" s="19"/>
      <c r="BM1303" s="19"/>
      <c r="BN1303" s="19"/>
      <c r="BO1303" s="19"/>
      <c r="BP1303" s="19"/>
      <c r="BQ1303" s="19"/>
      <c r="BR1303" s="19"/>
      <c r="BS1303" s="19"/>
      <c r="BT1303" s="19"/>
      <c r="BU1303" s="19"/>
      <c r="BV1303" s="19"/>
      <c r="BW1303" s="19"/>
      <c r="BX1303" s="19"/>
      <c r="BY1303" s="19"/>
      <c r="BZ1303" s="19"/>
      <c r="CA1303" s="19"/>
      <c r="CB1303" s="19"/>
      <c r="CC1303" s="19"/>
      <c r="CD1303" s="19"/>
      <c r="CE130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03" s="19">
        <f>SUM(Table1[[#This Row],[Mid39]],Table1[[#This Row],[Mid36]],Table1[[#This Row],[Mid33]],Table1[[#This Row],[Mid30]],Table1[[#This Row],[Mid27]],Table1[[#This Row],[Mid24]],Table1[[#This Row],[Mid21]],Table1[[#This Row],[Mid18]],Table1[[#This Row],[Mid15]],Table1[[#This Row],[Mid12]],Table1[[#This Row],[Mid9]],Table1[[#This Row],[Mid6]],Table1[[#This Row],[Mid3]],Table1[[#This Row],[Mid]])</f>
        <v>10</v>
      </c>
      <c r="CG130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03" s="35" t="s">
        <v>189</v>
      </c>
      <c r="CJ1303" s="37" t="s">
        <v>158</v>
      </c>
      <c r="CL1303" s="19">
        <f>IF(Table1[[#This Row],[Type]]="Petroleum",1,IF(ISERROR(Table1[[#This Row],[Well Density]]*Table1[[#This Row],[Single Well Discovery Area]]),"",IF(Table1[[#This Row],[Well Density]]*Table1[[#This Row],[Single Well Discovery Area]]&gt;1,1,Table1[[#This Row],[Well Density]]*Table1[[#This Row],[Single Well Discovery Area]])))</f>
        <v>1</v>
      </c>
      <c r="CM1303" t="s">
        <v>158</v>
      </c>
      <c r="CN1303" s="19">
        <f>Table1[[#This Row],[Mid]]</f>
        <v>0</v>
      </c>
      <c r="CO1303" s="19">
        <f>Table1[[#This Row],[Mid3]]+Table1[[#This Row],[Mid6]]+Table1[[#This Row],[Mid9]]</f>
        <v>0</v>
      </c>
      <c r="CP1303" s="19">
        <f>Table1[[#This Row],[Mid12]]+Table1[[#This Row],[Mid15]]+Table1[[#This Row],[Mid18]]+Table1[[#This Row],[Mid21]]+Table1[[#This Row],[Mid24]]</f>
        <v>10</v>
      </c>
      <c r="CQ1303" s="19">
        <f>Table1[[#This Row],[Mid27]]+Table1[[#This Row],[Mid30]]+Table1[[#This Row],[Mid33]]+Table1[[#This Row],[Mid36]]+Table1[[#This Row],[Mid39]]</f>
        <v>0</v>
      </c>
      <c r="CR1303" t="s">
        <v>415</v>
      </c>
      <c r="CS1303" s="19" t="str">
        <f>IF(AND(Table1[[#This Row],[Low41]]=0, Table1[[#This Row],[High43]]=0),"N","Y")</f>
        <v>N</v>
      </c>
    </row>
    <row r="1304" spans="1:97" ht="19.5" customHeight="1" x14ac:dyDescent="0.25">
      <c r="A1304">
        <v>11306</v>
      </c>
      <c r="B1304" s="32" t="s">
        <v>4032</v>
      </c>
      <c r="C1304" s="32" t="s">
        <v>2789</v>
      </c>
      <c r="D1304">
        <v>46.048900000000003</v>
      </c>
      <c r="E1304">
        <v>20.7529</v>
      </c>
      <c r="F1304" s="32" t="s">
        <v>4039</v>
      </c>
      <c r="G1304" t="s">
        <v>2789</v>
      </c>
      <c r="H1304" t="s">
        <v>167</v>
      </c>
      <c r="I1304" s="32" t="s">
        <v>520</v>
      </c>
      <c r="J1304" s="32" t="s">
        <v>202</v>
      </c>
      <c r="K1304" s="32" t="s">
        <v>203</v>
      </c>
      <c r="L1304" s="32" t="s">
        <v>121</v>
      </c>
      <c r="M1304" t="s">
        <v>252</v>
      </c>
      <c r="N1304" s="27" t="s">
        <v>4034</v>
      </c>
      <c r="O1304" t="s">
        <v>2652</v>
      </c>
      <c r="P1304" t="s">
        <v>1150</v>
      </c>
      <c r="Q1304" s="6" t="s">
        <v>4000</v>
      </c>
      <c r="R1304" s="32" t="s">
        <v>4035</v>
      </c>
      <c r="S1304">
        <v>2019</v>
      </c>
      <c r="T1304" t="s">
        <v>3959</v>
      </c>
      <c r="U1304" t="s">
        <v>1479</v>
      </c>
      <c r="W1304" s="7"/>
      <c r="AC1304" s="7"/>
      <c r="AD1304" s="7"/>
      <c r="AE1304" t="str">
        <f>IF(ISERROR([2]!Table1[[#This Row],[Well Count]]/[2]!Table1[[#This Row],[Site Area km2]]),"",[2]!Table1[[#This Row],[Well Count]]/[2]!Table1[[#This Row],[Site Area km2]])</f>
        <v/>
      </c>
      <c r="AH1304" t="s">
        <v>2259</v>
      </c>
      <c r="AI1304" s="34"/>
      <c r="AM1304" s="21" t="s">
        <v>4036</v>
      </c>
      <c r="AN1304" t="s">
        <v>132</v>
      </c>
      <c r="AO1304" s="19"/>
      <c r="AP1304" s="19"/>
      <c r="AQ1304" s="19"/>
      <c r="AR1304" s="19"/>
      <c r="AS1304" s="19"/>
      <c r="AT1304" s="19"/>
      <c r="AU1304" s="19"/>
      <c r="AV1304" s="19"/>
      <c r="AW1304" s="19"/>
      <c r="AX1304" s="19"/>
      <c r="AY1304" s="19"/>
      <c r="AZ1304" s="19"/>
      <c r="BA1304" s="19"/>
      <c r="BB1304" s="19"/>
      <c r="BC1304" s="19"/>
      <c r="BD1304" s="19"/>
      <c r="BE1304" s="19"/>
      <c r="BF1304" s="19"/>
      <c r="BG1304" s="19"/>
      <c r="BH1304" s="19">
        <v>50</v>
      </c>
      <c r="BI1304" s="19"/>
      <c r="BJ1304" s="19"/>
      <c r="BK1304" s="19"/>
      <c r="BL1304" s="19"/>
      <c r="BM1304" s="19"/>
      <c r="BN1304" s="19"/>
      <c r="BO1304" s="19"/>
      <c r="BP1304" s="19"/>
      <c r="BQ1304" s="19"/>
      <c r="BR1304" s="19"/>
      <c r="BS1304" s="19"/>
      <c r="BT1304" s="19"/>
      <c r="BU1304" s="19"/>
      <c r="BV1304" s="19"/>
      <c r="BW1304" s="19"/>
      <c r="BX1304" s="19"/>
      <c r="BY1304" s="19"/>
      <c r="BZ1304" s="19"/>
      <c r="CA1304" s="19"/>
      <c r="CB1304" s="19"/>
      <c r="CC1304" s="19"/>
      <c r="CD1304" s="19"/>
      <c r="CE130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04" s="19">
        <f>SUM(Table1[[#This Row],[Mid39]],Table1[[#This Row],[Mid36]],Table1[[#This Row],[Mid33]],Table1[[#This Row],[Mid30]],Table1[[#This Row],[Mid27]],Table1[[#This Row],[Mid24]],Table1[[#This Row],[Mid21]],Table1[[#This Row],[Mid18]],Table1[[#This Row],[Mid15]],Table1[[#This Row],[Mid12]],Table1[[#This Row],[Mid9]],Table1[[#This Row],[Mid6]],Table1[[#This Row],[Mid3]],Table1[[#This Row],[Mid]])</f>
        <v>50</v>
      </c>
      <c r="CG130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04" s="35" t="s">
        <v>189</v>
      </c>
      <c r="CJ1304" s="37" t="s">
        <v>158</v>
      </c>
      <c r="CL1304" s="19">
        <f>IF(Table1[[#This Row],[Type]]="Petroleum",1,IF(ISERROR(Table1[[#This Row],[Well Density]]*Table1[[#This Row],[Single Well Discovery Area]]),"",IF(Table1[[#This Row],[Well Density]]*Table1[[#This Row],[Single Well Discovery Area]]&gt;1,1,Table1[[#This Row],[Well Density]]*Table1[[#This Row],[Single Well Discovery Area]])))</f>
        <v>1</v>
      </c>
      <c r="CM1304" t="s">
        <v>158</v>
      </c>
      <c r="CN1304" s="19">
        <f>Table1[[#This Row],[Mid]]</f>
        <v>0</v>
      </c>
      <c r="CO1304" s="19">
        <f>Table1[[#This Row],[Mid3]]+Table1[[#This Row],[Mid6]]+Table1[[#This Row],[Mid9]]</f>
        <v>0</v>
      </c>
      <c r="CP1304" s="19">
        <f>Table1[[#This Row],[Mid12]]+Table1[[#This Row],[Mid15]]+Table1[[#This Row],[Mid18]]+Table1[[#This Row],[Mid21]]+Table1[[#This Row],[Mid24]]</f>
        <v>50</v>
      </c>
      <c r="CQ1304" s="19">
        <f>Table1[[#This Row],[Mid27]]+Table1[[#This Row],[Mid30]]+Table1[[#This Row],[Mid33]]+Table1[[#This Row],[Mid36]]+Table1[[#This Row],[Mid39]]</f>
        <v>0</v>
      </c>
      <c r="CR1304" t="s">
        <v>415</v>
      </c>
      <c r="CS1304" s="19" t="str">
        <f>IF(AND(Table1[[#This Row],[Low41]]=0, Table1[[#This Row],[High43]]=0),"N","Y")</f>
        <v>N</v>
      </c>
    </row>
    <row r="1305" spans="1:97" ht="19.5" customHeight="1" x14ac:dyDescent="0.25">
      <c r="A1305">
        <v>11307</v>
      </c>
      <c r="B1305" s="32" t="s">
        <v>4032</v>
      </c>
      <c r="C1305" s="32" t="s">
        <v>223</v>
      </c>
      <c r="D1305">
        <v>44.0505</v>
      </c>
      <c r="E1305">
        <v>20.7529</v>
      </c>
      <c r="F1305" s="32" t="s">
        <v>4040</v>
      </c>
      <c r="G1305" t="s">
        <v>2789</v>
      </c>
      <c r="H1305" t="s">
        <v>167</v>
      </c>
      <c r="I1305" s="32" t="s">
        <v>118</v>
      </c>
      <c r="J1305" s="32" t="s">
        <v>119</v>
      </c>
      <c r="K1305" s="32" t="s">
        <v>190</v>
      </c>
      <c r="L1305" s="32" t="s">
        <v>18</v>
      </c>
      <c r="M1305" t="s">
        <v>252</v>
      </c>
      <c r="N1305" s="27" t="s">
        <v>4041</v>
      </c>
      <c r="O1305" t="s">
        <v>2652</v>
      </c>
      <c r="P1305" t="s">
        <v>1150</v>
      </c>
      <c r="Q1305" s="6" t="s">
        <v>255</v>
      </c>
      <c r="R1305" s="38" t="s">
        <v>4042</v>
      </c>
      <c r="S1305">
        <v>2023</v>
      </c>
      <c r="T1305" t="s">
        <v>3959</v>
      </c>
      <c r="U1305" t="s">
        <v>1479</v>
      </c>
      <c r="W1305" s="7"/>
      <c r="AC1305" s="7"/>
      <c r="AD1305" s="7"/>
      <c r="AE1305" t="str">
        <f>IF(ISERROR([2]!Table1[[#This Row],[Well Count]]/[2]!Table1[[#This Row],[Site Area km2]]),"",[2]!Table1[[#This Row],[Well Count]]/[2]!Table1[[#This Row],[Site Area km2]])</f>
        <v/>
      </c>
      <c r="AH1305" t="s">
        <v>2259</v>
      </c>
      <c r="AI1305" s="34"/>
      <c r="AM1305" s="21" t="s">
        <v>167</v>
      </c>
      <c r="AN1305" t="s">
        <v>132</v>
      </c>
      <c r="AO1305" s="19"/>
      <c r="AP1305" s="19"/>
      <c r="AQ1305" s="19"/>
      <c r="AR1305" s="19"/>
      <c r="AS1305" s="19"/>
      <c r="AT1305" s="19"/>
      <c r="AU1305" s="19"/>
      <c r="AV1305" s="19"/>
      <c r="AW1305" s="19"/>
      <c r="AX1305" s="19"/>
      <c r="AY1305" s="19"/>
      <c r="AZ1305" s="19"/>
      <c r="BA1305" s="19"/>
      <c r="BB1305" s="19"/>
      <c r="BC1305" s="19"/>
      <c r="BD1305" s="19"/>
      <c r="BE1305" s="19"/>
      <c r="BF1305" s="19"/>
      <c r="BG1305" s="19"/>
      <c r="BH1305" s="19"/>
      <c r="BI1305" s="19"/>
      <c r="BJ1305" s="19"/>
      <c r="BK1305" s="19"/>
      <c r="BL1305" s="19"/>
      <c r="BM1305" s="19"/>
      <c r="BN1305" s="19"/>
      <c r="BO1305" s="19"/>
      <c r="BP1305" s="19"/>
      <c r="BQ1305" s="19"/>
      <c r="BR1305" s="19"/>
      <c r="BS1305" s="19"/>
      <c r="BT1305" s="19"/>
      <c r="BU1305" s="19"/>
      <c r="BV1305" s="19"/>
      <c r="BW1305" s="19"/>
      <c r="BX1305" s="19"/>
      <c r="BY1305" s="19"/>
      <c r="BZ1305" s="19">
        <v>250</v>
      </c>
      <c r="CA1305" s="19"/>
      <c r="CB1305" s="19"/>
      <c r="CC1305" s="19"/>
      <c r="CD1305" s="19"/>
      <c r="CE130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05" s="19">
        <f>SUM(Table1[[#This Row],[Mid39]],Table1[[#This Row],[Mid36]],Table1[[#This Row],[Mid33]],Table1[[#This Row],[Mid30]],Table1[[#This Row],[Mid27]],Table1[[#This Row],[Mid24]],Table1[[#This Row],[Mid21]],Table1[[#This Row],[Mid18]],Table1[[#This Row],[Mid15]],Table1[[#This Row],[Mid12]],Table1[[#This Row],[Mid9]],Table1[[#This Row],[Mid6]],Table1[[#This Row],[Mid3]],Table1[[#This Row],[Mid]])</f>
        <v>250</v>
      </c>
      <c r="CG130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05" s="35" t="s">
        <v>4043</v>
      </c>
      <c r="CJ1305" s="37" t="s">
        <v>158</v>
      </c>
      <c r="CL1305" s="19" t="str">
        <f>IF(Table1[[#This Row],[Type]]="Petroleum",1,IF(ISERROR(Table1[[#This Row],[Well Density]]*Table1[[#This Row],[Single Well Discovery Area]]),"",IF(Table1[[#This Row],[Well Density]]*Table1[[#This Row],[Single Well Discovery Area]]&gt;1,1,Table1[[#This Row],[Well Density]]*Table1[[#This Row],[Single Well Discovery Area]])))</f>
        <v/>
      </c>
      <c r="CM1305" t="s">
        <v>158</v>
      </c>
      <c r="CN1305" s="19">
        <f>Table1[[#This Row],[Mid]]</f>
        <v>0</v>
      </c>
      <c r="CO1305" s="19">
        <f>Table1[[#This Row],[Mid3]]+Table1[[#This Row],[Mid6]]+Table1[[#This Row],[Mid9]]</f>
        <v>0</v>
      </c>
      <c r="CP1305" s="19">
        <f>Table1[[#This Row],[Mid12]]+Table1[[#This Row],[Mid15]]+Table1[[#This Row],[Mid18]]+Table1[[#This Row],[Mid21]]+Table1[[#This Row],[Mid24]]</f>
        <v>0</v>
      </c>
      <c r="CQ1305" s="19">
        <f>Table1[[#This Row],[Mid27]]+Table1[[#This Row],[Mid30]]+Table1[[#This Row],[Mid33]]+Table1[[#This Row],[Mid36]]+Table1[[#This Row],[Mid39]]</f>
        <v>250</v>
      </c>
      <c r="CR1305" t="s">
        <v>415</v>
      </c>
      <c r="CS1305" s="19" t="str">
        <f>IF(AND(Table1[[#This Row],[Low41]]=0, Table1[[#This Row],[High43]]=0),"N","Y")</f>
        <v>N</v>
      </c>
    </row>
    <row r="1306" spans="1:97" ht="19.5" customHeight="1" x14ac:dyDescent="0.25">
      <c r="A1306">
        <v>11308</v>
      </c>
      <c r="B1306" s="32" t="s">
        <v>4044</v>
      </c>
      <c r="C1306" s="32" t="s">
        <v>223</v>
      </c>
      <c r="D1306">
        <v>45.908499999999997</v>
      </c>
      <c r="E1306">
        <v>13.6868</v>
      </c>
      <c r="F1306" s="32" t="s">
        <v>4045</v>
      </c>
      <c r="G1306" t="s">
        <v>2811</v>
      </c>
      <c r="H1306" t="s">
        <v>167</v>
      </c>
      <c r="I1306" s="32" t="s">
        <v>118</v>
      </c>
      <c r="J1306" s="32" t="s">
        <v>119</v>
      </c>
      <c r="K1306" s="32" t="s">
        <v>190</v>
      </c>
      <c r="L1306" s="32" t="s">
        <v>18</v>
      </c>
      <c r="M1306" t="s">
        <v>252</v>
      </c>
      <c r="N1306" s="27" t="s">
        <v>4046</v>
      </c>
      <c r="O1306" t="s">
        <v>4047</v>
      </c>
      <c r="P1306" t="s">
        <v>1150</v>
      </c>
      <c r="Q1306" s="6" t="s">
        <v>255</v>
      </c>
      <c r="R1306" s="38" t="s">
        <v>4048</v>
      </c>
      <c r="S1306">
        <v>2012</v>
      </c>
      <c r="T1306" t="s">
        <v>3959</v>
      </c>
      <c r="U1306" t="s">
        <v>1479</v>
      </c>
      <c r="V1306" s="7">
        <v>250</v>
      </c>
      <c r="W1306" s="7">
        <v>1000</v>
      </c>
      <c r="X1306">
        <v>200</v>
      </c>
      <c r="Z1306">
        <v>0.03</v>
      </c>
      <c r="AC1306" s="7">
        <v>725</v>
      </c>
      <c r="AD1306" s="7"/>
      <c r="AE1306" t="str">
        <f>IF(ISERROR([2]!Table1[[#This Row],[Well Count]]/[2]!Table1[[#This Row],[Site Area km2]]),"",[2]!Table1[[#This Row],[Well Count]]/[2]!Table1[[#This Row],[Site Area km2]])</f>
        <v/>
      </c>
      <c r="AH1306" t="s">
        <v>2259</v>
      </c>
      <c r="AI1306" s="34">
        <v>2</v>
      </c>
      <c r="AM1306" s="21" t="s">
        <v>4049</v>
      </c>
      <c r="AN1306" t="s">
        <v>132</v>
      </c>
      <c r="AO1306" s="19"/>
      <c r="AP1306" s="19"/>
      <c r="AQ1306" s="19"/>
      <c r="AR1306" s="19"/>
      <c r="AS1306" s="19"/>
      <c r="AT1306" s="19"/>
      <c r="AU1306" s="19"/>
      <c r="AV1306" s="19"/>
      <c r="AW1306" s="19"/>
      <c r="AX1306" s="19"/>
      <c r="AY1306" s="19"/>
      <c r="AZ1306" s="19"/>
      <c r="BA1306" s="19"/>
      <c r="BB1306" s="19"/>
      <c r="BC1306" s="19"/>
      <c r="BD1306" s="19"/>
      <c r="BE1306" s="19"/>
      <c r="BF1306" s="19"/>
      <c r="BG1306" s="19"/>
      <c r="BH1306" s="19"/>
      <c r="BI1306" s="19"/>
      <c r="BJ1306" s="19"/>
      <c r="BK1306" s="19"/>
      <c r="BL1306" s="19"/>
      <c r="BM1306" s="19"/>
      <c r="BN1306" s="19"/>
      <c r="BO1306" s="19"/>
      <c r="BP1306" s="19"/>
      <c r="BQ1306" s="19"/>
      <c r="BR1306" s="19"/>
      <c r="BS1306" s="19"/>
      <c r="BT1306" s="19"/>
      <c r="BU1306" s="19"/>
      <c r="BV1306" s="19"/>
      <c r="BW1306" s="19"/>
      <c r="BX1306" s="19"/>
      <c r="BY1306" s="19"/>
      <c r="BZ1306" s="19"/>
      <c r="CA1306" s="19"/>
      <c r="CB1306" s="19"/>
      <c r="CC1306" s="19">
        <v>14.5</v>
      </c>
      <c r="CD1306" s="19"/>
      <c r="CE130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06" s="19">
        <f>SUM(Table1[[#This Row],[Mid39]],Table1[[#This Row],[Mid36]],Table1[[#This Row],[Mid33]],Table1[[#This Row],[Mid30]],Table1[[#This Row],[Mid27]],Table1[[#This Row],[Mid24]],Table1[[#This Row],[Mid21]],Table1[[#This Row],[Mid18]],Table1[[#This Row],[Mid15]],Table1[[#This Row],[Mid12]],Table1[[#This Row],[Mid9]],Table1[[#This Row],[Mid6]],Table1[[#This Row],[Mid3]],Table1[[#This Row],[Mid]])</f>
        <v>14.5</v>
      </c>
      <c r="CG130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06" s="35" t="s">
        <v>189</v>
      </c>
      <c r="CJ1306" s="37" t="s">
        <v>158</v>
      </c>
      <c r="CL1306" s="19" t="str">
        <f>IF(Table1[[#This Row],[Type]]="Petroleum",1,IF(ISERROR(Table1[[#This Row],[Well Density]]*Table1[[#This Row],[Single Well Discovery Area]]),"",IF(Table1[[#This Row],[Well Density]]*Table1[[#This Row],[Single Well Discovery Area]]&gt;1,1,Table1[[#This Row],[Well Density]]*Table1[[#This Row],[Single Well Discovery Area]])))</f>
        <v/>
      </c>
      <c r="CM1306" t="s">
        <v>158</v>
      </c>
      <c r="CN1306" s="19">
        <f>Table1[[#This Row],[Mid]]</f>
        <v>0</v>
      </c>
      <c r="CO1306" s="19">
        <f>Table1[[#This Row],[Mid3]]+Table1[[#This Row],[Mid6]]+Table1[[#This Row],[Mid9]]</f>
        <v>0</v>
      </c>
      <c r="CP1306" s="19">
        <f>Table1[[#This Row],[Mid12]]+Table1[[#This Row],[Mid15]]+Table1[[#This Row],[Mid18]]+Table1[[#This Row],[Mid21]]+Table1[[#This Row],[Mid24]]</f>
        <v>0</v>
      </c>
      <c r="CQ1306" s="19">
        <f>Table1[[#This Row],[Mid27]]+Table1[[#This Row],[Mid30]]+Table1[[#This Row],[Mid33]]+Table1[[#This Row],[Mid36]]+Table1[[#This Row],[Mid39]]</f>
        <v>14.5</v>
      </c>
      <c r="CR1306" t="s">
        <v>415</v>
      </c>
      <c r="CS1306" s="19" t="str">
        <f>IF(AND(Table1[[#This Row],[Low41]]=0, Table1[[#This Row],[High43]]=0),"N","Y")</f>
        <v>N</v>
      </c>
    </row>
    <row r="1307" spans="1:97" ht="19.5" customHeight="1" x14ac:dyDescent="0.25">
      <c r="A1307">
        <v>11309</v>
      </c>
      <c r="B1307" s="32" t="s">
        <v>4044</v>
      </c>
      <c r="C1307" s="32" t="s">
        <v>223</v>
      </c>
      <c r="D1307">
        <v>45.908499999999997</v>
      </c>
      <c r="E1307">
        <v>13.6868</v>
      </c>
      <c r="F1307" s="32" t="s">
        <v>4050</v>
      </c>
      <c r="G1307" t="s">
        <v>2811</v>
      </c>
      <c r="H1307" t="s">
        <v>167</v>
      </c>
      <c r="I1307" s="32" t="s">
        <v>118</v>
      </c>
      <c r="J1307" s="32" t="s">
        <v>119</v>
      </c>
      <c r="K1307" s="32" t="s">
        <v>190</v>
      </c>
      <c r="L1307" s="32" t="s">
        <v>18</v>
      </c>
      <c r="M1307" t="s">
        <v>252</v>
      </c>
      <c r="N1307" s="27" t="s">
        <v>4046</v>
      </c>
      <c r="O1307" t="s">
        <v>4047</v>
      </c>
      <c r="P1307" t="s">
        <v>1150</v>
      </c>
      <c r="Q1307" s="6" t="s">
        <v>255</v>
      </c>
      <c r="R1307" s="38" t="s">
        <v>4051</v>
      </c>
      <c r="S1307">
        <v>2012</v>
      </c>
      <c r="T1307" t="s">
        <v>3959</v>
      </c>
      <c r="U1307" t="s">
        <v>1479</v>
      </c>
      <c r="V1307" s="7">
        <v>10</v>
      </c>
      <c r="W1307" s="7">
        <v>1000</v>
      </c>
      <c r="X1307">
        <v>400</v>
      </c>
      <c r="Z1307">
        <v>0.03</v>
      </c>
      <c r="AC1307" s="7">
        <v>840</v>
      </c>
      <c r="AD1307" s="7"/>
      <c r="AE1307" t="str">
        <f>IF(ISERROR([2]!Table1[[#This Row],[Well Count]]/[2]!Table1[[#This Row],[Site Area km2]]),"",[2]!Table1[[#This Row],[Well Count]]/[2]!Table1[[#This Row],[Site Area km2]])</f>
        <v/>
      </c>
      <c r="AH1307" t="s">
        <v>2259</v>
      </c>
      <c r="AI1307" s="34">
        <v>15</v>
      </c>
      <c r="AM1307" s="21" t="s">
        <v>4049</v>
      </c>
      <c r="AN1307" t="s">
        <v>132</v>
      </c>
      <c r="AO1307" s="19"/>
      <c r="AP1307" s="19"/>
      <c r="AQ1307" s="19"/>
      <c r="AR1307" s="19"/>
      <c r="AS1307" s="19"/>
      <c r="AT1307" s="19"/>
      <c r="AU1307" s="19"/>
      <c r="AV1307" s="19"/>
      <c r="AW1307" s="19"/>
      <c r="AX1307" s="19"/>
      <c r="AY1307" s="19"/>
      <c r="AZ1307" s="19"/>
      <c r="BA1307" s="19"/>
      <c r="BB1307" s="19"/>
      <c r="BC1307" s="19"/>
      <c r="BD1307" s="19"/>
      <c r="BE1307" s="19"/>
      <c r="BF1307" s="19"/>
      <c r="BG1307" s="19"/>
      <c r="BH1307" s="19"/>
      <c r="BI1307" s="19"/>
      <c r="BJ1307" s="19"/>
      <c r="BK1307" s="19"/>
      <c r="BL1307" s="19"/>
      <c r="BM1307" s="19"/>
      <c r="BN1307" s="19"/>
      <c r="BO1307" s="19"/>
      <c r="BP1307" s="19"/>
      <c r="BQ1307" s="19"/>
      <c r="BR1307" s="19"/>
      <c r="BS1307" s="19"/>
      <c r="BT1307" s="19"/>
      <c r="BU1307" s="19"/>
      <c r="BV1307" s="19"/>
      <c r="BW1307" s="19"/>
      <c r="BX1307" s="19"/>
      <c r="BY1307" s="19"/>
      <c r="BZ1307" s="19"/>
      <c r="CA1307" s="19"/>
      <c r="CB1307" s="19"/>
      <c r="CC1307" s="19">
        <v>15.1199999999999</v>
      </c>
      <c r="CD1307" s="19"/>
      <c r="CE130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07" s="19">
        <f>SUM(Table1[[#This Row],[Mid39]],Table1[[#This Row],[Mid36]],Table1[[#This Row],[Mid33]],Table1[[#This Row],[Mid30]],Table1[[#This Row],[Mid27]],Table1[[#This Row],[Mid24]],Table1[[#This Row],[Mid21]],Table1[[#This Row],[Mid18]],Table1[[#This Row],[Mid15]],Table1[[#This Row],[Mid12]],Table1[[#This Row],[Mid9]],Table1[[#This Row],[Mid6]],Table1[[#This Row],[Mid3]],Table1[[#This Row],[Mid]])</f>
        <v>15.1199999999999</v>
      </c>
      <c r="CG130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07" s="35" t="s">
        <v>189</v>
      </c>
      <c r="CJ1307" s="37" t="s">
        <v>158</v>
      </c>
      <c r="CL1307" s="19" t="str">
        <f>IF(Table1[[#This Row],[Type]]="Petroleum",1,IF(ISERROR(Table1[[#This Row],[Well Density]]*Table1[[#This Row],[Single Well Discovery Area]]),"",IF(Table1[[#This Row],[Well Density]]*Table1[[#This Row],[Single Well Discovery Area]]&gt;1,1,Table1[[#This Row],[Well Density]]*Table1[[#This Row],[Single Well Discovery Area]])))</f>
        <v/>
      </c>
      <c r="CM1307" t="s">
        <v>158</v>
      </c>
      <c r="CN1307" s="19">
        <f>Table1[[#This Row],[Mid]]</f>
        <v>0</v>
      </c>
      <c r="CO1307" s="19">
        <f>Table1[[#This Row],[Mid3]]+Table1[[#This Row],[Mid6]]+Table1[[#This Row],[Mid9]]</f>
        <v>0</v>
      </c>
      <c r="CP1307" s="19">
        <f>Table1[[#This Row],[Mid12]]+Table1[[#This Row],[Mid15]]+Table1[[#This Row],[Mid18]]+Table1[[#This Row],[Mid21]]+Table1[[#This Row],[Mid24]]</f>
        <v>0</v>
      </c>
      <c r="CQ1307" s="19">
        <f>Table1[[#This Row],[Mid27]]+Table1[[#This Row],[Mid30]]+Table1[[#This Row],[Mid33]]+Table1[[#This Row],[Mid36]]+Table1[[#This Row],[Mid39]]</f>
        <v>15.1199999999999</v>
      </c>
      <c r="CR1307" t="s">
        <v>415</v>
      </c>
      <c r="CS1307" s="19" t="str">
        <f>IF(AND(Table1[[#This Row],[Low41]]=0, Table1[[#This Row],[High43]]=0),"N","Y")</f>
        <v>N</v>
      </c>
    </row>
    <row r="1308" spans="1:97" ht="19.5" customHeight="1" x14ac:dyDescent="0.25">
      <c r="A1308">
        <v>11310</v>
      </c>
      <c r="B1308" s="32" t="s">
        <v>4044</v>
      </c>
      <c r="C1308" s="32" t="s">
        <v>223</v>
      </c>
      <c r="D1308">
        <v>45.930100000000003</v>
      </c>
      <c r="E1308">
        <v>13.710800000000001</v>
      </c>
      <c r="F1308" s="32" t="s">
        <v>4052</v>
      </c>
      <c r="G1308" t="s">
        <v>2811</v>
      </c>
      <c r="H1308" t="s">
        <v>167</v>
      </c>
      <c r="I1308" s="32" t="s">
        <v>118</v>
      </c>
      <c r="J1308" s="32" t="s">
        <v>119</v>
      </c>
      <c r="K1308" s="32" t="s">
        <v>190</v>
      </c>
      <c r="L1308" s="32" t="s">
        <v>18</v>
      </c>
      <c r="M1308" t="s">
        <v>252</v>
      </c>
      <c r="N1308" s="27" t="s">
        <v>4046</v>
      </c>
      <c r="O1308" t="s">
        <v>4047</v>
      </c>
      <c r="P1308" t="s">
        <v>1150</v>
      </c>
      <c r="Q1308" s="6" t="s">
        <v>255</v>
      </c>
      <c r="R1308" s="38" t="s">
        <v>4051</v>
      </c>
      <c r="S1308">
        <v>2012</v>
      </c>
      <c r="T1308" t="s">
        <v>3959</v>
      </c>
      <c r="U1308" t="s">
        <v>1479</v>
      </c>
      <c r="V1308" s="7">
        <v>30</v>
      </c>
      <c r="W1308" s="7">
        <v>1000</v>
      </c>
      <c r="X1308">
        <v>300</v>
      </c>
      <c r="Z1308">
        <v>0.03</v>
      </c>
      <c r="AC1308" s="7">
        <v>840</v>
      </c>
      <c r="AD1308" s="7"/>
      <c r="AE1308" t="str">
        <f>IF(ISERROR([2]!Table1[[#This Row],[Well Count]]/[2]!Table1[[#This Row],[Site Area km2]]),"",[2]!Table1[[#This Row],[Well Count]]/[2]!Table1[[#This Row],[Site Area km2]])</f>
        <v/>
      </c>
      <c r="AH1308" t="s">
        <v>2259</v>
      </c>
      <c r="AI1308" s="34">
        <v>15</v>
      </c>
      <c r="AM1308" s="21" t="s">
        <v>4049</v>
      </c>
      <c r="AN1308" t="s">
        <v>132</v>
      </c>
      <c r="AO1308" s="19"/>
      <c r="AP1308" s="19"/>
      <c r="AQ1308" s="19"/>
      <c r="AR1308" s="19"/>
      <c r="AS1308" s="19"/>
      <c r="AT1308" s="19"/>
      <c r="AU1308" s="19"/>
      <c r="AV1308" s="19"/>
      <c r="AW1308" s="19"/>
      <c r="AX1308" s="19"/>
      <c r="AY1308" s="19"/>
      <c r="AZ1308" s="19"/>
      <c r="BA1308" s="19"/>
      <c r="BB1308" s="19"/>
      <c r="BC1308" s="19"/>
      <c r="BD1308" s="19"/>
      <c r="BE1308" s="19"/>
      <c r="BF1308" s="19"/>
      <c r="BG1308" s="19"/>
      <c r="BH1308" s="19"/>
      <c r="BI1308" s="19"/>
      <c r="BJ1308" s="19"/>
      <c r="BK1308" s="19"/>
      <c r="BL1308" s="19"/>
      <c r="BM1308" s="19"/>
      <c r="BN1308" s="19"/>
      <c r="BO1308" s="19"/>
      <c r="BP1308" s="19"/>
      <c r="BQ1308" s="19"/>
      <c r="BR1308" s="19"/>
      <c r="BS1308" s="19"/>
      <c r="BT1308" s="19"/>
      <c r="BU1308" s="19"/>
      <c r="BV1308" s="19"/>
      <c r="BW1308" s="19"/>
      <c r="BX1308" s="19"/>
      <c r="BY1308" s="19"/>
      <c r="BZ1308" s="19"/>
      <c r="CA1308" s="19"/>
      <c r="CB1308" s="19"/>
      <c r="CC1308" s="19">
        <v>34.020000000000003</v>
      </c>
      <c r="CD1308" s="19"/>
      <c r="CE130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08" s="19">
        <f>SUM(Table1[[#This Row],[Mid39]],Table1[[#This Row],[Mid36]],Table1[[#This Row],[Mid33]],Table1[[#This Row],[Mid30]],Table1[[#This Row],[Mid27]],Table1[[#This Row],[Mid24]],Table1[[#This Row],[Mid21]],Table1[[#This Row],[Mid18]],Table1[[#This Row],[Mid15]],Table1[[#This Row],[Mid12]],Table1[[#This Row],[Mid9]],Table1[[#This Row],[Mid6]],Table1[[#This Row],[Mid3]],Table1[[#This Row],[Mid]])</f>
        <v>34.020000000000003</v>
      </c>
      <c r="CG130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08" s="35" t="s">
        <v>189</v>
      </c>
      <c r="CJ1308" s="37" t="s">
        <v>158</v>
      </c>
      <c r="CL1308" s="19" t="str">
        <f>IF(Table1[[#This Row],[Type]]="Petroleum",1,IF(ISERROR(Table1[[#This Row],[Well Density]]*Table1[[#This Row],[Single Well Discovery Area]]),"",IF(Table1[[#This Row],[Well Density]]*Table1[[#This Row],[Single Well Discovery Area]]&gt;1,1,Table1[[#This Row],[Well Density]]*Table1[[#This Row],[Single Well Discovery Area]])))</f>
        <v/>
      </c>
      <c r="CM1308" t="s">
        <v>158</v>
      </c>
      <c r="CN1308" s="19">
        <f>Table1[[#This Row],[Mid]]</f>
        <v>0</v>
      </c>
      <c r="CO1308" s="19">
        <f>Table1[[#This Row],[Mid3]]+Table1[[#This Row],[Mid6]]+Table1[[#This Row],[Mid9]]</f>
        <v>0</v>
      </c>
      <c r="CP1308" s="19">
        <f>Table1[[#This Row],[Mid12]]+Table1[[#This Row],[Mid15]]+Table1[[#This Row],[Mid18]]+Table1[[#This Row],[Mid21]]+Table1[[#This Row],[Mid24]]</f>
        <v>0</v>
      </c>
      <c r="CQ1308" s="19">
        <f>Table1[[#This Row],[Mid27]]+Table1[[#This Row],[Mid30]]+Table1[[#This Row],[Mid33]]+Table1[[#This Row],[Mid36]]+Table1[[#This Row],[Mid39]]</f>
        <v>34.020000000000003</v>
      </c>
      <c r="CR1308" t="s">
        <v>415</v>
      </c>
      <c r="CS1308" s="19" t="str">
        <f>IF(AND(Table1[[#This Row],[Low41]]=0, Table1[[#This Row],[High43]]=0),"N","Y")</f>
        <v>N</v>
      </c>
    </row>
    <row r="1309" spans="1:97" ht="19.5" customHeight="1" x14ac:dyDescent="0.25">
      <c r="A1309">
        <v>11311</v>
      </c>
      <c r="B1309" s="32" t="s">
        <v>4044</v>
      </c>
      <c r="C1309" s="32" t="s">
        <v>223</v>
      </c>
      <c r="D1309">
        <v>45.593400000000003</v>
      </c>
      <c r="E1309">
        <v>14.1248</v>
      </c>
      <c r="F1309" s="32" t="s">
        <v>4053</v>
      </c>
      <c r="G1309" t="s">
        <v>2811</v>
      </c>
      <c r="H1309" t="s">
        <v>167</v>
      </c>
      <c r="I1309" s="32" t="s">
        <v>118</v>
      </c>
      <c r="J1309" s="32" t="s">
        <v>119</v>
      </c>
      <c r="K1309" s="32" t="s">
        <v>190</v>
      </c>
      <c r="L1309" s="32" t="s">
        <v>18</v>
      </c>
      <c r="M1309" t="s">
        <v>252</v>
      </c>
      <c r="N1309" s="27" t="s">
        <v>4046</v>
      </c>
      <c r="O1309" t="s">
        <v>4047</v>
      </c>
      <c r="P1309" t="s">
        <v>1150</v>
      </c>
      <c r="Q1309" s="6" t="s">
        <v>255</v>
      </c>
      <c r="R1309" s="38" t="s">
        <v>4051</v>
      </c>
      <c r="S1309">
        <v>2012</v>
      </c>
      <c r="T1309" t="s">
        <v>3959</v>
      </c>
      <c r="U1309" t="s">
        <v>1479</v>
      </c>
      <c r="V1309" s="7">
        <v>120</v>
      </c>
      <c r="W1309" s="7">
        <v>800</v>
      </c>
      <c r="X1309">
        <v>200</v>
      </c>
      <c r="Z1309">
        <v>0.03</v>
      </c>
      <c r="AC1309" s="7">
        <v>830</v>
      </c>
      <c r="AD1309" s="7"/>
      <c r="AE1309" t="str">
        <f>IF(ISERROR([2]!Table1[[#This Row],[Well Count]]/[2]!Table1[[#This Row],[Site Area km2]]),"",[2]!Table1[[#This Row],[Well Count]]/[2]!Table1[[#This Row],[Site Area km2]])</f>
        <v/>
      </c>
      <c r="AH1309" t="s">
        <v>2259</v>
      </c>
      <c r="AI1309" s="34">
        <v>2</v>
      </c>
      <c r="AM1309" s="21" t="s">
        <v>4049</v>
      </c>
      <c r="AN1309" t="s">
        <v>132</v>
      </c>
      <c r="AO1309" s="19"/>
      <c r="AP1309" s="19"/>
      <c r="AQ1309" s="19"/>
      <c r="AR1309" s="19"/>
      <c r="AS1309" s="19"/>
      <c r="AT1309" s="19"/>
      <c r="AU1309" s="19"/>
      <c r="AV1309" s="19"/>
      <c r="AW1309" s="19"/>
      <c r="AX1309" s="19"/>
      <c r="AY1309" s="19"/>
      <c r="AZ1309" s="19"/>
      <c r="BA1309" s="19"/>
      <c r="BB1309" s="19"/>
      <c r="BC1309" s="19"/>
      <c r="BD1309" s="19"/>
      <c r="BE1309" s="19"/>
      <c r="BF1309" s="19"/>
      <c r="BG1309" s="19"/>
      <c r="BH1309" s="19"/>
      <c r="BI1309" s="19"/>
      <c r="BJ1309" s="19"/>
      <c r="BK1309" s="19"/>
      <c r="BL1309" s="19"/>
      <c r="BM1309" s="19"/>
      <c r="BN1309" s="19"/>
      <c r="BO1309" s="19"/>
      <c r="BP1309" s="19"/>
      <c r="BQ1309" s="19"/>
      <c r="BR1309" s="19"/>
      <c r="BS1309" s="19"/>
      <c r="BT1309" s="19"/>
      <c r="BU1309" s="19"/>
      <c r="BV1309" s="19"/>
      <c r="BW1309" s="19"/>
      <c r="BX1309" s="19"/>
      <c r="BY1309" s="19"/>
      <c r="BZ1309" s="19"/>
      <c r="CA1309" s="19"/>
      <c r="CB1309" s="19"/>
      <c r="CC1309" s="19">
        <v>11.9499999999999</v>
      </c>
      <c r="CD1309" s="19"/>
      <c r="CE130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09" s="19">
        <f>SUM(Table1[[#This Row],[Mid39]],Table1[[#This Row],[Mid36]],Table1[[#This Row],[Mid33]],Table1[[#This Row],[Mid30]],Table1[[#This Row],[Mid27]],Table1[[#This Row],[Mid24]],Table1[[#This Row],[Mid21]],Table1[[#This Row],[Mid18]],Table1[[#This Row],[Mid15]],Table1[[#This Row],[Mid12]],Table1[[#This Row],[Mid9]],Table1[[#This Row],[Mid6]],Table1[[#This Row],[Mid3]],Table1[[#This Row],[Mid]])</f>
        <v>11.9499999999999</v>
      </c>
      <c r="CG130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09" s="35" t="s">
        <v>189</v>
      </c>
      <c r="CJ1309" s="37" t="s">
        <v>158</v>
      </c>
      <c r="CL1309" s="19" t="str">
        <f>IF(Table1[[#This Row],[Type]]="Petroleum",1,IF(ISERROR(Table1[[#This Row],[Well Density]]*Table1[[#This Row],[Single Well Discovery Area]]),"",IF(Table1[[#This Row],[Well Density]]*Table1[[#This Row],[Single Well Discovery Area]]&gt;1,1,Table1[[#This Row],[Well Density]]*Table1[[#This Row],[Single Well Discovery Area]])))</f>
        <v/>
      </c>
      <c r="CM1309" t="s">
        <v>158</v>
      </c>
      <c r="CN1309" s="19">
        <f>Table1[[#This Row],[Mid]]</f>
        <v>0</v>
      </c>
      <c r="CO1309" s="19">
        <f>Table1[[#This Row],[Mid3]]+Table1[[#This Row],[Mid6]]+Table1[[#This Row],[Mid9]]</f>
        <v>0</v>
      </c>
      <c r="CP1309" s="19">
        <f>Table1[[#This Row],[Mid12]]+Table1[[#This Row],[Mid15]]+Table1[[#This Row],[Mid18]]+Table1[[#This Row],[Mid21]]+Table1[[#This Row],[Mid24]]</f>
        <v>0</v>
      </c>
      <c r="CQ1309" s="19">
        <f>Table1[[#This Row],[Mid27]]+Table1[[#This Row],[Mid30]]+Table1[[#This Row],[Mid33]]+Table1[[#This Row],[Mid36]]+Table1[[#This Row],[Mid39]]</f>
        <v>11.9499999999999</v>
      </c>
      <c r="CR1309" t="s">
        <v>415</v>
      </c>
      <c r="CS1309" s="19" t="str">
        <f>IF(AND(Table1[[#This Row],[Low41]]=0, Table1[[#This Row],[High43]]=0),"N","Y")</f>
        <v>N</v>
      </c>
    </row>
    <row r="1310" spans="1:97" ht="19.5" customHeight="1" x14ac:dyDescent="0.25">
      <c r="A1310">
        <v>11312</v>
      </c>
      <c r="B1310" s="32" t="s">
        <v>4054</v>
      </c>
      <c r="C1310" s="32" t="s">
        <v>223</v>
      </c>
      <c r="D1310">
        <v>56.024000000000001</v>
      </c>
      <c r="E1310">
        <v>22.484000000000002</v>
      </c>
      <c r="F1310" s="32" t="s">
        <v>4055</v>
      </c>
      <c r="G1310" t="s">
        <v>2682</v>
      </c>
      <c r="H1310" t="s">
        <v>4056</v>
      </c>
      <c r="I1310" s="32" t="s">
        <v>118</v>
      </c>
      <c r="J1310" s="32" t="s">
        <v>119</v>
      </c>
      <c r="K1310" s="32" t="s">
        <v>190</v>
      </c>
      <c r="L1310" t="s">
        <v>121</v>
      </c>
      <c r="M1310" t="s">
        <v>2693</v>
      </c>
      <c r="N1310" s="27" t="s">
        <v>4057</v>
      </c>
      <c r="O1310" t="s">
        <v>2652</v>
      </c>
      <c r="P1310" t="s">
        <v>4058</v>
      </c>
      <c r="Q1310" s="27" t="s">
        <v>4059</v>
      </c>
      <c r="R1310" s="38" t="s">
        <v>4060</v>
      </c>
      <c r="S1310">
        <v>2023</v>
      </c>
      <c r="T1310" t="s">
        <v>3959</v>
      </c>
      <c r="U1310" t="s">
        <v>1479</v>
      </c>
      <c r="V1310" s="7">
        <v>26</v>
      </c>
      <c r="W1310" s="7">
        <v>1458</v>
      </c>
      <c r="X1310">
        <v>57</v>
      </c>
      <c r="Y1310">
        <v>75</v>
      </c>
      <c r="Z1310">
        <v>16</v>
      </c>
      <c r="AA1310">
        <v>400</v>
      </c>
      <c r="AC1310" s="7"/>
      <c r="AD1310" s="7"/>
      <c r="AE1310" t="str">
        <f>IF(ISERROR([2]!Table1[[#This Row],[Well Count]]/[2]!Table1[[#This Row],[Site Area km2]]),"",[2]!Table1[[#This Row],[Well Count]]/[2]!Table1[[#This Row],[Site Area km2]])</f>
        <v/>
      </c>
      <c r="AF1310">
        <v>200</v>
      </c>
      <c r="AH1310" t="s">
        <v>1612</v>
      </c>
      <c r="AI1310" s="34"/>
      <c r="AM1310" s="21" t="s">
        <v>4061</v>
      </c>
      <c r="AN1310" t="s">
        <v>132</v>
      </c>
      <c r="AO1310" s="19"/>
      <c r="AP1310" s="19"/>
      <c r="AQ1310" s="19"/>
      <c r="AR1310" s="19"/>
      <c r="AS1310" s="19"/>
      <c r="AT1310" s="19"/>
      <c r="AU1310" s="19"/>
      <c r="AV1310" s="19"/>
      <c r="AW1310" s="19"/>
      <c r="AX1310" s="19"/>
      <c r="AY1310" s="19"/>
      <c r="AZ1310" s="19"/>
      <c r="BA1310" s="19"/>
      <c r="BB1310" s="19"/>
      <c r="BC1310" s="19"/>
      <c r="BD1310" s="19"/>
      <c r="BE1310" s="19"/>
      <c r="BF1310" s="19"/>
      <c r="BG1310" s="19"/>
      <c r="BH1310" s="19"/>
      <c r="BI1310" s="19"/>
      <c r="BJ1310" s="19"/>
      <c r="BK1310" s="19"/>
      <c r="BL1310" s="19"/>
      <c r="BM1310" s="19"/>
      <c r="BN1310" s="19"/>
      <c r="BO1310" s="19"/>
      <c r="BP1310" s="19"/>
      <c r="BQ1310" s="19"/>
      <c r="BR1310" s="19"/>
      <c r="BS1310" s="19"/>
      <c r="BT1310" s="19"/>
      <c r="BU1310" s="19"/>
      <c r="BV1310" s="19"/>
      <c r="BW1310" s="19"/>
      <c r="BX1310" s="19"/>
      <c r="BY1310" s="19"/>
      <c r="BZ1310" s="19"/>
      <c r="CA1310" s="19"/>
      <c r="CB1310" s="19">
        <v>54</v>
      </c>
      <c r="CC1310" s="19">
        <v>85</v>
      </c>
      <c r="CD1310" s="19">
        <v>232</v>
      </c>
      <c r="CE1310" s="19">
        <f>SUM(Table1[[#This Row],[Low38]],Table1[[#This Row],[Low35]],Table1[[#This Row],[Low32]],Table1[[#This Row],[Low29]],Table1[[#This Row],[Low26]],Table1[[#This Row],[Low23]],Table1[[#This Row],[Low20]],Table1[[#This Row],[Low17]],Table1[[#This Row],[Low14]],Table1[[#This Row],[Low11]],Table1[[#This Row],[Low8]],Table1[[#This Row],[Low5]],Table1[[#This Row],[Low2]],Table1[[#This Row],[Low]])</f>
        <v>54</v>
      </c>
      <c r="CF1310" s="19">
        <f>SUM(Table1[[#This Row],[Mid39]],Table1[[#This Row],[Mid36]],Table1[[#This Row],[Mid33]],Table1[[#This Row],[Mid30]],Table1[[#This Row],[Mid27]],Table1[[#This Row],[Mid24]],Table1[[#This Row],[Mid21]],Table1[[#This Row],[Mid18]],Table1[[#This Row],[Mid15]],Table1[[#This Row],[Mid12]],Table1[[#This Row],[Mid9]],Table1[[#This Row],[Mid6]],Table1[[#This Row],[Mid3]],Table1[[#This Row],[Mid]])</f>
        <v>85</v>
      </c>
      <c r="CG13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232</v>
      </c>
      <c r="CI1310" s="35" t="s">
        <v>134</v>
      </c>
      <c r="CJ1310" s="37" t="s">
        <v>4062</v>
      </c>
      <c r="CL1310" s="19" t="str">
        <f>IF(Table1[[#This Row],[Type]]="Petroleum",1,IF(ISERROR(Table1[[#This Row],[Well Density]]*Table1[[#This Row],[Single Well Discovery Area]]),"",IF(Table1[[#This Row],[Well Density]]*Table1[[#This Row],[Single Well Discovery Area]]&gt;1,1,Table1[[#This Row],[Well Density]]*Table1[[#This Row],[Single Well Discovery Area]])))</f>
        <v/>
      </c>
      <c r="CM1310" t="s">
        <v>133</v>
      </c>
      <c r="CN1310" s="19">
        <f>Table1[[#This Row],[Mid]]</f>
        <v>0</v>
      </c>
      <c r="CO1310" s="19">
        <f>Table1[[#This Row],[Mid3]]+Table1[[#This Row],[Mid6]]+Table1[[#This Row],[Mid9]]</f>
        <v>0</v>
      </c>
      <c r="CP1310" s="19">
        <f>Table1[[#This Row],[Mid12]]+Table1[[#This Row],[Mid15]]+Table1[[#This Row],[Mid18]]+Table1[[#This Row],[Mid21]]+Table1[[#This Row],[Mid24]]</f>
        <v>0</v>
      </c>
      <c r="CQ1310" s="19">
        <f>Table1[[#This Row],[Mid27]]+Table1[[#This Row],[Mid30]]+Table1[[#This Row],[Mid33]]+Table1[[#This Row],[Mid36]]+Table1[[#This Row],[Mid39]]</f>
        <v>85</v>
      </c>
      <c r="CR1310" t="s">
        <v>415</v>
      </c>
      <c r="CS1310" s="19" t="str">
        <f>IF(AND(Table1[[#This Row],[Low41]]=0, Table1[[#This Row],[High43]]=0),"N","Y")</f>
        <v>Y</v>
      </c>
    </row>
    <row r="1311" spans="1:97" ht="19.5" customHeight="1" x14ac:dyDescent="0.25">
      <c r="A1311">
        <v>11313</v>
      </c>
      <c r="B1311" s="32" t="s">
        <v>4054</v>
      </c>
      <c r="C1311" s="32" t="s">
        <v>223</v>
      </c>
      <c r="D1311">
        <v>56.042999999999999</v>
      </c>
      <c r="E1311">
        <v>24.431000000000001</v>
      </c>
      <c r="F1311" s="32" t="s">
        <v>4063</v>
      </c>
      <c r="G1311" t="s">
        <v>2682</v>
      </c>
      <c r="H1311" t="s">
        <v>4064</v>
      </c>
      <c r="I1311" s="32" t="s">
        <v>118</v>
      </c>
      <c r="J1311" s="32" t="s">
        <v>119</v>
      </c>
      <c r="K1311" s="32" t="s">
        <v>190</v>
      </c>
      <c r="L1311" t="s">
        <v>261</v>
      </c>
      <c r="M1311" t="s">
        <v>4065</v>
      </c>
      <c r="N1311" s="27" t="s">
        <v>4066</v>
      </c>
      <c r="O1311" t="s">
        <v>2652</v>
      </c>
      <c r="P1311" t="s">
        <v>4058</v>
      </c>
      <c r="Q1311" s="27" t="s">
        <v>4059</v>
      </c>
      <c r="R1311" s="38" t="s">
        <v>4067</v>
      </c>
      <c r="S1311">
        <v>2023</v>
      </c>
      <c r="T1311" t="s">
        <v>3959</v>
      </c>
      <c r="U1311" t="s">
        <v>1479</v>
      </c>
      <c r="V1311" s="7">
        <v>12.3</v>
      </c>
      <c r="W1311" s="7">
        <v>896</v>
      </c>
      <c r="X1311">
        <v>57</v>
      </c>
      <c r="Y1311">
        <v>50</v>
      </c>
      <c r="Z1311">
        <v>23</v>
      </c>
      <c r="AA1311">
        <v>280</v>
      </c>
      <c r="AC1311" s="7"/>
      <c r="AD1311" s="7"/>
      <c r="AE1311" t="str">
        <f>IF(ISERROR([2]!Table1[[#This Row],[Well Count]]/[2]!Table1[[#This Row],[Site Area km2]]),"",[2]!Table1[[#This Row],[Well Count]]/[2]!Table1[[#This Row],[Site Area km2]])</f>
        <v/>
      </c>
      <c r="AF1311">
        <v>200</v>
      </c>
      <c r="AH1311" t="s">
        <v>1612</v>
      </c>
      <c r="AI1311" s="34"/>
      <c r="AM1311" s="21" t="s">
        <v>4061</v>
      </c>
      <c r="AN1311" t="s">
        <v>132</v>
      </c>
      <c r="AO1311" s="19"/>
      <c r="AP1311" s="19"/>
      <c r="AQ1311" s="19"/>
      <c r="AR1311" s="19"/>
      <c r="AS1311" s="19"/>
      <c r="AT1311" s="19"/>
      <c r="AU1311" s="19"/>
      <c r="AV1311" s="19"/>
      <c r="AW1311" s="19"/>
      <c r="AX1311" s="19"/>
      <c r="AY1311" s="19"/>
      <c r="AZ1311" s="19"/>
      <c r="BA1311" s="19"/>
      <c r="BB1311" s="19"/>
      <c r="BC1311" s="19"/>
      <c r="BD1311" s="19"/>
      <c r="BE1311" s="19"/>
      <c r="BF1311" s="19"/>
      <c r="BG1311" s="19"/>
      <c r="BH1311" s="19"/>
      <c r="BI1311" s="19"/>
      <c r="BJ1311" s="19"/>
      <c r="BK1311" s="19"/>
      <c r="BL1311" s="19"/>
      <c r="BM1311" s="19"/>
      <c r="BN1311" s="19"/>
      <c r="BO1311" s="19"/>
      <c r="BP1311" s="19"/>
      <c r="BQ1311" s="19"/>
      <c r="BR1311" s="19"/>
      <c r="BS1311" s="19"/>
      <c r="BT1311" s="19"/>
      <c r="BU1311" s="19"/>
      <c r="BV1311" s="19"/>
      <c r="BW1311" s="19"/>
      <c r="BX1311" s="19"/>
      <c r="BY1311" s="19"/>
      <c r="BZ1311" s="19"/>
      <c r="CA1311" s="19"/>
      <c r="CB1311" s="19">
        <v>25</v>
      </c>
      <c r="CC1311" s="19">
        <v>37</v>
      </c>
      <c r="CD1311" s="19">
        <v>106</v>
      </c>
      <c r="CE1311" s="19">
        <f>SUM(Table1[[#This Row],[Low38]],Table1[[#This Row],[Low35]],Table1[[#This Row],[Low32]],Table1[[#This Row],[Low29]],Table1[[#This Row],[Low26]],Table1[[#This Row],[Low23]],Table1[[#This Row],[Low20]],Table1[[#This Row],[Low17]],Table1[[#This Row],[Low14]],Table1[[#This Row],[Low11]],Table1[[#This Row],[Low8]],Table1[[#This Row],[Low5]],Table1[[#This Row],[Low2]],Table1[[#This Row],[Low]])</f>
        <v>25</v>
      </c>
      <c r="CF1311" s="19">
        <f>SUM(Table1[[#This Row],[Mid39]],Table1[[#This Row],[Mid36]],Table1[[#This Row],[Mid33]],Table1[[#This Row],[Mid30]],Table1[[#This Row],[Mid27]],Table1[[#This Row],[Mid24]],Table1[[#This Row],[Mid21]],Table1[[#This Row],[Mid18]],Table1[[#This Row],[Mid15]],Table1[[#This Row],[Mid12]],Table1[[#This Row],[Mid9]],Table1[[#This Row],[Mid6]],Table1[[#This Row],[Mid3]],Table1[[#This Row],[Mid]])</f>
        <v>37</v>
      </c>
      <c r="CG13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106</v>
      </c>
      <c r="CI1311" s="35" t="s">
        <v>134</v>
      </c>
      <c r="CJ1311" s="37" t="s">
        <v>4062</v>
      </c>
      <c r="CL1311" s="19" t="str">
        <f>IF(Table1[[#This Row],[Type]]="Petroleum",1,IF(ISERROR(Table1[[#This Row],[Well Density]]*Table1[[#This Row],[Single Well Discovery Area]]),"",IF(Table1[[#This Row],[Well Density]]*Table1[[#This Row],[Single Well Discovery Area]]&gt;1,1,Table1[[#This Row],[Well Density]]*Table1[[#This Row],[Single Well Discovery Area]])))</f>
        <v/>
      </c>
      <c r="CM1311" t="s">
        <v>133</v>
      </c>
      <c r="CN1311" s="19">
        <f>Table1[[#This Row],[Mid]]</f>
        <v>0</v>
      </c>
      <c r="CO1311" s="19">
        <f>Table1[[#This Row],[Mid3]]+Table1[[#This Row],[Mid6]]+Table1[[#This Row],[Mid9]]</f>
        <v>0</v>
      </c>
      <c r="CP1311" s="19">
        <f>Table1[[#This Row],[Mid12]]+Table1[[#This Row],[Mid15]]+Table1[[#This Row],[Mid18]]+Table1[[#This Row],[Mid21]]+Table1[[#This Row],[Mid24]]</f>
        <v>0</v>
      </c>
      <c r="CQ1311" s="19">
        <f>Table1[[#This Row],[Mid27]]+Table1[[#This Row],[Mid30]]+Table1[[#This Row],[Mid33]]+Table1[[#This Row],[Mid36]]+Table1[[#This Row],[Mid39]]</f>
        <v>37</v>
      </c>
      <c r="CR1311" t="s">
        <v>415</v>
      </c>
      <c r="CS1311" s="19" t="str">
        <f>IF(AND(Table1[[#This Row],[Low41]]=0, Table1[[#This Row],[High43]]=0),"N","Y")</f>
        <v>Y</v>
      </c>
    </row>
    <row r="1312" spans="1:97" ht="19.5" customHeight="1" x14ac:dyDescent="0.25">
      <c r="A1312">
        <v>11314</v>
      </c>
      <c r="B1312" s="32" t="s">
        <v>4054</v>
      </c>
      <c r="C1312" s="32" t="s">
        <v>165</v>
      </c>
      <c r="D1312">
        <v>55.995399999999997</v>
      </c>
      <c r="E1312">
        <v>20.829799999999999</v>
      </c>
      <c r="F1312" s="32" t="s">
        <v>4068</v>
      </c>
      <c r="G1312" t="s">
        <v>2682</v>
      </c>
      <c r="H1312" t="s">
        <v>4056</v>
      </c>
      <c r="I1312" s="32" t="s">
        <v>118</v>
      </c>
      <c r="J1312" s="32" t="s">
        <v>119</v>
      </c>
      <c r="K1312" s="32" t="s">
        <v>190</v>
      </c>
      <c r="L1312" t="s">
        <v>261</v>
      </c>
      <c r="M1312" t="s">
        <v>2693</v>
      </c>
      <c r="N1312" s="27" t="s">
        <v>4069</v>
      </c>
      <c r="O1312" t="s">
        <v>2652</v>
      </c>
      <c r="P1312" t="s">
        <v>4070</v>
      </c>
      <c r="Q1312" s="27" t="s">
        <v>4071</v>
      </c>
      <c r="R1312" s="38" t="s">
        <v>4072</v>
      </c>
      <c r="S1312">
        <v>2023</v>
      </c>
      <c r="T1312" t="s">
        <v>3959</v>
      </c>
      <c r="U1312" t="s">
        <v>1479</v>
      </c>
      <c r="V1312" s="7">
        <v>25</v>
      </c>
      <c r="W1312" s="7">
        <v>1700</v>
      </c>
      <c r="X1312">
        <v>65</v>
      </c>
      <c r="Y1312">
        <v>35</v>
      </c>
      <c r="Z1312">
        <v>10</v>
      </c>
      <c r="AA1312">
        <v>300</v>
      </c>
      <c r="AC1312" s="7"/>
      <c r="AD1312" s="7"/>
      <c r="AE1312" t="str">
        <f>IF(ISERROR([2]!Table1[[#This Row],[Well Count]]/[2]!Table1[[#This Row],[Site Area km2]]),"",[2]!Table1[[#This Row],[Well Count]]/[2]!Table1[[#This Row],[Site Area km2]])</f>
        <v/>
      </c>
      <c r="AF1312">
        <v>200</v>
      </c>
      <c r="AH1312" t="s">
        <v>1612</v>
      </c>
      <c r="AI1312" s="34"/>
      <c r="AM1312" s="21" t="s">
        <v>4061</v>
      </c>
      <c r="AN1312" t="s">
        <v>132</v>
      </c>
      <c r="AO1312" s="19"/>
      <c r="AP1312" s="19"/>
      <c r="AQ1312" s="19"/>
      <c r="AR1312" s="19"/>
      <c r="AS1312" s="19"/>
      <c r="AT1312" s="19"/>
      <c r="AU1312" s="19"/>
      <c r="AV1312" s="19"/>
      <c r="AW1312" s="19"/>
      <c r="AX1312" s="19"/>
      <c r="AY1312" s="19"/>
      <c r="AZ1312" s="19"/>
      <c r="BA1312" s="19"/>
      <c r="BB1312" s="19"/>
      <c r="BC1312" s="19"/>
      <c r="BD1312" s="19"/>
      <c r="BE1312" s="19"/>
      <c r="BF1312" s="19"/>
      <c r="BG1312" s="19"/>
      <c r="BH1312" s="19"/>
      <c r="BI1312" s="19"/>
      <c r="BJ1312" s="19"/>
      <c r="BK1312" s="19"/>
      <c r="BL1312" s="19"/>
      <c r="BM1312" s="19"/>
      <c r="BN1312" s="19"/>
      <c r="BO1312" s="19"/>
      <c r="BP1312" s="19"/>
      <c r="BQ1312" s="19"/>
      <c r="BR1312" s="19"/>
      <c r="BS1312" s="19"/>
      <c r="BT1312" s="19"/>
      <c r="BU1312" s="19"/>
      <c r="BV1312" s="19"/>
      <c r="BW1312" s="19"/>
      <c r="BX1312" s="19"/>
      <c r="BY1312" s="19"/>
      <c r="BZ1312" s="19"/>
      <c r="CA1312" s="19"/>
      <c r="CB1312">
        <v>17</v>
      </c>
      <c r="CC1312" s="19">
        <v>25</v>
      </c>
      <c r="CD1312" s="19">
        <v>69</v>
      </c>
      <c r="CE1312" s="19">
        <f>SUM(Table1[[#This Row],[Low38]],Table1[[#This Row],[Low35]],Table1[[#This Row],[Low32]],Table1[[#This Row],[Low29]],Table1[[#This Row],[Low26]],Table1[[#This Row],[Low23]],Table1[[#This Row],[Low20]],Table1[[#This Row],[Low17]],Table1[[#This Row],[Low14]],Table1[[#This Row],[Low11]],Table1[[#This Row],[Low8]],Table1[[#This Row],[Low5]],Table1[[#This Row],[Low2]],Table1[[#This Row],[Low]])</f>
        <v>17</v>
      </c>
      <c r="CF1312" s="19">
        <f>SUM(Table1[[#This Row],[Mid39]],Table1[[#This Row],[Mid36]],Table1[[#This Row],[Mid33]],Table1[[#This Row],[Mid30]],Table1[[#This Row],[Mid27]],Table1[[#This Row],[Mid24]],Table1[[#This Row],[Mid21]],Table1[[#This Row],[Mid18]],Table1[[#This Row],[Mid15]],Table1[[#This Row],[Mid12]],Table1[[#This Row],[Mid9]],Table1[[#This Row],[Mid6]],Table1[[#This Row],[Mid3]],Table1[[#This Row],[Mid]])</f>
        <v>25</v>
      </c>
      <c r="CG13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69</v>
      </c>
      <c r="CI1312" s="35" t="s">
        <v>134</v>
      </c>
      <c r="CJ1312" s="37" t="s">
        <v>4062</v>
      </c>
      <c r="CL1312" s="19" t="str">
        <f>IF(Table1[[#This Row],[Type]]="Petroleum",1,IF(ISERROR(Table1[[#This Row],[Well Density]]*Table1[[#This Row],[Single Well Discovery Area]]),"",IF(Table1[[#This Row],[Well Density]]*Table1[[#This Row],[Single Well Discovery Area]]&gt;1,1,Table1[[#This Row],[Well Density]]*Table1[[#This Row],[Single Well Discovery Area]])))</f>
        <v/>
      </c>
      <c r="CM1312" t="s">
        <v>133</v>
      </c>
      <c r="CN1312" s="19">
        <f>Table1[[#This Row],[Mid]]</f>
        <v>0</v>
      </c>
      <c r="CO1312" s="19">
        <f>Table1[[#This Row],[Mid3]]+Table1[[#This Row],[Mid6]]+Table1[[#This Row],[Mid9]]</f>
        <v>0</v>
      </c>
      <c r="CP1312" s="19">
        <f>Table1[[#This Row],[Mid12]]+Table1[[#This Row],[Mid15]]+Table1[[#This Row],[Mid18]]+Table1[[#This Row],[Mid21]]+Table1[[#This Row],[Mid24]]</f>
        <v>0</v>
      </c>
      <c r="CQ1312" s="19">
        <f>Table1[[#This Row],[Mid27]]+Table1[[#This Row],[Mid30]]+Table1[[#This Row],[Mid33]]+Table1[[#This Row],[Mid36]]+Table1[[#This Row],[Mid39]]</f>
        <v>25</v>
      </c>
      <c r="CR1312" t="s">
        <v>415</v>
      </c>
      <c r="CS1312" s="19" t="str">
        <f>IF(AND(Table1[[#This Row],[Low41]]=0, Table1[[#This Row],[High43]]=0),"N","Y")</f>
        <v>Y</v>
      </c>
    </row>
    <row r="1313" spans="1:97" ht="19.5" customHeight="1" x14ac:dyDescent="0.25">
      <c r="A1313">
        <v>11315</v>
      </c>
      <c r="B1313" s="32" t="s">
        <v>4054</v>
      </c>
      <c r="C1313" s="32" t="s">
        <v>223</v>
      </c>
      <c r="D1313">
        <v>55.528640000000003</v>
      </c>
      <c r="E1313">
        <v>21.500699999999998</v>
      </c>
      <c r="F1313" s="32" t="s">
        <v>4073</v>
      </c>
      <c r="G1313" t="s">
        <v>2682</v>
      </c>
      <c r="H1313" t="s">
        <v>4056</v>
      </c>
      <c r="I1313" s="32" t="s">
        <v>520</v>
      </c>
      <c r="J1313" s="32" t="s">
        <v>202</v>
      </c>
      <c r="K1313" s="32" t="s">
        <v>203</v>
      </c>
      <c r="L1313" s="32" t="s">
        <v>121</v>
      </c>
      <c r="M1313" t="s">
        <v>2693</v>
      </c>
      <c r="N1313" s="27" t="s">
        <v>4074</v>
      </c>
      <c r="O1313" t="s">
        <v>2652</v>
      </c>
      <c r="P1313" t="s">
        <v>4075</v>
      </c>
      <c r="Q1313" s="6" t="s">
        <v>4076</v>
      </c>
      <c r="R1313" s="38" t="s">
        <v>4077</v>
      </c>
      <c r="S1313">
        <v>2023</v>
      </c>
      <c r="T1313" t="s">
        <v>3959</v>
      </c>
      <c r="U1313" t="s">
        <v>1479</v>
      </c>
      <c r="V1313" s="7">
        <v>200</v>
      </c>
      <c r="W1313" s="7">
        <v>1973</v>
      </c>
      <c r="X1313">
        <v>50</v>
      </c>
      <c r="Y1313">
        <v>30</v>
      </c>
      <c r="Z1313">
        <v>10</v>
      </c>
      <c r="AA1313">
        <v>400</v>
      </c>
      <c r="AC1313" s="7"/>
      <c r="AD1313" s="7"/>
      <c r="AE1313" t="str">
        <f>IF(ISERROR([2]!Table1[[#This Row],[Well Count]]/[2]!Table1[[#This Row],[Site Area km2]]),"",[2]!Table1[[#This Row],[Well Count]]/[2]!Table1[[#This Row],[Site Area km2]])</f>
        <v/>
      </c>
      <c r="AF1313">
        <v>200</v>
      </c>
      <c r="AH1313" t="s">
        <v>1612</v>
      </c>
      <c r="AI1313" s="34"/>
      <c r="AM1313" s="21" t="s">
        <v>4061</v>
      </c>
      <c r="AN1313" t="s">
        <v>132</v>
      </c>
      <c r="AO1313" s="19"/>
      <c r="AP1313" s="19"/>
      <c r="AQ1313" s="19"/>
      <c r="AR1313" s="19"/>
      <c r="AS1313" s="19"/>
      <c r="AT1313" s="19"/>
      <c r="AU1313" s="19"/>
      <c r="AV1313" s="19"/>
      <c r="AW1313" s="19"/>
      <c r="AX1313" s="19"/>
      <c r="AY1313" s="19"/>
      <c r="AZ1313" s="19"/>
      <c r="BA1313" s="19"/>
      <c r="BB1313" s="19"/>
      <c r="BC1313" s="19"/>
      <c r="BD1313" s="19"/>
      <c r="BE1313" s="19"/>
      <c r="BF1313" s="19"/>
      <c r="BG1313" s="19"/>
      <c r="BH1313" s="19"/>
      <c r="BI1313" s="19"/>
      <c r="BJ1313" s="19"/>
      <c r="BK1313" s="19"/>
      <c r="BL1313" s="19"/>
      <c r="BM1313" s="19">
        <v>67</v>
      </c>
      <c r="BN1313" s="19">
        <v>94</v>
      </c>
      <c r="BO1313" s="19">
        <v>267</v>
      </c>
      <c r="BP1313" s="19"/>
      <c r="BQ1313" s="19"/>
      <c r="BR1313" s="19"/>
      <c r="BS1313" s="19"/>
      <c r="BT1313" s="19"/>
      <c r="BU1313" s="19"/>
      <c r="BV1313" s="19"/>
      <c r="BW1313" s="19"/>
      <c r="BX1313" s="19"/>
      <c r="BY1313" s="19"/>
      <c r="BZ1313" s="19"/>
      <c r="CA1313" s="19"/>
      <c r="CB1313" s="19"/>
      <c r="CC1313" s="19"/>
      <c r="CD1313" s="19"/>
      <c r="CE1313" s="19">
        <f>SUM(Table1[[#This Row],[Low38]],Table1[[#This Row],[Low35]],Table1[[#This Row],[Low32]],Table1[[#This Row],[Low29]],Table1[[#This Row],[Low26]],Table1[[#This Row],[Low23]],Table1[[#This Row],[Low20]],Table1[[#This Row],[Low17]],Table1[[#This Row],[Low14]],Table1[[#This Row],[Low11]],Table1[[#This Row],[Low8]],Table1[[#This Row],[Low5]],Table1[[#This Row],[Low2]],Table1[[#This Row],[Low]])</f>
        <v>67</v>
      </c>
      <c r="CF1313" s="19">
        <f>SUM(Table1[[#This Row],[Mid39]],Table1[[#This Row],[Mid36]],Table1[[#This Row],[Mid33]],Table1[[#This Row],[Mid30]],Table1[[#This Row],[Mid27]],Table1[[#This Row],[Mid24]],Table1[[#This Row],[Mid21]],Table1[[#This Row],[Mid18]],Table1[[#This Row],[Mid15]],Table1[[#This Row],[Mid12]],Table1[[#This Row],[Mid9]],Table1[[#This Row],[Mid6]],Table1[[#This Row],[Mid3]],Table1[[#This Row],[Mid]])</f>
        <v>94</v>
      </c>
      <c r="CG13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267</v>
      </c>
      <c r="CI1313" s="35" t="s">
        <v>134</v>
      </c>
      <c r="CJ1313" s="37" t="s">
        <v>133</v>
      </c>
      <c r="CL1313" s="19">
        <f>IF(Table1[[#This Row],[Type]]="Petroleum",1,IF(ISERROR(Table1[[#This Row],[Well Density]]*Table1[[#This Row],[Single Well Discovery Area]]),"",IF(Table1[[#This Row],[Well Density]]*Table1[[#This Row],[Single Well Discovery Area]]&gt;1,1,Table1[[#This Row],[Well Density]]*Table1[[#This Row],[Single Well Discovery Area]])))</f>
        <v>1</v>
      </c>
      <c r="CM1313" t="s">
        <v>133</v>
      </c>
      <c r="CN1313" s="19">
        <f>Table1[[#This Row],[Mid]]</f>
        <v>0</v>
      </c>
      <c r="CO1313" s="19">
        <f>Table1[[#This Row],[Mid3]]+Table1[[#This Row],[Mid6]]+Table1[[#This Row],[Mid9]]</f>
        <v>0</v>
      </c>
      <c r="CP1313" s="19">
        <f>Table1[[#This Row],[Mid12]]+Table1[[#This Row],[Mid15]]+Table1[[#This Row],[Mid18]]+Table1[[#This Row],[Mid21]]+Table1[[#This Row],[Mid24]]</f>
        <v>94</v>
      </c>
      <c r="CQ1313" s="19">
        <f>Table1[[#This Row],[Mid27]]+Table1[[#This Row],[Mid30]]+Table1[[#This Row],[Mid33]]+Table1[[#This Row],[Mid36]]+Table1[[#This Row],[Mid39]]</f>
        <v>0</v>
      </c>
      <c r="CR1313" t="s">
        <v>415</v>
      </c>
      <c r="CS1313" s="19" t="str">
        <f>IF(AND(Table1[[#This Row],[Low41]]=0, Table1[[#This Row],[High43]]=0),"N","Y")</f>
        <v>Y</v>
      </c>
    </row>
    <row r="1314" spans="1:97" ht="19.5" customHeight="1" x14ac:dyDescent="0.25">
      <c r="A1314">
        <v>11316</v>
      </c>
      <c r="B1314" s="32" t="s">
        <v>4078</v>
      </c>
      <c r="C1314" s="32" t="s">
        <v>4079</v>
      </c>
      <c r="D1314">
        <v>41.757199999999997</v>
      </c>
      <c r="E1314">
        <v>-9.3178000000000001</v>
      </c>
      <c r="F1314" s="32" t="s">
        <v>4080</v>
      </c>
      <c r="G1314" t="s">
        <v>4081</v>
      </c>
      <c r="H1314" t="s">
        <v>4082</v>
      </c>
      <c r="I1314" s="32" t="s">
        <v>118</v>
      </c>
      <c r="J1314" s="32" t="s">
        <v>119</v>
      </c>
      <c r="K1314" s="32" t="s">
        <v>190</v>
      </c>
      <c r="L1314" s="32" t="s">
        <v>121</v>
      </c>
      <c r="M1314" t="s">
        <v>2670</v>
      </c>
      <c r="N1314" s="27" t="s">
        <v>4083</v>
      </c>
      <c r="O1314" t="s">
        <v>2652</v>
      </c>
      <c r="P1314" t="s">
        <v>1150</v>
      </c>
      <c r="Q1314" s="6" t="s">
        <v>4084</v>
      </c>
      <c r="R1314" s="38" t="s">
        <v>4085</v>
      </c>
      <c r="S1314">
        <v>2021</v>
      </c>
      <c r="T1314" t="s">
        <v>3959</v>
      </c>
      <c r="U1314" t="s">
        <v>1479</v>
      </c>
      <c r="V1314" s="7">
        <v>448</v>
      </c>
      <c r="W1314" s="7"/>
      <c r="X1314">
        <v>645</v>
      </c>
      <c r="Y1314">
        <v>37</v>
      </c>
      <c r="Z1314">
        <v>25</v>
      </c>
      <c r="AC1314" s="7">
        <v>787</v>
      </c>
      <c r="AD1314" s="7">
        <v>1</v>
      </c>
      <c r="AE1314" t="str">
        <f>IF(ISERROR([2]!Table1[[#This Row],[Well Count]]/[2]!Table1[[#This Row],[Site Area km2]]),"",[2]!Table1[[#This Row],[Well Count]]/[2]!Table1[[#This Row],[Site Area km2]])</f>
        <v/>
      </c>
      <c r="AF1314">
        <v>200</v>
      </c>
      <c r="AH1314" t="s">
        <v>2259</v>
      </c>
      <c r="AI1314" s="34">
        <v>1.5</v>
      </c>
      <c r="AM1314" s="21" t="s">
        <v>3960</v>
      </c>
      <c r="AN1314" t="s">
        <v>132</v>
      </c>
      <c r="AO1314" s="19"/>
      <c r="AP1314" s="19"/>
      <c r="AQ1314" s="19"/>
      <c r="AR1314" s="19"/>
      <c r="AS1314" s="19"/>
      <c r="AT1314" s="19"/>
      <c r="AU1314" s="19"/>
      <c r="AV1314" s="19"/>
      <c r="AW1314" s="19"/>
      <c r="AX1314" s="19"/>
      <c r="AY1314" s="19"/>
      <c r="AZ1314" s="19"/>
      <c r="BA1314" s="19"/>
      <c r="BB1314" s="19"/>
      <c r="BC1314" s="19"/>
      <c r="BD1314" s="19"/>
      <c r="BE1314" s="19"/>
      <c r="BF1314" s="19"/>
      <c r="BG1314" s="19"/>
      <c r="BH1314" s="19">
        <v>316</v>
      </c>
      <c r="BI1314" s="19"/>
      <c r="BJ1314" s="19"/>
      <c r="BK1314" s="19"/>
      <c r="BL1314" s="19"/>
      <c r="BM1314" s="19"/>
      <c r="BN1314" s="19"/>
      <c r="BO1314" s="19"/>
      <c r="BP1314" s="19"/>
      <c r="BQ1314" s="19"/>
      <c r="BR1314" s="19"/>
      <c r="BS1314" s="19"/>
      <c r="BT1314" s="19"/>
      <c r="BU1314" s="19"/>
      <c r="BV1314" s="19"/>
      <c r="BW1314" s="19"/>
      <c r="BX1314" s="19"/>
      <c r="BY1314" s="19"/>
      <c r="BZ1314" s="19"/>
      <c r="CA1314" s="19"/>
      <c r="CB1314" s="19"/>
      <c r="CC1314" s="19"/>
      <c r="CD1314" s="19"/>
      <c r="CE131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14" s="19">
        <f>SUM(Table1[[#This Row],[Mid39]],Table1[[#This Row],[Mid36]],Table1[[#This Row],[Mid33]],Table1[[#This Row],[Mid30]],Table1[[#This Row],[Mid27]],Table1[[#This Row],[Mid24]],Table1[[#This Row],[Mid21]],Table1[[#This Row],[Mid18]],Table1[[#This Row],[Mid15]],Table1[[#This Row],[Mid12]],Table1[[#This Row],[Mid9]],Table1[[#This Row],[Mid6]],Table1[[#This Row],[Mid3]],Table1[[#This Row],[Mid]])</f>
        <v>316</v>
      </c>
      <c r="CG13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14" s="35" t="s">
        <v>134</v>
      </c>
      <c r="CJ1314" s="37" t="s">
        <v>157</v>
      </c>
      <c r="CL1314" s="19" t="str">
        <f>IF(Table1[[#This Row],[Type]]="Petroleum",1,IF(ISERROR(Table1[[#This Row],[Well Density]]*Table1[[#This Row],[Single Well Discovery Area]]),"",IF(Table1[[#This Row],[Well Density]]*Table1[[#This Row],[Single Well Discovery Area]]&gt;1,1,Table1[[#This Row],[Well Density]]*Table1[[#This Row],[Single Well Discovery Area]])))</f>
        <v/>
      </c>
      <c r="CM1314" t="s">
        <v>157</v>
      </c>
      <c r="CN1314" s="19">
        <f>Table1[[#This Row],[Mid]]</f>
        <v>0</v>
      </c>
      <c r="CO1314" s="19">
        <f>Table1[[#This Row],[Mid3]]+Table1[[#This Row],[Mid6]]+Table1[[#This Row],[Mid9]]</f>
        <v>0</v>
      </c>
      <c r="CP1314" s="19">
        <f>Table1[[#This Row],[Mid12]]+Table1[[#This Row],[Mid15]]+Table1[[#This Row],[Mid18]]+Table1[[#This Row],[Mid21]]+Table1[[#This Row],[Mid24]]</f>
        <v>316</v>
      </c>
      <c r="CQ1314" s="19">
        <f>Table1[[#This Row],[Mid27]]+Table1[[#This Row],[Mid30]]+Table1[[#This Row],[Mid33]]+Table1[[#This Row],[Mid36]]+Table1[[#This Row],[Mid39]]</f>
        <v>0</v>
      </c>
      <c r="CR1314" t="s">
        <v>415</v>
      </c>
      <c r="CS1314" s="19" t="str">
        <f>IF(AND(Table1[[#This Row],[Low41]]=0, Table1[[#This Row],[High43]]=0),"N","Y")</f>
        <v>N</v>
      </c>
    </row>
    <row r="1315" spans="1:97" ht="19.5" customHeight="1" x14ac:dyDescent="0.25">
      <c r="A1315">
        <v>11317</v>
      </c>
      <c r="B1315" s="32" t="s">
        <v>4078</v>
      </c>
      <c r="C1315" s="32" t="s">
        <v>4079</v>
      </c>
      <c r="D1315">
        <v>41.663499999999999</v>
      </c>
      <c r="E1315">
        <v>-9.4649699999999992</v>
      </c>
      <c r="F1315" s="32" t="s">
        <v>4086</v>
      </c>
      <c r="G1315" t="s">
        <v>4081</v>
      </c>
      <c r="H1315" t="s">
        <v>4082</v>
      </c>
      <c r="I1315" s="32" t="s">
        <v>118</v>
      </c>
      <c r="J1315" s="32" t="s">
        <v>119</v>
      </c>
      <c r="K1315" s="32" t="s">
        <v>190</v>
      </c>
      <c r="L1315" s="32" t="s">
        <v>121</v>
      </c>
      <c r="M1315" t="s">
        <v>2670</v>
      </c>
      <c r="N1315" s="27" t="s">
        <v>4083</v>
      </c>
      <c r="O1315" t="s">
        <v>2652</v>
      </c>
      <c r="P1315" t="s">
        <v>1150</v>
      </c>
      <c r="Q1315" s="6" t="s">
        <v>4084</v>
      </c>
      <c r="R1315" s="38" t="s">
        <v>4085</v>
      </c>
      <c r="S1315">
        <v>2021</v>
      </c>
      <c r="T1315" t="s">
        <v>3959</v>
      </c>
      <c r="U1315" t="s">
        <v>1479</v>
      </c>
      <c r="V1315" s="7">
        <v>429</v>
      </c>
      <c r="W1315" s="7"/>
      <c r="X1315">
        <v>887</v>
      </c>
      <c r="Y1315">
        <v>37</v>
      </c>
      <c r="Z1315">
        <v>25</v>
      </c>
      <c r="AC1315" s="7">
        <v>728</v>
      </c>
      <c r="AD1315" s="7">
        <v>1</v>
      </c>
      <c r="AE1315" t="str">
        <f>IF(ISERROR([2]!Table1[[#This Row],[Well Count]]/[2]!Table1[[#This Row],[Site Area km2]]),"",[2]!Table1[[#This Row],[Well Count]]/[2]!Table1[[#This Row],[Site Area km2]])</f>
        <v/>
      </c>
      <c r="AF1315">
        <v>200</v>
      </c>
      <c r="AH1315" t="s">
        <v>2259</v>
      </c>
      <c r="AI1315" s="34">
        <v>1.5</v>
      </c>
      <c r="AM1315" s="21" t="s">
        <v>3960</v>
      </c>
      <c r="AN1315" t="s">
        <v>132</v>
      </c>
      <c r="AO1315" s="19"/>
      <c r="AP1315" s="19"/>
      <c r="AQ1315" s="19"/>
      <c r="AR1315" s="19"/>
      <c r="AS1315" s="19"/>
      <c r="AT1315" s="19"/>
      <c r="AU1315" s="19"/>
      <c r="AV1315" s="19"/>
      <c r="AW1315" s="19"/>
      <c r="AX1315" s="19"/>
      <c r="AY1315" s="19"/>
      <c r="AZ1315" s="19"/>
      <c r="BA1315" s="19"/>
      <c r="BB1315" s="19"/>
      <c r="BC1315" s="19"/>
      <c r="BD1315" s="19"/>
      <c r="BE1315" s="19"/>
      <c r="BF1315" s="19"/>
      <c r="BG1315" s="19"/>
      <c r="BH1315" s="19">
        <v>384</v>
      </c>
      <c r="BI1315" s="19"/>
      <c r="BJ1315" s="19"/>
      <c r="BK1315" s="19"/>
      <c r="BL1315" s="19"/>
      <c r="BM1315" s="19"/>
      <c r="BN1315" s="19"/>
      <c r="BO1315" s="19"/>
      <c r="BP1315" s="19"/>
      <c r="BQ1315" s="19"/>
      <c r="BR1315" s="19"/>
      <c r="BS1315" s="19"/>
      <c r="BT1315" s="19"/>
      <c r="BU1315" s="19"/>
      <c r="BV1315" s="19"/>
      <c r="BW1315" s="19"/>
      <c r="BX1315" s="19"/>
      <c r="BY1315" s="19"/>
      <c r="BZ1315" s="19"/>
      <c r="CA1315" s="19"/>
      <c r="CB1315" s="19"/>
      <c r="CC1315" s="19"/>
      <c r="CD1315" s="19"/>
      <c r="CE131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15" s="19">
        <f>SUM(Table1[[#This Row],[Mid39]],Table1[[#This Row],[Mid36]],Table1[[#This Row],[Mid33]],Table1[[#This Row],[Mid30]],Table1[[#This Row],[Mid27]],Table1[[#This Row],[Mid24]],Table1[[#This Row],[Mid21]],Table1[[#This Row],[Mid18]],Table1[[#This Row],[Mid15]],Table1[[#This Row],[Mid12]],Table1[[#This Row],[Mid9]],Table1[[#This Row],[Mid6]],Table1[[#This Row],[Mid3]],Table1[[#This Row],[Mid]])</f>
        <v>384</v>
      </c>
      <c r="CG13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15" s="35" t="s">
        <v>134</v>
      </c>
      <c r="CJ1315" s="37" t="s">
        <v>157</v>
      </c>
      <c r="CL1315" s="19" t="str">
        <f>IF(Table1[[#This Row],[Type]]="Petroleum",1,IF(ISERROR(Table1[[#This Row],[Well Density]]*Table1[[#This Row],[Single Well Discovery Area]]),"",IF(Table1[[#This Row],[Well Density]]*Table1[[#This Row],[Single Well Discovery Area]]&gt;1,1,Table1[[#This Row],[Well Density]]*Table1[[#This Row],[Single Well Discovery Area]])))</f>
        <v/>
      </c>
      <c r="CM1315" t="s">
        <v>157</v>
      </c>
      <c r="CN1315" s="19">
        <f>Table1[[#This Row],[Mid]]</f>
        <v>0</v>
      </c>
      <c r="CO1315" s="19">
        <f>Table1[[#This Row],[Mid3]]+Table1[[#This Row],[Mid6]]+Table1[[#This Row],[Mid9]]</f>
        <v>0</v>
      </c>
      <c r="CP1315" s="19">
        <f>Table1[[#This Row],[Mid12]]+Table1[[#This Row],[Mid15]]+Table1[[#This Row],[Mid18]]+Table1[[#This Row],[Mid21]]+Table1[[#This Row],[Mid24]]</f>
        <v>384</v>
      </c>
      <c r="CQ1315" s="19">
        <f>Table1[[#This Row],[Mid27]]+Table1[[#This Row],[Mid30]]+Table1[[#This Row],[Mid33]]+Table1[[#This Row],[Mid36]]+Table1[[#This Row],[Mid39]]</f>
        <v>0</v>
      </c>
      <c r="CR1315" t="s">
        <v>415</v>
      </c>
      <c r="CS1315" s="19" t="str">
        <f>IF(AND(Table1[[#This Row],[Low41]]=0, Table1[[#This Row],[High43]]=0),"N","Y")</f>
        <v>N</v>
      </c>
    </row>
    <row r="1316" spans="1:97" ht="19.5" customHeight="1" x14ac:dyDescent="0.25">
      <c r="A1316">
        <v>11318</v>
      </c>
      <c r="B1316" s="32" t="s">
        <v>4078</v>
      </c>
      <c r="C1316" s="32" t="s">
        <v>4079</v>
      </c>
      <c r="D1316">
        <v>41.471600000000002</v>
      </c>
      <c r="E1316">
        <v>-9.2196999999999996</v>
      </c>
      <c r="F1316" s="32" t="s">
        <v>4087</v>
      </c>
      <c r="G1316" t="s">
        <v>4081</v>
      </c>
      <c r="H1316" t="s">
        <v>4082</v>
      </c>
      <c r="I1316" s="32" t="s">
        <v>118</v>
      </c>
      <c r="J1316" s="32" t="s">
        <v>119</v>
      </c>
      <c r="K1316" s="32" t="s">
        <v>190</v>
      </c>
      <c r="L1316" s="32" t="s">
        <v>18</v>
      </c>
      <c r="M1316" t="s">
        <v>2670</v>
      </c>
      <c r="N1316" s="27" t="s">
        <v>4083</v>
      </c>
      <c r="O1316" t="s">
        <v>2652</v>
      </c>
      <c r="P1316" t="s">
        <v>1150</v>
      </c>
      <c r="Q1316" s="6" t="s">
        <v>4084</v>
      </c>
      <c r="R1316" s="38" t="s">
        <v>4088</v>
      </c>
      <c r="S1316">
        <v>2021</v>
      </c>
      <c r="T1316" t="s">
        <v>3959</v>
      </c>
      <c r="U1316" t="s">
        <v>1479</v>
      </c>
      <c r="V1316" s="7">
        <v>290</v>
      </c>
      <c r="W1316" s="7"/>
      <c r="X1316">
        <v>607</v>
      </c>
      <c r="Y1316">
        <v>37</v>
      </c>
      <c r="Z1316">
        <v>25</v>
      </c>
      <c r="AC1316" s="7">
        <v>509</v>
      </c>
      <c r="AD1316" s="7"/>
      <c r="AE1316" t="str">
        <f>IF(ISERROR([2]!Table1[[#This Row],[Well Count]]/[2]!Table1[[#This Row],[Site Area km2]]),"",[2]!Table1[[#This Row],[Well Count]]/[2]!Table1[[#This Row],[Site Area km2]])</f>
        <v/>
      </c>
      <c r="AF1316">
        <v>200</v>
      </c>
      <c r="AH1316" t="s">
        <v>2259</v>
      </c>
      <c r="AI1316" s="34">
        <v>1.5</v>
      </c>
      <c r="AM1316" s="21" t="s">
        <v>3960</v>
      </c>
      <c r="AN1316" t="s">
        <v>132</v>
      </c>
      <c r="AO1316" s="19"/>
      <c r="AP1316" s="19"/>
      <c r="AQ1316" s="19"/>
      <c r="AR1316" s="19"/>
      <c r="AS1316" s="19"/>
      <c r="AT1316" s="19"/>
      <c r="AU1316" s="19"/>
      <c r="AV1316" s="19"/>
      <c r="AW1316" s="19"/>
      <c r="AX1316" s="19"/>
      <c r="AY1316" s="19"/>
      <c r="AZ1316" s="19"/>
      <c r="BA1316" s="19"/>
      <c r="BB1316" s="19"/>
      <c r="BC1316" s="19"/>
      <c r="BD1316" s="19"/>
      <c r="BE1316" s="19"/>
      <c r="BF1316" s="19"/>
      <c r="BG1316" s="19"/>
      <c r="BH1316" s="19"/>
      <c r="BI1316" s="19"/>
      <c r="BJ1316" s="19"/>
      <c r="BK1316" s="19"/>
      <c r="BL1316" s="19"/>
      <c r="BM1316" s="19"/>
      <c r="BN1316" s="19"/>
      <c r="BO1316" s="19"/>
      <c r="BP1316" s="19"/>
      <c r="BQ1316" s="19"/>
      <c r="BR1316" s="19"/>
      <c r="BS1316" s="19"/>
      <c r="BT1316" s="19">
        <v>124</v>
      </c>
      <c r="BU1316" s="19"/>
      <c r="BV1316" s="19"/>
      <c r="BW1316" s="19"/>
      <c r="BX1316" s="19"/>
      <c r="BY1316" s="19"/>
      <c r="BZ1316" s="19"/>
      <c r="CA1316" s="19"/>
      <c r="CB1316" s="19"/>
      <c r="CC1316" s="19"/>
      <c r="CD1316" s="19"/>
      <c r="CE131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16" s="19">
        <f>SUM(Table1[[#This Row],[Mid39]],Table1[[#This Row],[Mid36]],Table1[[#This Row],[Mid33]],Table1[[#This Row],[Mid30]],Table1[[#This Row],[Mid27]],Table1[[#This Row],[Mid24]],Table1[[#This Row],[Mid21]],Table1[[#This Row],[Mid18]],Table1[[#This Row],[Mid15]],Table1[[#This Row],[Mid12]],Table1[[#This Row],[Mid9]],Table1[[#This Row],[Mid6]],Table1[[#This Row],[Mid3]],Table1[[#This Row],[Mid]])</f>
        <v>124</v>
      </c>
      <c r="CG13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16" s="35" t="s">
        <v>134</v>
      </c>
      <c r="CJ1316" s="37" t="s">
        <v>157</v>
      </c>
      <c r="CL1316" s="19" t="str">
        <f>IF(Table1[[#This Row],[Type]]="Petroleum",1,IF(ISERROR(Table1[[#This Row],[Well Density]]*Table1[[#This Row],[Single Well Discovery Area]]),"",IF(Table1[[#This Row],[Well Density]]*Table1[[#This Row],[Single Well Discovery Area]]&gt;1,1,Table1[[#This Row],[Well Density]]*Table1[[#This Row],[Single Well Discovery Area]])))</f>
        <v/>
      </c>
      <c r="CM1316" t="s">
        <v>157</v>
      </c>
      <c r="CN1316" s="19">
        <f>Table1[[#This Row],[Mid]]</f>
        <v>0</v>
      </c>
      <c r="CO1316" s="19">
        <f>Table1[[#This Row],[Mid3]]+Table1[[#This Row],[Mid6]]+Table1[[#This Row],[Mid9]]</f>
        <v>0</v>
      </c>
      <c r="CP1316" s="19">
        <f>Table1[[#This Row],[Mid12]]+Table1[[#This Row],[Mid15]]+Table1[[#This Row],[Mid18]]+Table1[[#This Row],[Mid21]]+Table1[[#This Row],[Mid24]]</f>
        <v>0</v>
      </c>
      <c r="CQ1316" s="19">
        <f>Table1[[#This Row],[Mid27]]+Table1[[#This Row],[Mid30]]+Table1[[#This Row],[Mid33]]+Table1[[#This Row],[Mid36]]+Table1[[#This Row],[Mid39]]</f>
        <v>124</v>
      </c>
      <c r="CR1316" t="s">
        <v>415</v>
      </c>
      <c r="CS1316" s="19" t="str">
        <f>IF(AND(Table1[[#This Row],[Low41]]=0, Table1[[#This Row],[High43]]=0),"N","Y")</f>
        <v>N</v>
      </c>
    </row>
    <row r="1317" spans="1:97" ht="19.5" customHeight="1" x14ac:dyDescent="0.25">
      <c r="A1317">
        <v>11319</v>
      </c>
      <c r="B1317" s="32" t="s">
        <v>4078</v>
      </c>
      <c r="C1317" s="32" t="s">
        <v>4079</v>
      </c>
      <c r="D1317">
        <v>41.043900000000001</v>
      </c>
      <c r="E1317">
        <v>-9.3193000000000001</v>
      </c>
      <c r="F1317" s="32" t="s">
        <v>4089</v>
      </c>
      <c r="G1317" t="s">
        <v>4081</v>
      </c>
      <c r="H1317" t="s">
        <v>4082</v>
      </c>
      <c r="I1317" s="32" t="s">
        <v>118</v>
      </c>
      <c r="J1317" s="32" t="s">
        <v>119</v>
      </c>
      <c r="K1317" s="32" t="s">
        <v>190</v>
      </c>
      <c r="L1317" s="32" t="s">
        <v>121</v>
      </c>
      <c r="M1317" t="s">
        <v>2670</v>
      </c>
      <c r="N1317" s="27" t="s">
        <v>4083</v>
      </c>
      <c r="O1317" t="s">
        <v>2652</v>
      </c>
      <c r="P1317" t="s">
        <v>1150</v>
      </c>
      <c r="Q1317" s="6" t="s">
        <v>4084</v>
      </c>
      <c r="R1317" s="38" t="s">
        <v>4085</v>
      </c>
      <c r="S1317">
        <v>2021</v>
      </c>
      <c r="T1317" t="s">
        <v>3959</v>
      </c>
      <c r="U1317" t="s">
        <v>1479</v>
      </c>
      <c r="V1317" s="7">
        <v>636</v>
      </c>
      <c r="W1317" s="7"/>
      <c r="X1317">
        <v>445</v>
      </c>
      <c r="Y1317">
        <v>37</v>
      </c>
      <c r="Z1317">
        <v>25</v>
      </c>
      <c r="AC1317" s="7">
        <v>723</v>
      </c>
      <c r="AD1317" s="7">
        <v>1</v>
      </c>
      <c r="AE1317" t="str">
        <f>IF(ISERROR([2]!Table1[[#This Row],[Well Count]]/[2]!Table1[[#This Row],[Site Area km2]]),"",[2]!Table1[[#This Row],[Well Count]]/[2]!Table1[[#This Row],[Site Area km2]])</f>
        <v/>
      </c>
      <c r="AF1317">
        <v>200</v>
      </c>
      <c r="AH1317" t="s">
        <v>2259</v>
      </c>
      <c r="AI1317" s="34">
        <v>1.5</v>
      </c>
      <c r="AM1317" s="21" t="s">
        <v>3960</v>
      </c>
      <c r="AN1317" t="s">
        <v>132</v>
      </c>
      <c r="AO1317" s="19"/>
      <c r="AP1317" s="19"/>
      <c r="AQ1317" s="19"/>
      <c r="AR1317" s="19"/>
      <c r="AS1317" s="19"/>
      <c r="AT1317" s="19"/>
      <c r="AU1317" s="19"/>
      <c r="AV1317" s="19"/>
      <c r="AW1317" s="19"/>
      <c r="AX1317" s="19"/>
      <c r="AY1317" s="19"/>
      <c r="AZ1317" s="19"/>
      <c r="BA1317" s="19"/>
      <c r="BB1317" s="19"/>
      <c r="BC1317" s="19"/>
      <c r="BD1317" s="19"/>
      <c r="BE1317" s="19"/>
      <c r="BF1317" s="19"/>
      <c r="BG1317" s="19"/>
      <c r="BH1317" s="19">
        <v>284</v>
      </c>
      <c r="BI1317" s="19"/>
      <c r="BJ1317" s="19"/>
      <c r="BK1317" s="19"/>
      <c r="BL1317" s="19"/>
      <c r="BM1317" s="19"/>
      <c r="BN1317" s="19"/>
      <c r="BO1317" s="19"/>
      <c r="BP1317" s="19"/>
      <c r="BQ1317" s="19"/>
      <c r="BR1317" s="19"/>
      <c r="BS1317" s="19"/>
      <c r="BT1317" s="19"/>
      <c r="BU1317" s="19"/>
      <c r="BV1317" s="19"/>
      <c r="BW1317" s="19"/>
      <c r="BX1317" s="19"/>
      <c r="BY1317" s="19"/>
      <c r="BZ1317" s="19"/>
      <c r="CA1317" s="19"/>
      <c r="CB1317" s="19"/>
      <c r="CC1317" s="19"/>
      <c r="CD1317" s="19"/>
      <c r="CE131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17" s="19">
        <f>SUM(Table1[[#This Row],[Mid39]],Table1[[#This Row],[Mid36]],Table1[[#This Row],[Mid33]],Table1[[#This Row],[Mid30]],Table1[[#This Row],[Mid27]],Table1[[#This Row],[Mid24]],Table1[[#This Row],[Mid21]],Table1[[#This Row],[Mid18]],Table1[[#This Row],[Mid15]],Table1[[#This Row],[Mid12]],Table1[[#This Row],[Mid9]],Table1[[#This Row],[Mid6]],Table1[[#This Row],[Mid3]],Table1[[#This Row],[Mid]])</f>
        <v>284</v>
      </c>
      <c r="CG13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17" s="35" t="s">
        <v>134</v>
      </c>
      <c r="CJ1317" s="37" t="s">
        <v>157</v>
      </c>
      <c r="CL1317" s="19" t="str">
        <f>IF(Table1[[#This Row],[Type]]="Petroleum",1,IF(ISERROR(Table1[[#This Row],[Well Density]]*Table1[[#This Row],[Single Well Discovery Area]]),"",IF(Table1[[#This Row],[Well Density]]*Table1[[#This Row],[Single Well Discovery Area]]&gt;1,1,Table1[[#This Row],[Well Density]]*Table1[[#This Row],[Single Well Discovery Area]])))</f>
        <v/>
      </c>
      <c r="CM1317" t="s">
        <v>157</v>
      </c>
      <c r="CN1317" s="19">
        <f>Table1[[#This Row],[Mid]]</f>
        <v>0</v>
      </c>
      <c r="CO1317" s="19">
        <f>Table1[[#This Row],[Mid3]]+Table1[[#This Row],[Mid6]]+Table1[[#This Row],[Mid9]]</f>
        <v>0</v>
      </c>
      <c r="CP1317" s="19">
        <f>Table1[[#This Row],[Mid12]]+Table1[[#This Row],[Mid15]]+Table1[[#This Row],[Mid18]]+Table1[[#This Row],[Mid21]]+Table1[[#This Row],[Mid24]]</f>
        <v>284</v>
      </c>
      <c r="CQ1317" s="19">
        <f>Table1[[#This Row],[Mid27]]+Table1[[#This Row],[Mid30]]+Table1[[#This Row],[Mid33]]+Table1[[#This Row],[Mid36]]+Table1[[#This Row],[Mid39]]</f>
        <v>0</v>
      </c>
      <c r="CR1317" t="s">
        <v>415</v>
      </c>
      <c r="CS1317" s="19" t="str">
        <f>IF(AND(Table1[[#This Row],[Low41]]=0, Table1[[#This Row],[High43]]=0),"N","Y")</f>
        <v>N</v>
      </c>
    </row>
    <row r="1318" spans="1:97" ht="19.5" customHeight="1" x14ac:dyDescent="0.25">
      <c r="A1318">
        <v>11320</v>
      </c>
      <c r="B1318" s="32" t="s">
        <v>4078</v>
      </c>
      <c r="C1318" s="32" t="s">
        <v>4079</v>
      </c>
      <c r="D1318">
        <v>41.704500000000003</v>
      </c>
      <c r="E1318">
        <v>-9.1494</v>
      </c>
      <c r="F1318" s="32" t="s">
        <v>4090</v>
      </c>
      <c r="G1318" t="s">
        <v>4081</v>
      </c>
      <c r="H1318" t="s">
        <v>4082</v>
      </c>
      <c r="I1318" s="32" t="s">
        <v>118</v>
      </c>
      <c r="J1318" s="32" t="s">
        <v>119</v>
      </c>
      <c r="K1318" s="32" t="s">
        <v>190</v>
      </c>
      <c r="L1318" t="s">
        <v>121</v>
      </c>
      <c r="M1318" t="s">
        <v>2670</v>
      </c>
      <c r="N1318" s="27" t="s">
        <v>4083</v>
      </c>
      <c r="O1318" t="s">
        <v>2652</v>
      </c>
      <c r="P1318" t="s">
        <v>1150</v>
      </c>
      <c r="Q1318" s="27" t="s">
        <v>4084</v>
      </c>
      <c r="R1318" s="38" t="s">
        <v>4085</v>
      </c>
      <c r="S1318">
        <v>2021</v>
      </c>
      <c r="T1318" t="s">
        <v>3959</v>
      </c>
      <c r="U1318" t="s">
        <v>1479</v>
      </c>
      <c r="V1318" s="7">
        <v>218</v>
      </c>
      <c r="W1318" s="7"/>
      <c r="X1318">
        <v>306</v>
      </c>
      <c r="Y1318">
        <v>37</v>
      </c>
      <c r="Z1318">
        <v>25</v>
      </c>
      <c r="AC1318" s="7">
        <v>664</v>
      </c>
      <c r="AD1318" s="7">
        <v>1</v>
      </c>
      <c r="AE1318" t="str">
        <f>IF(ISERROR([2]!Table1[[#This Row],[Well Count]]/[2]!Table1[[#This Row],[Site Area km2]]),"",[2]!Table1[[#This Row],[Well Count]]/[2]!Table1[[#This Row],[Site Area km2]])</f>
        <v/>
      </c>
      <c r="AF1318">
        <v>200</v>
      </c>
      <c r="AH1318" t="s">
        <v>2259</v>
      </c>
      <c r="AI1318" s="34">
        <v>1.5</v>
      </c>
      <c r="AM1318" s="21" t="s">
        <v>3960</v>
      </c>
      <c r="AN1318" t="s">
        <v>132</v>
      </c>
      <c r="AO1318" s="19"/>
      <c r="AP1318" s="19"/>
      <c r="AQ1318" s="19"/>
      <c r="AR1318" s="19"/>
      <c r="AS1318" s="19"/>
      <c r="AT1318" s="19"/>
      <c r="AU1318" s="19"/>
      <c r="AV1318" s="19"/>
      <c r="AW1318" s="19"/>
      <c r="AX1318" s="19"/>
      <c r="AY1318" s="19"/>
      <c r="AZ1318" s="19"/>
      <c r="BA1318" s="19"/>
      <c r="BB1318" s="19"/>
      <c r="BC1318" s="19"/>
      <c r="BD1318" s="19"/>
      <c r="BE1318" s="19"/>
      <c r="BF1318" s="19"/>
      <c r="BG1318" s="19"/>
      <c r="BH1318" s="19">
        <v>61</v>
      </c>
      <c r="BI1318" s="19"/>
      <c r="BJ1318" s="19"/>
      <c r="BK1318" s="19"/>
      <c r="BL1318" s="19"/>
      <c r="BM1318" s="19"/>
      <c r="BN1318" s="19"/>
      <c r="BO1318" s="19"/>
      <c r="BP1318" s="19"/>
      <c r="BQ1318" s="19"/>
      <c r="BR1318" s="19"/>
      <c r="BS1318" s="19"/>
      <c r="BT1318" s="19"/>
      <c r="BU1318" s="19"/>
      <c r="BV1318" s="19"/>
      <c r="BW1318" s="19"/>
      <c r="BX1318" s="19"/>
      <c r="BY1318" s="19"/>
      <c r="BZ1318" s="19"/>
      <c r="CA1318" s="19"/>
      <c r="CB1318" s="19"/>
      <c r="CC1318" s="19"/>
      <c r="CD1318" s="19"/>
      <c r="CE131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18" s="19">
        <f>SUM(Table1[[#This Row],[Mid39]],Table1[[#This Row],[Mid36]],Table1[[#This Row],[Mid33]],Table1[[#This Row],[Mid30]],Table1[[#This Row],[Mid27]],Table1[[#This Row],[Mid24]],Table1[[#This Row],[Mid21]],Table1[[#This Row],[Mid18]],Table1[[#This Row],[Mid15]],Table1[[#This Row],[Mid12]],Table1[[#This Row],[Mid9]],Table1[[#This Row],[Mid6]],Table1[[#This Row],[Mid3]],Table1[[#This Row],[Mid]])</f>
        <v>61</v>
      </c>
      <c r="CG131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18" s="35" t="s">
        <v>134</v>
      </c>
      <c r="CJ1318" s="37" t="s">
        <v>157</v>
      </c>
      <c r="CL1318" s="19" t="str">
        <f>IF(Table1[[#This Row],[Type]]="Petroleum",1,IF(ISERROR(Table1[[#This Row],[Well Density]]*Table1[[#This Row],[Single Well Discovery Area]]),"",IF(Table1[[#This Row],[Well Density]]*Table1[[#This Row],[Single Well Discovery Area]]&gt;1,1,Table1[[#This Row],[Well Density]]*Table1[[#This Row],[Single Well Discovery Area]])))</f>
        <v/>
      </c>
      <c r="CM1318" t="s">
        <v>157</v>
      </c>
      <c r="CN1318" s="19">
        <f>Table1[[#This Row],[Mid]]</f>
        <v>0</v>
      </c>
      <c r="CO1318" s="19">
        <f>Table1[[#This Row],[Mid3]]+Table1[[#This Row],[Mid6]]+Table1[[#This Row],[Mid9]]</f>
        <v>0</v>
      </c>
      <c r="CP1318" s="19">
        <f>Table1[[#This Row],[Mid12]]+Table1[[#This Row],[Mid15]]+Table1[[#This Row],[Mid18]]+Table1[[#This Row],[Mid21]]+Table1[[#This Row],[Mid24]]</f>
        <v>61</v>
      </c>
      <c r="CQ1318" s="19">
        <f>Table1[[#This Row],[Mid27]]+Table1[[#This Row],[Mid30]]+Table1[[#This Row],[Mid33]]+Table1[[#This Row],[Mid36]]+Table1[[#This Row],[Mid39]]</f>
        <v>0</v>
      </c>
      <c r="CR1318" t="s">
        <v>415</v>
      </c>
      <c r="CS1318" s="19" t="str">
        <f>IF(AND(Table1[[#This Row],[Low41]]=0, Table1[[#This Row],[High43]]=0),"N","Y")</f>
        <v>N</v>
      </c>
    </row>
    <row r="1319" spans="1:97" ht="19.5" customHeight="1" x14ac:dyDescent="0.25">
      <c r="A1319">
        <v>11321</v>
      </c>
      <c r="B1319" s="32" t="s">
        <v>4078</v>
      </c>
      <c r="C1319" s="32" t="s">
        <v>4079</v>
      </c>
      <c r="D1319">
        <v>41.575600000000001</v>
      </c>
      <c r="E1319">
        <v>-9.1201000000000008</v>
      </c>
      <c r="F1319" s="32" t="s">
        <v>4091</v>
      </c>
      <c r="G1319" t="s">
        <v>4081</v>
      </c>
      <c r="H1319" t="s">
        <v>4082</v>
      </c>
      <c r="I1319" s="32" t="s">
        <v>118</v>
      </c>
      <c r="J1319" s="32" t="s">
        <v>119</v>
      </c>
      <c r="K1319" s="32" t="s">
        <v>190</v>
      </c>
      <c r="L1319" s="32" t="s">
        <v>121</v>
      </c>
      <c r="M1319" t="s">
        <v>2670</v>
      </c>
      <c r="N1319" s="27" t="s">
        <v>4083</v>
      </c>
      <c r="O1319" t="s">
        <v>2652</v>
      </c>
      <c r="P1319" t="s">
        <v>1150</v>
      </c>
      <c r="Q1319" s="6" t="s">
        <v>4084</v>
      </c>
      <c r="R1319" s="38" t="s">
        <v>4085</v>
      </c>
      <c r="S1319">
        <v>2021</v>
      </c>
      <c r="T1319" t="s">
        <v>3959</v>
      </c>
      <c r="U1319" t="s">
        <v>1479</v>
      </c>
      <c r="V1319" s="7">
        <v>166</v>
      </c>
      <c r="W1319" s="7"/>
      <c r="X1319">
        <v>284</v>
      </c>
      <c r="Y1319">
        <v>37</v>
      </c>
      <c r="Z1319">
        <v>25</v>
      </c>
      <c r="AC1319" s="7">
        <v>539</v>
      </c>
      <c r="AD1319" s="7">
        <v>1</v>
      </c>
      <c r="AE1319" t="str">
        <f>IF(ISERROR([2]!Table1[[#This Row],[Well Count]]/[2]!Table1[[#This Row],[Site Area km2]]),"",[2]!Table1[[#This Row],[Well Count]]/[2]!Table1[[#This Row],[Site Area km2]])</f>
        <v/>
      </c>
      <c r="AF1319">
        <v>200</v>
      </c>
      <c r="AH1319" t="s">
        <v>2259</v>
      </c>
      <c r="AI1319" s="34">
        <v>1.5</v>
      </c>
      <c r="AM1319" s="21" t="s">
        <v>3960</v>
      </c>
      <c r="AN1319" t="s">
        <v>132</v>
      </c>
      <c r="AO1319" s="19"/>
      <c r="AP1319" s="19"/>
      <c r="AQ1319" s="19"/>
      <c r="AR1319" s="19"/>
      <c r="AS1319" s="19"/>
      <c r="AT1319" s="19"/>
      <c r="AU1319" s="19"/>
      <c r="AV1319" s="19"/>
      <c r="AW1319" s="19"/>
      <c r="AX1319" s="19"/>
      <c r="AY1319" s="19"/>
      <c r="AZ1319" s="19"/>
      <c r="BA1319" s="19"/>
      <c r="BB1319" s="19"/>
      <c r="BC1319" s="19"/>
      <c r="BD1319" s="19"/>
      <c r="BE1319" s="19"/>
      <c r="BF1319" s="19"/>
      <c r="BG1319" s="19"/>
      <c r="BH1319" s="19">
        <v>35</v>
      </c>
      <c r="BI1319" s="19"/>
      <c r="BJ1319" s="19"/>
      <c r="BK1319" s="19"/>
      <c r="BL1319" s="19"/>
      <c r="BM1319" s="19"/>
      <c r="BN1319" s="19"/>
      <c r="BO1319" s="19"/>
      <c r="BP1319" s="19"/>
      <c r="BQ1319" s="19"/>
      <c r="BR1319" s="19"/>
      <c r="BS1319" s="19"/>
      <c r="BT1319" s="19"/>
      <c r="BU1319" s="19"/>
      <c r="BV1319" s="19"/>
      <c r="BW1319" s="19"/>
      <c r="BX1319" s="19"/>
      <c r="BY1319" s="19"/>
      <c r="BZ1319" s="19"/>
      <c r="CA1319" s="19"/>
      <c r="CB1319" s="19"/>
      <c r="CC1319" s="19"/>
      <c r="CD1319" s="19"/>
      <c r="CE131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19" s="19">
        <f>SUM(Table1[[#This Row],[Mid39]],Table1[[#This Row],[Mid36]],Table1[[#This Row],[Mid33]],Table1[[#This Row],[Mid30]],Table1[[#This Row],[Mid27]],Table1[[#This Row],[Mid24]],Table1[[#This Row],[Mid21]],Table1[[#This Row],[Mid18]],Table1[[#This Row],[Mid15]],Table1[[#This Row],[Mid12]],Table1[[#This Row],[Mid9]],Table1[[#This Row],[Mid6]],Table1[[#This Row],[Mid3]],Table1[[#This Row],[Mid]])</f>
        <v>35</v>
      </c>
      <c r="CG13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19" s="35" t="s">
        <v>134</v>
      </c>
      <c r="CJ1319" s="37" t="s">
        <v>157</v>
      </c>
      <c r="CL1319" s="19" t="str">
        <f>IF(Table1[[#This Row],[Type]]="Petroleum",1,IF(ISERROR(Table1[[#This Row],[Well Density]]*Table1[[#This Row],[Single Well Discovery Area]]),"",IF(Table1[[#This Row],[Well Density]]*Table1[[#This Row],[Single Well Discovery Area]]&gt;1,1,Table1[[#This Row],[Well Density]]*Table1[[#This Row],[Single Well Discovery Area]])))</f>
        <v/>
      </c>
      <c r="CM1319" t="s">
        <v>157</v>
      </c>
      <c r="CN1319" s="19">
        <f>Table1[[#This Row],[Mid]]</f>
        <v>0</v>
      </c>
      <c r="CO1319" s="19">
        <f>Table1[[#This Row],[Mid3]]+Table1[[#This Row],[Mid6]]+Table1[[#This Row],[Mid9]]</f>
        <v>0</v>
      </c>
      <c r="CP1319" s="19">
        <f>Table1[[#This Row],[Mid12]]+Table1[[#This Row],[Mid15]]+Table1[[#This Row],[Mid18]]+Table1[[#This Row],[Mid21]]+Table1[[#This Row],[Mid24]]</f>
        <v>35</v>
      </c>
      <c r="CQ1319" s="19">
        <f>Table1[[#This Row],[Mid27]]+Table1[[#This Row],[Mid30]]+Table1[[#This Row],[Mid33]]+Table1[[#This Row],[Mid36]]+Table1[[#This Row],[Mid39]]</f>
        <v>0</v>
      </c>
      <c r="CR1319" t="s">
        <v>415</v>
      </c>
      <c r="CS1319" s="19" t="str">
        <f>IF(AND(Table1[[#This Row],[Low41]]=0, Table1[[#This Row],[High43]]=0),"N","Y")</f>
        <v>N</v>
      </c>
    </row>
    <row r="1320" spans="1:97" ht="19.5" customHeight="1" x14ac:dyDescent="0.25">
      <c r="A1320">
        <v>11322</v>
      </c>
      <c r="B1320" s="32" t="s">
        <v>4078</v>
      </c>
      <c r="C1320" s="32" t="s">
        <v>4079</v>
      </c>
      <c r="D1320">
        <v>41.115699999999997</v>
      </c>
      <c r="E1320">
        <v>-9.0877999999999997</v>
      </c>
      <c r="F1320" s="32" t="s">
        <v>4092</v>
      </c>
      <c r="G1320" t="s">
        <v>4081</v>
      </c>
      <c r="H1320" t="s">
        <v>4082</v>
      </c>
      <c r="I1320" s="32" t="s">
        <v>118</v>
      </c>
      <c r="J1320" s="32" t="s">
        <v>119</v>
      </c>
      <c r="K1320" s="32" t="s">
        <v>203</v>
      </c>
      <c r="L1320" s="32" t="s">
        <v>18</v>
      </c>
      <c r="M1320" t="s">
        <v>2670</v>
      </c>
      <c r="N1320" s="27" t="s">
        <v>4083</v>
      </c>
      <c r="O1320" t="s">
        <v>2652</v>
      </c>
      <c r="P1320" t="s">
        <v>1150</v>
      </c>
      <c r="Q1320" s="6" t="s">
        <v>4084</v>
      </c>
      <c r="R1320" s="38" t="s">
        <v>4093</v>
      </c>
      <c r="S1320">
        <v>2021</v>
      </c>
      <c r="T1320" t="s">
        <v>3959</v>
      </c>
      <c r="U1320" t="s">
        <v>1479</v>
      </c>
      <c r="V1320" s="7">
        <v>993</v>
      </c>
      <c r="W1320" s="7"/>
      <c r="X1320">
        <v>319</v>
      </c>
      <c r="Y1320">
        <v>18</v>
      </c>
      <c r="Z1320">
        <v>25</v>
      </c>
      <c r="AC1320" s="7">
        <v>683</v>
      </c>
      <c r="AD1320" s="7"/>
      <c r="AE1320" t="str">
        <f>IF(ISERROR([2]!Table1[[#This Row],[Well Count]]/[2]!Table1[[#This Row],[Site Area km2]]),"",[2]!Table1[[#This Row],[Well Count]]/[2]!Table1[[#This Row],[Site Area km2]])</f>
        <v/>
      </c>
      <c r="AF1320">
        <v>200</v>
      </c>
      <c r="AH1320" t="s">
        <v>2259</v>
      </c>
      <c r="AI1320" s="34">
        <v>1.5</v>
      </c>
      <c r="AM1320" s="21" t="s">
        <v>3960</v>
      </c>
      <c r="AN1320" t="s">
        <v>132</v>
      </c>
      <c r="AO1320" s="19"/>
      <c r="AP1320" s="19"/>
      <c r="AQ1320" s="19"/>
      <c r="AR1320" s="19"/>
      <c r="AS1320" s="19"/>
      <c r="AT1320" s="19"/>
      <c r="AU1320" s="19"/>
      <c r="AV1320" s="19"/>
      <c r="AW1320" s="19"/>
      <c r="AX1320" s="19"/>
      <c r="AY1320" s="19"/>
      <c r="AZ1320" s="19"/>
      <c r="BA1320" s="19"/>
      <c r="BB1320" s="19"/>
      <c r="BC1320" s="19"/>
      <c r="BD1320" s="19"/>
      <c r="BE1320" s="19"/>
      <c r="BF1320" s="19"/>
      <c r="BG1320" s="19"/>
      <c r="BH1320" s="19"/>
      <c r="BI1320" s="19"/>
      <c r="BJ1320" s="19"/>
      <c r="BK1320" s="19"/>
      <c r="BL1320" s="19"/>
      <c r="BM1320" s="19"/>
      <c r="BN1320" s="19"/>
      <c r="BO1320" s="19"/>
      <c r="BP1320" s="19"/>
      <c r="BQ1320" s="19"/>
      <c r="BR1320" s="19"/>
      <c r="BS1320" s="19"/>
      <c r="BT1320" s="19">
        <v>146</v>
      </c>
      <c r="BU1320" s="19"/>
      <c r="BV1320" s="19"/>
      <c r="BW1320" s="19"/>
      <c r="BX1320" s="19"/>
      <c r="BY1320" s="19"/>
      <c r="BZ1320" s="19"/>
      <c r="CA1320" s="19"/>
      <c r="CB1320" s="19"/>
      <c r="CC1320" s="19"/>
      <c r="CD1320" s="19"/>
      <c r="CE132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20" s="19">
        <f>SUM(Table1[[#This Row],[Mid39]],Table1[[#This Row],[Mid36]],Table1[[#This Row],[Mid33]],Table1[[#This Row],[Mid30]],Table1[[#This Row],[Mid27]],Table1[[#This Row],[Mid24]],Table1[[#This Row],[Mid21]],Table1[[#This Row],[Mid18]],Table1[[#This Row],[Mid15]],Table1[[#This Row],[Mid12]],Table1[[#This Row],[Mid9]],Table1[[#This Row],[Mid6]],Table1[[#This Row],[Mid3]],Table1[[#This Row],[Mid]])</f>
        <v>146</v>
      </c>
      <c r="CG13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20" s="35" t="s">
        <v>134</v>
      </c>
      <c r="CJ1320" s="37" t="s">
        <v>157</v>
      </c>
      <c r="CL1320" s="19" t="str">
        <f>IF(Table1[[#This Row],[Type]]="Petroleum",1,IF(ISERROR(Table1[[#This Row],[Well Density]]*Table1[[#This Row],[Single Well Discovery Area]]),"",IF(Table1[[#This Row],[Well Density]]*Table1[[#This Row],[Single Well Discovery Area]]&gt;1,1,Table1[[#This Row],[Well Density]]*Table1[[#This Row],[Single Well Discovery Area]])))</f>
        <v/>
      </c>
      <c r="CM1320" t="s">
        <v>157</v>
      </c>
      <c r="CN1320" s="19">
        <f>Table1[[#This Row],[Mid]]</f>
        <v>0</v>
      </c>
      <c r="CO1320" s="19">
        <f>Table1[[#This Row],[Mid3]]+Table1[[#This Row],[Mid6]]+Table1[[#This Row],[Mid9]]</f>
        <v>0</v>
      </c>
      <c r="CP1320" s="19">
        <f>Table1[[#This Row],[Mid12]]+Table1[[#This Row],[Mid15]]+Table1[[#This Row],[Mid18]]+Table1[[#This Row],[Mid21]]+Table1[[#This Row],[Mid24]]</f>
        <v>0</v>
      </c>
      <c r="CQ1320" s="19">
        <f>Table1[[#This Row],[Mid27]]+Table1[[#This Row],[Mid30]]+Table1[[#This Row],[Mid33]]+Table1[[#This Row],[Mid36]]+Table1[[#This Row],[Mid39]]</f>
        <v>146</v>
      </c>
      <c r="CR1320" t="s">
        <v>415</v>
      </c>
      <c r="CS1320" s="19" t="str">
        <f>IF(AND(Table1[[#This Row],[Low41]]=0, Table1[[#This Row],[High43]]=0),"N","Y")</f>
        <v>N</v>
      </c>
    </row>
    <row r="1321" spans="1:97" ht="19.5" customHeight="1" x14ac:dyDescent="0.25">
      <c r="A1321">
        <v>11323</v>
      </c>
      <c r="B1321" s="32" t="s">
        <v>4078</v>
      </c>
      <c r="C1321" s="32" t="s">
        <v>4079</v>
      </c>
      <c r="D1321">
        <v>41.355899999999998</v>
      </c>
      <c r="E1321">
        <v>-9.0952000000000002</v>
      </c>
      <c r="F1321" s="32" t="s">
        <v>4094</v>
      </c>
      <c r="G1321" t="s">
        <v>4081</v>
      </c>
      <c r="H1321" t="s">
        <v>4082</v>
      </c>
      <c r="I1321" s="32" t="s">
        <v>118</v>
      </c>
      <c r="J1321" s="32" t="s">
        <v>119</v>
      </c>
      <c r="K1321" s="32" t="s">
        <v>203</v>
      </c>
      <c r="L1321" s="32" t="s">
        <v>18</v>
      </c>
      <c r="M1321" t="s">
        <v>2670</v>
      </c>
      <c r="N1321" s="27" t="s">
        <v>4083</v>
      </c>
      <c r="O1321" t="s">
        <v>2652</v>
      </c>
      <c r="P1321" t="s">
        <v>1150</v>
      </c>
      <c r="Q1321" s="6" t="s">
        <v>4084</v>
      </c>
      <c r="R1321" s="38" t="s">
        <v>4093</v>
      </c>
      <c r="S1321">
        <v>2021</v>
      </c>
      <c r="T1321" t="s">
        <v>3959</v>
      </c>
      <c r="U1321" t="s">
        <v>1479</v>
      </c>
      <c r="V1321" s="7">
        <v>343</v>
      </c>
      <c r="W1321" s="7"/>
      <c r="X1321">
        <v>421</v>
      </c>
      <c r="Y1321">
        <v>37</v>
      </c>
      <c r="Z1321">
        <v>25</v>
      </c>
      <c r="AC1321" s="7">
        <v>644</v>
      </c>
      <c r="AD1321" s="7"/>
      <c r="AE1321" t="str">
        <f>IF(ISERROR([2]!Table1[[#This Row],[Well Count]]/[2]!Table1[[#This Row],[Site Area km2]]),"",[2]!Table1[[#This Row],[Well Count]]/[2]!Table1[[#This Row],[Site Area km2]])</f>
        <v/>
      </c>
      <c r="AF1321">
        <v>200</v>
      </c>
      <c r="AH1321" t="s">
        <v>2259</v>
      </c>
      <c r="AI1321" s="34">
        <v>1.5</v>
      </c>
      <c r="AM1321" s="21" t="s">
        <v>3960</v>
      </c>
      <c r="AN1321" t="s">
        <v>132</v>
      </c>
      <c r="AO1321" s="19"/>
      <c r="AP1321" s="19"/>
      <c r="AQ1321" s="19"/>
      <c r="AR1321" s="19"/>
      <c r="AS1321" s="19"/>
      <c r="AT1321" s="19"/>
      <c r="AU1321" s="19"/>
      <c r="AV1321" s="19"/>
      <c r="AW1321" s="19"/>
      <c r="AX1321" s="19"/>
      <c r="AY1321" s="19"/>
      <c r="AZ1321" s="19"/>
      <c r="BA1321" s="19"/>
      <c r="BB1321" s="19"/>
      <c r="BC1321" s="19"/>
      <c r="BD1321" s="19"/>
      <c r="BE1321" s="19"/>
      <c r="BF1321" s="19"/>
      <c r="BG1321" s="19"/>
      <c r="BH1321" s="19"/>
      <c r="BI1321" s="19"/>
      <c r="BJ1321" s="19"/>
      <c r="BK1321" s="19"/>
      <c r="BL1321" s="19"/>
      <c r="BM1321" s="19"/>
      <c r="BN1321" s="19"/>
      <c r="BO1321" s="19"/>
      <c r="BP1321" s="19"/>
      <c r="BQ1321" s="19"/>
      <c r="BR1321" s="19"/>
      <c r="BS1321" s="19"/>
      <c r="BT1321" s="19">
        <v>129</v>
      </c>
      <c r="BU1321" s="19"/>
      <c r="BV1321" s="19"/>
      <c r="BW1321" s="19"/>
      <c r="BX1321" s="19"/>
      <c r="BY1321" s="19"/>
      <c r="BZ1321" s="19"/>
      <c r="CA1321" s="19"/>
      <c r="CB1321" s="19"/>
      <c r="CC1321" s="19"/>
      <c r="CD1321" s="19"/>
      <c r="CE132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21" s="19">
        <f>SUM(Table1[[#This Row],[Mid39]],Table1[[#This Row],[Mid36]],Table1[[#This Row],[Mid33]],Table1[[#This Row],[Mid30]],Table1[[#This Row],[Mid27]],Table1[[#This Row],[Mid24]],Table1[[#This Row],[Mid21]],Table1[[#This Row],[Mid18]],Table1[[#This Row],[Mid15]],Table1[[#This Row],[Mid12]],Table1[[#This Row],[Mid9]],Table1[[#This Row],[Mid6]],Table1[[#This Row],[Mid3]],Table1[[#This Row],[Mid]])</f>
        <v>129</v>
      </c>
      <c r="CG13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21" s="35" t="s">
        <v>134</v>
      </c>
      <c r="CJ1321" s="37" t="s">
        <v>157</v>
      </c>
      <c r="CL1321" s="19" t="str">
        <f>IF(Table1[[#This Row],[Type]]="Petroleum",1,IF(ISERROR(Table1[[#This Row],[Well Density]]*Table1[[#This Row],[Single Well Discovery Area]]),"",IF(Table1[[#This Row],[Well Density]]*Table1[[#This Row],[Single Well Discovery Area]]&gt;1,1,Table1[[#This Row],[Well Density]]*Table1[[#This Row],[Single Well Discovery Area]])))</f>
        <v/>
      </c>
      <c r="CM1321" t="s">
        <v>157</v>
      </c>
      <c r="CN1321" s="19">
        <f>Table1[[#This Row],[Mid]]</f>
        <v>0</v>
      </c>
      <c r="CO1321" s="19">
        <f>Table1[[#This Row],[Mid3]]+Table1[[#This Row],[Mid6]]+Table1[[#This Row],[Mid9]]</f>
        <v>0</v>
      </c>
      <c r="CP1321" s="19">
        <f>Table1[[#This Row],[Mid12]]+Table1[[#This Row],[Mid15]]+Table1[[#This Row],[Mid18]]+Table1[[#This Row],[Mid21]]+Table1[[#This Row],[Mid24]]</f>
        <v>0</v>
      </c>
      <c r="CQ1321" s="19">
        <f>Table1[[#This Row],[Mid27]]+Table1[[#This Row],[Mid30]]+Table1[[#This Row],[Mid33]]+Table1[[#This Row],[Mid36]]+Table1[[#This Row],[Mid39]]</f>
        <v>129</v>
      </c>
      <c r="CR1321" t="s">
        <v>415</v>
      </c>
      <c r="CS1321" s="19" t="str">
        <f>IF(AND(Table1[[#This Row],[Low41]]=0, Table1[[#This Row],[High43]]=0),"N","Y")</f>
        <v>N</v>
      </c>
    </row>
    <row r="1322" spans="1:97" ht="19.5" customHeight="1" x14ac:dyDescent="0.25">
      <c r="A1322">
        <v>11324</v>
      </c>
      <c r="B1322" s="32" t="s">
        <v>4078</v>
      </c>
      <c r="C1322" s="32" t="s">
        <v>4079</v>
      </c>
      <c r="D1322">
        <v>41.1098</v>
      </c>
      <c r="E1322">
        <v>-8.9633000000000003</v>
      </c>
      <c r="F1322" s="32" t="s">
        <v>4095</v>
      </c>
      <c r="G1322" t="s">
        <v>4081</v>
      </c>
      <c r="H1322" t="s">
        <v>4096</v>
      </c>
      <c r="I1322" s="32" t="s">
        <v>118</v>
      </c>
      <c r="J1322" s="32" t="s">
        <v>119</v>
      </c>
      <c r="K1322" s="32" t="s">
        <v>203</v>
      </c>
      <c r="L1322" s="32" t="s">
        <v>18</v>
      </c>
      <c r="M1322" t="s">
        <v>734</v>
      </c>
      <c r="N1322" s="27" t="s">
        <v>4083</v>
      </c>
      <c r="O1322" t="s">
        <v>2652</v>
      </c>
      <c r="P1322" t="s">
        <v>1150</v>
      </c>
      <c r="Q1322" s="6" t="s">
        <v>4097</v>
      </c>
      <c r="R1322" s="38" t="s">
        <v>4098</v>
      </c>
      <c r="S1322">
        <v>2021</v>
      </c>
      <c r="T1322" t="s">
        <v>3959</v>
      </c>
      <c r="U1322" t="s">
        <v>1479</v>
      </c>
      <c r="V1322" s="7">
        <v>873</v>
      </c>
      <c r="W1322" s="7"/>
      <c r="X1322">
        <v>433</v>
      </c>
      <c r="Y1322">
        <v>25</v>
      </c>
      <c r="Z1322">
        <v>10</v>
      </c>
      <c r="AC1322" s="7">
        <v>709</v>
      </c>
      <c r="AD1322" s="7"/>
      <c r="AE1322" t="str">
        <f>IF(ISERROR([2]!Table1[[#This Row],[Well Count]]/[2]!Table1[[#This Row],[Site Area km2]]),"",[2]!Table1[[#This Row],[Well Count]]/[2]!Table1[[#This Row],[Site Area km2]])</f>
        <v/>
      </c>
      <c r="AF1322">
        <v>200</v>
      </c>
      <c r="AH1322" t="s">
        <v>2259</v>
      </c>
      <c r="AI1322" s="34">
        <v>1.5</v>
      </c>
      <c r="AM1322" s="21" t="s">
        <v>3960</v>
      </c>
      <c r="AN1322" t="s">
        <v>132</v>
      </c>
      <c r="AO1322" s="19"/>
      <c r="AP1322" s="19"/>
      <c r="AQ1322" s="19"/>
      <c r="AR1322" s="19"/>
      <c r="AS1322" s="19"/>
      <c r="AT1322" s="19"/>
      <c r="AU1322" s="19"/>
      <c r="AV1322" s="19"/>
      <c r="AW1322" s="19"/>
      <c r="AX1322" s="19"/>
      <c r="AY1322" s="19"/>
      <c r="AZ1322" s="19"/>
      <c r="BA1322" s="19"/>
      <c r="BB1322" s="19"/>
      <c r="BC1322" s="19"/>
      <c r="BD1322" s="19"/>
      <c r="BE1322" s="19"/>
      <c r="BF1322" s="19"/>
      <c r="BG1322" s="19"/>
      <c r="BH1322" s="19"/>
      <c r="BI1322" s="19"/>
      <c r="BJ1322" s="19"/>
      <c r="BK1322" s="19"/>
      <c r="BL1322" s="19"/>
      <c r="BM1322" s="19"/>
      <c r="BN1322" s="19"/>
      <c r="BO1322" s="19"/>
      <c r="BP1322" s="19"/>
      <c r="BQ1322" s="19"/>
      <c r="BR1322" s="19"/>
      <c r="BS1322" s="19"/>
      <c r="BT1322" s="19">
        <v>251</v>
      </c>
      <c r="BU1322" s="19"/>
      <c r="BV1322" s="19"/>
      <c r="BW1322" s="19"/>
      <c r="BX1322" s="19"/>
      <c r="BY1322" s="19"/>
      <c r="BZ1322" s="19"/>
      <c r="CA1322" s="19"/>
      <c r="CB1322" s="19"/>
      <c r="CC1322" s="19"/>
      <c r="CD1322" s="19"/>
      <c r="CE132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22" s="19">
        <f>SUM(Table1[[#This Row],[Mid39]],Table1[[#This Row],[Mid36]],Table1[[#This Row],[Mid33]],Table1[[#This Row],[Mid30]],Table1[[#This Row],[Mid27]],Table1[[#This Row],[Mid24]],Table1[[#This Row],[Mid21]],Table1[[#This Row],[Mid18]],Table1[[#This Row],[Mid15]],Table1[[#This Row],[Mid12]],Table1[[#This Row],[Mid9]],Table1[[#This Row],[Mid6]],Table1[[#This Row],[Mid3]],Table1[[#This Row],[Mid]])</f>
        <v>251</v>
      </c>
      <c r="CG13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22" s="35" t="s">
        <v>134</v>
      </c>
      <c r="CJ1322" s="37" t="s">
        <v>157</v>
      </c>
      <c r="CL1322" s="19" t="str">
        <f>IF(Table1[[#This Row],[Type]]="Petroleum",1,IF(ISERROR(Table1[[#This Row],[Well Density]]*Table1[[#This Row],[Single Well Discovery Area]]),"",IF(Table1[[#This Row],[Well Density]]*Table1[[#This Row],[Single Well Discovery Area]]&gt;1,1,Table1[[#This Row],[Well Density]]*Table1[[#This Row],[Single Well Discovery Area]])))</f>
        <v/>
      </c>
      <c r="CM1322" t="s">
        <v>157</v>
      </c>
      <c r="CN1322" s="19">
        <f>Table1[[#This Row],[Mid]]</f>
        <v>0</v>
      </c>
      <c r="CO1322" s="19">
        <f>Table1[[#This Row],[Mid3]]+Table1[[#This Row],[Mid6]]+Table1[[#This Row],[Mid9]]</f>
        <v>0</v>
      </c>
      <c r="CP1322" s="19">
        <f>Table1[[#This Row],[Mid12]]+Table1[[#This Row],[Mid15]]+Table1[[#This Row],[Mid18]]+Table1[[#This Row],[Mid21]]+Table1[[#This Row],[Mid24]]</f>
        <v>0</v>
      </c>
      <c r="CQ1322" s="19">
        <f>Table1[[#This Row],[Mid27]]+Table1[[#This Row],[Mid30]]+Table1[[#This Row],[Mid33]]+Table1[[#This Row],[Mid36]]+Table1[[#This Row],[Mid39]]</f>
        <v>251</v>
      </c>
      <c r="CR1322" t="s">
        <v>415</v>
      </c>
      <c r="CS1322" s="19" t="str">
        <f>IF(AND(Table1[[#This Row],[Low41]]=0, Table1[[#This Row],[High43]]=0),"N","Y")</f>
        <v>N</v>
      </c>
    </row>
    <row r="1323" spans="1:97" ht="19.5" customHeight="1" x14ac:dyDescent="0.25">
      <c r="A1323">
        <v>11325</v>
      </c>
      <c r="B1323" t="s">
        <v>4078</v>
      </c>
      <c r="C1323" t="s">
        <v>4099</v>
      </c>
      <c r="D1323">
        <v>40.607399999999998</v>
      </c>
      <c r="E1323">
        <v>-9.2255000000000003</v>
      </c>
      <c r="F1323" t="s">
        <v>4100</v>
      </c>
      <c r="G1323" t="s">
        <v>4101</v>
      </c>
      <c r="H1323" t="s">
        <v>4082</v>
      </c>
      <c r="I1323" t="s">
        <v>118</v>
      </c>
      <c r="J1323" t="s">
        <v>119</v>
      </c>
      <c r="K1323" t="s">
        <v>203</v>
      </c>
      <c r="L1323" t="s">
        <v>18</v>
      </c>
      <c r="M1323" t="s">
        <v>2670</v>
      </c>
      <c r="N1323" s="6" t="s">
        <v>4083</v>
      </c>
      <c r="O1323" t="s">
        <v>2652</v>
      </c>
      <c r="P1323" t="s">
        <v>1150</v>
      </c>
      <c r="Q1323" t="s">
        <v>4084</v>
      </c>
      <c r="R1323" t="s">
        <v>4093</v>
      </c>
      <c r="S1323">
        <v>2021</v>
      </c>
      <c r="T1323" t="s">
        <v>3959</v>
      </c>
      <c r="U1323" t="s">
        <v>1479</v>
      </c>
      <c r="V1323">
        <v>696</v>
      </c>
      <c r="X1323">
        <v>327</v>
      </c>
      <c r="Y1323">
        <v>66</v>
      </c>
      <c r="Z1323">
        <v>30</v>
      </c>
      <c r="AC1323">
        <v>668</v>
      </c>
      <c r="AE1323" t="str">
        <f>IF(ISERROR([2]!Table1[[#This Row],[Well Count]]/[2]!Table1[[#This Row],[Site Area km2]]),"",[2]!Table1[[#This Row],[Well Count]]/[2]!Table1[[#This Row],[Site Area km2]])</f>
        <v/>
      </c>
      <c r="AF1323">
        <v>200</v>
      </c>
      <c r="AH1323" t="s">
        <v>2259</v>
      </c>
      <c r="AI1323">
        <v>1.5</v>
      </c>
      <c r="AM1323" t="s">
        <v>3960</v>
      </c>
      <c r="AN1323" t="s">
        <v>132</v>
      </c>
      <c r="BT1323">
        <v>452</v>
      </c>
      <c r="CE132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23" s="19">
        <f>SUM(Table1[[#This Row],[Mid39]],Table1[[#This Row],[Mid36]],Table1[[#This Row],[Mid33]],Table1[[#This Row],[Mid30]],Table1[[#This Row],[Mid27]],Table1[[#This Row],[Mid24]],Table1[[#This Row],[Mid21]],Table1[[#This Row],[Mid18]],Table1[[#This Row],[Mid15]],Table1[[#This Row],[Mid12]],Table1[[#This Row],[Mid9]],Table1[[#This Row],[Mid6]],Table1[[#This Row],[Mid3]],Table1[[#This Row],[Mid]])</f>
        <v>452</v>
      </c>
      <c r="CG13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23" t="s">
        <v>134</v>
      </c>
      <c r="CJ1323" t="s">
        <v>157</v>
      </c>
      <c r="CL1323" s="19" t="str">
        <f>IF(Table1[[#This Row],[Type]]="Petroleum",1,IF(ISERROR(Table1[[#This Row],[Well Density]]*Table1[[#This Row],[Single Well Discovery Area]]),"",IF(Table1[[#This Row],[Well Density]]*Table1[[#This Row],[Single Well Discovery Area]]&gt;1,1,Table1[[#This Row],[Well Density]]*Table1[[#This Row],[Single Well Discovery Area]])))</f>
        <v/>
      </c>
      <c r="CM1323" t="s">
        <v>157</v>
      </c>
      <c r="CN1323" s="19">
        <f>Table1[[#This Row],[Mid]]</f>
        <v>0</v>
      </c>
      <c r="CO1323" s="19">
        <f>Table1[[#This Row],[Mid3]]+Table1[[#This Row],[Mid6]]+Table1[[#This Row],[Mid9]]</f>
        <v>0</v>
      </c>
      <c r="CP1323" s="19">
        <f>Table1[[#This Row],[Mid12]]+Table1[[#This Row],[Mid15]]+Table1[[#This Row],[Mid18]]+Table1[[#This Row],[Mid21]]+Table1[[#This Row],[Mid24]]</f>
        <v>0</v>
      </c>
      <c r="CQ1323" s="19">
        <f>Table1[[#This Row],[Mid27]]+Table1[[#This Row],[Mid30]]+Table1[[#This Row],[Mid33]]+Table1[[#This Row],[Mid36]]+Table1[[#This Row],[Mid39]]</f>
        <v>452</v>
      </c>
      <c r="CR1323" t="s">
        <v>415</v>
      </c>
      <c r="CS1323" s="19" t="str">
        <f>IF(AND(Table1[[#This Row],[Low41]]=0, Table1[[#This Row],[High43]]=0),"N","Y")</f>
        <v>N</v>
      </c>
    </row>
    <row r="1324" spans="1:97" ht="19.5" customHeight="1" x14ac:dyDescent="0.25">
      <c r="A1324">
        <v>11326</v>
      </c>
      <c r="B1324" s="32" t="s">
        <v>4078</v>
      </c>
      <c r="C1324" t="s">
        <v>4099</v>
      </c>
      <c r="D1324" s="39">
        <v>40.414000000000001</v>
      </c>
      <c r="E1324" s="39">
        <v>-9.3076000000000008</v>
      </c>
      <c r="F1324" t="s">
        <v>4102</v>
      </c>
      <c r="G1324" t="s">
        <v>4101</v>
      </c>
      <c r="H1324" t="s">
        <v>4082</v>
      </c>
      <c r="I1324" s="32" t="s">
        <v>118</v>
      </c>
      <c r="J1324" s="32" t="s">
        <v>119</v>
      </c>
      <c r="K1324" s="32" t="s">
        <v>203</v>
      </c>
      <c r="L1324" s="32" t="s">
        <v>18</v>
      </c>
      <c r="M1324" t="s">
        <v>2670</v>
      </c>
      <c r="N1324" s="27" t="s">
        <v>4083</v>
      </c>
      <c r="O1324" t="s">
        <v>2652</v>
      </c>
      <c r="P1324" t="s">
        <v>1150</v>
      </c>
      <c r="Q1324" s="6" t="s">
        <v>4084</v>
      </c>
      <c r="R1324" s="32" t="s">
        <v>4093</v>
      </c>
      <c r="S1324">
        <v>2021</v>
      </c>
      <c r="T1324" t="s">
        <v>3959</v>
      </c>
      <c r="U1324" t="s">
        <v>1479</v>
      </c>
      <c r="V1324" s="7">
        <v>509</v>
      </c>
      <c r="W1324" s="7"/>
      <c r="X1324">
        <v>724</v>
      </c>
      <c r="Y1324">
        <v>66</v>
      </c>
      <c r="Z1324">
        <v>30</v>
      </c>
      <c r="AC1324" s="7">
        <v>648</v>
      </c>
      <c r="AD1324" s="7"/>
      <c r="AE1324" t="str">
        <f>IF(ISERROR([2]!Table1[[#This Row],[Well Count]]/[2]!Table1[[#This Row],[Site Area km2]]),"",[2]!Table1[[#This Row],[Well Count]]/[2]!Table1[[#This Row],[Site Area km2]])</f>
        <v/>
      </c>
      <c r="AF1324">
        <v>200</v>
      </c>
      <c r="AH1324" t="s">
        <v>2259</v>
      </c>
      <c r="AI1324" s="34">
        <v>1.5</v>
      </c>
      <c r="AM1324" s="21" t="s">
        <v>3960</v>
      </c>
      <c r="AN1324" t="s">
        <v>132</v>
      </c>
      <c r="AO1324" s="19"/>
      <c r="AP1324" s="19"/>
      <c r="AQ1324" s="19"/>
      <c r="AR1324" s="19"/>
      <c r="AS1324" s="19"/>
      <c r="AT1324" s="19"/>
      <c r="AU1324" s="19"/>
      <c r="AV1324" s="19"/>
      <c r="AW1324" s="19"/>
      <c r="AX1324" s="19"/>
      <c r="AY1324" s="19"/>
      <c r="AZ1324" s="19"/>
      <c r="BA1324" s="19"/>
      <c r="BB1324" s="19"/>
      <c r="BC1324" s="19"/>
      <c r="BD1324" s="19"/>
      <c r="BE1324" s="19"/>
      <c r="BF1324" s="19"/>
      <c r="BG1324" s="19"/>
      <c r="BH1324" s="19"/>
      <c r="BI1324" s="19"/>
      <c r="BJ1324" s="19"/>
      <c r="BK1324" s="19"/>
      <c r="BL1324" s="19"/>
      <c r="BM1324" s="19"/>
      <c r="BN1324" s="19"/>
      <c r="BO1324" s="19"/>
      <c r="BP1324" s="19"/>
      <c r="BQ1324" s="19"/>
      <c r="BR1324" s="19"/>
      <c r="BS1324" s="19"/>
      <c r="BT1324" s="19">
        <v>268</v>
      </c>
      <c r="BU1324" s="19"/>
      <c r="BV1324" s="19"/>
      <c r="BW1324" s="19"/>
      <c r="BX1324" s="19"/>
      <c r="BY1324" s="19"/>
      <c r="BZ1324" s="19"/>
      <c r="CA1324" s="19"/>
      <c r="CB1324" s="19"/>
      <c r="CC1324" s="19"/>
      <c r="CD1324" s="19"/>
      <c r="CE132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24" s="19">
        <f>SUM(Table1[[#This Row],[Mid39]],Table1[[#This Row],[Mid36]],Table1[[#This Row],[Mid33]],Table1[[#This Row],[Mid30]],Table1[[#This Row],[Mid27]],Table1[[#This Row],[Mid24]],Table1[[#This Row],[Mid21]],Table1[[#This Row],[Mid18]],Table1[[#This Row],[Mid15]],Table1[[#This Row],[Mid12]],Table1[[#This Row],[Mid9]],Table1[[#This Row],[Mid6]],Table1[[#This Row],[Mid3]],Table1[[#This Row],[Mid]])</f>
        <v>268</v>
      </c>
      <c r="CG13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24" s="35" t="s">
        <v>134</v>
      </c>
      <c r="CJ1324" t="s">
        <v>157</v>
      </c>
      <c r="CL1324" s="19" t="str">
        <f>IF(Table1[[#This Row],[Type]]="Petroleum",1,IF(ISERROR(Table1[[#This Row],[Well Density]]*Table1[[#This Row],[Single Well Discovery Area]]),"",IF(Table1[[#This Row],[Well Density]]*Table1[[#This Row],[Single Well Discovery Area]]&gt;1,1,Table1[[#This Row],[Well Density]]*Table1[[#This Row],[Single Well Discovery Area]])))</f>
        <v/>
      </c>
      <c r="CM1324" t="s">
        <v>157</v>
      </c>
      <c r="CN1324" s="19">
        <f>Table1[[#This Row],[Mid]]</f>
        <v>0</v>
      </c>
      <c r="CO1324" s="19">
        <f>Table1[[#This Row],[Mid3]]+Table1[[#This Row],[Mid6]]+Table1[[#This Row],[Mid9]]</f>
        <v>0</v>
      </c>
      <c r="CP1324" s="19">
        <f>Table1[[#This Row],[Mid12]]+Table1[[#This Row],[Mid15]]+Table1[[#This Row],[Mid18]]+Table1[[#This Row],[Mid21]]+Table1[[#This Row],[Mid24]]</f>
        <v>0</v>
      </c>
      <c r="CQ1324" s="19">
        <f>Table1[[#This Row],[Mid27]]+Table1[[#This Row],[Mid30]]+Table1[[#This Row],[Mid33]]+Table1[[#This Row],[Mid36]]+Table1[[#This Row],[Mid39]]</f>
        <v>268</v>
      </c>
      <c r="CR1324" t="s">
        <v>415</v>
      </c>
      <c r="CS1324" s="19" t="str">
        <f>IF(AND(Table1[[#This Row],[Low41]]=0, Table1[[#This Row],[High43]]=0),"N","Y")</f>
        <v>N</v>
      </c>
    </row>
    <row r="1325" spans="1:97" ht="19.5" customHeight="1" x14ac:dyDescent="0.25">
      <c r="A1325">
        <v>11327</v>
      </c>
      <c r="B1325" s="32" t="s">
        <v>4078</v>
      </c>
      <c r="C1325" t="s">
        <v>4099</v>
      </c>
      <c r="D1325">
        <v>40.1723</v>
      </c>
      <c r="E1325">
        <v>-9.1113</v>
      </c>
      <c r="F1325" t="s">
        <v>4103</v>
      </c>
      <c r="G1325" t="s">
        <v>4101</v>
      </c>
      <c r="H1325" t="s">
        <v>4082</v>
      </c>
      <c r="I1325" s="32" t="s">
        <v>118</v>
      </c>
      <c r="J1325" s="32" t="s">
        <v>119</v>
      </c>
      <c r="K1325" s="32" t="s">
        <v>203</v>
      </c>
      <c r="L1325" s="32" t="s">
        <v>121</v>
      </c>
      <c r="M1325" t="s">
        <v>2670</v>
      </c>
      <c r="N1325" s="27" t="s">
        <v>4083</v>
      </c>
      <c r="O1325" t="s">
        <v>2652</v>
      </c>
      <c r="P1325" t="s">
        <v>1150</v>
      </c>
      <c r="Q1325" s="6" t="s">
        <v>4084</v>
      </c>
      <c r="R1325" s="32" t="s">
        <v>4104</v>
      </c>
      <c r="S1325">
        <v>2021</v>
      </c>
      <c r="T1325" t="s">
        <v>3959</v>
      </c>
      <c r="U1325" t="s">
        <v>1479</v>
      </c>
      <c r="V1325" s="7">
        <v>509</v>
      </c>
      <c r="W1325" s="7"/>
      <c r="X1325">
        <v>369</v>
      </c>
      <c r="Y1325">
        <v>94</v>
      </c>
      <c r="Z1325">
        <v>30</v>
      </c>
      <c r="AC1325" s="7">
        <v>630</v>
      </c>
      <c r="AD1325" s="7">
        <v>1</v>
      </c>
      <c r="AE1325" t="str">
        <f>IF(ISERROR([2]!Table1[[#This Row],[Well Count]]/[2]!Table1[[#This Row],[Site Area km2]]),"",[2]!Table1[[#This Row],[Well Count]]/[2]!Table1[[#This Row],[Site Area km2]])</f>
        <v/>
      </c>
      <c r="AF1325">
        <v>200</v>
      </c>
      <c r="AH1325" t="s">
        <v>2259</v>
      </c>
      <c r="AI1325" s="34">
        <v>1.5</v>
      </c>
      <c r="AM1325" s="21" t="s">
        <v>3960</v>
      </c>
      <c r="AN1325" t="s">
        <v>132</v>
      </c>
      <c r="AO1325" s="19"/>
      <c r="AP1325" s="19"/>
      <c r="AQ1325" s="19"/>
      <c r="AR1325" s="19"/>
      <c r="AS1325" s="19"/>
      <c r="AT1325" s="19"/>
      <c r="AU1325" s="19"/>
      <c r="AV1325" s="19"/>
      <c r="AW1325" s="19"/>
      <c r="AX1325" s="19"/>
      <c r="AY1325" s="19"/>
      <c r="AZ1325" s="19"/>
      <c r="BA1325" s="19"/>
      <c r="BB1325" s="19"/>
      <c r="BC1325" s="19"/>
      <c r="BD1325" s="19"/>
      <c r="BE1325" s="19"/>
      <c r="BF1325" s="19"/>
      <c r="BG1325" s="19"/>
      <c r="BH1325" s="19">
        <v>532</v>
      </c>
      <c r="BI1325" s="19"/>
      <c r="BJ1325" s="19"/>
      <c r="BK1325" s="19"/>
      <c r="BL1325" s="19"/>
      <c r="BM1325" s="19"/>
      <c r="BN1325" s="19"/>
      <c r="BO1325" s="19"/>
      <c r="BP1325" s="19"/>
      <c r="BQ1325" s="19"/>
      <c r="BR1325" s="19"/>
      <c r="BS1325" s="19"/>
      <c r="BT1325" s="19"/>
      <c r="BU1325" s="19"/>
      <c r="BV1325" s="19"/>
      <c r="BW1325" s="19"/>
      <c r="BX1325" s="19"/>
      <c r="BY1325" s="19"/>
      <c r="BZ1325" s="19"/>
      <c r="CA1325" s="19"/>
      <c r="CB1325" s="19"/>
      <c r="CC1325" s="19"/>
      <c r="CD1325" s="19"/>
      <c r="CE132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25" s="19">
        <f>SUM(Table1[[#This Row],[Mid39]],Table1[[#This Row],[Mid36]],Table1[[#This Row],[Mid33]],Table1[[#This Row],[Mid30]],Table1[[#This Row],[Mid27]],Table1[[#This Row],[Mid24]],Table1[[#This Row],[Mid21]],Table1[[#This Row],[Mid18]],Table1[[#This Row],[Mid15]],Table1[[#This Row],[Mid12]],Table1[[#This Row],[Mid9]],Table1[[#This Row],[Mid6]],Table1[[#This Row],[Mid3]],Table1[[#This Row],[Mid]])</f>
        <v>532</v>
      </c>
      <c r="CG13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25" s="35" t="s">
        <v>134</v>
      </c>
      <c r="CJ1325" t="s">
        <v>157</v>
      </c>
      <c r="CL1325" s="19" t="str">
        <f>IF(Table1[[#This Row],[Type]]="Petroleum",1,IF(ISERROR(Table1[[#This Row],[Well Density]]*Table1[[#This Row],[Single Well Discovery Area]]),"",IF(Table1[[#This Row],[Well Density]]*Table1[[#This Row],[Single Well Discovery Area]]&gt;1,1,Table1[[#This Row],[Well Density]]*Table1[[#This Row],[Single Well Discovery Area]])))</f>
        <v/>
      </c>
      <c r="CM1325" t="s">
        <v>157</v>
      </c>
      <c r="CN1325" s="19">
        <f>Table1[[#This Row],[Mid]]</f>
        <v>0</v>
      </c>
      <c r="CO1325" s="19">
        <f>Table1[[#This Row],[Mid3]]+Table1[[#This Row],[Mid6]]+Table1[[#This Row],[Mid9]]</f>
        <v>0</v>
      </c>
      <c r="CP1325" s="19">
        <f>Table1[[#This Row],[Mid12]]+Table1[[#This Row],[Mid15]]+Table1[[#This Row],[Mid18]]+Table1[[#This Row],[Mid21]]+Table1[[#This Row],[Mid24]]</f>
        <v>532</v>
      </c>
      <c r="CQ1325" s="19">
        <f>Table1[[#This Row],[Mid27]]+Table1[[#This Row],[Mid30]]+Table1[[#This Row],[Mid33]]+Table1[[#This Row],[Mid36]]+Table1[[#This Row],[Mid39]]</f>
        <v>0</v>
      </c>
      <c r="CR1325" t="s">
        <v>415</v>
      </c>
      <c r="CS1325" s="19" t="str">
        <f>IF(AND(Table1[[#This Row],[Low41]]=0, Table1[[#This Row],[High43]]=0),"N","Y")</f>
        <v>N</v>
      </c>
    </row>
    <row r="1326" spans="1:97" ht="19.5" customHeight="1" x14ac:dyDescent="0.25">
      <c r="A1326">
        <v>11328</v>
      </c>
      <c r="B1326" s="32" t="s">
        <v>4078</v>
      </c>
      <c r="C1326" t="s">
        <v>4099</v>
      </c>
      <c r="D1326">
        <v>40.121429999999997</v>
      </c>
      <c r="E1326">
        <v>-9.5309500000000007</v>
      </c>
      <c r="F1326" t="s">
        <v>4105</v>
      </c>
      <c r="G1326" t="s">
        <v>4101</v>
      </c>
      <c r="H1326" t="s">
        <v>4082</v>
      </c>
      <c r="I1326" s="32" t="s">
        <v>118</v>
      </c>
      <c r="J1326" s="32" t="s">
        <v>119</v>
      </c>
      <c r="K1326" s="32" t="s">
        <v>203</v>
      </c>
      <c r="L1326" s="32" t="s">
        <v>18</v>
      </c>
      <c r="M1326" t="s">
        <v>2670</v>
      </c>
      <c r="N1326" s="27" t="s">
        <v>4083</v>
      </c>
      <c r="O1326" t="s">
        <v>2652</v>
      </c>
      <c r="P1326" t="s">
        <v>1150</v>
      </c>
      <c r="Q1326" s="6" t="s">
        <v>4084</v>
      </c>
      <c r="R1326" s="32" t="s">
        <v>4093</v>
      </c>
      <c r="S1326">
        <v>2021</v>
      </c>
      <c r="T1326" t="s">
        <v>3959</v>
      </c>
      <c r="U1326" t="s">
        <v>1479</v>
      </c>
      <c r="V1326" s="7">
        <v>640</v>
      </c>
      <c r="W1326" s="7"/>
      <c r="X1326">
        <v>237</v>
      </c>
      <c r="Y1326">
        <v>35</v>
      </c>
      <c r="Z1326">
        <v>30</v>
      </c>
      <c r="AC1326" s="7">
        <v>664</v>
      </c>
      <c r="AD1326" s="7"/>
      <c r="AE1326" t="str">
        <f>IF(ISERROR([2]!Table1[[#This Row],[Well Count]]/[2]!Table1[[#This Row],[Site Area km2]]),"",[2]!Table1[[#This Row],[Well Count]]/[2]!Table1[[#This Row],[Site Area km2]])</f>
        <v/>
      </c>
      <c r="AF1326">
        <v>200</v>
      </c>
      <c r="AH1326" t="s">
        <v>2259</v>
      </c>
      <c r="AI1326" s="34">
        <v>1.5</v>
      </c>
      <c r="AM1326" s="21" t="s">
        <v>3960</v>
      </c>
      <c r="AN1326" t="s">
        <v>132</v>
      </c>
      <c r="AO1326" s="19"/>
      <c r="AP1326" s="19"/>
      <c r="AQ1326" s="19"/>
      <c r="AR1326" s="19"/>
      <c r="AS1326" s="19"/>
      <c r="AT1326" s="19"/>
      <c r="AU1326" s="19"/>
      <c r="AV1326" s="19"/>
      <c r="AW1326" s="19"/>
      <c r="AX1326" s="19"/>
      <c r="AY1326" s="19"/>
      <c r="AZ1326" s="19"/>
      <c r="BA1326" s="19"/>
      <c r="BB1326" s="19"/>
      <c r="BC1326" s="19"/>
      <c r="BD1326" s="19"/>
      <c r="BE1326" s="19"/>
      <c r="BF1326" s="19"/>
      <c r="BG1326" s="19"/>
      <c r="BH1326" s="19"/>
      <c r="BI1326" s="19"/>
      <c r="BJ1326" s="19"/>
      <c r="BK1326" s="19"/>
      <c r="BL1326" s="19"/>
      <c r="BM1326" s="19"/>
      <c r="BN1326" s="19"/>
      <c r="BO1326" s="19"/>
      <c r="BP1326" s="19"/>
      <c r="BQ1326" s="19"/>
      <c r="BR1326" s="19"/>
      <c r="BS1326" s="19"/>
      <c r="BT1326" s="19">
        <v>159</v>
      </c>
      <c r="BU1326" s="19"/>
      <c r="BV1326" s="19"/>
      <c r="BW1326" s="19"/>
      <c r="BX1326" s="19"/>
      <c r="BY1326" s="19"/>
      <c r="BZ1326" s="19"/>
      <c r="CA1326" s="19"/>
      <c r="CB1326" s="19"/>
      <c r="CC1326" s="19"/>
      <c r="CD1326" s="19"/>
      <c r="CE132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26" s="19">
        <f>SUM(Table1[[#This Row],[Mid39]],Table1[[#This Row],[Mid36]],Table1[[#This Row],[Mid33]],Table1[[#This Row],[Mid30]],Table1[[#This Row],[Mid27]],Table1[[#This Row],[Mid24]],Table1[[#This Row],[Mid21]],Table1[[#This Row],[Mid18]],Table1[[#This Row],[Mid15]],Table1[[#This Row],[Mid12]],Table1[[#This Row],[Mid9]],Table1[[#This Row],[Mid6]],Table1[[#This Row],[Mid3]],Table1[[#This Row],[Mid]])</f>
        <v>159</v>
      </c>
      <c r="CG13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26" s="35" t="s">
        <v>134</v>
      </c>
      <c r="CJ1326" t="s">
        <v>157</v>
      </c>
      <c r="CL1326" s="19" t="str">
        <f>IF(Table1[[#This Row],[Type]]="Petroleum",1,IF(ISERROR(Table1[[#This Row],[Well Density]]*Table1[[#This Row],[Single Well Discovery Area]]),"",IF(Table1[[#This Row],[Well Density]]*Table1[[#This Row],[Single Well Discovery Area]]&gt;1,1,Table1[[#This Row],[Well Density]]*Table1[[#This Row],[Single Well Discovery Area]])))</f>
        <v/>
      </c>
      <c r="CM1326" t="s">
        <v>157</v>
      </c>
      <c r="CN1326" s="19">
        <f>Table1[[#This Row],[Mid]]</f>
        <v>0</v>
      </c>
      <c r="CO1326" s="19">
        <f>Table1[[#This Row],[Mid3]]+Table1[[#This Row],[Mid6]]+Table1[[#This Row],[Mid9]]</f>
        <v>0</v>
      </c>
      <c r="CP1326" s="19">
        <f>Table1[[#This Row],[Mid12]]+Table1[[#This Row],[Mid15]]+Table1[[#This Row],[Mid18]]+Table1[[#This Row],[Mid21]]+Table1[[#This Row],[Mid24]]</f>
        <v>0</v>
      </c>
      <c r="CQ1326" s="19">
        <f>Table1[[#This Row],[Mid27]]+Table1[[#This Row],[Mid30]]+Table1[[#This Row],[Mid33]]+Table1[[#This Row],[Mid36]]+Table1[[#This Row],[Mid39]]</f>
        <v>159</v>
      </c>
      <c r="CR1326" t="s">
        <v>415</v>
      </c>
      <c r="CS1326" s="19" t="str">
        <f>IF(AND(Table1[[#This Row],[Low41]]=0, Table1[[#This Row],[High43]]=0),"N","Y")</f>
        <v>N</v>
      </c>
    </row>
    <row r="1327" spans="1:97" ht="19.5" customHeight="1" x14ac:dyDescent="0.25">
      <c r="A1327">
        <v>11329</v>
      </c>
      <c r="B1327" s="32" t="s">
        <v>4078</v>
      </c>
      <c r="C1327" t="s">
        <v>4099</v>
      </c>
      <c r="D1327">
        <v>40.323500000000003</v>
      </c>
      <c r="E1327">
        <v>-9.0105000000000004</v>
      </c>
      <c r="F1327" t="s">
        <v>4106</v>
      </c>
      <c r="G1327" t="s">
        <v>4101</v>
      </c>
      <c r="H1327" t="s">
        <v>4082</v>
      </c>
      <c r="I1327" s="32" t="s">
        <v>118</v>
      </c>
      <c r="J1327" s="32" t="s">
        <v>119</v>
      </c>
      <c r="K1327" s="32" t="s">
        <v>203</v>
      </c>
      <c r="L1327" s="32" t="s">
        <v>121</v>
      </c>
      <c r="M1327" t="s">
        <v>2670</v>
      </c>
      <c r="N1327" s="27" t="s">
        <v>4107</v>
      </c>
      <c r="O1327" t="s">
        <v>2652</v>
      </c>
      <c r="P1327" t="s">
        <v>4108</v>
      </c>
      <c r="Q1327" s="6" t="s">
        <v>4084</v>
      </c>
      <c r="R1327" s="32" t="s">
        <v>4109</v>
      </c>
      <c r="S1327">
        <v>2023</v>
      </c>
      <c r="T1327" t="s">
        <v>3959</v>
      </c>
      <c r="U1327" t="s">
        <v>1479</v>
      </c>
      <c r="W1327" s="7">
        <v>830</v>
      </c>
      <c r="AC1327" s="7"/>
      <c r="AD1327" s="7">
        <v>1</v>
      </c>
      <c r="AE1327" t="str">
        <f>IF(ISERROR([2]!Table1[[#This Row],[Well Count]]/[2]!Table1[[#This Row],[Site Area km2]]),"",[2]!Table1[[#This Row],[Well Count]]/[2]!Table1[[#This Row],[Site Area km2]])</f>
        <v/>
      </c>
      <c r="AF1327">
        <v>200</v>
      </c>
      <c r="AH1327" t="s">
        <v>1612</v>
      </c>
      <c r="AI1327" s="34">
        <v>6.1</v>
      </c>
      <c r="AM1327" s="21" t="s">
        <v>635</v>
      </c>
      <c r="AN1327" t="s">
        <v>132</v>
      </c>
      <c r="AO1327" s="19"/>
      <c r="AP1327" s="19"/>
      <c r="AQ1327" s="19"/>
      <c r="AR1327" s="19"/>
      <c r="AS1327" s="19"/>
      <c r="AT1327" s="19"/>
      <c r="AU1327" s="19"/>
      <c r="AV1327" s="19"/>
      <c r="AW1327" s="19"/>
      <c r="AX1327" s="19"/>
      <c r="AY1327" s="19"/>
      <c r="AZ1327" s="19"/>
      <c r="BA1327" s="19"/>
      <c r="BB1327" s="19"/>
      <c r="BC1327" s="19"/>
      <c r="BD1327" s="19"/>
      <c r="BE1327" s="19"/>
      <c r="BF1327" s="19"/>
      <c r="BG1327" s="19"/>
      <c r="BH1327" s="19">
        <v>11</v>
      </c>
      <c r="BI1327" s="19"/>
      <c r="BJ1327" s="19"/>
      <c r="BK1327" s="19"/>
      <c r="BL1327" s="19"/>
      <c r="BM1327" s="19"/>
      <c r="BN1327" s="19"/>
      <c r="BO1327" s="19"/>
      <c r="BP1327" s="19"/>
      <c r="BQ1327" s="19"/>
      <c r="BR1327" s="19"/>
      <c r="BS1327" s="19"/>
      <c r="BT1327" s="19"/>
      <c r="BU1327" s="19"/>
      <c r="BV1327" s="19"/>
      <c r="BW1327" s="19"/>
      <c r="BX1327" s="19"/>
      <c r="BY1327" s="19"/>
      <c r="BZ1327" s="19"/>
      <c r="CA1327" s="19"/>
      <c r="CB1327" s="19"/>
      <c r="CC1327" s="19"/>
      <c r="CD1327" s="19"/>
      <c r="CE132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27" s="19">
        <f>SUM(Table1[[#This Row],[Mid39]],Table1[[#This Row],[Mid36]],Table1[[#This Row],[Mid33]],Table1[[#This Row],[Mid30]],Table1[[#This Row],[Mid27]],Table1[[#This Row],[Mid24]],Table1[[#This Row],[Mid21]],Table1[[#This Row],[Mid18]],Table1[[#This Row],[Mid15]],Table1[[#This Row],[Mid12]],Table1[[#This Row],[Mid9]],Table1[[#This Row],[Mid6]],Table1[[#This Row],[Mid3]],Table1[[#This Row],[Mid]])</f>
        <v>11</v>
      </c>
      <c r="CG13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27" s="35" t="s">
        <v>134</v>
      </c>
      <c r="CJ1327" t="s">
        <v>133</v>
      </c>
      <c r="CL1327" s="19" t="str">
        <f>IF(Table1[[#This Row],[Type]]="Petroleum",1,IF(ISERROR(Table1[[#This Row],[Well Density]]*Table1[[#This Row],[Single Well Discovery Area]]),"",IF(Table1[[#This Row],[Well Density]]*Table1[[#This Row],[Single Well Discovery Area]]&gt;1,1,Table1[[#This Row],[Well Density]]*Table1[[#This Row],[Single Well Discovery Area]])))</f>
        <v/>
      </c>
      <c r="CM1327" t="s">
        <v>133</v>
      </c>
      <c r="CN1327" s="19">
        <f>Table1[[#This Row],[Mid]]</f>
        <v>0</v>
      </c>
      <c r="CO1327" s="19">
        <f>Table1[[#This Row],[Mid3]]+Table1[[#This Row],[Mid6]]+Table1[[#This Row],[Mid9]]</f>
        <v>0</v>
      </c>
      <c r="CP1327" s="19">
        <f>Table1[[#This Row],[Mid12]]+Table1[[#This Row],[Mid15]]+Table1[[#This Row],[Mid18]]+Table1[[#This Row],[Mid21]]+Table1[[#This Row],[Mid24]]</f>
        <v>11</v>
      </c>
      <c r="CQ1327" s="19">
        <f>Table1[[#This Row],[Mid27]]+Table1[[#This Row],[Mid30]]+Table1[[#This Row],[Mid33]]+Table1[[#This Row],[Mid36]]+Table1[[#This Row],[Mid39]]</f>
        <v>0</v>
      </c>
      <c r="CR1327" s="19" t="s">
        <v>415</v>
      </c>
      <c r="CS1327" s="19" t="str">
        <f>IF(AND(Table1[[#This Row],[Low41]]=0, Table1[[#This Row],[High43]]=0),"N","Y")</f>
        <v>N</v>
      </c>
    </row>
    <row r="1328" spans="1:97" ht="19.5" customHeight="1" x14ac:dyDescent="0.25">
      <c r="A1328">
        <v>11330</v>
      </c>
      <c r="B1328" s="32" t="s">
        <v>4078</v>
      </c>
      <c r="C1328" t="s">
        <v>4099</v>
      </c>
      <c r="D1328">
        <v>39.938090000000003</v>
      </c>
      <c r="E1328">
        <v>-9.1839200000000005</v>
      </c>
      <c r="F1328" t="s">
        <v>4110</v>
      </c>
      <c r="G1328" t="s">
        <v>4101</v>
      </c>
      <c r="H1328" t="s">
        <v>4082</v>
      </c>
      <c r="I1328" s="32" t="s">
        <v>118</v>
      </c>
      <c r="J1328" s="32" t="s">
        <v>119</v>
      </c>
      <c r="K1328" s="32" t="s">
        <v>203</v>
      </c>
      <c r="L1328" s="32" t="s">
        <v>121</v>
      </c>
      <c r="M1328" t="s">
        <v>2670</v>
      </c>
      <c r="N1328" s="27" t="s">
        <v>4083</v>
      </c>
      <c r="O1328" t="s">
        <v>2652</v>
      </c>
      <c r="P1328" t="s">
        <v>1150</v>
      </c>
      <c r="Q1328" s="6" t="s">
        <v>4084</v>
      </c>
      <c r="R1328" s="32" t="s">
        <v>4111</v>
      </c>
      <c r="S1328">
        <v>2021</v>
      </c>
      <c r="T1328" t="s">
        <v>3959</v>
      </c>
      <c r="U1328" t="s">
        <v>1479</v>
      </c>
      <c r="V1328" s="7">
        <v>243</v>
      </c>
      <c r="W1328" s="7"/>
      <c r="X1328">
        <v>365</v>
      </c>
      <c r="Y1328">
        <v>35</v>
      </c>
      <c r="Z1328">
        <v>30</v>
      </c>
      <c r="AC1328" s="7">
        <v>572</v>
      </c>
      <c r="AD1328" s="7">
        <v>1</v>
      </c>
      <c r="AE1328" t="str">
        <f>IF(ISERROR([2]!Table1[[#This Row],[Well Count]]/[2]!Table1[[#This Row],[Site Area km2]]),"",[2]!Table1[[#This Row],[Well Count]]/[2]!Table1[[#This Row],[Site Area km2]])</f>
        <v/>
      </c>
      <c r="AF1328">
        <v>200</v>
      </c>
      <c r="AH1328" t="s">
        <v>2259</v>
      </c>
      <c r="AI1328" s="34">
        <v>1.5</v>
      </c>
      <c r="AM1328" s="21" t="s">
        <v>3960</v>
      </c>
      <c r="AN1328" t="s">
        <v>132</v>
      </c>
      <c r="AO1328" s="19"/>
      <c r="AP1328" s="19"/>
      <c r="AQ1328" s="19"/>
      <c r="AR1328" s="19"/>
      <c r="AS1328" s="19"/>
      <c r="AT1328" s="19"/>
      <c r="AU1328" s="19"/>
      <c r="AV1328" s="19"/>
      <c r="AW1328" s="19"/>
      <c r="AX1328" s="19"/>
      <c r="AY1328" s="19"/>
      <c r="AZ1328" s="19"/>
      <c r="BA1328" s="19"/>
      <c r="BB1328" s="19"/>
      <c r="BC1328" s="19"/>
      <c r="BD1328" s="19"/>
      <c r="BE1328" s="19"/>
      <c r="BF1328" s="19"/>
      <c r="BG1328" s="19"/>
      <c r="BH1328" s="19">
        <v>80</v>
      </c>
      <c r="BI1328" s="19"/>
      <c r="BJ1328" s="19"/>
      <c r="BK1328" s="19"/>
      <c r="BL1328" s="19"/>
      <c r="BM1328" s="19"/>
      <c r="BN1328" s="19"/>
      <c r="BO1328" s="19"/>
      <c r="BP1328" s="19"/>
      <c r="BQ1328" s="19"/>
      <c r="BR1328" s="19"/>
      <c r="BS1328" s="19"/>
      <c r="BT1328" s="19"/>
      <c r="BU1328" s="19"/>
      <c r="BV1328" s="19"/>
      <c r="BW1328" s="19"/>
      <c r="BX1328" s="19"/>
      <c r="BY1328" s="19"/>
      <c r="BZ1328" s="19"/>
      <c r="CA1328" s="19"/>
      <c r="CB1328" s="19"/>
      <c r="CC1328" s="19"/>
      <c r="CD1328" s="19"/>
      <c r="CE132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28" s="19">
        <f>SUM(Table1[[#This Row],[Mid39]],Table1[[#This Row],[Mid36]],Table1[[#This Row],[Mid33]],Table1[[#This Row],[Mid30]],Table1[[#This Row],[Mid27]],Table1[[#This Row],[Mid24]],Table1[[#This Row],[Mid21]],Table1[[#This Row],[Mid18]],Table1[[#This Row],[Mid15]],Table1[[#This Row],[Mid12]],Table1[[#This Row],[Mid9]],Table1[[#This Row],[Mid6]],Table1[[#This Row],[Mid3]],Table1[[#This Row],[Mid]])</f>
        <v>80</v>
      </c>
      <c r="CG13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28" s="35" t="s">
        <v>134</v>
      </c>
      <c r="CJ1328" t="s">
        <v>158</v>
      </c>
      <c r="CL1328" s="19" t="str">
        <f>IF(Table1[[#This Row],[Type]]="Petroleum",1,IF(ISERROR(Table1[[#This Row],[Well Density]]*Table1[[#This Row],[Single Well Discovery Area]]),"",IF(Table1[[#This Row],[Well Density]]*Table1[[#This Row],[Single Well Discovery Area]]&gt;1,1,Table1[[#This Row],[Well Density]]*Table1[[#This Row],[Single Well Discovery Area]])))</f>
        <v/>
      </c>
      <c r="CM1328" t="s">
        <v>157</v>
      </c>
      <c r="CN1328" s="19">
        <f>Table1[[#This Row],[Mid]]</f>
        <v>0</v>
      </c>
      <c r="CO1328" s="19">
        <f>Table1[[#This Row],[Mid3]]+Table1[[#This Row],[Mid6]]+Table1[[#This Row],[Mid9]]</f>
        <v>0</v>
      </c>
      <c r="CP1328" s="19">
        <f>Table1[[#This Row],[Mid12]]+Table1[[#This Row],[Mid15]]+Table1[[#This Row],[Mid18]]+Table1[[#This Row],[Mid21]]+Table1[[#This Row],[Mid24]]</f>
        <v>80</v>
      </c>
      <c r="CQ1328" s="19">
        <f>Table1[[#This Row],[Mid27]]+Table1[[#This Row],[Mid30]]+Table1[[#This Row],[Mid33]]+Table1[[#This Row],[Mid36]]+Table1[[#This Row],[Mid39]]</f>
        <v>0</v>
      </c>
      <c r="CR1328" s="19" t="s">
        <v>415</v>
      </c>
      <c r="CS1328" s="19" t="str">
        <f>IF(AND(Table1[[#This Row],[Low41]]=0, Table1[[#This Row],[High43]]=0),"N","Y")</f>
        <v>N</v>
      </c>
    </row>
    <row r="1329" spans="1:97" ht="19.5" customHeight="1" x14ac:dyDescent="0.25">
      <c r="A1329">
        <v>11331</v>
      </c>
      <c r="B1329" s="32" t="s">
        <v>4078</v>
      </c>
      <c r="C1329" t="s">
        <v>4099</v>
      </c>
      <c r="D1329">
        <v>40.257800000000003</v>
      </c>
      <c r="E1329">
        <v>-9.5054999999999996</v>
      </c>
      <c r="F1329" t="s">
        <v>4112</v>
      </c>
      <c r="G1329" t="s">
        <v>4101</v>
      </c>
      <c r="H1329" t="s">
        <v>4096</v>
      </c>
      <c r="I1329" s="32" t="s">
        <v>118</v>
      </c>
      <c r="J1329" s="32" t="s">
        <v>119</v>
      </c>
      <c r="K1329" s="32" t="s">
        <v>203</v>
      </c>
      <c r="L1329" s="32" t="s">
        <v>18</v>
      </c>
      <c r="M1329" t="s">
        <v>734</v>
      </c>
      <c r="N1329" s="27" t="s">
        <v>4083</v>
      </c>
      <c r="O1329" t="s">
        <v>2652</v>
      </c>
      <c r="P1329" t="s">
        <v>1150</v>
      </c>
      <c r="Q1329" s="6" t="s">
        <v>4097</v>
      </c>
      <c r="R1329" s="32" t="s">
        <v>4098</v>
      </c>
      <c r="S1329">
        <v>2021</v>
      </c>
      <c r="T1329" t="s">
        <v>3959</v>
      </c>
      <c r="U1329" t="s">
        <v>1479</v>
      </c>
      <c r="V1329" s="7">
        <v>624</v>
      </c>
      <c r="W1329" s="7"/>
      <c r="X1329">
        <v>216</v>
      </c>
      <c r="Y1329">
        <v>25</v>
      </c>
      <c r="Z1329">
        <v>15</v>
      </c>
      <c r="AC1329" s="7">
        <v>676</v>
      </c>
      <c r="AD1329" s="7"/>
      <c r="AE1329" t="str">
        <f>IF(ISERROR([2]!Table1[[#This Row],[Well Count]]/[2]!Table1[[#This Row],[Site Area km2]]),"",[2]!Table1[[#This Row],[Well Count]]/[2]!Table1[[#This Row],[Site Area km2]])</f>
        <v/>
      </c>
      <c r="AF1329">
        <v>200</v>
      </c>
      <c r="AH1329" t="s">
        <v>2259</v>
      </c>
      <c r="AI1329" s="34">
        <v>1.5</v>
      </c>
      <c r="AM1329" s="21" t="s">
        <v>3960</v>
      </c>
      <c r="AN1329" t="s">
        <v>132</v>
      </c>
      <c r="AO1329" s="19"/>
      <c r="AP1329" s="19"/>
      <c r="AQ1329" s="19"/>
      <c r="AR1329" s="19"/>
      <c r="AS1329" s="19"/>
      <c r="AT1329" s="19"/>
      <c r="AU1329" s="19"/>
      <c r="AV1329" s="19"/>
      <c r="AW1329" s="19"/>
      <c r="AX1329" s="19"/>
      <c r="AY1329" s="19"/>
      <c r="AZ1329" s="19"/>
      <c r="BA1329" s="19"/>
      <c r="BB1329" s="19"/>
      <c r="BC1329" s="19"/>
      <c r="BD1329" s="19"/>
      <c r="BE1329" s="19"/>
      <c r="BF1329" s="19"/>
      <c r="BG1329" s="19"/>
      <c r="BH1329" s="19"/>
      <c r="BI1329" s="19"/>
      <c r="BJ1329" s="19"/>
      <c r="BK1329" s="19"/>
      <c r="BL1329" s="19"/>
      <c r="BM1329" s="19"/>
      <c r="BN1329" s="19"/>
      <c r="BO1329" s="19"/>
      <c r="BP1329" s="19"/>
      <c r="BQ1329" s="19"/>
      <c r="BR1329" s="19"/>
      <c r="BS1329" s="19"/>
      <c r="BT1329" s="19">
        <v>51</v>
      </c>
      <c r="BU1329" s="19"/>
      <c r="BV1329" s="19"/>
      <c r="BW1329" s="19"/>
      <c r="BX1329" s="19"/>
      <c r="BY1329" s="19"/>
      <c r="BZ1329" s="19"/>
      <c r="CA1329" s="19"/>
      <c r="CB1329" s="19"/>
      <c r="CC1329" s="19"/>
      <c r="CD1329" s="19"/>
      <c r="CE132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29" s="19">
        <f>SUM(Table1[[#This Row],[Mid39]],Table1[[#This Row],[Mid36]],Table1[[#This Row],[Mid33]],Table1[[#This Row],[Mid30]],Table1[[#This Row],[Mid27]],Table1[[#This Row],[Mid24]],Table1[[#This Row],[Mid21]],Table1[[#This Row],[Mid18]],Table1[[#This Row],[Mid15]],Table1[[#This Row],[Mid12]],Table1[[#This Row],[Mid9]],Table1[[#This Row],[Mid6]],Table1[[#This Row],[Mid3]],Table1[[#This Row],[Mid]])</f>
        <v>51</v>
      </c>
      <c r="CG13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29" s="35" t="s">
        <v>134</v>
      </c>
      <c r="CJ1329" t="s">
        <v>158</v>
      </c>
      <c r="CL1329" s="19" t="str">
        <f>IF(Table1[[#This Row],[Type]]="Petroleum",1,IF(ISERROR(Table1[[#This Row],[Well Density]]*Table1[[#This Row],[Single Well Discovery Area]]),"",IF(Table1[[#This Row],[Well Density]]*Table1[[#This Row],[Single Well Discovery Area]]&gt;1,1,Table1[[#This Row],[Well Density]]*Table1[[#This Row],[Single Well Discovery Area]])))</f>
        <v/>
      </c>
      <c r="CM1329" t="s">
        <v>157</v>
      </c>
      <c r="CN1329" s="19">
        <f>Table1[[#This Row],[Mid]]</f>
        <v>0</v>
      </c>
      <c r="CO1329" s="19">
        <f>Table1[[#This Row],[Mid3]]+Table1[[#This Row],[Mid6]]+Table1[[#This Row],[Mid9]]</f>
        <v>0</v>
      </c>
      <c r="CP1329" s="19">
        <f>Table1[[#This Row],[Mid12]]+Table1[[#This Row],[Mid15]]+Table1[[#This Row],[Mid18]]+Table1[[#This Row],[Mid21]]+Table1[[#This Row],[Mid24]]</f>
        <v>0</v>
      </c>
      <c r="CQ1329" s="19">
        <f>Table1[[#This Row],[Mid27]]+Table1[[#This Row],[Mid30]]+Table1[[#This Row],[Mid33]]+Table1[[#This Row],[Mid36]]+Table1[[#This Row],[Mid39]]</f>
        <v>51</v>
      </c>
      <c r="CR1329" t="s">
        <v>415</v>
      </c>
      <c r="CS1329" s="19" t="str">
        <f>IF(AND(Table1[[#This Row],[Low41]]=0, Table1[[#This Row],[High43]]=0),"N","Y")</f>
        <v>N</v>
      </c>
    </row>
    <row r="1330" spans="1:97" ht="19.5" customHeight="1" x14ac:dyDescent="0.25">
      <c r="A1330">
        <v>11332</v>
      </c>
      <c r="B1330" s="32" t="s">
        <v>4078</v>
      </c>
      <c r="C1330" t="s">
        <v>4099</v>
      </c>
      <c r="D1330">
        <v>40.732199999999999</v>
      </c>
      <c r="E1330">
        <v>-9.1641999999999992</v>
      </c>
      <c r="F1330" t="s">
        <v>4113</v>
      </c>
      <c r="G1330" t="s">
        <v>4101</v>
      </c>
      <c r="H1330" t="s">
        <v>4096</v>
      </c>
      <c r="I1330" s="32" t="s">
        <v>118</v>
      </c>
      <c r="J1330" s="32" t="s">
        <v>119</v>
      </c>
      <c r="K1330" s="32" t="s">
        <v>203</v>
      </c>
      <c r="L1330" s="32" t="s">
        <v>18</v>
      </c>
      <c r="M1330" t="s">
        <v>734</v>
      </c>
      <c r="N1330" s="27" t="s">
        <v>4083</v>
      </c>
      <c r="O1330" t="s">
        <v>2652</v>
      </c>
      <c r="P1330" t="s">
        <v>1150</v>
      </c>
      <c r="Q1330" s="6" t="s">
        <v>4097</v>
      </c>
      <c r="R1330" s="32" t="s">
        <v>4098</v>
      </c>
      <c r="S1330">
        <v>2021</v>
      </c>
      <c r="T1330" t="s">
        <v>3959</v>
      </c>
      <c r="U1330" t="s">
        <v>1479</v>
      </c>
      <c r="V1330" s="7">
        <v>551</v>
      </c>
      <c r="W1330" s="7"/>
      <c r="X1330">
        <v>387</v>
      </c>
      <c r="Y1330">
        <v>56</v>
      </c>
      <c r="Z1330">
        <v>15</v>
      </c>
      <c r="AC1330" s="7">
        <v>671</v>
      </c>
      <c r="AD1330" s="7"/>
      <c r="AE1330" t="str">
        <f>IF(ISERROR([2]!Table1[[#This Row],[Well Count]]/[2]!Table1[[#This Row],[Site Area km2]]),"",[2]!Table1[[#This Row],[Well Count]]/[2]!Table1[[#This Row],[Site Area km2]])</f>
        <v/>
      </c>
      <c r="AF1330">
        <v>200</v>
      </c>
      <c r="AH1330" t="s">
        <v>2259</v>
      </c>
      <c r="AI1330" s="34">
        <v>1.5</v>
      </c>
      <c r="AM1330" s="21" t="s">
        <v>3960</v>
      </c>
      <c r="AN1330" t="s">
        <v>132</v>
      </c>
      <c r="AO1330" s="19"/>
      <c r="AP1330" s="19"/>
      <c r="AQ1330" s="19"/>
      <c r="AR1330" s="19"/>
      <c r="AS1330" s="19"/>
      <c r="AT1330" s="19"/>
      <c r="AU1330" s="19"/>
      <c r="AV1330" s="19"/>
      <c r="AW1330" s="19"/>
      <c r="AX1330" s="19"/>
      <c r="AY1330" s="19"/>
      <c r="AZ1330" s="19"/>
      <c r="BA1330" s="19"/>
      <c r="BB1330" s="19"/>
      <c r="BC1330" s="19"/>
      <c r="BD1330" s="19"/>
      <c r="BE1330" s="19"/>
      <c r="BF1330" s="19"/>
      <c r="BG1330" s="19"/>
      <c r="BH1330" s="19"/>
      <c r="BI1330" s="19"/>
      <c r="BJ1330" s="19"/>
      <c r="BK1330" s="19"/>
      <c r="BL1330" s="19"/>
      <c r="BM1330" s="19"/>
      <c r="BN1330" s="19"/>
      <c r="BO1330" s="19"/>
      <c r="BP1330" s="19"/>
      <c r="BQ1330" s="19"/>
      <c r="BR1330" s="19"/>
      <c r="BS1330" s="19"/>
      <c r="BT1330" s="19">
        <v>180</v>
      </c>
      <c r="BU1330" s="19"/>
      <c r="BV1330" s="19"/>
      <c r="BW1330" s="19"/>
      <c r="BX1330" s="19"/>
      <c r="BY1330" s="19"/>
      <c r="BZ1330" s="19"/>
      <c r="CA1330" s="19"/>
      <c r="CB1330" s="19"/>
      <c r="CC1330" s="19"/>
      <c r="CD1330" s="19"/>
      <c r="CE133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30" s="19">
        <f>SUM(Table1[[#This Row],[Mid39]],Table1[[#This Row],[Mid36]],Table1[[#This Row],[Mid33]],Table1[[#This Row],[Mid30]],Table1[[#This Row],[Mid27]],Table1[[#This Row],[Mid24]],Table1[[#This Row],[Mid21]],Table1[[#This Row],[Mid18]],Table1[[#This Row],[Mid15]],Table1[[#This Row],[Mid12]],Table1[[#This Row],[Mid9]],Table1[[#This Row],[Mid6]],Table1[[#This Row],[Mid3]],Table1[[#This Row],[Mid]])</f>
        <v>180</v>
      </c>
      <c r="CG13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30" s="35" t="s">
        <v>134</v>
      </c>
      <c r="CJ1330" t="s">
        <v>158</v>
      </c>
      <c r="CL1330" s="19" t="str">
        <f>IF(Table1[[#This Row],[Type]]="Petroleum",1,IF(ISERROR(Table1[[#This Row],[Well Density]]*Table1[[#This Row],[Single Well Discovery Area]]),"",IF(Table1[[#This Row],[Well Density]]*Table1[[#This Row],[Single Well Discovery Area]]&gt;1,1,Table1[[#This Row],[Well Density]]*Table1[[#This Row],[Single Well Discovery Area]])))</f>
        <v/>
      </c>
      <c r="CM1330" t="s">
        <v>157</v>
      </c>
      <c r="CN1330" s="19">
        <f>Table1[[#This Row],[Mid]]</f>
        <v>0</v>
      </c>
      <c r="CO1330" s="19">
        <f>Table1[[#This Row],[Mid3]]+Table1[[#This Row],[Mid6]]+Table1[[#This Row],[Mid9]]</f>
        <v>0</v>
      </c>
      <c r="CP1330" s="19">
        <f>Table1[[#This Row],[Mid12]]+Table1[[#This Row],[Mid15]]+Table1[[#This Row],[Mid18]]+Table1[[#This Row],[Mid21]]+Table1[[#This Row],[Mid24]]</f>
        <v>0</v>
      </c>
      <c r="CQ1330" s="19">
        <f>Table1[[#This Row],[Mid27]]+Table1[[#This Row],[Mid30]]+Table1[[#This Row],[Mid33]]+Table1[[#This Row],[Mid36]]+Table1[[#This Row],[Mid39]]</f>
        <v>180</v>
      </c>
      <c r="CR1330" t="s">
        <v>415</v>
      </c>
      <c r="CS1330" s="19" t="str">
        <f>IF(AND(Table1[[#This Row],[Low41]]=0, Table1[[#This Row],[High43]]=0),"N","Y")</f>
        <v>N</v>
      </c>
    </row>
    <row r="1331" spans="1:97" ht="19.5" customHeight="1" x14ac:dyDescent="0.25">
      <c r="A1331">
        <v>11333</v>
      </c>
      <c r="B1331" t="s">
        <v>4078</v>
      </c>
      <c r="C1331" t="s">
        <v>4114</v>
      </c>
      <c r="D1331">
        <v>39.609929999999999</v>
      </c>
      <c r="E1331">
        <v>-8.7955199999999998</v>
      </c>
      <c r="F1331" t="s">
        <v>4115</v>
      </c>
      <c r="G1331" t="s">
        <v>4101</v>
      </c>
      <c r="H1331" t="s">
        <v>4096</v>
      </c>
      <c r="I1331" t="s">
        <v>118</v>
      </c>
      <c r="J1331" t="s">
        <v>119</v>
      </c>
      <c r="K1331" t="s">
        <v>203</v>
      </c>
      <c r="L1331" t="s">
        <v>121</v>
      </c>
      <c r="M1331" t="s">
        <v>734</v>
      </c>
      <c r="N1331" s="6" t="s">
        <v>4083</v>
      </c>
      <c r="O1331" t="s">
        <v>2652</v>
      </c>
      <c r="P1331" t="s">
        <v>1150</v>
      </c>
      <c r="Q1331" t="s">
        <v>4116</v>
      </c>
      <c r="R1331" t="s">
        <v>4117</v>
      </c>
      <c r="S1331">
        <v>2021</v>
      </c>
      <c r="T1331" t="s">
        <v>3959</v>
      </c>
      <c r="U1331" t="s">
        <v>1479</v>
      </c>
      <c r="V1331">
        <v>292</v>
      </c>
      <c r="X1331">
        <v>1300</v>
      </c>
      <c r="Y1331">
        <v>25</v>
      </c>
      <c r="Z1331">
        <v>13</v>
      </c>
      <c r="AC1331">
        <v>738</v>
      </c>
      <c r="AD1331">
        <v>4</v>
      </c>
      <c r="AE1331" t="str">
        <f>IF(ISERROR([2]!Table1[[#This Row],[Well Count]]/[2]!Table1[[#This Row],[Site Area km2]]),"",[2]!Table1[[#This Row],[Well Count]]/[2]!Table1[[#This Row],[Site Area km2]])</f>
        <v/>
      </c>
      <c r="AF1331">
        <v>200</v>
      </c>
      <c r="AH1331" t="s">
        <v>2259</v>
      </c>
      <c r="AI1331">
        <v>1.5</v>
      </c>
      <c r="AM1331" t="s">
        <v>3960</v>
      </c>
      <c r="AN1331" t="s">
        <v>132</v>
      </c>
      <c r="BH1331">
        <v>137</v>
      </c>
      <c r="CE13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31" s="19">
        <f>SUM(Table1[[#This Row],[Mid39]],Table1[[#This Row],[Mid36]],Table1[[#This Row],[Mid33]],Table1[[#This Row],[Mid30]],Table1[[#This Row],[Mid27]],Table1[[#This Row],[Mid24]],Table1[[#This Row],[Mid21]],Table1[[#This Row],[Mid18]],Table1[[#This Row],[Mid15]],Table1[[#This Row],[Mid12]],Table1[[#This Row],[Mid9]],Table1[[#This Row],[Mid6]],Table1[[#This Row],[Mid3]],Table1[[#This Row],[Mid]])</f>
        <v>137</v>
      </c>
      <c r="CG13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31" t="s">
        <v>134</v>
      </c>
      <c r="CJ1331" t="s">
        <v>158</v>
      </c>
      <c r="CL1331" s="19" t="str">
        <f>IF(Table1[[#This Row],[Type]]="Petroleum",1,IF(ISERROR(Table1[[#This Row],[Well Density]]*Table1[[#This Row],[Single Well Discovery Area]]),"",IF(Table1[[#This Row],[Well Density]]*Table1[[#This Row],[Single Well Discovery Area]]&gt;1,1,Table1[[#This Row],[Well Density]]*Table1[[#This Row],[Single Well Discovery Area]])))</f>
        <v/>
      </c>
      <c r="CM1331" t="s">
        <v>157</v>
      </c>
      <c r="CN1331" s="19">
        <f>Table1[[#This Row],[Mid]]</f>
        <v>0</v>
      </c>
      <c r="CO1331" s="19">
        <f>Table1[[#This Row],[Mid3]]+Table1[[#This Row],[Mid6]]+Table1[[#This Row],[Mid9]]</f>
        <v>0</v>
      </c>
      <c r="CP1331" s="19">
        <f>Table1[[#This Row],[Mid12]]+Table1[[#This Row],[Mid15]]+Table1[[#This Row],[Mid18]]+Table1[[#This Row],[Mid21]]+Table1[[#This Row],[Mid24]]</f>
        <v>137</v>
      </c>
      <c r="CQ1331" s="19">
        <f>Table1[[#This Row],[Mid27]]+Table1[[#This Row],[Mid30]]+Table1[[#This Row],[Mid33]]+Table1[[#This Row],[Mid36]]+Table1[[#This Row],[Mid39]]</f>
        <v>0</v>
      </c>
      <c r="CR1331" t="s">
        <v>415</v>
      </c>
      <c r="CS1331" s="19" t="str">
        <f>IF(AND(Table1[[#This Row],[Low41]]=0, Table1[[#This Row],[High43]]=0),"N","Y")</f>
        <v>N</v>
      </c>
    </row>
    <row r="1332" spans="1:97" ht="19.5" customHeight="1" x14ac:dyDescent="0.25">
      <c r="A1332">
        <v>11334</v>
      </c>
      <c r="B1332" t="s">
        <v>4078</v>
      </c>
      <c r="C1332" t="s">
        <v>4114</v>
      </c>
      <c r="D1332">
        <v>39.609929999999999</v>
      </c>
      <c r="E1332">
        <v>-8.9520999999999997</v>
      </c>
      <c r="F1332" t="s">
        <v>4118</v>
      </c>
      <c r="G1332" t="s">
        <v>4101</v>
      </c>
      <c r="H1332" t="s">
        <v>4096</v>
      </c>
      <c r="I1332" t="s">
        <v>118</v>
      </c>
      <c r="J1332" t="s">
        <v>119</v>
      </c>
      <c r="K1332" t="s">
        <v>203</v>
      </c>
      <c r="L1332" t="s">
        <v>121</v>
      </c>
      <c r="M1332" t="s">
        <v>734</v>
      </c>
      <c r="N1332" s="6" t="s">
        <v>4083</v>
      </c>
      <c r="O1332" t="s">
        <v>2652</v>
      </c>
      <c r="P1332" t="s">
        <v>1150</v>
      </c>
      <c r="Q1332" t="s">
        <v>4116</v>
      </c>
      <c r="R1332" t="s">
        <v>4119</v>
      </c>
      <c r="S1332">
        <v>2021</v>
      </c>
      <c r="T1332" t="s">
        <v>3959</v>
      </c>
      <c r="U1332" t="s">
        <v>1479</v>
      </c>
      <c r="V1332">
        <v>159</v>
      </c>
      <c r="X1332">
        <v>1234</v>
      </c>
      <c r="Y1332">
        <v>25</v>
      </c>
      <c r="Z1332">
        <v>13</v>
      </c>
      <c r="AC1332">
        <v>667</v>
      </c>
      <c r="AD1332">
        <v>2</v>
      </c>
      <c r="AE1332" t="str">
        <f>IF(ISERROR([2]!Table1[[#This Row],[Well Count]]/[2]!Table1[[#This Row],[Site Area km2]]),"",[2]!Table1[[#This Row],[Well Count]]/[2]!Table1[[#This Row],[Site Area km2]])</f>
        <v/>
      </c>
      <c r="AF1332">
        <v>200</v>
      </c>
      <c r="AH1332" t="s">
        <v>2259</v>
      </c>
      <c r="AI1332">
        <v>1.5</v>
      </c>
      <c r="AM1332" t="s">
        <v>3960</v>
      </c>
      <c r="AN1332" t="s">
        <v>132</v>
      </c>
      <c r="BH1332">
        <v>64</v>
      </c>
      <c r="CE133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32" s="19">
        <f>SUM(Table1[[#This Row],[Mid39]],Table1[[#This Row],[Mid36]],Table1[[#This Row],[Mid33]],Table1[[#This Row],[Mid30]],Table1[[#This Row],[Mid27]],Table1[[#This Row],[Mid24]],Table1[[#This Row],[Mid21]],Table1[[#This Row],[Mid18]],Table1[[#This Row],[Mid15]],Table1[[#This Row],[Mid12]],Table1[[#This Row],[Mid9]],Table1[[#This Row],[Mid6]],Table1[[#This Row],[Mid3]],Table1[[#This Row],[Mid]])</f>
        <v>64</v>
      </c>
      <c r="CG13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32" t="s">
        <v>134</v>
      </c>
      <c r="CJ1332" t="s">
        <v>158</v>
      </c>
      <c r="CL1332" s="19" t="str">
        <f>IF(Table1[[#This Row],[Type]]="Petroleum",1,IF(ISERROR(Table1[[#This Row],[Well Density]]*Table1[[#This Row],[Single Well Discovery Area]]),"",IF(Table1[[#This Row],[Well Density]]*Table1[[#This Row],[Single Well Discovery Area]]&gt;1,1,Table1[[#This Row],[Well Density]]*Table1[[#This Row],[Single Well Discovery Area]])))</f>
        <v/>
      </c>
      <c r="CM1332" t="s">
        <v>157</v>
      </c>
      <c r="CN1332" s="19">
        <f>Table1[[#This Row],[Mid]]</f>
        <v>0</v>
      </c>
      <c r="CO1332" s="19">
        <f>Table1[[#This Row],[Mid3]]+Table1[[#This Row],[Mid6]]+Table1[[#This Row],[Mid9]]</f>
        <v>0</v>
      </c>
      <c r="CP1332" s="19">
        <f>Table1[[#This Row],[Mid12]]+Table1[[#This Row],[Mid15]]+Table1[[#This Row],[Mid18]]+Table1[[#This Row],[Mid21]]+Table1[[#This Row],[Mid24]]</f>
        <v>64</v>
      </c>
      <c r="CQ1332" s="19">
        <f>Table1[[#This Row],[Mid27]]+Table1[[#This Row],[Mid30]]+Table1[[#This Row],[Mid33]]+Table1[[#This Row],[Mid36]]+Table1[[#This Row],[Mid39]]</f>
        <v>0</v>
      </c>
      <c r="CR1332" t="s">
        <v>415</v>
      </c>
      <c r="CS1332" s="19" t="str">
        <f>IF(AND(Table1[[#This Row],[Low41]]=0, Table1[[#This Row],[High43]]=0),"N","Y")</f>
        <v>N</v>
      </c>
    </row>
    <row r="1333" spans="1:97" ht="19.5" customHeight="1" x14ac:dyDescent="0.25">
      <c r="A1333">
        <v>11335</v>
      </c>
      <c r="B1333" s="32" t="s">
        <v>4078</v>
      </c>
      <c r="C1333" t="s">
        <v>4114</v>
      </c>
      <c r="D1333" s="39">
        <v>39.728070000000002</v>
      </c>
      <c r="E1333" s="39">
        <v>-9.0017899999999997</v>
      </c>
      <c r="F1333" t="s">
        <v>4120</v>
      </c>
      <c r="G1333" t="s">
        <v>4101</v>
      </c>
      <c r="H1333" t="s">
        <v>4096</v>
      </c>
      <c r="I1333" s="32" t="s">
        <v>118</v>
      </c>
      <c r="J1333" s="32" t="s">
        <v>119</v>
      </c>
      <c r="K1333" s="32" t="s">
        <v>203</v>
      </c>
      <c r="L1333" s="32" t="s">
        <v>121</v>
      </c>
      <c r="M1333" t="s">
        <v>734</v>
      </c>
      <c r="N1333" s="27" t="s">
        <v>4083</v>
      </c>
      <c r="O1333" t="s">
        <v>2652</v>
      </c>
      <c r="P1333" t="s">
        <v>1150</v>
      </c>
      <c r="Q1333" s="6" t="s">
        <v>4116</v>
      </c>
      <c r="R1333" s="32" t="s">
        <v>4119</v>
      </c>
      <c r="S1333">
        <v>2021</v>
      </c>
      <c r="T1333" t="s">
        <v>3959</v>
      </c>
      <c r="U1333" t="s">
        <v>1479</v>
      </c>
      <c r="V1333" s="7">
        <v>158</v>
      </c>
      <c r="W1333" s="7"/>
      <c r="X1333">
        <v>802</v>
      </c>
      <c r="Y1333">
        <v>25</v>
      </c>
      <c r="Z1333">
        <v>13</v>
      </c>
      <c r="AC1333" s="7">
        <v>614</v>
      </c>
      <c r="AD1333" s="7">
        <v>1</v>
      </c>
      <c r="AE1333" t="str">
        <f>IF(ISERROR([2]!Table1[[#This Row],[Well Count]]/[2]!Table1[[#This Row],[Site Area km2]]),"",[2]!Table1[[#This Row],[Well Count]]/[2]!Table1[[#This Row],[Site Area km2]])</f>
        <v/>
      </c>
      <c r="AF1333">
        <v>200</v>
      </c>
      <c r="AH1333" t="s">
        <v>2259</v>
      </c>
      <c r="AI1333" s="34">
        <v>1.5</v>
      </c>
      <c r="AM1333" s="21" t="s">
        <v>3960</v>
      </c>
      <c r="AN1333" t="s">
        <v>132</v>
      </c>
      <c r="AO1333" s="19"/>
      <c r="AP1333" s="19"/>
      <c r="AQ1333" s="19"/>
      <c r="AR1333" s="19"/>
      <c r="AS1333" s="19"/>
      <c r="AT1333" s="19"/>
      <c r="AU1333" s="19"/>
      <c r="AV1333" s="19"/>
      <c r="AW1333" s="19"/>
      <c r="AX1333" s="19"/>
      <c r="AY1333" s="19"/>
      <c r="AZ1333" s="19"/>
      <c r="BA1333" s="19"/>
      <c r="BB1333" s="19"/>
      <c r="BC1333" s="19"/>
      <c r="BD1333" s="19"/>
      <c r="BE1333" s="19"/>
      <c r="BF1333" s="19"/>
      <c r="BG1333" s="19"/>
      <c r="BH1333" s="19">
        <v>38</v>
      </c>
      <c r="BI1333" s="19"/>
      <c r="BJ1333" s="19"/>
      <c r="BK1333" s="19"/>
      <c r="BL1333" s="19"/>
      <c r="BM1333" s="19"/>
      <c r="BN1333" s="19"/>
      <c r="BO1333" s="19"/>
      <c r="BP1333" s="19"/>
      <c r="BQ1333" s="19"/>
      <c r="BR1333" s="19"/>
      <c r="BS1333" s="19"/>
      <c r="BT1333" s="19"/>
      <c r="BU1333" s="19"/>
      <c r="BV1333" s="19"/>
      <c r="BW1333" s="19"/>
      <c r="BX1333" s="19"/>
      <c r="BY1333" s="19"/>
      <c r="BZ1333" s="19"/>
      <c r="CA1333" s="19"/>
      <c r="CB1333" s="19"/>
      <c r="CC1333" s="19"/>
      <c r="CD1333" s="19"/>
      <c r="CE133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33" s="19">
        <f>SUM(Table1[[#This Row],[Mid39]],Table1[[#This Row],[Mid36]],Table1[[#This Row],[Mid33]],Table1[[#This Row],[Mid30]],Table1[[#This Row],[Mid27]],Table1[[#This Row],[Mid24]],Table1[[#This Row],[Mid21]],Table1[[#This Row],[Mid18]],Table1[[#This Row],[Mid15]],Table1[[#This Row],[Mid12]],Table1[[#This Row],[Mid9]],Table1[[#This Row],[Mid6]],Table1[[#This Row],[Mid3]],Table1[[#This Row],[Mid]])</f>
        <v>38</v>
      </c>
      <c r="CG13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33" s="35" t="s">
        <v>134</v>
      </c>
      <c r="CJ1333" t="s">
        <v>158</v>
      </c>
      <c r="CL1333" s="19" t="str">
        <f>IF(Table1[[#This Row],[Type]]="Petroleum",1,IF(ISERROR(Table1[[#This Row],[Well Density]]*Table1[[#This Row],[Single Well Discovery Area]]),"",IF(Table1[[#This Row],[Well Density]]*Table1[[#This Row],[Single Well Discovery Area]]&gt;1,1,Table1[[#This Row],[Well Density]]*Table1[[#This Row],[Single Well Discovery Area]])))</f>
        <v/>
      </c>
      <c r="CM1333" t="s">
        <v>157</v>
      </c>
      <c r="CN1333" s="19">
        <f>Table1[[#This Row],[Mid]]</f>
        <v>0</v>
      </c>
      <c r="CO1333" s="19">
        <f>Table1[[#This Row],[Mid3]]+Table1[[#This Row],[Mid6]]+Table1[[#This Row],[Mid9]]</f>
        <v>0</v>
      </c>
      <c r="CP1333" s="19">
        <f>Table1[[#This Row],[Mid12]]+Table1[[#This Row],[Mid15]]+Table1[[#This Row],[Mid18]]+Table1[[#This Row],[Mid21]]+Table1[[#This Row],[Mid24]]</f>
        <v>38</v>
      </c>
      <c r="CQ1333" s="19">
        <f>Table1[[#This Row],[Mid27]]+Table1[[#This Row],[Mid30]]+Table1[[#This Row],[Mid33]]+Table1[[#This Row],[Mid36]]+Table1[[#This Row],[Mid39]]</f>
        <v>0</v>
      </c>
      <c r="CR1333" t="s">
        <v>415</v>
      </c>
      <c r="CS1333" s="19" t="str">
        <f>IF(AND(Table1[[#This Row],[Low41]]=0, Table1[[#This Row],[High43]]=0),"N","Y")</f>
        <v>N</v>
      </c>
    </row>
    <row r="1334" spans="1:97" ht="19.5" customHeight="1" x14ac:dyDescent="0.25">
      <c r="A1334">
        <v>11336</v>
      </c>
      <c r="B1334" s="32" t="s">
        <v>4078</v>
      </c>
      <c r="C1334" t="s">
        <v>4114</v>
      </c>
      <c r="D1334">
        <v>39.395209999999999</v>
      </c>
      <c r="E1334">
        <v>-9.0196100000000001</v>
      </c>
      <c r="F1334" t="s">
        <v>4121</v>
      </c>
      <c r="G1334" t="s">
        <v>4101</v>
      </c>
      <c r="H1334" t="s">
        <v>4096</v>
      </c>
      <c r="I1334" s="32" t="s">
        <v>118</v>
      </c>
      <c r="J1334" s="32" t="s">
        <v>119</v>
      </c>
      <c r="K1334" s="32" t="s">
        <v>203</v>
      </c>
      <c r="L1334" s="32" t="s">
        <v>18</v>
      </c>
      <c r="M1334" t="s">
        <v>734</v>
      </c>
      <c r="N1334" s="27" t="s">
        <v>4083</v>
      </c>
      <c r="O1334" t="s">
        <v>2652</v>
      </c>
      <c r="P1334" t="s">
        <v>1150</v>
      </c>
      <c r="Q1334" s="6" t="s">
        <v>4122</v>
      </c>
      <c r="R1334" s="32" t="s">
        <v>4123</v>
      </c>
      <c r="S1334">
        <v>2021</v>
      </c>
      <c r="T1334" t="s">
        <v>3959</v>
      </c>
      <c r="U1334" t="s">
        <v>1479</v>
      </c>
      <c r="V1334" s="7">
        <v>76</v>
      </c>
      <c r="W1334" s="7"/>
      <c r="X1334">
        <v>873</v>
      </c>
      <c r="Y1334">
        <v>25</v>
      </c>
      <c r="Z1334">
        <v>13</v>
      </c>
      <c r="AC1334" s="7">
        <v>639</v>
      </c>
      <c r="AD1334" s="7"/>
      <c r="AE1334" t="str">
        <f>IF(ISERROR([2]!Table1[[#This Row],[Well Count]]/[2]!Table1[[#This Row],[Site Area km2]]),"",[2]!Table1[[#This Row],[Well Count]]/[2]!Table1[[#This Row],[Site Area km2]])</f>
        <v/>
      </c>
      <c r="AF1334">
        <v>200</v>
      </c>
      <c r="AH1334" t="s">
        <v>2259</v>
      </c>
      <c r="AI1334" s="34">
        <v>1.5</v>
      </c>
      <c r="AM1334" s="21" t="s">
        <v>3960</v>
      </c>
      <c r="AN1334" t="s">
        <v>132</v>
      </c>
      <c r="AO1334" s="19"/>
      <c r="AP1334" s="19"/>
      <c r="AQ1334" s="19"/>
      <c r="AR1334" s="19"/>
      <c r="AS1334" s="19"/>
      <c r="AT1334" s="19"/>
      <c r="AU1334" s="19"/>
      <c r="AV1334" s="19"/>
      <c r="AW1334" s="19"/>
      <c r="AX1334" s="19"/>
      <c r="AY1334" s="19"/>
      <c r="AZ1334" s="19"/>
      <c r="BA1334" s="19"/>
      <c r="BB1334" s="19"/>
      <c r="BC1334" s="19"/>
      <c r="BD1334" s="19"/>
      <c r="BE1334" s="19"/>
      <c r="BF1334" s="19"/>
      <c r="BG1334" s="19"/>
      <c r="BH1334" s="19"/>
      <c r="BI1334" s="19"/>
      <c r="BJ1334" s="19"/>
      <c r="BK1334" s="19"/>
      <c r="BL1334" s="19"/>
      <c r="BM1334" s="19"/>
      <c r="BN1334" s="19"/>
      <c r="BO1334" s="19"/>
      <c r="BP1334" s="19"/>
      <c r="BQ1334" s="19"/>
      <c r="BR1334" s="19"/>
      <c r="BS1334" s="19"/>
      <c r="BT1334" s="19">
        <v>21</v>
      </c>
      <c r="BU1334" s="19"/>
      <c r="BV1334" s="19"/>
      <c r="BW1334" s="19"/>
      <c r="BX1334" s="19"/>
      <c r="BY1334" s="19"/>
      <c r="BZ1334" s="19"/>
      <c r="CA1334" s="19"/>
      <c r="CB1334" s="19"/>
      <c r="CC1334" s="19"/>
      <c r="CD1334" s="19"/>
      <c r="CE133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34" s="19">
        <f>SUM(Table1[[#This Row],[Mid39]],Table1[[#This Row],[Mid36]],Table1[[#This Row],[Mid33]],Table1[[#This Row],[Mid30]],Table1[[#This Row],[Mid27]],Table1[[#This Row],[Mid24]],Table1[[#This Row],[Mid21]],Table1[[#This Row],[Mid18]],Table1[[#This Row],[Mid15]],Table1[[#This Row],[Mid12]],Table1[[#This Row],[Mid9]],Table1[[#This Row],[Mid6]],Table1[[#This Row],[Mid3]],Table1[[#This Row],[Mid]])</f>
        <v>21</v>
      </c>
      <c r="CG13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34" s="35" t="s">
        <v>134</v>
      </c>
      <c r="CJ1334" t="s">
        <v>158</v>
      </c>
      <c r="CL1334" s="19" t="str">
        <f>IF(Table1[[#This Row],[Type]]="Petroleum",1,IF(ISERROR(Table1[[#This Row],[Well Density]]*Table1[[#This Row],[Single Well Discovery Area]]),"",IF(Table1[[#This Row],[Well Density]]*Table1[[#This Row],[Single Well Discovery Area]]&gt;1,1,Table1[[#This Row],[Well Density]]*Table1[[#This Row],[Single Well Discovery Area]])))</f>
        <v/>
      </c>
      <c r="CM1334" t="s">
        <v>157</v>
      </c>
      <c r="CN1334" s="19">
        <f>Table1[[#This Row],[Mid]]</f>
        <v>0</v>
      </c>
      <c r="CO1334" s="19">
        <f>Table1[[#This Row],[Mid3]]+Table1[[#This Row],[Mid6]]+Table1[[#This Row],[Mid9]]</f>
        <v>0</v>
      </c>
      <c r="CP1334" s="19">
        <f>Table1[[#This Row],[Mid12]]+Table1[[#This Row],[Mid15]]+Table1[[#This Row],[Mid18]]+Table1[[#This Row],[Mid21]]+Table1[[#This Row],[Mid24]]</f>
        <v>0</v>
      </c>
      <c r="CQ1334" s="19">
        <f>Table1[[#This Row],[Mid27]]+Table1[[#This Row],[Mid30]]+Table1[[#This Row],[Mid33]]+Table1[[#This Row],[Mid36]]+Table1[[#This Row],[Mid39]]</f>
        <v>21</v>
      </c>
      <c r="CR1334" t="s">
        <v>415</v>
      </c>
      <c r="CS1334" s="19" t="str">
        <f>IF(AND(Table1[[#This Row],[Low41]]=0, Table1[[#This Row],[High43]]=0),"N","Y")</f>
        <v>N</v>
      </c>
    </row>
    <row r="1335" spans="1:97" ht="19.5" customHeight="1" x14ac:dyDescent="0.25">
      <c r="A1335">
        <v>11337</v>
      </c>
      <c r="B1335" s="32" t="s">
        <v>4078</v>
      </c>
      <c r="C1335" t="s">
        <v>4124</v>
      </c>
      <c r="D1335">
        <v>38.36947</v>
      </c>
      <c r="E1335">
        <v>-9.0393000000000008</v>
      </c>
      <c r="F1335" t="s">
        <v>4125</v>
      </c>
      <c r="G1335" t="s">
        <v>4101</v>
      </c>
      <c r="H1335" t="s">
        <v>4096</v>
      </c>
      <c r="I1335" s="32" t="s">
        <v>118</v>
      </c>
      <c r="J1335" s="32" t="s">
        <v>119</v>
      </c>
      <c r="K1335" s="32" t="s">
        <v>203</v>
      </c>
      <c r="L1335" s="32" t="s">
        <v>121</v>
      </c>
      <c r="M1335" t="s">
        <v>734</v>
      </c>
      <c r="N1335" s="27" t="s">
        <v>4083</v>
      </c>
      <c r="O1335" t="s">
        <v>2652</v>
      </c>
      <c r="P1335" t="s">
        <v>1150</v>
      </c>
      <c r="Q1335" s="6" t="s">
        <v>4097</v>
      </c>
      <c r="R1335" s="32" t="s">
        <v>4119</v>
      </c>
      <c r="S1335">
        <v>2021</v>
      </c>
      <c r="T1335" t="s">
        <v>3959</v>
      </c>
      <c r="U1335" t="s">
        <v>1479</v>
      </c>
      <c r="V1335" s="7">
        <v>367</v>
      </c>
      <c r="W1335" s="7"/>
      <c r="X1335">
        <v>100</v>
      </c>
      <c r="Y1335">
        <v>62</v>
      </c>
      <c r="Z1335">
        <v>10</v>
      </c>
      <c r="AC1335" s="7">
        <v>645</v>
      </c>
      <c r="AD1335" s="7">
        <v>1</v>
      </c>
      <c r="AE1335" t="str">
        <f>IF(ISERROR([2]!Table1[[#This Row],[Well Count]]/[2]!Table1[[#This Row],[Site Area km2]]),"",[2]!Table1[[#This Row],[Well Count]]/[2]!Table1[[#This Row],[Site Area km2]])</f>
        <v/>
      </c>
      <c r="AF1335">
        <v>200</v>
      </c>
      <c r="AH1335" t="s">
        <v>2259</v>
      </c>
      <c r="AI1335" s="34">
        <v>1.5</v>
      </c>
      <c r="AM1335" s="21" t="s">
        <v>3960</v>
      </c>
      <c r="AN1335" t="s">
        <v>132</v>
      </c>
      <c r="AO1335" s="19"/>
      <c r="AP1335" s="19"/>
      <c r="AQ1335" s="19"/>
      <c r="AR1335" s="19"/>
      <c r="AS1335" s="19"/>
      <c r="AT1335" s="19"/>
      <c r="AU1335" s="19"/>
      <c r="AV1335" s="19"/>
      <c r="AW1335" s="19"/>
      <c r="AX1335" s="19"/>
      <c r="AY1335" s="19"/>
      <c r="AZ1335" s="19"/>
      <c r="BA1335" s="19"/>
      <c r="BB1335" s="19"/>
      <c r="BC1335" s="19"/>
      <c r="BD1335" s="19"/>
      <c r="BE1335" s="19"/>
      <c r="BF1335" s="19"/>
      <c r="BG1335" s="19"/>
      <c r="BH1335" s="19">
        <v>22</v>
      </c>
      <c r="BI1335" s="19"/>
      <c r="BJ1335" s="19"/>
      <c r="BK1335" s="19"/>
      <c r="BL1335" s="19"/>
      <c r="BM1335" s="19"/>
      <c r="BN1335" s="19"/>
      <c r="BO1335" s="19"/>
      <c r="BP1335" s="19"/>
      <c r="BQ1335" s="19"/>
      <c r="BR1335" s="19"/>
      <c r="BS1335" s="19"/>
      <c r="BT1335" s="19"/>
      <c r="BU1335" s="19"/>
      <c r="BV1335" s="19"/>
      <c r="BW1335" s="19"/>
      <c r="BX1335" s="19"/>
      <c r="BY1335" s="19"/>
      <c r="BZ1335" s="19"/>
      <c r="CA1335" s="19"/>
      <c r="CB1335" s="19"/>
      <c r="CC1335" s="19"/>
      <c r="CD1335" s="19"/>
      <c r="CE133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35" s="19">
        <f>SUM(Table1[[#This Row],[Mid39]],Table1[[#This Row],[Mid36]],Table1[[#This Row],[Mid33]],Table1[[#This Row],[Mid30]],Table1[[#This Row],[Mid27]],Table1[[#This Row],[Mid24]],Table1[[#This Row],[Mid21]],Table1[[#This Row],[Mid18]],Table1[[#This Row],[Mid15]],Table1[[#This Row],[Mid12]],Table1[[#This Row],[Mid9]],Table1[[#This Row],[Mid6]],Table1[[#This Row],[Mid3]],Table1[[#This Row],[Mid]])</f>
        <v>22</v>
      </c>
      <c r="CG13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35" s="35" t="s">
        <v>134</v>
      </c>
      <c r="CJ1335" t="s">
        <v>158</v>
      </c>
      <c r="CL1335" s="19" t="str">
        <f>IF(Table1[[#This Row],[Type]]="Petroleum",1,IF(ISERROR(Table1[[#This Row],[Well Density]]*Table1[[#This Row],[Single Well Discovery Area]]),"",IF(Table1[[#This Row],[Well Density]]*Table1[[#This Row],[Single Well Discovery Area]]&gt;1,1,Table1[[#This Row],[Well Density]]*Table1[[#This Row],[Single Well Discovery Area]])))</f>
        <v/>
      </c>
      <c r="CM1335" t="s">
        <v>157</v>
      </c>
      <c r="CN1335" s="19">
        <f>Table1[[#This Row],[Mid]]</f>
        <v>0</v>
      </c>
      <c r="CO1335" s="19">
        <f>Table1[[#This Row],[Mid3]]+Table1[[#This Row],[Mid6]]+Table1[[#This Row],[Mid9]]</f>
        <v>0</v>
      </c>
      <c r="CP1335" s="19">
        <f>Table1[[#This Row],[Mid12]]+Table1[[#This Row],[Mid15]]+Table1[[#This Row],[Mid18]]+Table1[[#This Row],[Mid21]]+Table1[[#This Row],[Mid24]]</f>
        <v>22</v>
      </c>
      <c r="CQ1335" s="19">
        <f>Table1[[#This Row],[Mid27]]+Table1[[#This Row],[Mid30]]+Table1[[#This Row],[Mid33]]+Table1[[#This Row],[Mid36]]+Table1[[#This Row],[Mid39]]</f>
        <v>0</v>
      </c>
      <c r="CR1335" t="s">
        <v>415</v>
      </c>
      <c r="CS1335" s="19" t="str">
        <f>IF(AND(Table1[[#This Row],[Low41]]=0, Table1[[#This Row],[High43]]=0),"N","Y")</f>
        <v>N</v>
      </c>
    </row>
    <row r="1336" spans="1:97" ht="19.5" customHeight="1" x14ac:dyDescent="0.25">
      <c r="A1336">
        <v>11338</v>
      </c>
      <c r="B1336" s="32" t="s">
        <v>4078</v>
      </c>
      <c r="C1336" t="s">
        <v>4124</v>
      </c>
      <c r="D1336">
        <v>38.100369999999998</v>
      </c>
      <c r="E1336">
        <v>-8.9492899999999995</v>
      </c>
      <c r="F1336" t="s">
        <v>4126</v>
      </c>
      <c r="G1336" t="s">
        <v>4101</v>
      </c>
      <c r="H1336" t="s">
        <v>4096</v>
      </c>
      <c r="I1336" s="32" t="s">
        <v>118</v>
      </c>
      <c r="J1336" s="32" t="s">
        <v>119</v>
      </c>
      <c r="K1336" s="32" t="s">
        <v>203</v>
      </c>
      <c r="L1336" s="32" t="s">
        <v>121</v>
      </c>
      <c r="M1336" t="s">
        <v>734</v>
      </c>
      <c r="N1336" s="27" t="s">
        <v>4083</v>
      </c>
      <c r="O1336" t="s">
        <v>2652</v>
      </c>
      <c r="P1336" t="s">
        <v>1150</v>
      </c>
      <c r="Q1336" s="6" t="s">
        <v>4097</v>
      </c>
      <c r="R1336" s="32" t="s">
        <v>4127</v>
      </c>
      <c r="S1336">
        <v>2021</v>
      </c>
      <c r="T1336" t="s">
        <v>3959</v>
      </c>
      <c r="U1336" t="s">
        <v>1479</v>
      </c>
      <c r="V1336" s="7">
        <v>230</v>
      </c>
      <c r="W1336" s="7"/>
      <c r="X1336">
        <v>100</v>
      </c>
      <c r="Y1336">
        <v>62</v>
      </c>
      <c r="Z1336">
        <v>10</v>
      </c>
      <c r="AC1336" s="7">
        <v>775</v>
      </c>
      <c r="AD1336" s="7">
        <v>1</v>
      </c>
      <c r="AE1336" t="str">
        <f>IF(ISERROR([2]!Table1[[#This Row],[Well Count]]/[2]!Table1[[#This Row],[Site Area km2]]),"",[2]!Table1[[#This Row],[Well Count]]/[2]!Table1[[#This Row],[Site Area km2]])</f>
        <v/>
      </c>
      <c r="AF1336">
        <v>200</v>
      </c>
      <c r="AH1336" t="s">
        <v>2259</v>
      </c>
      <c r="AI1336" s="34">
        <v>1.5</v>
      </c>
      <c r="AM1336" s="21" t="s">
        <v>3960</v>
      </c>
      <c r="AN1336" t="s">
        <v>132</v>
      </c>
      <c r="AO1336" s="19"/>
      <c r="AP1336" s="19"/>
      <c r="AQ1336" s="19"/>
      <c r="AR1336" s="19"/>
      <c r="AS1336" s="19"/>
      <c r="AT1336" s="19"/>
      <c r="AU1336" s="19"/>
      <c r="AV1336" s="19"/>
      <c r="AW1336" s="19"/>
      <c r="AX1336" s="19"/>
      <c r="AY1336" s="19"/>
      <c r="AZ1336" s="19"/>
      <c r="BA1336" s="19"/>
      <c r="BB1336" s="19"/>
      <c r="BC1336" s="19"/>
      <c r="BD1336" s="19"/>
      <c r="BE1336" s="19"/>
      <c r="BF1336" s="19"/>
      <c r="BG1336" s="19"/>
      <c r="BH1336" s="19">
        <v>17</v>
      </c>
      <c r="BI1336" s="19"/>
      <c r="BJ1336" s="19"/>
      <c r="BK1336" s="19"/>
      <c r="BL1336" s="19"/>
      <c r="BM1336" s="19"/>
      <c r="BN1336" s="19"/>
      <c r="BO1336" s="19"/>
      <c r="BP1336" s="19"/>
      <c r="BQ1336" s="19"/>
      <c r="BR1336" s="19"/>
      <c r="BS1336" s="19"/>
      <c r="BT1336" s="19"/>
      <c r="BU1336" s="19"/>
      <c r="BV1336" s="19"/>
      <c r="BW1336" s="19"/>
      <c r="BX1336" s="19"/>
      <c r="BY1336" s="19"/>
      <c r="BZ1336" s="19"/>
      <c r="CA1336" s="19"/>
      <c r="CB1336" s="19"/>
      <c r="CC1336" s="19"/>
      <c r="CD1336" s="19"/>
      <c r="CE13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36" s="19">
        <f>SUM(Table1[[#This Row],[Mid39]],Table1[[#This Row],[Mid36]],Table1[[#This Row],[Mid33]],Table1[[#This Row],[Mid30]],Table1[[#This Row],[Mid27]],Table1[[#This Row],[Mid24]],Table1[[#This Row],[Mid21]],Table1[[#This Row],[Mid18]],Table1[[#This Row],[Mid15]],Table1[[#This Row],[Mid12]],Table1[[#This Row],[Mid9]],Table1[[#This Row],[Mid6]],Table1[[#This Row],[Mid3]],Table1[[#This Row],[Mid]])</f>
        <v>17</v>
      </c>
      <c r="CG13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36" s="35" t="s">
        <v>134</v>
      </c>
      <c r="CJ1336" t="s">
        <v>158</v>
      </c>
      <c r="CL1336" s="19" t="str">
        <f>IF(Table1[[#This Row],[Type]]="Petroleum",1,IF(ISERROR(Table1[[#This Row],[Well Density]]*Table1[[#This Row],[Single Well Discovery Area]]),"",IF(Table1[[#This Row],[Well Density]]*Table1[[#This Row],[Single Well Discovery Area]]&gt;1,1,Table1[[#This Row],[Well Density]]*Table1[[#This Row],[Single Well Discovery Area]])))</f>
        <v/>
      </c>
      <c r="CM1336" t="s">
        <v>157</v>
      </c>
      <c r="CN1336" s="19">
        <f>Table1[[#This Row],[Mid]]</f>
        <v>0</v>
      </c>
      <c r="CO1336" s="19">
        <f>Table1[[#This Row],[Mid3]]+Table1[[#This Row],[Mid6]]+Table1[[#This Row],[Mid9]]</f>
        <v>0</v>
      </c>
      <c r="CP1336" s="19">
        <f>Table1[[#This Row],[Mid12]]+Table1[[#This Row],[Mid15]]+Table1[[#This Row],[Mid18]]+Table1[[#This Row],[Mid21]]+Table1[[#This Row],[Mid24]]</f>
        <v>17</v>
      </c>
      <c r="CQ1336" s="19">
        <f>Table1[[#This Row],[Mid27]]+Table1[[#This Row],[Mid30]]+Table1[[#This Row],[Mid33]]+Table1[[#This Row],[Mid36]]+Table1[[#This Row],[Mid39]]</f>
        <v>0</v>
      </c>
      <c r="CR1336" s="19" t="s">
        <v>415</v>
      </c>
      <c r="CS1336" s="19" t="str">
        <f>IF(AND(Table1[[#This Row],[Low41]]=0, Table1[[#This Row],[High43]]=0),"N","Y")</f>
        <v>N</v>
      </c>
    </row>
    <row r="1337" spans="1:97" ht="19.5" customHeight="1" x14ac:dyDescent="0.25">
      <c r="A1337">
        <v>11339</v>
      </c>
      <c r="B1337" s="32" t="s">
        <v>4078</v>
      </c>
      <c r="C1337" t="s">
        <v>4124</v>
      </c>
      <c r="D1337">
        <v>38.209130000000002</v>
      </c>
      <c r="E1337">
        <v>-8.9708500000000004</v>
      </c>
      <c r="F1337" t="s">
        <v>4128</v>
      </c>
      <c r="G1337" t="s">
        <v>4101</v>
      </c>
      <c r="H1337" t="s">
        <v>4096</v>
      </c>
      <c r="I1337" s="32" t="s">
        <v>118</v>
      </c>
      <c r="J1337" s="32" t="s">
        <v>119</v>
      </c>
      <c r="K1337" s="32" t="s">
        <v>203</v>
      </c>
      <c r="L1337" s="32" t="s">
        <v>18</v>
      </c>
      <c r="M1337" t="s">
        <v>734</v>
      </c>
      <c r="N1337" s="27" t="s">
        <v>4083</v>
      </c>
      <c r="O1337" t="s">
        <v>2652</v>
      </c>
      <c r="P1337" t="s">
        <v>1150</v>
      </c>
      <c r="Q1337" s="6" t="s">
        <v>4097</v>
      </c>
      <c r="R1337" s="32" t="s">
        <v>4098</v>
      </c>
      <c r="S1337">
        <v>2021</v>
      </c>
      <c r="T1337" t="s">
        <v>3959</v>
      </c>
      <c r="U1337" t="s">
        <v>1479</v>
      </c>
      <c r="V1337" s="7">
        <v>211</v>
      </c>
      <c r="W1337" s="7"/>
      <c r="X1337">
        <v>100</v>
      </c>
      <c r="Y1337">
        <v>62</v>
      </c>
      <c r="Z1337">
        <v>10</v>
      </c>
      <c r="AC1337" s="7">
        <v>710</v>
      </c>
      <c r="AD1337" s="7"/>
      <c r="AE1337" t="str">
        <f>IF(ISERROR([2]!Table1[[#This Row],[Well Count]]/[2]!Table1[[#This Row],[Site Area km2]]),"",[2]!Table1[[#This Row],[Well Count]]/[2]!Table1[[#This Row],[Site Area km2]])</f>
        <v/>
      </c>
      <c r="AF1337">
        <v>200</v>
      </c>
      <c r="AH1337" t="s">
        <v>2259</v>
      </c>
      <c r="AI1337" s="34">
        <v>1.5</v>
      </c>
      <c r="AM1337" s="21" t="s">
        <v>3960</v>
      </c>
      <c r="AN1337" t="s">
        <v>132</v>
      </c>
      <c r="AO1337" s="19"/>
      <c r="AP1337" s="19"/>
      <c r="AQ1337" s="19"/>
      <c r="AR1337" s="19"/>
      <c r="AS1337" s="19"/>
      <c r="AT1337" s="19"/>
      <c r="AU1337" s="19"/>
      <c r="AV1337" s="19"/>
      <c r="AW1337" s="19"/>
      <c r="AX1337" s="19"/>
      <c r="AY1337" s="19"/>
      <c r="AZ1337" s="19"/>
      <c r="BA1337" s="19"/>
      <c r="BB1337" s="19"/>
      <c r="BC1337" s="19"/>
      <c r="BD1337" s="19"/>
      <c r="BE1337" s="19"/>
      <c r="BF1337" s="19"/>
      <c r="BG1337" s="19"/>
      <c r="BH1337" s="19"/>
      <c r="BI1337" s="19"/>
      <c r="BJ1337" s="19"/>
      <c r="BK1337" s="19"/>
      <c r="BL1337" s="19"/>
      <c r="BM1337" s="19"/>
      <c r="BN1337" s="19"/>
      <c r="BO1337" s="19"/>
      <c r="BP1337" s="19"/>
      <c r="BQ1337" s="19"/>
      <c r="BR1337" s="19"/>
      <c r="BS1337" s="19"/>
      <c r="BT1337" s="19">
        <v>14</v>
      </c>
      <c r="BU1337" s="19"/>
      <c r="BV1337" s="19"/>
      <c r="BW1337" s="19"/>
      <c r="BX1337" s="19"/>
      <c r="BY1337" s="19"/>
      <c r="BZ1337" s="19"/>
      <c r="CA1337" s="19"/>
      <c r="CB1337" s="19"/>
      <c r="CC1337" s="19"/>
      <c r="CD1337" s="19"/>
      <c r="CE133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37" s="19">
        <f>SUM(Table1[[#This Row],[Mid39]],Table1[[#This Row],[Mid36]],Table1[[#This Row],[Mid33]],Table1[[#This Row],[Mid30]],Table1[[#This Row],[Mid27]],Table1[[#This Row],[Mid24]],Table1[[#This Row],[Mid21]],Table1[[#This Row],[Mid18]],Table1[[#This Row],[Mid15]],Table1[[#This Row],[Mid12]],Table1[[#This Row],[Mid9]],Table1[[#This Row],[Mid6]],Table1[[#This Row],[Mid3]],Table1[[#This Row],[Mid]])</f>
        <v>14</v>
      </c>
      <c r="CG13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37" s="35" t="s">
        <v>134</v>
      </c>
      <c r="CJ1337" t="s">
        <v>158</v>
      </c>
      <c r="CL1337" s="19" t="str">
        <f>IF(Table1[[#This Row],[Type]]="Petroleum",1,IF(ISERROR(Table1[[#This Row],[Well Density]]*Table1[[#This Row],[Single Well Discovery Area]]),"",IF(Table1[[#This Row],[Well Density]]*Table1[[#This Row],[Single Well Discovery Area]]&gt;1,1,Table1[[#This Row],[Well Density]]*Table1[[#This Row],[Single Well Discovery Area]])))</f>
        <v/>
      </c>
      <c r="CM1337" t="s">
        <v>157</v>
      </c>
      <c r="CN1337" s="19">
        <f>Table1[[#This Row],[Mid]]</f>
        <v>0</v>
      </c>
      <c r="CO1337" s="19">
        <f>Table1[[#This Row],[Mid3]]+Table1[[#This Row],[Mid6]]+Table1[[#This Row],[Mid9]]</f>
        <v>0</v>
      </c>
      <c r="CP1337" s="19">
        <f>Table1[[#This Row],[Mid12]]+Table1[[#This Row],[Mid15]]+Table1[[#This Row],[Mid18]]+Table1[[#This Row],[Mid21]]+Table1[[#This Row],[Mid24]]</f>
        <v>0</v>
      </c>
      <c r="CQ1337" s="19">
        <f>Table1[[#This Row],[Mid27]]+Table1[[#This Row],[Mid30]]+Table1[[#This Row],[Mid33]]+Table1[[#This Row],[Mid36]]+Table1[[#This Row],[Mid39]]</f>
        <v>14</v>
      </c>
      <c r="CR1337" s="19" t="s">
        <v>415</v>
      </c>
      <c r="CS1337" s="19" t="str">
        <f>IF(AND(Table1[[#This Row],[Low41]]=0, Table1[[#This Row],[High43]]=0),"N","Y")</f>
        <v>N</v>
      </c>
    </row>
    <row r="1338" spans="1:97" ht="19.5" customHeight="1" x14ac:dyDescent="0.25">
      <c r="A1338">
        <v>11340</v>
      </c>
      <c r="B1338" s="32" t="s">
        <v>4078</v>
      </c>
      <c r="C1338" t="s">
        <v>4124</v>
      </c>
      <c r="D1338">
        <v>38.273359999999997</v>
      </c>
      <c r="E1338">
        <v>-8.8245799999999992</v>
      </c>
      <c r="F1338" t="s">
        <v>4129</v>
      </c>
      <c r="G1338" t="s">
        <v>4101</v>
      </c>
      <c r="H1338" t="s">
        <v>4096</v>
      </c>
      <c r="I1338" s="32" t="s">
        <v>118</v>
      </c>
      <c r="J1338" s="32" t="s">
        <v>119</v>
      </c>
      <c r="K1338" s="32" t="s">
        <v>203</v>
      </c>
      <c r="L1338" s="32" t="s">
        <v>18</v>
      </c>
      <c r="M1338" t="s">
        <v>734</v>
      </c>
      <c r="N1338" s="27" t="s">
        <v>4083</v>
      </c>
      <c r="O1338" t="s">
        <v>2652</v>
      </c>
      <c r="P1338" t="s">
        <v>1150</v>
      </c>
      <c r="Q1338" s="6" t="s">
        <v>4097</v>
      </c>
      <c r="R1338" s="32" t="s">
        <v>4098</v>
      </c>
      <c r="S1338">
        <v>2021</v>
      </c>
      <c r="T1338" t="s">
        <v>3959</v>
      </c>
      <c r="U1338" t="s">
        <v>1479</v>
      </c>
      <c r="V1338" s="7">
        <v>219</v>
      </c>
      <c r="W1338" s="7"/>
      <c r="X1338">
        <v>100</v>
      </c>
      <c r="Y1338">
        <v>62</v>
      </c>
      <c r="Z1338">
        <v>10</v>
      </c>
      <c r="AC1338" s="7">
        <v>535</v>
      </c>
      <c r="AD1338" s="7"/>
      <c r="AE1338" t="str">
        <f>IF(ISERROR([2]!Table1[[#This Row],[Well Count]]/[2]!Table1[[#This Row],[Site Area km2]]),"",[2]!Table1[[#This Row],[Well Count]]/[2]!Table1[[#This Row],[Site Area km2]])</f>
        <v/>
      </c>
      <c r="AF1338">
        <v>200</v>
      </c>
      <c r="AH1338" t="s">
        <v>2259</v>
      </c>
      <c r="AI1338" s="34">
        <v>1.5</v>
      </c>
      <c r="AM1338" s="21" t="s">
        <v>3960</v>
      </c>
      <c r="AN1338" t="s">
        <v>132</v>
      </c>
      <c r="AO1338" s="19"/>
      <c r="AP1338" s="19"/>
      <c r="AQ1338" s="19"/>
      <c r="AR1338" s="19"/>
      <c r="AS1338" s="19"/>
      <c r="AT1338" s="19"/>
      <c r="AU1338" s="19"/>
      <c r="AV1338" s="19"/>
      <c r="AW1338" s="19"/>
      <c r="AX1338" s="19"/>
      <c r="AY1338" s="19"/>
      <c r="AZ1338" s="19"/>
      <c r="BA1338" s="19"/>
      <c r="BB1338" s="19"/>
      <c r="BC1338" s="19"/>
      <c r="BD1338" s="19"/>
      <c r="BE1338" s="19"/>
      <c r="BF1338" s="19"/>
      <c r="BG1338" s="19"/>
      <c r="BH1338" s="19"/>
      <c r="BI1338" s="19"/>
      <c r="BJ1338" s="19"/>
      <c r="BK1338" s="19"/>
      <c r="BL1338" s="19"/>
      <c r="BM1338" s="19"/>
      <c r="BN1338" s="19"/>
      <c r="BO1338" s="19"/>
      <c r="BP1338" s="19"/>
      <c r="BQ1338" s="19"/>
      <c r="BR1338" s="19"/>
      <c r="BS1338" s="19"/>
      <c r="BT1338" s="19">
        <v>11</v>
      </c>
      <c r="BU1338" s="19"/>
      <c r="BV1338" s="19"/>
      <c r="BW1338" s="19"/>
      <c r="BX1338" s="19"/>
      <c r="BY1338" s="19"/>
      <c r="BZ1338" s="19"/>
      <c r="CA1338" s="19"/>
      <c r="CB1338" s="19"/>
      <c r="CC1338" s="19"/>
      <c r="CD1338" s="19"/>
      <c r="CE133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38" s="19">
        <f>SUM(Table1[[#This Row],[Mid39]],Table1[[#This Row],[Mid36]],Table1[[#This Row],[Mid33]],Table1[[#This Row],[Mid30]],Table1[[#This Row],[Mid27]],Table1[[#This Row],[Mid24]],Table1[[#This Row],[Mid21]],Table1[[#This Row],[Mid18]],Table1[[#This Row],[Mid15]],Table1[[#This Row],[Mid12]],Table1[[#This Row],[Mid9]],Table1[[#This Row],[Mid6]],Table1[[#This Row],[Mid3]],Table1[[#This Row],[Mid]])</f>
        <v>11</v>
      </c>
      <c r="CG13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38" s="35" t="s">
        <v>134</v>
      </c>
      <c r="CJ1338" t="s">
        <v>158</v>
      </c>
      <c r="CL1338" s="19" t="str">
        <f>IF(Table1[[#This Row],[Type]]="Petroleum",1,IF(ISERROR(Table1[[#This Row],[Well Density]]*Table1[[#This Row],[Single Well Discovery Area]]),"",IF(Table1[[#This Row],[Well Density]]*Table1[[#This Row],[Single Well Discovery Area]]&gt;1,1,Table1[[#This Row],[Well Density]]*Table1[[#This Row],[Single Well Discovery Area]])))</f>
        <v/>
      </c>
      <c r="CM1338" t="s">
        <v>157</v>
      </c>
      <c r="CN1338" s="19">
        <f>Table1[[#This Row],[Mid]]</f>
        <v>0</v>
      </c>
      <c r="CO1338" s="19">
        <f>Table1[[#This Row],[Mid3]]+Table1[[#This Row],[Mid6]]+Table1[[#This Row],[Mid9]]</f>
        <v>0</v>
      </c>
      <c r="CP1338" s="19">
        <f>Table1[[#This Row],[Mid12]]+Table1[[#This Row],[Mid15]]+Table1[[#This Row],[Mid18]]+Table1[[#This Row],[Mid21]]+Table1[[#This Row],[Mid24]]</f>
        <v>0</v>
      </c>
      <c r="CQ1338" s="19">
        <f>Table1[[#This Row],[Mid27]]+Table1[[#This Row],[Mid30]]+Table1[[#This Row],[Mid33]]+Table1[[#This Row],[Mid36]]+Table1[[#This Row],[Mid39]]</f>
        <v>11</v>
      </c>
      <c r="CR1338" t="s">
        <v>415</v>
      </c>
      <c r="CS1338" s="19" t="str">
        <f>IF(AND(Table1[[#This Row],[Low41]]=0, Table1[[#This Row],[High43]]=0),"N","Y")</f>
        <v>N</v>
      </c>
    </row>
    <row r="1339" spans="1:97" ht="19.5" customHeight="1" x14ac:dyDescent="0.25">
      <c r="A1339">
        <v>11341</v>
      </c>
      <c r="B1339" s="32" t="s">
        <v>4078</v>
      </c>
      <c r="C1339" t="s">
        <v>4130</v>
      </c>
      <c r="D1339">
        <v>36.805999999999997</v>
      </c>
      <c r="E1339">
        <v>-8.3529999999999998</v>
      </c>
      <c r="F1339" t="s">
        <v>4131</v>
      </c>
      <c r="G1339" t="s">
        <v>4101</v>
      </c>
      <c r="H1339" t="s">
        <v>4132</v>
      </c>
      <c r="I1339" s="32" t="s">
        <v>118</v>
      </c>
      <c r="J1339" s="32" t="s">
        <v>119</v>
      </c>
      <c r="K1339" s="32" t="s">
        <v>203</v>
      </c>
      <c r="L1339" s="32" t="s">
        <v>121</v>
      </c>
      <c r="M1339" t="s">
        <v>1177</v>
      </c>
      <c r="N1339" s="27" t="s">
        <v>4083</v>
      </c>
      <c r="O1339" t="s">
        <v>2652</v>
      </c>
      <c r="P1339" t="s">
        <v>1150</v>
      </c>
      <c r="Q1339" s="6" t="s">
        <v>4133</v>
      </c>
      <c r="R1339" s="32" t="s">
        <v>4134</v>
      </c>
      <c r="S1339">
        <v>2021</v>
      </c>
      <c r="T1339" t="s">
        <v>3959</v>
      </c>
      <c r="U1339" t="s">
        <v>1479</v>
      </c>
      <c r="V1339" s="7">
        <v>3021</v>
      </c>
      <c r="W1339" s="7"/>
      <c r="X1339">
        <v>196</v>
      </c>
      <c r="Y1339">
        <v>40</v>
      </c>
      <c r="Z1339">
        <v>20</v>
      </c>
      <c r="AC1339" s="7">
        <v>746</v>
      </c>
      <c r="AD1339" s="7">
        <v>1</v>
      </c>
      <c r="AE1339" t="str">
        <f>IF(ISERROR([2]!Table1[[#This Row],[Well Count]]/[2]!Table1[[#This Row],[Site Area km2]]),"",[2]!Table1[[#This Row],[Well Count]]/[2]!Table1[[#This Row],[Site Area km2]])</f>
        <v/>
      </c>
      <c r="AF1339">
        <v>200</v>
      </c>
      <c r="AH1339" t="s">
        <v>2259</v>
      </c>
      <c r="AI1339" s="34">
        <v>1.5</v>
      </c>
      <c r="AM1339" s="21" t="s">
        <v>3960</v>
      </c>
      <c r="AN1339" t="s">
        <v>132</v>
      </c>
      <c r="AO1339" s="19"/>
      <c r="AP1339" s="19"/>
      <c r="AQ1339" s="19"/>
      <c r="AR1339" s="19"/>
      <c r="AS1339" s="19"/>
      <c r="AT1339" s="19"/>
      <c r="AU1339" s="19"/>
      <c r="AV1339" s="19"/>
      <c r="AW1339" s="19"/>
      <c r="AX1339" s="19"/>
      <c r="AY1339" s="19"/>
      <c r="AZ1339" s="19"/>
      <c r="BA1339" s="19"/>
      <c r="BB1339" s="19"/>
      <c r="BC1339" s="19"/>
      <c r="BD1339" s="19"/>
      <c r="BE1339" s="19"/>
      <c r="BF1339" s="19"/>
      <c r="BG1339" s="19"/>
      <c r="BH1339" s="19">
        <v>497</v>
      </c>
      <c r="BI1339" s="19"/>
      <c r="BJ1339" s="19"/>
      <c r="BK1339" s="19"/>
      <c r="BL1339" s="19"/>
      <c r="BM1339" s="19"/>
      <c r="BN1339" s="19"/>
      <c r="BO1339" s="19"/>
      <c r="BP1339" s="19"/>
      <c r="BQ1339" s="19"/>
      <c r="BR1339" s="19"/>
      <c r="BS1339" s="19"/>
      <c r="BT1339" s="19"/>
      <c r="BU1339" s="19"/>
      <c r="BV1339" s="19"/>
      <c r="BW1339" s="19"/>
      <c r="BX1339" s="19"/>
      <c r="BY1339" s="19"/>
      <c r="BZ1339" s="19"/>
      <c r="CA1339" s="19"/>
      <c r="CB1339" s="19"/>
      <c r="CC1339" s="19"/>
      <c r="CD1339" s="19"/>
      <c r="CE133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39" s="19">
        <f>SUM(Table1[[#This Row],[Mid39]],Table1[[#This Row],[Mid36]],Table1[[#This Row],[Mid33]],Table1[[#This Row],[Mid30]],Table1[[#This Row],[Mid27]],Table1[[#This Row],[Mid24]],Table1[[#This Row],[Mid21]],Table1[[#This Row],[Mid18]],Table1[[#This Row],[Mid15]],Table1[[#This Row],[Mid12]],Table1[[#This Row],[Mid9]],Table1[[#This Row],[Mid6]],Table1[[#This Row],[Mid3]],Table1[[#This Row],[Mid]])</f>
        <v>497</v>
      </c>
      <c r="CG13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39" s="35" t="s">
        <v>134</v>
      </c>
      <c r="CJ1339" t="s">
        <v>158</v>
      </c>
      <c r="CL1339" s="19" t="str">
        <f>IF(Table1[[#This Row],[Type]]="Petroleum",1,IF(ISERROR(Table1[[#This Row],[Well Density]]*Table1[[#This Row],[Single Well Discovery Area]]),"",IF(Table1[[#This Row],[Well Density]]*Table1[[#This Row],[Single Well Discovery Area]]&gt;1,1,Table1[[#This Row],[Well Density]]*Table1[[#This Row],[Single Well Discovery Area]])))</f>
        <v/>
      </c>
      <c r="CM1339" t="s">
        <v>157</v>
      </c>
      <c r="CN1339" s="19">
        <f>Table1[[#This Row],[Mid]]</f>
        <v>0</v>
      </c>
      <c r="CO1339" s="19">
        <f>Table1[[#This Row],[Mid3]]+Table1[[#This Row],[Mid6]]+Table1[[#This Row],[Mid9]]</f>
        <v>0</v>
      </c>
      <c r="CP1339" s="19">
        <f>Table1[[#This Row],[Mid12]]+Table1[[#This Row],[Mid15]]+Table1[[#This Row],[Mid18]]+Table1[[#This Row],[Mid21]]+Table1[[#This Row],[Mid24]]</f>
        <v>497</v>
      </c>
      <c r="CQ1339" s="19">
        <f>Table1[[#This Row],[Mid27]]+Table1[[#This Row],[Mid30]]+Table1[[#This Row],[Mid33]]+Table1[[#This Row],[Mid36]]+Table1[[#This Row],[Mid39]]</f>
        <v>0</v>
      </c>
      <c r="CR1339" t="s">
        <v>415</v>
      </c>
      <c r="CS1339" s="19" t="str">
        <f>IF(AND(Table1[[#This Row],[Low41]]=0, Table1[[#This Row],[High43]]=0),"N","Y")</f>
        <v>N</v>
      </c>
    </row>
    <row r="1340" spans="1:97" ht="19.5" customHeight="1" x14ac:dyDescent="0.25">
      <c r="A1340">
        <v>11342</v>
      </c>
      <c r="B1340" t="s">
        <v>4078</v>
      </c>
      <c r="C1340" t="s">
        <v>4130</v>
      </c>
      <c r="D1340">
        <v>36.646599999999999</v>
      </c>
      <c r="E1340">
        <v>-8.4524000000000008</v>
      </c>
      <c r="F1340" t="s">
        <v>4135</v>
      </c>
      <c r="G1340" t="s">
        <v>4101</v>
      </c>
      <c r="H1340" t="s">
        <v>4082</v>
      </c>
      <c r="I1340" t="s">
        <v>118</v>
      </c>
      <c r="J1340" t="s">
        <v>119</v>
      </c>
      <c r="K1340" t="s">
        <v>203</v>
      </c>
      <c r="L1340" t="s">
        <v>18</v>
      </c>
      <c r="M1340" t="s">
        <v>2670</v>
      </c>
      <c r="N1340" s="6" t="s">
        <v>4083</v>
      </c>
      <c r="O1340" t="s">
        <v>2652</v>
      </c>
      <c r="P1340" t="s">
        <v>1150</v>
      </c>
      <c r="Q1340" t="s">
        <v>4133</v>
      </c>
      <c r="R1340" t="s">
        <v>4093</v>
      </c>
      <c r="S1340">
        <v>2021</v>
      </c>
      <c r="T1340" t="s">
        <v>3959</v>
      </c>
      <c r="U1340" t="s">
        <v>1479</v>
      </c>
      <c r="V1340">
        <v>3075</v>
      </c>
      <c r="X1340">
        <v>585</v>
      </c>
      <c r="Y1340">
        <v>40</v>
      </c>
      <c r="Z1340">
        <v>20</v>
      </c>
      <c r="AC1340">
        <v>726</v>
      </c>
      <c r="AE1340" t="str">
        <f>IF(ISERROR([2]!Table1[[#This Row],[Well Count]]/[2]!Table1[[#This Row],[Site Area km2]]),"",[2]!Table1[[#This Row],[Well Count]]/[2]!Table1[[#This Row],[Site Area km2]])</f>
        <v/>
      </c>
      <c r="AF1340">
        <v>200</v>
      </c>
      <c r="AH1340" t="s">
        <v>2259</v>
      </c>
      <c r="AI1340">
        <v>1.5</v>
      </c>
      <c r="AM1340" t="s">
        <v>3960</v>
      </c>
      <c r="AN1340" t="s">
        <v>132</v>
      </c>
      <c r="BT1340">
        <v>1371</v>
      </c>
      <c r="CE134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40" s="19">
        <f>SUM(Table1[[#This Row],[Mid39]],Table1[[#This Row],[Mid36]],Table1[[#This Row],[Mid33]],Table1[[#This Row],[Mid30]],Table1[[#This Row],[Mid27]],Table1[[#This Row],[Mid24]],Table1[[#This Row],[Mid21]],Table1[[#This Row],[Mid18]],Table1[[#This Row],[Mid15]],Table1[[#This Row],[Mid12]],Table1[[#This Row],[Mid9]],Table1[[#This Row],[Mid6]],Table1[[#This Row],[Mid3]],Table1[[#This Row],[Mid]])</f>
        <v>1371</v>
      </c>
      <c r="CG13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40" t="s">
        <v>134</v>
      </c>
      <c r="CJ1340" t="s">
        <v>158</v>
      </c>
      <c r="CL1340" s="19" t="str">
        <f>IF(Table1[[#This Row],[Type]]="Petroleum",1,IF(ISERROR(Table1[[#This Row],[Well Density]]*Table1[[#This Row],[Single Well Discovery Area]]),"",IF(Table1[[#This Row],[Well Density]]*Table1[[#This Row],[Single Well Discovery Area]]&gt;1,1,Table1[[#This Row],[Well Density]]*Table1[[#This Row],[Single Well Discovery Area]])))</f>
        <v/>
      </c>
      <c r="CM1340" t="s">
        <v>157</v>
      </c>
      <c r="CN1340" s="19">
        <f>Table1[[#This Row],[Mid]]</f>
        <v>0</v>
      </c>
      <c r="CO1340" s="19">
        <f>Table1[[#This Row],[Mid3]]+Table1[[#This Row],[Mid6]]+Table1[[#This Row],[Mid9]]</f>
        <v>0</v>
      </c>
      <c r="CP1340" s="19">
        <f>Table1[[#This Row],[Mid12]]+Table1[[#This Row],[Mid15]]+Table1[[#This Row],[Mid18]]+Table1[[#This Row],[Mid21]]+Table1[[#This Row],[Mid24]]</f>
        <v>0</v>
      </c>
      <c r="CQ1340" s="19">
        <f>Table1[[#This Row],[Mid27]]+Table1[[#This Row],[Mid30]]+Table1[[#This Row],[Mid33]]+Table1[[#This Row],[Mid36]]+Table1[[#This Row],[Mid39]]</f>
        <v>1371</v>
      </c>
      <c r="CR1340" t="s">
        <v>415</v>
      </c>
      <c r="CS1340" s="19" t="str">
        <f>IF(AND(Table1[[#This Row],[Low41]]=0, Table1[[#This Row],[High43]]=0),"N","Y")</f>
        <v>N</v>
      </c>
    </row>
    <row r="1341" spans="1:97" ht="19.5" customHeight="1" x14ac:dyDescent="0.25">
      <c r="A1341">
        <v>11343</v>
      </c>
      <c r="B1341" t="s">
        <v>4078</v>
      </c>
      <c r="C1341" t="s">
        <v>4130</v>
      </c>
      <c r="D1341">
        <v>36.541600000000003</v>
      </c>
      <c r="E1341">
        <v>-7.4715999999999996</v>
      </c>
      <c r="F1341" t="s">
        <v>4136</v>
      </c>
      <c r="G1341" t="s">
        <v>4101</v>
      </c>
      <c r="H1341" t="s">
        <v>4082</v>
      </c>
      <c r="I1341" t="s">
        <v>118</v>
      </c>
      <c r="J1341" t="s">
        <v>119</v>
      </c>
      <c r="K1341" t="s">
        <v>203</v>
      </c>
      <c r="L1341" t="s">
        <v>18</v>
      </c>
      <c r="M1341" t="s">
        <v>2670</v>
      </c>
      <c r="N1341" s="6" t="s">
        <v>4083</v>
      </c>
      <c r="O1341" t="s">
        <v>2652</v>
      </c>
      <c r="P1341" t="s">
        <v>1150</v>
      </c>
      <c r="Q1341" t="s">
        <v>4133</v>
      </c>
      <c r="R1341" t="s">
        <v>4093</v>
      </c>
      <c r="S1341">
        <v>2021</v>
      </c>
      <c r="T1341" t="s">
        <v>3959</v>
      </c>
      <c r="U1341" t="s">
        <v>1479</v>
      </c>
      <c r="V1341">
        <v>135</v>
      </c>
      <c r="X1341">
        <v>437</v>
      </c>
      <c r="Y1341">
        <v>35</v>
      </c>
      <c r="Z1341">
        <v>20</v>
      </c>
      <c r="AC1341">
        <v>721</v>
      </c>
      <c r="AE1341" t="str">
        <f>IF(ISERROR([2]!Table1[[#This Row],[Well Count]]/[2]!Table1[[#This Row],[Site Area km2]]),"",[2]!Table1[[#This Row],[Well Count]]/[2]!Table1[[#This Row],[Site Area km2]])</f>
        <v/>
      </c>
      <c r="AF1341">
        <v>200</v>
      </c>
      <c r="AH1341" t="s">
        <v>2259</v>
      </c>
      <c r="AI1341">
        <v>1.5</v>
      </c>
      <c r="AM1341" t="s">
        <v>3960</v>
      </c>
      <c r="AN1341" t="s">
        <v>132</v>
      </c>
      <c r="BT1341">
        <v>51</v>
      </c>
      <c r="CE134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41" s="19">
        <f>SUM(Table1[[#This Row],[Mid39]],Table1[[#This Row],[Mid36]],Table1[[#This Row],[Mid33]],Table1[[#This Row],[Mid30]],Table1[[#This Row],[Mid27]],Table1[[#This Row],[Mid24]],Table1[[#This Row],[Mid21]],Table1[[#This Row],[Mid18]],Table1[[#This Row],[Mid15]],Table1[[#This Row],[Mid12]],Table1[[#This Row],[Mid9]],Table1[[#This Row],[Mid6]],Table1[[#This Row],[Mid3]],Table1[[#This Row],[Mid]])</f>
        <v>51</v>
      </c>
      <c r="CG13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41" t="s">
        <v>134</v>
      </c>
      <c r="CJ1341" t="s">
        <v>158</v>
      </c>
      <c r="CL1341" s="19" t="str">
        <f>IF(Table1[[#This Row],[Type]]="Petroleum",1,IF(ISERROR(Table1[[#This Row],[Well Density]]*Table1[[#This Row],[Single Well Discovery Area]]),"",IF(Table1[[#This Row],[Well Density]]*Table1[[#This Row],[Single Well Discovery Area]]&gt;1,1,Table1[[#This Row],[Well Density]]*Table1[[#This Row],[Single Well Discovery Area]])))</f>
        <v/>
      </c>
      <c r="CM1341" t="s">
        <v>157</v>
      </c>
      <c r="CN1341" s="19">
        <f>Table1[[#This Row],[Mid]]</f>
        <v>0</v>
      </c>
      <c r="CO1341" s="19">
        <f>Table1[[#This Row],[Mid3]]+Table1[[#This Row],[Mid6]]+Table1[[#This Row],[Mid9]]</f>
        <v>0</v>
      </c>
      <c r="CP1341" s="19">
        <f>Table1[[#This Row],[Mid12]]+Table1[[#This Row],[Mid15]]+Table1[[#This Row],[Mid18]]+Table1[[#This Row],[Mid21]]+Table1[[#This Row],[Mid24]]</f>
        <v>0</v>
      </c>
      <c r="CQ1341" s="19">
        <f>Table1[[#This Row],[Mid27]]+Table1[[#This Row],[Mid30]]+Table1[[#This Row],[Mid33]]+Table1[[#This Row],[Mid36]]+Table1[[#This Row],[Mid39]]</f>
        <v>51</v>
      </c>
      <c r="CR1341" t="s">
        <v>415</v>
      </c>
      <c r="CS1341" s="19" t="str">
        <f>IF(AND(Table1[[#This Row],[Low41]]=0, Table1[[#This Row],[High43]]=0),"N","Y")</f>
        <v>N</v>
      </c>
    </row>
    <row r="1342" spans="1:97" ht="19.5" customHeight="1" x14ac:dyDescent="0.25">
      <c r="A1342">
        <v>11344</v>
      </c>
      <c r="B1342" t="s">
        <v>4078</v>
      </c>
      <c r="C1342" t="s">
        <v>4130</v>
      </c>
      <c r="D1342">
        <v>36.746000000000002</v>
      </c>
      <c r="E1342">
        <v>-7.3422000000000001</v>
      </c>
      <c r="F1342" t="s">
        <v>4137</v>
      </c>
      <c r="G1342" t="s">
        <v>4101</v>
      </c>
      <c r="H1342" t="s">
        <v>4082</v>
      </c>
      <c r="I1342" t="s">
        <v>118</v>
      </c>
      <c r="J1342" t="s">
        <v>119</v>
      </c>
      <c r="K1342" t="s">
        <v>203</v>
      </c>
      <c r="L1342" t="s">
        <v>18</v>
      </c>
      <c r="M1342" t="s">
        <v>2670</v>
      </c>
      <c r="N1342" s="6" t="s">
        <v>4083</v>
      </c>
      <c r="O1342" t="s">
        <v>2652</v>
      </c>
      <c r="P1342" t="s">
        <v>1150</v>
      </c>
      <c r="Q1342" t="s">
        <v>4133</v>
      </c>
      <c r="R1342" t="s">
        <v>4093</v>
      </c>
      <c r="S1342">
        <v>2021</v>
      </c>
      <c r="T1342" t="s">
        <v>3959</v>
      </c>
      <c r="U1342" t="s">
        <v>1479</v>
      </c>
      <c r="V1342">
        <v>213</v>
      </c>
      <c r="X1342">
        <v>768</v>
      </c>
      <c r="Y1342">
        <v>35</v>
      </c>
      <c r="Z1342">
        <v>20</v>
      </c>
      <c r="AC1342">
        <v>803</v>
      </c>
      <c r="AE1342" t="str">
        <f>IF(ISERROR([2]!Table1[[#This Row],[Well Count]]/[2]!Table1[[#This Row],[Site Area km2]]),"",[2]!Table1[[#This Row],[Well Count]]/[2]!Table1[[#This Row],[Site Area km2]])</f>
        <v/>
      </c>
      <c r="AF1342">
        <v>200</v>
      </c>
      <c r="AH1342" t="s">
        <v>2259</v>
      </c>
      <c r="AI1342">
        <v>1.5</v>
      </c>
      <c r="AM1342" t="s">
        <v>3960</v>
      </c>
      <c r="AN1342" t="s">
        <v>132</v>
      </c>
      <c r="BT1342">
        <v>158</v>
      </c>
      <c r="CE13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42" s="19">
        <f>SUM(Table1[[#This Row],[Mid39]],Table1[[#This Row],[Mid36]],Table1[[#This Row],[Mid33]],Table1[[#This Row],[Mid30]],Table1[[#This Row],[Mid27]],Table1[[#This Row],[Mid24]],Table1[[#This Row],[Mid21]],Table1[[#This Row],[Mid18]],Table1[[#This Row],[Mid15]],Table1[[#This Row],[Mid12]],Table1[[#This Row],[Mid9]],Table1[[#This Row],[Mid6]],Table1[[#This Row],[Mid3]],Table1[[#This Row],[Mid]])</f>
        <v>158</v>
      </c>
      <c r="CG13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42" t="s">
        <v>134</v>
      </c>
      <c r="CJ1342" t="s">
        <v>158</v>
      </c>
      <c r="CL1342" s="19" t="str">
        <f>IF(Table1[[#This Row],[Type]]="Petroleum",1,IF(ISERROR(Table1[[#This Row],[Well Density]]*Table1[[#This Row],[Single Well Discovery Area]]),"",IF(Table1[[#This Row],[Well Density]]*Table1[[#This Row],[Single Well Discovery Area]]&gt;1,1,Table1[[#This Row],[Well Density]]*Table1[[#This Row],[Single Well Discovery Area]])))</f>
        <v/>
      </c>
      <c r="CM1342" t="s">
        <v>157</v>
      </c>
      <c r="CN1342" s="19">
        <f>Table1[[#This Row],[Mid]]</f>
        <v>0</v>
      </c>
      <c r="CO1342" s="19">
        <f>Table1[[#This Row],[Mid3]]+Table1[[#This Row],[Mid6]]+Table1[[#This Row],[Mid9]]</f>
        <v>0</v>
      </c>
      <c r="CP1342" s="19">
        <f>Table1[[#This Row],[Mid12]]+Table1[[#This Row],[Mid15]]+Table1[[#This Row],[Mid18]]+Table1[[#This Row],[Mid21]]+Table1[[#This Row],[Mid24]]</f>
        <v>0</v>
      </c>
      <c r="CQ1342" s="19">
        <f>Table1[[#This Row],[Mid27]]+Table1[[#This Row],[Mid30]]+Table1[[#This Row],[Mid33]]+Table1[[#This Row],[Mid36]]+Table1[[#This Row],[Mid39]]</f>
        <v>158</v>
      </c>
      <c r="CR1342" t="s">
        <v>415</v>
      </c>
      <c r="CS1342" s="19" t="str">
        <f>IF(AND(Table1[[#This Row],[Low41]]=0, Table1[[#This Row],[High43]]=0),"N","Y")</f>
        <v>N</v>
      </c>
    </row>
    <row r="1343" spans="1:97" ht="19.5" customHeight="1" x14ac:dyDescent="0.25">
      <c r="A1343">
        <v>11345</v>
      </c>
      <c r="B1343" t="s">
        <v>4078</v>
      </c>
      <c r="C1343" t="s">
        <v>4130</v>
      </c>
      <c r="D1343">
        <v>36.881</v>
      </c>
      <c r="E1343">
        <v>-7.5522</v>
      </c>
      <c r="F1343" t="s">
        <v>4138</v>
      </c>
      <c r="G1343" t="s">
        <v>4101</v>
      </c>
      <c r="H1343" t="s">
        <v>4082</v>
      </c>
      <c r="I1343" t="s">
        <v>118</v>
      </c>
      <c r="J1343" t="s">
        <v>119</v>
      </c>
      <c r="K1343" t="s">
        <v>203</v>
      </c>
      <c r="L1343" t="s">
        <v>121</v>
      </c>
      <c r="M1343" t="s">
        <v>2670</v>
      </c>
      <c r="N1343" s="6" t="s">
        <v>4083</v>
      </c>
      <c r="O1343" t="s">
        <v>2652</v>
      </c>
      <c r="P1343" t="s">
        <v>1150</v>
      </c>
      <c r="Q1343" t="s">
        <v>4133</v>
      </c>
      <c r="R1343" t="s">
        <v>4139</v>
      </c>
      <c r="S1343">
        <v>2021</v>
      </c>
      <c r="T1343" t="s">
        <v>3959</v>
      </c>
      <c r="U1343" t="s">
        <v>1479</v>
      </c>
      <c r="V1343">
        <v>58</v>
      </c>
      <c r="X1343">
        <v>584</v>
      </c>
      <c r="Y1343">
        <v>35</v>
      </c>
      <c r="Z1343">
        <v>20</v>
      </c>
      <c r="AC1343">
        <v>798</v>
      </c>
      <c r="AD1343">
        <v>1</v>
      </c>
      <c r="AE1343" t="str">
        <f>IF(ISERROR([2]!Table1[[#This Row],[Well Count]]/[2]!Table1[[#This Row],[Site Area km2]]),"",[2]!Table1[[#This Row],[Well Count]]/[2]!Table1[[#This Row],[Site Area km2]])</f>
        <v/>
      </c>
      <c r="AF1343">
        <v>200</v>
      </c>
      <c r="AH1343" t="s">
        <v>2259</v>
      </c>
      <c r="AI1343">
        <v>1.5</v>
      </c>
      <c r="AM1343" t="s">
        <v>3960</v>
      </c>
      <c r="AN1343" t="s">
        <v>132</v>
      </c>
      <c r="BH1343">
        <v>28</v>
      </c>
      <c r="CE134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43" s="19">
        <f>SUM(Table1[[#This Row],[Mid39]],Table1[[#This Row],[Mid36]],Table1[[#This Row],[Mid33]],Table1[[#This Row],[Mid30]],Table1[[#This Row],[Mid27]],Table1[[#This Row],[Mid24]],Table1[[#This Row],[Mid21]],Table1[[#This Row],[Mid18]],Table1[[#This Row],[Mid15]],Table1[[#This Row],[Mid12]],Table1[[#This Row],[Mid9]],Table1[[#This Row],[Mid6]],Table1[[#This Row],[Mid3]],Table1[[#This Row],[Mid]])</f>
        <v>28</v>
      </c>
      <c r="CG13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43" t="s">
        <v>134</v>
      </c>
      <c r="CJ1343" t="s">
        <v>158</v>
      </c>
      <c r="CL1343" s="19" t="str">
        <f>IF(Table1[[#This Row],[Type]]="Petroleum",1,IF(ISERROR(Table1[[#This Row],[Well Density]]*Table1[[#This Row],[Single Well Discovery Area]]),"",IF(Table1[[#This Row],[Well Density]]*Table1[[#This Row],[Single Well Discovery Area]]&gt;1,1,Table1[[#This Row],[Well Density]]*Table1[[#This Row],[Single Well Discovery Area]])))</f>
        <v/>
      </c>
      <c r="CM1343" t="s">
        <v>157</v>
      </c>
      <c r="CN1343" s="19">
        <f>Table1[[#This Row],[Mid]]</f>
        <v>0</v>
      </c>
      <c r="CO1343" s="19">
        <f>Table1[[#This Row],[Mid3]]+Table1[[#This Row],[Mid6]]+Table1[[#This Row],[Mid9]]</f>
        <v>0</v>
      </c>
      <c r="CP1343" s="19">
        <f>Table1[[#This Row],[Mid12]]+Table1[[#This Row],[Mid15]]+Table1[[#This Row],[Mid18]]+Table1[[#This Row],[Mid21]]+Table1[[#This Row],[Mid24]]</f>
        <v>28</v>
      </c>
      <c r="CQ1343" s="19">
        <f>Table1[[#This Row],[Mid27]]+Table1[[#This Row],[Mid30]]+Table1[[#This Row],[Mid33]]+Table1[[#This Row],[Mid36]]+Table1[[#This Row],[Mid39]]</f>
        <v>0</v>
      </c>
      <c r="CR1343" t="s">
        <v>415</v>
      </c>
      <c r="CS1343" s="19" t="str">
        <f>IF(AND(Table1[[#This Row],[Low41]]=0, Table1[[#This Row],[High43]]=0),"N","Y")</f>
        <v>N</v>
      </c>
    </row>
    <row r="1344" spans="1:97" ht="19.5" customHeight="1" x14ac:dyDescent="0.25">
      <c r="A1344">
        <v>11346</v>
      </c>
      <c r="B1344" s="32" t="s">
        <v>4078</v>
      </c>
      <c r="C1344" t="s">
        <v>4130</v>
      </c>
      <c r="D1344" s="39">
        <v>36.790100000000002</v>
      </c>
      <c r="E1344" s="39">
        <v>-7.7416</v>
      </c>
      <c r="F1344" t="s">
        <v>4140</v>
      </c>
      <c r="G1344" t="s">
        <v>4101</v>
      </c>
      <c r="H1344" t="s">
        <v>4082</v>
      </c>
      <c r="I1344" s="32" t="s">
        <v>118</v>
      </c>
      <c r="J1344" s="32" t="s">
        <v>119</v>
      </c>
      <c r="K1344" s="32" t="s">
        <v>203</v>
      </c>
      <c r="L1344" s="32" t="s">
        <v>18</v>
      </c>
      <c r="M1344" t="s">
        <v>2670</v>
      </c>
      <c r="N1344" s="27" t="s">
        <v>4083</v>
      </c>
      <c r="O1344" t="s">
        <v>2652</v>
      </c>
      <c r="P1344" t="s">
        <v>1150</v>
      </c>
      <c r="Q1344" s="6" t="s">
        <v>4133</v>
      </c>
      <c r="R1344" s="32" t="s">
        <v>4093</v>
      </c>
      <c r="S1344">
        <v>2021</v>
      </c>
      <c r="T1344" t="s">
        <v>3959</v>
      </c>
      <c r="U1344" t="s">
        <v>1479</v>
      </c>
      <c r="V1344" s="7">
        <v>109</v>
      </c>
      <c r="W1344" s="7"/>
      <c r="X1344">
        <v>709</v>
      </c>
      <c r="Y1344">
        <v>25</v>
      </c>
      <c r="Z1344">
        <v>20</v>
      </c>
      <c r="AC1344" s="7">
        <v>794</v>
      </c>
      <c r="AD1344" s="7"/>
      <c r="AE1344" t="str">
        <f>IF(ISERROR([2]!Table1[[#This Row],[Well Count]]/[2]!Table1[[#This Row],[Site Area km2]]),"",[2]!Table1[[#This Row],[Well Count]]/[2]!Table1[[#This Row],[Site Area km2]])</f>
        <v/>
      </c>
      <c r="AF1344">
        <v>200</v>
      </c>
      <c r="AH1344" t="s">
        <v>2259</v>
      </c>
      <c r="AI1344" s="34">
        <v>1.5</v>
      </c>
      <c r="AM1344" s="21" t="s">
        <v>3960</v>
      </c>
      <c r="AN1344" t="s">
        <v>132</v>
      </c>
      <c r="AO1344" s="19"/>
      <c r="AP1344" s="19"/>
      <c r="AQ1344" s="19"/>
      <c r="AR1344" s="19"/>
      <c r="AS1344" s="19"/>
      <c r="AT1344" s="19"/>
      <c r="AU1344" s="19"/>
      <c r="AV1344" s="19"/>
      <c r="AW1344" s="19"/>
      <c r="AX1344" s="19"/>
      <c r="AY1344" s="19"/>
      <c r="AZ1344" s="19"/>
      <c r="BA1344" s="19"/>
      <c r="BB1344" s="19"/>
      <c r="BC1344" s="19"/>
      <c r="BD1344" s="19"/>
      <c r="BE1344" s="19"/>
      <c r="BF1344" s="19"/>
      <c r="BG1344" s="19"/>
      <c r="BH1344" s="19"/>
      <c r="BI1344" s="19"/>
      <c r="BJ1344" s="19"/>
      <c r="BK1344" s="19"/>
      <c r="BL1344" s="19"/>
      <c r="BM1344" s="19"/>
      <c r="BN1344" s="19"/>
      <c r="BO1344" s="19"/>
      <c r="BP1344" s="19"/>
      <c r="BQ1344" s="19"/>
      <c r="BR1344" s="19"/>
      <c r="BS1344" s="19"/>
      <c r="BT1344" s="19">
        <v>34</v>
      </c>
      <c r="BU1344" s="19"/>
      <c r="BV1344" s="19"/>
      <c r="BW1344" s="19"/>
      <c r="BX1344" s="19"/>
      <c r="BY1344" s="19"/>
      <c r="BZ1344" s="19"/>
      <c r="CA1344" s="19"/>
      <c r="CB1344" s="19"/>
      <c r="CC1344" s="19"/>
      <c r="CD1344" s="19"/>
      <c r="CE134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44" s="19">
        <f>SUM(Table1[[#This Row],[Mid39]],Table1[[#This Row],[Mid36]],Table1[[#This Row],[Mid33]],Table1[[#This Row],[Mid30]],Table1[[#This Row],[Mid27]],Table1[[#This Row],[Mid24]],Table1[[#This Row],[Mid21]],Table1[[#This Row],[Mid18]],Table1[[#This Row],[Mid15]],Table1[[#This Row],[Mid12]],Table1[[#This Row],[Mid9]],Table1[[#This Row],[Mid6]],Table1[[#This Row],[Mid3]],Table1[[#This Row],[Mid]])</f>
        <v>34</v>
      </c>
      <c r="CG13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44" s="35" t="s">
        <v>134</v>
      </c>
      <c r="CJ1344" t="s">
        <v>158</v>
      </c>
      <c r="CL1344" s="19" t="str">
        <f>IF(Table1[[#This Row],[Type]]="Petroleum",1,IF(ISERROR(Table1[[#This Row],[Well Density]]*Table1[[#This Row],[Single Well Discovery Area]]),"",IF(Table1[[#This Row],[Well Density]]*Table1[[#This Row],[Single Well Discovery Area]]&gt;1,1,Table1[[#This Row],[Well Density]]*Table1[[#This Row],[Single Well Discovery Area]])))</f>
        <v/>
      </c>
      <c r="CM1344" t="s">
        <v>157</v>
      </c>
      <c r="CN1344" s="19">
        <f>Table1[[#This Row],[Mid]]</f>
        <v>0</v>
      </c>
      <c r="CO1344" s="19">
        <f>Table1[[#This Row],[Mid3]]+Table1[[#This Row],[Mid6]]+Table1[[#This Row],[Mid9]]</f>
        <v>0</v>
      </c>
      <c r="CP1344" s="19">
        <f>Table1[[#This Row],[Mid12]]+Table1[[#This Row],[Mid15]]+Table1[[#This Row],[Mid18]]+Table1[[#This Row],[Mid21]]+Table1[[#This Row],[Mid24]]</f>
        <v>0</v>
      </c>
      <c r="CQ1344" s="19">
        <f>Table1[[#This Row],[Mid27]]+Table1[[#This Row],[Mid30]]+Table1[[#This Row],[Mid33]]+Table1[[#This Row],[Mid36]]+Table1[[#This Row],[Mid39]]</f>
        <v>34</v>
      </c>
      <c r="CR1344" t="s">
        <v>415</v>
      </c>
      <c r="CS1344" s="19" t="str">
        <f>IF(AND(Table1[[#This Row],[Low41]]=0, Table1[[#This Row],[High43]]=0),"N","Y")</f>
        <v>N</v>
      </c>
    </row>
    <row r="1345" spans="1:97" ht="19.5" customHeight="1" x14ac:dyDescent="0.25">
      <c r="A1345">
        <v>11347</v>
      </c>
      <c r="B1345" s="32" t="s">
        <v>4141</v>
      </c>
      <c r="C1345" t="s">
        <v>2782</v>
      </c>
      <c r="D1345">
        <v>47.067159169999897</v>
      </c>
      <c r="E1345">
        <v>7.409306731</v>
      </c>
      <c r="F1345" t="s">
        <v>4142</v>
      </c>
      <c r="G1345" t="s">
        <v>2782</v>
      </c>
      <c r="H1345" t="s">
        <v>4143</v>
      </c>
      <c r="I1345" s="32" t="s">
        <v>118</v>
      </c>
      <c r="J1345" s="32" t="s">
        <v>119</v>
      </c>
      <c r="K1345" s="32" t="s">
        <v>167</v>
      </c>
      <c r="L1345" s="32" t="s">
        <v>261</v>
      </c>
      <c r="M1345" t="s">
        <v>139</v>
      </c>
      <c r="N1345" s="27" t="s">
        <v>3377</v>
      </c>
      <c r="O1345" t="s">
        <v>2652</v>
      </c>
      <c r="P1345" t="s">
        <v>1150</v>
      </c>
      <c r="Q1345" s="6" t="s">
        <v>4144</v>
      </c>
      <c r="R1345" s="32" t="s">
        <v>4145</v>
      </c>
      <c r="S1345">
        <v>2012</v>
      </c>
      <c r="T1345" t="s">
        <v>3959</v>
      </c>
      <c r="U1345" t="s">
        <v>2875</v>
      </c>
      <c r="V1345" s="7">
        <v>1095</v>
      </c>
      <c r="W1345" s="7">
        <v>1500</v>
      </c>
      <c r="X1345">
        <v>100</v>
      </c>
      <c r="Y1345">
        <v>0.85</v>
      </c>
      <c r="Z1345">
        <v>8</v>
      </c>
      <c r="AA1345">
        <v>0.25</v>
      </c>
      <c r="AB1345">
        <v>3</v>
      </c>
      <c r="AC1345" s="7">
        <v>675</v>
      </c>
      <c r="AD1345" s="7">
        <v>18</v>
      </c>
      <c r="AE1345" t="str">
        <f>IF(ISERROR([2]!Table1[[#This Row],[Well Count]]/[2]!Table1[[#This Row],[Site Area km2]]),"",[2]!Table1[[#This Row],[Well Count]]/[2]!Table1[[#This Row],[Site Area km2]])</f>
        <v/>
      </c>
      <c r="AF1345">
        <v>200</v>
      </c>
      <c r="AG1345">
        <v>150</v>
      </c>
      <c r="AH1345" t="s">
        <v>2259</v>
      </c>
      <c r="AI1345" s="34">
        <v>5</v>
      </c>
      <c r="AM1345" s="21" t="s">
        <v>4146</v>
      </c>
      <c r="AN1345" t="s">
        <v>132</v>
      </c>
      <c r="AO1345" s="19"/>
      <c r="AP1345" s="19"/>
      <c r="AQ1345" s="19"/>
      <c r="AR1345" s="19"/>
      <c r="AS1345" s="19"/>
      <c r="AT1345" s="19"/>
      <c r="AU1345" s="19"/>
      <c r="AV1345" s="19"/>
      <c r="AW1345" s="19"/>
      <c r="AX1345" s="19"/>
      <c r="AY1345" s="19"/>
      <c r="AZ1345" s="19"/>
      <c r="BA1345" s="19"/>
      <c r="BB1345" s="19"/>
      <c r="BC1345" s="19"/>
      <c r="BD1345" s="19"/>
      <c r="BE1345" s="19"/>
      <c r="BF1345" s="19"/>
      <c r="BG1345" s="19"/>
      <c r="BH1345" s="19"/>
      <c r="BI1345" s="19"/>
      <c r="BJ1345" s="19"/>
      <c r="BK1345" s="19"/>
      <c r="BL1345" s="19"/>
      <c r="BM1345" s="19"/>
      <c r="BN1345" s="19"/>
      <c r="BO1345" s="19"/>
      <c r="BP1345" s="19"/>
      <c r="BQ1345" s="19"/>
      <c r="BR1345" s="19"/>
      <c r="BS1345" s="19"/>
      <c r="BT1345" s="19"/>
      <c r="BU1345" s="19"/>
      <c r="BV1345" s="19"/>
      <c r="BW1345" s="19"/>
      <c r="BX1345" s="19"/>
      <c r="BY1345" s="19"/>
      <c r="BZ1345" s="19"/>
      <c r="CA1345" s="19"/>
      <c r="CB1345" s="19"/>
      <c r="CC1345" s="19">
        <v>240</v>
      </c>
      <c r="CD1345" s="19"/>
      <c r="CE134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45" s="19">
        <f>SUM(Table1[[#This Row],[Mid39]],Table1[[#This Row],[Mid36]],Table1[[#This Row],[Mid33]],Table1[[#This Row],[Mid30]],Table1[[#This Row],[Mid27]],Table1[[#This Row],[Mid24]],Table1[[#This Row],[Mid21]],Table1[[#This Row],[Mid18]],Table1[[#This Row],[Mid15]],Table1[[#This Row],[Mid12]],Table1[[#This Row],[Mid9]],Table1[[#This Row],[Mid6]],Table1[[#This Row],[Mid3]],Table1[[#This Row],[Mid]])</f>
        <v>240</v>
      </c>
      <c r="CG13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345" t="s">
        <v>157</v>
      </c>
      <c r="CI1345" s="35" t="s">
        <v>134</v>
      </c>
      <c r="CJ1345" t="s">
        <v>158</v>
      </c>
      <c r="CL1345" s="19" t="str">
        <f>IF(Table1[[#This Row],[Type]]="Petroleum",1,IF(ISERROR(Table1[[#This Row],[Well Density]]*Table1[[#This Row],[Single Well Discovery Area]]),"",IF(Table1[[#This Row],[Well Density]]*Table1[[#This Row],[Single Well Discovery Area]]&gt;1,1,Table1[[#This Row],[Well Density]]*Table1[[#This Row],[Single Well Discovery Area]])))</f>
        <v/>
      </c>
      <c r="CM1345" t="s">
        <v>157</v>
      </c>
      <c r="CN1345" s="19">
        <f>Table1[[#This Row],[Mid]]</f>
        <v>0</v>
      </c>
      <c r="CO1345" s="19">
        <f>Table1[[#This Row],[Mid3]]+Table1[[#This Row],[Mid6]]+Table1[[#This Row],[Mid9]]</f>
        <v>0</v>
      </c>
      <c r="CP1345" s="19">
        <f>Table1[[#This Row],[Mid12]]+Table1[[#This Row],[Mid15]]+Table1[[#This Row],[Mid18]]+Table1[[#This Row],[Mid21]]+Table1[[#This Row],[Mid24]]</f>
        <v>0</v>
      </c>
      <c r="CQ1345" s="19">
        <f>Table1[[#This Row],[Mid27]]+Table1[[#This Row],[Mid30]]+Table1[[#This Row],[Mid33]]+Table1[[#This Row],[Mid36]]+Table1[[#This Row],[Mid39]]</f>
        <v>240</v>
      </c>
      <c r="CR1345" t="s">
        <v>415</v>
      </c>
      <c r="CS1345" s="19" t="str">
        <f>IF(AND(Table1[[#This Row],[Low41]]=0, Table1[[#This Row],[High43]]=0),"N","Y")</f>
        <v>N</v>
      </c>
    </row>
    <row r="1346" spans="1:97" ht="19.5" customHeight="1" x14ac:dyDescent="0.25">
      <c r="A1346">
        <v>11348</v>
      </c>
      <c r="B1346" s="32" t="s">
        <v>4141</v>
      </c>
      <c r="C1346" t="s">
        <v>2782</v>
      </c>
      <c r="D1346">
        <v>47.296088519999898</v>
      </c>
      <c r="E1346">
        <v>7.9872177259999999</v>
      </c>
      <c r="F1346" t="s">
        <v>4147</v>
      </c>
      <c r="G1346" t="s">
        <v>2782</v>
      </c>
      <c r="H1346" t="s">
        <v>4148</v>
      </c>
      <c r="I1346" s="32" t="s">
        <v>118</v>
      </c>
      <c r="J1346" s="32" t="s">
        <v>119</v>
      </c>
      <c r="K1346" s="32" t="s">
        <v>167</v>
      </c>
      <c r="L1346" s="32" t="s">
        <v>261</v>
      </c>
      <c r="M1346" t="s">
        <v>392</v>
      </c>
      <c r="N1346" s="27" t="s">
        <v>4149</v>
      </c>
      <c r="O1346" t="s">
        <v>2652</v>
      </c>
      <c r="P1346" t="s">
        <v>4150</v>
      </c>
      <c r="Q1346" s="6" t="s">
        <v>4151</v>
      </c>
      <c r="R1346" s="32" t="s">
        <v>4152</v>
      </c>
      <c r="S1346">
        <v>2024</v>
      </c>
      <c r="T1346" t="s">
        <v>3959</v>
      </c>
      <c r="U1346" t="s">
        <v>1479</v>
      </c>
      <c r="V1346" s="7">
        <v>470</v>
      </c>
      <c r="W1346" s="7">
        <v>965</v>
      </c>
      <c r="X1346">
        <v>25</v>
      </c>
      <c r="AC1346" s="7"/>
      <c r="AD1346" s="7">
        <v>18</v>
      </c>
      <c r="AE1346" t="str">
        <f>IF(ISERROR([2]!Table1[[#This Row],[Well Count]]/[2]!Table1[[#This Row],[Site Area km2]]),"",[2]!Table1[[#This Row],[Well Count]]/[2]!Table1[[#This Row],[Site Area km2]])</f>
        <v/>
      </c>
      <c r="AF1346">
        <v>20</v>
      </c>
      <c r="AH1346" t="s">
        <v>1612</v>
      </c>
      <c r="AI1346" s="34">
        <v>5.5</v>
      </c>
      <c r="AM1346" s="21" t="s">
        <v>4153</v>
      </c>
      <c r="AN1346" t="s">
        <v>132</v>
      </c>
      <c r="AO1346" s="19"/>
      <c r="AP1346" s="19"/>
      <c r="AQ1346" s="19"/>
      <c r="AR1346" s="19"/>
      <c r="AS1346" s="19"/>
      <c r="AT1346" s="19"/>
      <c r="AU1346" s="19"/>
      <c r="AV1346" s="19"/>
      <c r="AW1346" s="19"/>
      <c r="AX1346" s="19"/>
      <c r="AY1346" s="19"/>
      <c r="AZ1346" s="19"/>
      <c r="BA1346" s="19"/>
      <c r="BB1346" s="19"/>
      <c r="BC1346" s="19"/>
      <c r="BD1346" s="19"/>
      <c r="BE1346" s="19"/>
      <c r="BF1346" s="19"/>
      <c r="BG1346" s="19"/>
      <c r="BH1346" s="19"/>
      <c r="BI1346" s="19"/>
      <c r="BJ1346" s="19"/>
      <c r="BK1346" s="19"/>
      <c r="BL1346" s="19"/>
      <c r="BM1346" s="19"/>
      <c r="BN1346" s="19"/>
      <c r="BO1346" s="19"/>
      <c r="BP1346" s="19"/>
      <c r="BQ1346" s="19"/>
      <c r="BR1346" s="19"/>
      <c r="BS1346" s="19"/>
      <c r="BT1346" s="19"/>
      <c r="BU1346" s="19"/>
      <c r="BV1346" s="19"/>
      <c r="BW1346" s="19"/>
      <c r="BX1346" s="19"/>
      <c r="BY1346" s="19"/>
      <c r="BZ1346" s="19"/>
      <c r="CA1346" s="19"/>
      <c r="CB1346" s="19">
        <v>70</v>
      </c>
      <c r="CC1346" s="19">
        <v>110</v>
      </c>
      <c r="CD1346" s="19">
        <v>150</v>
      </c>
      <c r="CE1346" s="19">
        <f>SUM(Table1[[#This Row],[Low38]],Table1[[#This Row],[Low35]],Table1[[#This Row],[Low32]],Table1[[#This Row],[Low29]],Table1[[#This Row],[Low26]],Table1[[#This Row],[Low23]],Table1[[#This Row],[Low20]],Table1[[#This Row],[Low17]],Table1[[#This Row],[Low14]],Table1[[#This Row],[Low11]],Table1[[#This Row],[Low8]],Table1[[#This Row],[Low5]],Table1[[#This Row],[Low2]],Table1[[#This Row],[Low]])</f>
        <v>70</v>
      </c>
      <c r="CF1346" s="19">
        <f>SUM(Table1[[#This Row],[Mid39]],Table1[[#This Row],[Mid36]],Table1[[#This Row],[Mid33]],Table1[[#This Row],[Mid30]],Table1[[#This Row],[Mid27]],Table1[[#This Row],[Mid24]],Table1[[#This Row],[Mid21]],Table1[[#This Row],[Mid18]],Table1[[#This Row],[Mid15]],Table1[[#This Row],[Mid12]],Table1[[#This Row],[Mid9]],Table1[[#This Row],[Mid6]],Table1[[#This Row],[Mid3]],Table1[[#This Row],[Mid]])</f>
        <v>110</v>
      </c>
      <c r="CG13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150</v>
      </c>
      <c r="CH1346" t="s">
        <v>157</v>
      </c>
      <c r="CI1346" s="35" t="s">
        <v>176</v>
      </c>
      <c r="CJ1346" t="s">
        <v>133</v>
      </c>
      <c r="CL1346" s="19" t="str">
        <f>IF(Table1[[#This Row],[Type]]="Petroleum",1,IF(ISERROR(Table1[[#This Row],[Well Density]]*Table1[[#This Row],[Single Well Discovery Area]]),"",IF(Table1[[#This Row],[Well Density]]*Table1[[#This Row],[Single Well Discovery Area]]&gt;1,1,Table1[[#This Row],[Well Density]]*Table1[[#This Row],[Single Well Discovery Area]])))</f>
        <v/>
      </c>
      <c r="CM1346" t="s">
        <v>133</v>
      </c>
      <c r="CN1346" s="19">
        <f>Table1[[#This Row],[Mid]]</f>
        <v>0</v>
      </c>
      <c r="CO1346" s="19">
        <f>Table1[[#This Row],[Mid3]]+Table1[[#This Row],[Mid6]]+Table1[[#This Row],[Mid9]]</f>
        <v>0</v>
      </c>
      <c r="CP1346" s="19">
        <f>Table1[[#This Row],[Mid12]]+Table1[[#This Row],[Mid15]]+Table1[[#This Row],[Mid18]]+Table1[[#This Row],[Mid21]]+Table1[[#This Row],[Mid24]]</f>
        <v>0</v>
      </c>
      <c r="CQ1346" s="19">
        <f>Table1[[#This Row],[Mid27]]+Table1[[#This Row],[Mid30]]+Table1[[#This Row],[Mid33]]+Table1[[#This Row],[Mid36]]+Table1[[#This Row],[Mid39]]</f>
        <v>110</v>
      </c>
      <c r="CR1346" t="s">
        <v>415</v>
      </c>
      <c r="CS1346" s="19" t="str">
        <f>IF(AND(Table1[[#This Row],[Low41]]=0, Table1[[#This Row],[High43]]=0),"N","Y")</f>
        <v>Y</v>
      </c>
    </row>
    <row r="1347" spans="1:97" ht="19.5" customHeight="1" x14ac:dyDescent="0.25">
      <c r="A1347">
        <v>11349</v>
      </c>
      <c r="B1347" s="32" t="s">
        <v>4141</v>
      </c>
      <c r="C1347" t="s">
        <v>2782</v>
      </c>
      <c r="D1347">
        <v>47.403609979999899</v>
      </c>
      <c r="E1347">
        <v>9.129435118</v>
      </c>
      <c r="F1347" t="s">
        <v>4154</v>
      </c>
      <c r="G1347" t="s">
        <v>2782</v>
      </c>
      <c r="H1347" t="s">
        <v>3804</v>
      </c>
      <c r="I1347" s="32" t="s">
        <v>118</v>
      </c>
      <c r="J1347" s="32" t="s">
        <v>119</v>
      </c>
      <c r="K1347" s="32" t="s">
        <v>167</v>
      </c>
      <c r="L1347" s="32" t="s">
        <v>261</v>
      </c>
      <c r="M1347" t="s">
        <v>2761</v>
      </c>
      <c r="N1347" s="27" t="s">
        <v>3377</v>
      </c>
      <c r="O1347" t="s">
        <v>2652</v>
      </c>
      <c r="P1347" t="s">
        <v>1150</v>
      </c>
      <c r="Q1347" s="6" t="s">
        <v>4155</v>
      </c>
      <c r="R1347" s="32" t="s">
        <v>4145</v>
      </c>
      <c r="S1347">
        <v>2012</v>
      </c>
      <c r="T1347" t="s">
        <v>3959</v>
      </c>
      <c r="U1347" t="s">
        <v>2875</v>
      </c>
      <c r="V1347" s="7">
        <v>172</v>
      </c>
      <c r="W1347" s="7">
        <v>1250</v>
      </c>
      <c r="X1347">
        <v>450</v>
      </c>
      <c r="Y1347">
        <v>0.13</v>
      </c>
      <c r="Z1347">
        <v>12</v>
      </c>
      <c r="AA1347">
        <v>300</v>
      </c>
      <c r="AC1347" s="7">
        <v>675</v>
      </c>
      <c r="AD1347" s="7">
        <v>18</v>
      </c>
      <c r="AE1347" t="str">
        <f>IF(ISERROR([2]!Table1[[#This Row],[Well Count]]/[2]!Table1[[#This Row],[Site Area km2]]),"",[2]!Table1[[#This Row],[Well Count]]/[2]!Table1[[#This Row],[Site Area km2]])</f>
        <v/>
      </c>
      <c r="AF1347">
        <v>200</v>
      </c>
      <c r="AG1347">
        <v>125</v>
      </c>
      <c r="AH1347" t="s">
        <v>2259</v>
      </c>
      <c r="AI1347" s="34">
        <v>4.7</v>
      </c>
      <c r="AM1347" s="21" t="s">
        <v>4146</v>
      </c>
      <c r="AN1347" t="s">
        <v>132</v>
      </c>
      <c r="AO1347" s="19"/>
      <c r="AP1347" s="19"/>
      <c r="AQ1347" s="19"/>
      <c r="AR1347" s="19"/>
      <c r="AS1347" s="19"/>
      <c r="AT1347" s="19"/>
      <c r="AU1347" s="19"/>
      <c r="AV1347" s="19"/>
      <c r="AW1347" s="19"/>
      <c r="AX1347" s="19"/>
      <c r="AY1347" s="19"/>
      <c r="AZ1347" s="19"/>
      <c r="BA1347" s="19"/>
      <c r="BB1347" s="19"/>
      <c r="BC1347" s="19"/>
      <c r="BD1347" s="19"/>
      <c r="BE1347" s="19"/>
      <c r="BF1347" s="19"/>
      <c r="BG1347" s="19"/>
      <c r="BH1347" s="19"/>
      <c r="BI1347" s="19"/>
      <c r="BJ1347" s="19"/>
      <c r="BK1347" s="19"/>
      <c r="BL1347" s="19"/>
      <c r="BM1347" s="19"/>
      <c r="BN1347" s="19"/>
      <c r="BO1347" s="19"/>
      <c r="BP1347" s="19"/>
      <c r="BQ1347" s="19"/>
      <c r="BR1347" s="19"/>
      <c r="BS1347" s="19"/>
      <c r="BT1347" s="19"/>
      <c r="BU1347" s="19"/>
      <c r="BV1347" s="19"/>
      <c r="BW1347" s="19"/>
      <c r="BX1347" s="19"/>
      <c r="BY1347" s="19"/>
      <c r="BZ1347" s="19"/>
      <c r="CA1347" s="19"/>
      <c r="CB1347" s="19"/>
      <c r="CC1347" s="19">
        <v>251</v>
      </c>
      <c r="CD1347" s="19"/>
      <c r="CE134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47" s="19">
        <f>SUM(Table1[[#This Row],[Mid39]],Table1[[#This Row],[Mid36]],Table1[[#This Row],[Mid33]],Table1[[#This Row],[Mid30]],Table1[[#This Row],[Mid27]],Table1[[#This Row],[Mid24]],Table1[[#This Row],[Mid21]],Table1[[#This Row],[Mid18]],Table1[[#This Row],[Mid15]],Table1[[#This Row],[Mid12]],Table1[[#This Row],[Mid9]],Table1[[#This Row],[Mid6]],Table1[[#This Row],[Mid3]],Table1[[#This Row],[Mid]])</f>
        <v>251</v>
      </c>
      <c r="CG13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347" t="s">
        <v>157</v>
      </c>
      <c r="CI1347" s="35" t="s">
        <v>189</v>
      </c>
      <c r="CJ1347" t="s">
        <v>158</v>
      </c>
      <c r="CL1347" s="19" t="str">
        <f>IF(Table1[[#This Row],[Type]]="Petroleum",1,IF(ISERROR(Table1[[#This Row],[Well Density]]*Table1[[#This Row],[Single Well Discovery Area]]),"",IF(Table1[[#This Row],[Well Density]]*Table1[[#This Row],[Single Well Discovery Area]]&gt;1,1,Table1[[#This Row],[Well Density]]*Table1[[#This Row],[Single Well Discovery Area]])))</f>
        <v/>
      </c>
      <c r="CM1347" t="s">
        <v>158</v>
      </c>
      <c r="CN1347" s="19">
        <f>Table1[[#This Row],[Mid]]</f>
        <v>0</v>
      </c>
      <c r="CO1347" s="19">
        <f>Table1[[#This Row],[Mid3]]+Table1[[#This Row],[Mid6]]+Table1[[#This Row],[Mid9]]</f>
        <v>0</v>
      </c>
      <c r="CP1347" s="19">
        <f>Table1[[#This Row],[Mid12]]+Table1[[#This Row],[Mid15]]+Table1[[#This Row],[Mid18]]+Table1[[#This Row],[Mid21]]+Table1[[#This Row],[Mid24]]</f>
        <v>0</v>
      </c>
      <c r="CQ1347" s="19">
        <f>Table1[[#This Row],[Mid27]]+Table1[[#This Row],[Mid30]]+Table1[[#This Row],[Mid33]]+Table1[[#This Row],[Mid36]]+Table1[[#This Row],[Mid39]]</f>
        <v>251</v>
      </c>
      <c r="CR1347" s="19" t="s">
        <v>415</v>
      </c>
      <c r="CS1347" s="19" t="str">
        <f>IF(AND(Table1[[#This Row],[Low41]]=0, Table1[[#This Row],[High43]]=0),"N","Y")</f>
        <v>N</v>
      </c>
    </row>
    <row r="1348" spans="1:97" ht="19.5" customHeight="1" x14ac:dyDescent="0.25">
      <c r="A1348">
        <v>11350</v>
      </c>
      <c r="B1348" s="32" t="s">
        <v>4141</v>
      </c>
      <c r="C1348" t="s">
        <v>2782</v>
      </c>
      <c r="D1348">
        <v>47.062838970000001</v>
      </c>
      <c r="E1348">
        <v>7.7064346370000001</v>
      </c>
      <c r="F1348" t="s">
        <v>4156</v>
      </c>
      <c r="G1348" t="s">
        <v>2782</v>
      </c>
      <c r="H1348" t="s">
        <v>4157</v>
      </c>
      <c r="I1348" s="32" t="s">
        <v>118</v>
      </c>
      <c r="J1348" s="32" t="s">
        <v>119</v>
      </c>
      <c r="K1348" s="32" t="s">
        <v>167</v>
      </c>
      <c r="L1348" s="32" t="s">
        <v>261</v>
      </c>
      <c r="M1348" t="s">
        <v>139</v>
      </c>
      <c r="N1348" s="27" t="s">
        <v>3377</v>
      </c>
      <c r="O1348" t="s">
        <v>2652</v>
      </c>
      <c r="P1348" t="s">
        <v>1150</v>
      </c>
      <c r="Q1348" s="6" t="s">
        <v>4158</v>
      </c>
      <c r="R1348" s="32" t="s">
        <v>4145</v>
      </c>
      <c r="S1348">
        <v>2012</v>
      </c>
      <c r="T1348" t="s">
        <v>3959</v>
      </c>
      <c r="U1348" t="s">
        <v>2875</v>
      </c>
      <c r="V1348" s="7">
        <v>1554</v>
      </c>
      <c r="W1348" s="7">
        <v>1200</v>
      </c>
      <c r="X1348">
        <v>500</v>
      </c>
      <c r="Y1348">
        <v>0.5</v>
      </c>
      <c r="Z1348">
        <v>5</v>
      </c>
      <c r="AA1348">
        <v>0.05</v>
      </c>
      <c r="AC1348" s="7">
        <v>675</v>
      </c>
      <c r="AD1348" s="7">
        <v>18</v>
      </c>
      <c r="AE1348" t="str">
        <f>IF(ISERROR([2]!Table1[[#This Row],[Well Count]]/[2]!Table1[[#This Row],[Site Area km2]]),"",[2]!Table1[[#This Row],[Well Count]]/[2]!Table1[[#This Row],[Site Area km2]])</f>
        <v/>
      </c>
      <c r="AF1348">
        <v>20</v>
      </c>
      <c r="AG1348">
        <v>120</v>
      </c>
      <c r="AH1348" t="s">
        <v>2259</v>
      </c>
      <c r="AI1348" s="34">
        <v>6.3</v>
      </c>
      <c r="AM1348" s="21" t="s">
        <v>4146</v>
      </c>
      <c r="AN1348" t="s">
        <v>132</v>
      </c>
      <c r="AO1348" s="19"/>
      <c r="AP1348" s="19"/>
      <c r="AQ1348" s="19"/>
      <c r="AR1348" s="19"/>
      <c r="AS1348" s="19"/>
      <c r="AT1348" s="19"/>
      <c r="AU1348" s="19"/>
      <c r="AV1348" s="19"/>
      <c r="AW1348" s="19"/>
      <c r="AX1348" s="19"/>
      <c r="AY1348" s="19"/>
      <c r="AZ1348" s="19"/>
      <c r="BA1348" s="19"/>
      <c r="BB1348" s="19"/>
      <c r="BC1348" s="19"/>
      <c r="BD1348" s="19"/>
      <c r="BE1348" s="19"/>
      <c r="BF1348" s="19"/>
      <c r="BG1348" s="19"/>
      <c r="BH1348" s="19"/>
      <c r="BI1348" s="19"/>
      <c r="BJ1348" s="19"/>
      <c r="BK1348" s="19"/>
      <c r="BL1348" s="19"/>
      <c r="BM1348" s="19"/>
      <c r="BN1348" s="19"/>
      <c r="BO1348" s="19"/>
      <c r="BP1348" s="19"/>
      <c r="BQ1348" s="19"/>
      <c r="BR1348" s="19"/>
      <c r="BS1348" s="19"/>
      <c r="BT1348" s="19"/>
      <c r="BU1348" s="19"/>
      <c r="BV1348" s="19"/>
      <c r="BW1348" s="19"/>
      <c r="BX1348" s="19"/>
      <c r="BY1348" s="19"/>
      <c r="BZ1348" s="19"/>
      <c r="CA1348" s="19"/>
      <c r="CB1348" s="19"/>
      <c r="CC1348" s="19">
        <v>1479</v>
      </c>
      <c r="CD1348" s="19"/>
      <c r="CE134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48" s="19">
        <f>SUM(Table1[[#This Row],[Mid39]],Table1[[#This Row],[Mid36]],Table1[[#This Row],[Mid33]],Table1[[#This Row],[Mid30]],Table1[[#This Row],[Mid27]],Table1[[#This Row],[Mid24]],Table1[[#This Row],[Mid21]],Table1[[#This Row],[Mid18]],Table1[[#This Row],[Mid15]],Table1[[#This Row],[Mid12]],Table1[[#This Row],[Mid9]],Table1[[#This Row],[Mid6]],Table1[[#This Row],[Mid3]],Table1[[#This Row],[Mid]])</f>
        <v>1479</v>
      </c>
      <c r="CG134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H1348" t="s">
        <v>157</v>
      </c>
      <c r="CI1348" s="35" t="s">
        <v>189</v>
      </c>
      <c r="CJ1348" t="s">
        <v>158</v>
      </c>
      <c r="CL1348" s="19" t="str">
        <f>IF(Table1[[#This Row],[Type]]="Petroleum",1,IF(ISERROR(Table1[[#This Row],[Well Density]]*Table1[[#This Row],[Single Well Discovery Area]]),"",IF(Table1[[#This Row],[Well Density]]*Table1[[#This Row],[Single Well Discovery Area]]&gt;1,1,Table1[[#This Row],[Well Density]]*Table1[[#This Row],[Single Well Discovery Area]])))</f>
        <v/>
      </c>
      <c r="CM1348" t="s">
        <v>158</v>
      </c>
      <c r="CN1348" s="19">
        <f>Table1[[#This Row],[Mid]]</f>
        <v>0</v>
      </c>
      <c r="CO1348" s="19">
        <f>Table1[[#This Row],[Mid3]]+Table1[[#This Row],[Mid6]]+Table1[[#This Row],[Mid9]]</f>
        <v>0</v>
      </c>
      <c r="CP1348" s="19">
        <f>Table1[[#This Row],[Mid12]]+Table1[[#This Row],[Mid15]]+Table1[[#This Row],[Mid18]]+Table1[[#This Row],[Mid21]]+Table1[[#This Row],[Mid24]]</f>
        <v>0</v>
      </c>
      <c r="CQ1348" s="19">
        <f>Table1[[#This Row],[Mid27]]+Table1[[#This Row],[Mid30]]+Table1[[#This Row],[Mid33]]+Table1[[#This Row],[Mid36]]+Table1[[#This Row],[Mid39]]</f>
        <v>1479</v>
      </c>
      <c r="CR1348" s="19" t="s">
        <v>415</v>
      </c>
      <c r="CS1348" s="19" t="str">
        <f>IF(AND(Table1[[#This Row],[Low41]]=0, Table1[[#This Row],[High43]]=0),"N","Y")</f>
        <v>N</v>
      </c>
    </row>
    <row r="1349" spans="1:97" ht="19.5" customHeight="1" x14ac:dyDescent="0.25">
      <c r="A1349">
        <v>11351</v>
      </c>
      <c r="B1349" s="32" t="s">
        <v>4159</v>
      </c>
      <c r="C1349" t="s">
        <v>4160</v>
      </c>
      <c r="D1349">
        <v>49.406999999999996</v>
      </c>
      <c r="E1349" t="s">
        <v>4161</v>
      </c>
      <c r="F1349" t="s">
        <v>4162</v>
      </c>
      <c r="G1349" t="s">
        <v>4163</v>
      </c>
      <c r="H1349" t="s">
        <v>252</v>
      </c>
      <c r="I1349" s="32" t="s">
        <v>2669</v>
      </c>
      <c r="J1349" s="32" t="s">
        <v>202</v>
      </c>
      <c r="K1349" s="32" t="s">
        <v>203</v>
      </c>
      <c r="L1349" s="32" t="s">
        <v>121</v>
      </c>
      <c r="M1349" t="s">
        <v>616</v>
      </c>
      <c r="N1349" s="27" t="s">
        <v>4164</v>
      </c>
      <c r="O1349" t="s">
        <v>2652</v>
      </c>
      <c r="P1349" t="s">
        <v>1150</v>
      </c>
      <c r="Q1349" s="6" t="s">
        <v>4165</v>
      </c>
      <c r="R1349" s="32" t="s">
        <v>4166</v>
      </c>
      <c r="S1349">
        <v>2022</v>
      </c>
      <c r="T1349" t="s">
        <v>3959</v>
      </c>
      <c r="U1349" t="s">
        <v>4167</v>
      </c>
      <c r="W1349" s="7"/>
      <c r="AC1349" s="7"/>
      <c r="AD1349" s="7"/>
      <c r="AE1349" t="str">
        <f>IF(ISERROR([2]!Table1[[#This Row],[Well Count]]/[2]!Table1[[#This Row],[Site Area km2]]),"",[2]!Table1[[#This Row],[Well Count]]/[2]!Table1[[#This Row],[Site Area km2]])</f>
        <v/>
      </c>
      <c r="AH1349" t="s">
        <v>2259</v>
      </c>
      <c r="AI1349" s="34"/>
      <c r="AM1349" s="21" t="s">
        <v>4168</v>
      </c>
      <c r="AN1349" t="s">
        <v>132</v>
      </c>
      <c r="AO1349" s="19"/>
      <c r="AP1349" s="19"/>
      <c r="AQ1349" s="19"/>
      <c r="AR1349" s="19"/>
      <c r="AS1349" s="19"/>
      <c r="AT1349" s="19"/>
      <c r="AU1349" s="19"/>
      <c r="AV1349" s="19"/>
      <c r="AW1349" s="19"/>
      <c r="AX1349" s="19"/>
      <c r="AY1349" s="19"/>
      <c r="AZ1349" s="19"/>
      <c r="BA1349" s="19"/>
      <c r="BB1349" s="19"/>
      <c r="BC1349" s="19"/>
      <c r="BD1349" s="19"/>
      <c r="BE1349" s="19"/>
      <c r="BF1349" s="19"/>
      <c r="BG1349" s="19"/>
      <c r="BH1349" s="19"/>
      <c r="BI1349" s="19"/>
      <c r="BJ1349" s="19"/>
      <c r="BK1349" s="19"/>
      <c r="BL1349" s="19"/>
      <c r="BM1349" s="19"/>
      <c r="BN1349" s="19">
        <v>2391</v>
      </c>
      <c r="BO1349" s="19"/>
      <c r="BP1349" s="19"/>
      <c r="BQ1349" s="19"/>
      <c r="BR1349" s="19"/>
      <c r="BS1349" s="19"/>
      <c r="BT1349" s="19"/>
      <c r="BU1349" s="19"/>
      <c r="BV1349" s="19"/>
      <c r="BW1349" s="19"/>
      <c r="BX1349" s="19"/>
      <c r="BY1349" s="19"/>
      <c r="BZ1349" s="19"/>
      <c r="CA1349" s="19"/>
      <c r="CB1349" s="19"/>
      <c r="CC1349" s="19"/>
      <c r="CD1349" s="19"/>
      <c r="CE134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49" s="19">
        <f>SUM(Table1[[#This Row],[Mid39]],Table1[[#This Row],[Mid36]],Table1[[#This Row],[Mid33]],Table1[[#This Row],[Mid30]],Table1[[#This Row],[Mid27]],Table1[[#This Row],[Mid24]],Table1[[#This Row],[Mid21]],Table1[[#This Row],[Mid18]],Table1[[#This Row],[Mid15]],Table1[[#This Row],[Mid12]],Table1[[#This Row],[Mid9]],Table1[[#This Row],[Mid6]],Table1[[#This Row],[Mid3]],Table1[[#This Row],[Mid]])</f>
        <v>2391</v>
      </c>
      <c r="CG13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49" s="35" t="s">
        <v>134</v>
      </c>
      <c r="CJ1349" t="s">
        <v>157</v>
      </c>
      <c r="CL1349" s="19">
        <f>IF(Table1[[#This Row],[Type]]="Petroleum",1,IF(ISERROR(Table1[[#This Row],[Well Density]]*Table1[[#This Row],[Single Well Discovery Area]]),"",IF(Table1[[#This Row],[Well Density]]*Table1[[#This Row],[Single Well Discovery Area]]&gt;1,1,Table1[[#This Row],[Well Density]]*Table1[[#This Row],[Single Well Discovery Area]])))</f>
        <v>1</v>
      </c>
      <c r="CM1349" t="s">
        <v>158</v>
      </c>
      <c r="CN1349" s="19">
        <f>Table1[[#This Row],[Mid]]</f>
        <v>0</v>
      </c>
      <c r="CO1349" s="19">
        <f>Table1[[#This Row],[Mid3]]+Table1[[#This Row],[Mid6]]+Table1[[#This Row],[Mid9]]</f>
        <v>0</v>
      </c>
      <c r="CP1349" s="19">
        <f>Table1[[#This Row],[Mid12]]+Table1[[#This Row],[Mid15]]+Table1[[#This Row],[Mid18]]+Table1[[#This Row],[Mid21]]+Table1[[#This Row],[Mid24]]</f>
        <v>2391</v>
      </c>
      <c r="CQ1349" s="19">
        <f>Table1[[#This Row],[Mid27]]+Table1[[#This Row],[Mid30]]+Table1[[#This Row],[Mid33]]+Table1[[#This Row],[Mid36]]+Table1[[#This Row],[Mid39]]</f>
        <v>0</v>
      </c>
      <c r="CR1349" t="s">
        <v>415</v>
      </c>
      <c r="CS1349" s="19" t="str">
        <f>IF(AND(Table1[[#This Row],[Low41]]=0, Table1[[#This Row],[High43]]=0),"N","Y")</f>
        <v>N</v>
      </c>
    </row>
    <row r="1350" spans="1:97" ht="19.5" customHeight="1" x14ac:dyDescent="0.25">
      <c r="A1350">
        <v>11352</v>
      </c>
      <c r="B1350" s="32" t="s">
        <v>4159</v>
      </c>
      <c r="C1350" t="s">
        <v>4160</v>
      </c>
      <c r="D1350">
        <v>49.381</v>
      </c>
      <c r="E1350" t="s">
        <v>4169</v>
      </c>
      <c r="F1350" t="s">
        <v>4170</v>
      </c>
      <c r="G1350" t="s">
        <v>4163</v>
      </c>
      <c r="H1350" t="s">
        <v>252</v>
      </c>
      <c r="I1350" s="32" t="s">
        <v>2669</v>
      </c>
      <c r="J1350" s="32" t="s">
        <v>202</v>
      </c>
      <c r="K1350" s="32" t="s">
        <v>203</v>
      </c>
      <c r="L1350" s="32" t="s">
        <v>121</v>
      </c>
      <c r="M1350" t="s">
        <v>616</v>
      </c>
      <c r="N1350" s="27" t="s">
        <v>4164</v>
      </c>
      <c r="O1350" t="s">
        <v>2652</v>
      </c>
      <c r="P1350" t="s">
        <v>1150</v>
      </c>
      <c r="Q1350" s="6" t="s">
        <v>4165</v>
      </c>
      <c r="R1350" s="32" t="s">
        <v>4166</v>
      </c>
      <c r="S1350">
        <v>2022</v>
      </c>
      <c r="T1350" t="s">
        <v>3959</v>
      </c>
      <c r="U1350" t="s">
        <v>4167</v>
      </c>
      <c r="W1350" s="7"/>
      <c r="AC1350" s="7"/>
      <c r="AD1350" s="7"/>
      <c r="AE1350" t="str">
        <f>IF(ISERROR([2]!Table1[[#This Row],[Well Count]]/[2]!Table1[[#This Row],[Site Area km2]]),"",[2]!Table1[[#This Row],[Well Count]]/[2]!Table1[[#This Row],[Site Area km2]])</f>
        <v/>
      </c>
      <c r="AH1350" t="s">
        <v>2259</v>
      </c>
      <c r="AI1350" s="34"/>
      <c r="AM1350" s="21" t="s">
        <v>4168</v>
      </c>
      <c r="AN1350" t="s">
        <v>132</v>
      </c>
      <c r="AO1350" s="19"/>
      <c r="AP1350" s="19"/>
      <c r="AQ1350" s="19"/>
      <c r="AR1350" s="19"/>
      <c r="AS1350" s="19"/>
      <c r="AT1350" s="19"/>
      <c r="AU1350" s="19"/>
      <c r="AV1350" s="19"/>
      <c r="AW1350" s="19"/>
      <c r="AX1350" s="19"/>
      <c r="AY1350" s="19"/>
      <c r="AZ1350" s="19"/>
      <c r="BA1350" s="19"/>
      <c r="BB1350" s="19"/>
      <c r="BC1350" s="19"/>
      <c r="BD1350" s="19"/>
      <c r="BE1350" s="19"/>
      <c r="BF1350" s="19"/>
      <c r="BG1350" s="19"/>
      <c r="BH1350" s="19"/>
      <c r="BI1350" s="19"/>
      <c r="BJ1350" s="19"/>
      <c r="BK1350" s="19"/>
      <c r="BL1350" s="19"/>
      <c r="BM1350" s="19"/>
      <c r="BN1350" s="19">
        <v>907</v>
      </c>
      <c r="BO1350" s="19"/>
      <c r="BP1350" s="19"/>
      <c r="BQ1350" s="19"/>
      <c r="BR1350" s="19"/>
      <c r="BS1350" s="19"/>
      <c r="BT1350" s="19"/>
      <c r="BU1350" s="19"/>
      <c r="BV1350" s="19"/>
      <c r="BW1350" s="19"/>
      <c r="BX1350" s="19"/>
      <c r="BY1350" s="19"/>
      <c r="BZ1350" s="19"/>
      <c r="CA1350" s="19"/>
      <c r="CB1350" s="19"/>
      <c r="CC1350" s="19"/>
      <c r="CD1350" s="19"/>
      <c r="CE135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50" s="19">
        <f>SUM(Table1[[#This Row],[Mid39]],Table1[[#This Row],[Mid36]],Table1[[#This Row],[Mid33]],Table1[[#This Row],[Mid30]],Table1[[#This Row],[Mid27]],Table1[[#This Row],[Mid24]],Table1[[#This Row],[Mid21]],Table1[[#This Row],[Mid18]],Table1[[#This Row],[Mid15]],Table1[[#This Row],[Mid12]],Table1[[#This Row],[Mid9]],Table1[[#This Row],[Mid6]],Table1[[#This Row],[Mid3]],Table1[[#This Row],[Mid]])</f>
        <v>907</v>
      </c>
      <c r="CG13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50" s="35" t="s">
        <v>134</v>
      </c>
      <c r="CJ1350" t="s">
        <v>157</v>
      </c>
      <c r="CL1350" s="19">
        <f>IF(Table1[[#This Row],[Type]]="Petroleum",1,IF(ISERROR(Table1[[#This Row],[Well Density]]*Table1[[#This Row],[Single Well Discovery Area]]),"",IF(Table1[[#This Row],[Well Density]]*Table1[[#This Row],[Single Well Discovery Area]]&gt;1,1,Table1[[#This Row],[Well Density]]*Table1[[#This Row],[Single Well Discovery Area]])))</f>
        <v>1</v>
      </c>
      <c r="CM1350" t="s">
        <v>158</v>
      </c>
      <c r="CN1350" s="19">
        <f>Table1[[#This Row],[Mid]]</f>
        <v>0</v>
      </c>
      <c r="CO1350" s="19">
        <f>Table1[[#This Row],[Mid3]]+Table1[[#This Row],[Mid6]]+Table1[[#This Row],[Mid9]]</f>
        <v>0</v>
      </c>
      <c r="CP1350" s="19">
        <f>Table1[[#This Row],[Mid12]]+Table1[[#This Row],[Mid15]]+Table1[[#This Row],[Mid18]]+Table1[[#This Row],[Mid21]]+Table1[[#This Row],[Mid24]]</f>
        <v>907</v>
      </c>
      <c r="CQ1350" s="19">
        <f>Table1[[#This Row],[Mid27]]+Table1[[#This Row],[Mid30]]+Table1[[#This Row],[Mid33]]+Table1[[#This Row],[Mid36]]+Table1[[#This Row],[Mid39]]</f>
        <v>0</v>
      </c>
      <c r="CR1350" t="s">
        <v>415</v>
      </c>
      <c r="CS1350" s="19" t="str">
        <f>IF(AND(Table1[[#This Row],[Low41]]=0, Table1[[#This Row],[High43]]=0),"N","Y")</f>
        <v>N</v>
      </c>
    </row>
    <row r="1351" spans="1:97" ht="19.5" customHeight="1" x14ac:dyDescent="0.25">
      <c r="A1351">
        <v>11353</v>
      </c>
      <c r="B1351" s="32" t="s">
        <v>4159</v>
      </c>
      <c r="C1351" t="s">
        <v>4160</v>
      </c>
      <c r="D1351">
        <v>49.406999999999996</v>
      </c>
      <c r="E1351" t="s">
        <v>4171</v>
      </c>
      <c r="F1351" t="s">
        <v>4172</v>
      </c>
      <c r="G1351" t="s">
        <v>4163</v>
      </c>
      <c r="H1351" t="s">
        <v>252</v>
      </c>
      <c r="I1351" s="32" t="s">
        <v>2669</v>
      </c>
      <c r="J1351" s="32" t="s">
        <v>202</v>
      </c>
      <c r="K1351" s="32" t="s">
        <v>203</v>
      </c>
      <c r="L1351" s="32" t="s">
        <v>121</v>
      </c>
      <c r="M1351" t="s">
        <v>616</v>
      </c>
      <c r="N1351" s="27" t="s">
        <v>4164</v>
      </c>
      <c r="O1351" t="s">
        <v>2652</v>
      </c>
      <c r="P1351" t="s">
        <v>1150</v>
      </c>
      <c r="Q1351" s="6" t="s">
        <v>4165</v>
      </c>
      <c r="R1351" s="32" t="s">
        <v>4166</v>
      </c>
      <c r="S1351">
        <v>2022</v>
      </c>
      <c r="T1351" t="s">
        <v>3959</v>
      </c>
      <c r="U1351" t="s">
        <v>4167</v>
      </c>
      <c r="W1351" s="7"/>
      <c r="AC1351" s="7"/>
      <c r="AD1351" s="7"/>
      <c r="AE1351" t="str">
        <f>IF(ISERROR([2]!Table1[[#This Row],[Well Count]]/[2]!Table1[[#This Row],[Site Area km2]]),"",[2]!Table1[[#This Row],[Well Count]]/[2]!Table1[[#This Row],[Site Area km2]])</f>
        <v/>
      </c>
      <c r="AH1351" t="s">
        <v>2259</v>
      </c>
      <c r="AI1351" s="34"/>
      <c r="AM1351" s="21" t="s">
        <v>4168</v>
      </c>
      <c r="AN1351" t="s">
        <v>132</v>
      </c>
      <c r="AO1351" s="19"/>
      <c r="AP1351" s="19"/>
      <c r="AQ1351" s="19"/>
      <c r="AR1351" s="19"/>
      <c r="AS1351" s="19"/>
      <c r="AT1351" s="19"/>
      <c r="AU1351" s="19"/>
      <c r="AV1351" s="19"/>
      <c r="AW1351" s="19"/>
      <c r="AX1351" s="19"/>
      <c r="AY1351" s="19"/>
      <c r="AZ1351" s="19"/>
      <c r="BA1351" s="19"/>
      <c r="BB1351" s="19"/>
      <c r="BC1351" s="19"/>
      <c r="BD1351" s="19"/>
      <c r="BE1351" s="19"/>
      <c r="BF1351" s="19"/>
      <c r="BG1351" s="19"/>
      <c r="BH1351" s="19"/>
      <c r="BI1351" s="19"/>
      <c r="BJ1351" s="19"/>
      <c r="BK1351" s="19"/>
      <c r="BL1351" s="19"/>
      <c r="BM1351" s="19"/>
      <c r="BN1351" s="19">
        <v>242</v>
      </c>
      <c r="BO1351" s="19"/>
      <c r="BP1351" s="19"/>
      <c r="BQ1351" s="19"/>
      <c r="BR1351" s="19"/>
      <c r="BS1351" s="19"/>
      <c r="BT1351" s="19"/>
      <c r="BU1351" s="19"/>
      <c r="BV1351" s="19"/>
      <c r="BW1351" s="19"/>
      <c r="BX1351" s="19"/>
      <c r="BY1351" s="19"/>
      <c r="BZ1351" s="19"/>
      <c r="CA1351" s="19"/>
      <c r="CB1351" s="19"/>
      <c r="CC1351" s="19"/>
      <c r="CD1351" s="19"/>
      <c r="CE13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51" s="19">
        <f>SUM(Table1[[#This Row],[Mid39]],Table1[[#This Row],[Mid36]],Table1[[#This Row],[Mid33]],Table1[[#This Row],[Mid30]],Table1[[#This Row],[Mid27]],Table1[[#This Row],[Mid24]],Table1[[#This Row],[Mid21]],Table1[[#This Row],[Mid18]],Table1[[#This Row],[Mid15]],Table1[[#This Row],[Mid12]],Table1[[#This Row],[Mid9]],Table1[[#This Row],[Mid6]],Table1[[#This Row],[Mid3]],Table1[[#This Row],[Mid]])</f>
        <v>242</v>
      </c>
      <c r="CG13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51" s="35" t="s">
        <v>134</v>
      </c>
      <c r="CJ1351" t="s">
        <v>157</v>
      </c>
      <c r="CL1351" s="19">
        <f>IF(Table1[[#This Row],[Type]]="Petroleum",1,IF(ISERROR(Table1[[#This Row],[Well Density]]*Table1[[#This Row],[Single Well Discovery Area]]),"",IF(Table1[[#This Row],[Well Density]]*Table1[[#This Row],[Single Well Discovery Area]]&gt;1,1,Table1[[#This Row],[Well Density]]*Table1[[#This Row],[Single Well Discovery Area]])))</f>
        <v>1</v>
      </c>
      <c r="CM1351" t="s">
        <v>158</v>
      </c>
      <c r="CN1351" s="19">
        <f>Table1[[#This Row],[Mid]]</f>
        <v>0</v>
      </c>
      <c r="CO1351" s="19">
        <f>Table1[[#This Row],[Mid3]]+Table1[[#This Row],[Mid6]]+Table1[[#This Row],[Mid9]]</f>
        <v>0</v>
      </c>
      <c r="CP1351" s="19">
        <f>Table1[[#This Row],[Mid12]]+Table1[[#This Row],[Mid15]]+Table1[[#This Row],[Mid18]]+Table1[[#This Row],[Mid21]]+Table1[[#This Row],[Mid24]]</f>
        <v>242</v>
      </c>
      <c r="CQ1351" s="19">
        <f>Table1[[#This Row],[Mid27]]+Table1[[#This Row],[Mid30]]+Table1[[#This Row],[Mid33]]+Table1[[#This Row],[Mid36]]+Table1[[#This Row],[Mid39]]</f>
        <v>0</v>
      </c>
      <c r="CR1351" t="s">
        <v>415</v>
      </c>
      <c r="CS1351" s="19" t="str">
        <f>IF(AND(Table1[[#This Row],[Low41]]=0, Table1[[#This Row],[High43]]=0),"N","Y")</f>
        <v>N</v>
      </c>
    </row>
    <row r="1352" spans="1:97" ht="19.5" customHeight="1" x14ac:dyDescent="0.25">
      <c r="A1352">
        <v>11354</v>
      </c>
      <c r="B1352" s="32" t="s">
        <v>4159</v>
      </c>
      <c r="C1352" t="s">
        <v>4160</v>
      </c>
      <c r="D1352">
        <v>49.518999999999998</v>
      </c>
      <c r="E1352" t="s">
        <v>4173</v>
      </c>
      <c r="F1352" t="s">
        <v>4174</v>
      </c>
      <c r="G1352" t="s">
        <v>4163</v>
      </c>
      <c r="H1352" t="s">
        <v>252</v>
      </c>
      <c r="I1352" s="32" t="s">
        <v>2669</v>
      </c>
      <c r="J1352" s="32" t="s">
        <v>202</v>
      </c>
      <c r="K1352" s="32" t="s">
        <v>203</v>
      </c>
      <c r="L1352" s="32" t="s">
        <v>121</v>
      </c>
      <c r="M1352" t="s">
        <v>616</v>
      </c>
      <c r="N1352" s="27" t="s">
        <v>4164</v>
      </c>
      <c r="O1352" t="s">
        <v>2652</v>
      </c>
      <c r="P1352" t="s">
        <v>1150</v>
      </c>
      <c r="Q1352" s="6" t="s">
        <v>4165</v>
      </c>
      <c r="R1352" s="32" t="s">
        <v>4166</v>
      </c>
      <c r="S1352">
        <v>2022</v>
      </c>
      <c r="T1352" t="s">
        <v>3959</v>
      </c>
      <c r="U1352" t="s">
        <v>4167</v>
      </c>
      <c r="W1352" s="7"/>
      <c r="AC1352" s="7"/>
      <c r="AD1352" s="7"/>
      <c r="AE1352" t="str">
        <f>IF(ISERROR([2]!Table1[[#This Row],[Well Count]]/[2]!Table1[[#This Row],[Site Area km2]]),"",[2]!Table1[[#This Row],[Well Count]]/[2]!Table1[[#This Row],[Site Area km2]])</f>
        <v/>
      </c>
      <c r="AH1352" t="s">
        <v>2259</v>
      </c>
      <c r="AI1352" s="34"/>
      <c r="AM1352" s="21" t="s">
        <v>4168</v>
      </c>
      <c r="AN1352" t="s">
        <v>132</v>
      </c>
      <c r="AO1352" s="19"/>
      <c r="AP1352" s="19"/>
      <c r="AQ1352" s="19"/>
      <c r="AR1352" s="19"/>
      <c r="AS1352" s="19"/>
      <c r="AT1352" s="19"/>
      <c r="AU1352" s="19"/>
      <c r="AV1352" s="19"/>
      <c r="AW1352" s="19"/>
      <c r="AX1352" s="19"/>
      <c r="AY1352" s="19"/>
      <c r="AZ1352" s="19"/>
      <c r="BA1352" s="19"/>
      <c r="BB1352" s="19"/>
      <c r="BC1352" s="19"/>
      <c r="BD1352" s="19"/>
      <c r="BE1352" s="19"/>
      <c r="BF1352" s="19"/>
      <c r="BG1352" s="19"/>
      <c r="BH1352" s="19"/>
      <c r="BI1352" s="19"/>
      <c r="BJ1352" s="19"/>
      <c r="BK1352" s="19"/>
      <c r="BL1352" s="19"/>
      <c r="BM1352" s="19"/>
      <c r="BN1352" s="19">
        <v>185</v>
      </c>
      <c r="BO1352" s="19"/>
      <c r="BP1352" s="19"/>
      <c r="BQ1352" s="19"/>
      <c r="BR1352" s="19"/>
      <c r="BS1352" s="19"/>
      <c r="BT1352" s="19"/>
      <c r="BU1352" s="19"/>
      <c r="BV1352" s="19"/>
      <c r="BW1352" s="19"/>
      <c r="BX1352" s="19"/>
      <c r="BY1352" s="19"/>
      <c r="BZ1352" s="19"/>
      <c r="CA1352" s="19"/>
      <c r="CB1352" s="19"/>
      <c r="CC1352" s="19"/>
      <c r="CD1352" s="19"/>
      <c r="CE13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52" s="19">
        <f>SUM(Table1[[#This Row],[Mid39]],Table1[[#This Row],[Mid36]],Table1[[#This Row],[Mid33]],Table1[[#This Row],[Mid30]],Table1[[#This Row],[Mid27]],Table1[[#This Row],[Mid24]],Table1[[#This Row],[Mid21]],Table1[[#This Row],[Mid18]],Table1[[#This Row],[Mid15]],Table1[[#This Row],[Mid12]],Table1[[#This Row],[Mid9]],Table1[[#This Row],[Mid6]],Table1[[#This Row],[Mid3]],Table1[[#This Row],[Mid]])</f>
        <v>185</v>
      </c>
      <c r="CG13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52" s="35" t="s">
        <v>134</v>
      </c>
      <c r="CJ1352" t="s">
        <v>157</v>
      </c>
      <c r="CL1352" s="19">
        <f>IF(Table1[[#This Row],[Type]]="Petroleum",1,IF(ISERROR(Table1[[#This Row],[Well Density]]*Table1[[#This Row],[Single Well Discovery Area]]),"",IF(Table1[[#This Row],[Well Density]]*Table1[[#This Row],[Single Well Discovery Area]]&gt;1,1,Table1[[#This Row],[Well Density]]*Table1[[#This Row],[Single Well Discovery Area]])))</f>
        <v>1</v>
      </c>
      <c r="CM1352" t="s">
        <v>158</v>
      </c>
      <c r="CN1352" s="19">
        <f>Table1[[#This Row],[Mid]]</f>
        <v>0</v>
      </c>
      <c r="CO1352" s="19">
        <f>Table1[[#This Row],[Mid3]]+Table1[[#This Row],[Mid6]]+Table1[[#This Row],[Mid9]]</f>
        <v>0</v>
      </c>
      <c r="CP1352" s="19">
        <f>Table1[[#This Row],[Mid12]]+Table1[[#This Row],[Mid15]]+Table1[[#This Row],[Mid18]]+Table1[[#This Row],[Mid21]]+Table1[[#This Row],[Mid24]]</f>
        <v>185</v>
      </c>
      <c r="CQ1352" s="19">
        <f>Table1[[#This Row],[Mid27]]+Table1[[#This Row],[Mid30]]+Table1[[#This Row],[Mid33]]+Table1[[#This Row],[Mid36]]+Table1[[#This Row],[Mid39]]</f>
        <v>0</v>
      </c>
      <c r="CR1352" t="s">
        <v>415</v>
      </c>
      <c r="CS1352" s="19" t="str">
        <f>IF(AND(Table1[[#This Row],[Low41]]=0, Table1[[#This Row],[High43]]=0),"N","Y")</f>
        <v>N</v>
      </c>
    </row>
    <row r="1353" spans="1:97" ht="19.5" customHeight="1" x14ac:dyDescent="0.25">
      <c r="A1353">
        <v>11355</v>
      </c>
      <c r="B1353" s="32" t="s">
        <v>4159</v>
      </c>
      <c r="C1353" t="s">
        <v>4160</v>
      </c>
      <c r="D1353">
        <v>49.604999999999997</v>
      </c>
      <c r="E1353" t="s">
        <v>4175</v>
      </c>
      <c r="F1353" t="s">
        <v>4176</v>
      </c>
      <c r="G1353" t="s">
        <v>4163</v>
      </c>
      <c r="H1353" t="s">
        <v>252</v>
      </c>
      <c r="I1353" s="32" t="s">
        <v>1748</v>
      </c>
      <c r="J1353" s="32" t="s">
        <v>202</v>
      </c>
      <c r="K1353" s="32" t="s">
        <v>203</v>
      </c>
      <c r="L1353" s="32" t="s">
        <v>121</v>
      </c>
      <c r="M1353" t="s">
        <v>616</v>
      </c>
      <c r="N1353" s="27" t="s">
        <v>4164</v>
      </c>
      <c r="O1353" t="s">
        <v>2652</v>
      </c>
      <c r="P1353" t="s">
        <v>1150</v>
      </c>
      <c r="Q1353" s="6" t="s">
        <v>4165</v>
      </c>
      <c r="R1353" s="32" t="s">
        <v>4166</v>
      </c>
      <c r="S1353">
        <v>2022</v>
      </c>
      <c r="T1353" t="s">
        <v>3959</v>
      </c>
      <c r="U1353" t="s">
        <v>4167</v>
      </c>
      <c r="W1353" s="7"/>
      <c r="AC1353" s="7"/>
      <c r="AD1353" s="7"/>
      <c r="AE1353" t="str">
        <f>IF(ISERROR([2]!Table1[[#This Row],[Well Count]]/[2]!Table1[[#This Row],[Site Area km2]]),"",[2]!Table1[[#This Row],[Well Count]]/[2]!Table1[[#This Row],[Site Area km2]])</f>
        <v/>
      </c>
      <c r="AH1353" t="s">
        <v>2259</v>
      </c>
      <c r="AI1353" s="34"/>
      <c r="AM1353" s="21" t="s">
        <v>4168</v>
      </c>
      <c r="AN1353" t="s">
        <v>132</v>
      </c>
      <c r="AO1353" s="19"/>
      <c r="AP1353" s="19"/>
      <c r="AQ1353" s="19"/>
      <c r="AR1353" s="19"/>
      <c r="AS1353" s="19"/>
      <c r="AT1353" s="19"/>
      <c r="AU1353" s="19"/>
      <c r="AV1353" s="19"/>
      <c r="AW1353" s="19"/>
      <c r="AX1353" s="19"/>
      <c r="AY1353" s="19"/>
      <c r="AZ1353" s="19"/>
      <c r="BA1353" s="19"/>
      <c r="BB1353" s="19"/>
      <c r="BC1353" s="19"/>
      <c r="BD1353" s="19"/>
      <c r="BE1353" s="19"/>
      <c r="BF1353" s="19"/>
      <c r="BG1353" s="19"/>
      <c r="BH1353" s="19"/>
      <c r="BI1353" s="19"/>
      <c r="BJ1353" s="19"/>
      <c r="BK1353" s="19"/>
      <c r="BL1353" s="19"/>
      <c r="BM1353" s="19"/>
      <c r="BN1353" s="19">
        <v>94</v>
      </c>
      <c r="BO1353" s="19"/>
      <c r="BP1353" s="19"/>
      <c r="BQ1353" s="19"/>
      <c r="BR1353" s="19"/>
      <c r="BS1353" s="19"/>
      <c r="BT1353" s="19"/>
      <c r="BU1353" s="19"/>
      <c r="BV1353" s="19"/>
      <c r="BW1353" s="19"/>
      <c r="BX1353" s="19"/>
      <c r="BY1353" s="19"/>
      <c r="BZ1353" s="19"/>
      <c r="CA1353" s="19"/>
      <c r="CB1353" s="19"/>
      <c r="CC1353" s="19"/>
      <c r="CD1353" s="19"/>
      <c r="CE13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53" s="19">
        <f>SUM(Table1[[#This Row],[Mid39]],Table1[[#This Row],[Mid36]],Table1[[#This Row],[Mid33]],Table1[[#This Row],[Mid30]],Table1[[#This Row],[Mid27]],Table1[[#This Row],[Mid24]],Table1[[#This Row],[Mid21]],Table1[[#This Row],[Mid18]],Table1[[#This Row],[Mid15]],Table1[[#This Row],[Mid12]],Table1[[#This Row],[Mid9]],Table1[[#This Row],[Mid6]],Table1[[#This Row],[Mid3]],Table1[[#This Row],[Mid]])</f>
        <v>94</v>
      </c>
      <c r="CG13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53" s="35" t="s">
        <v>134</v>
      </c>
      <c r="CJ1353" t="s">
        <v>157</v>
      </c>
      <c r="CL1353" s="19">
        <f>IF(Table1[[#This Row],[Type]]="Petroleum",1,IF(ISERROR(Table1[[#This Row],[Well Density]]*Table1[[#This Row],[Single Well Discovery Area]]),"",IF(Table1[[#This Row],[Well Density]]*Table1[[#This Row],[Single Well Discovery Area]]&gt;1,1,Table1[[#This Row],[Well Density]]*Table1[[#This Row],[Single Well Discovery Area]])))</f>
        <v>1</v>
      </c>
      <c r="CM1353" t="s">
        <v>158</v>
      </c>
      <c r="CN1353" s="19">
        <f>Table1[[#This Row],[Mid]]</f>
        <v>0</v>
      </c>
      <c r="CO1353" s="19">
        <f>Table1[[#This Row],[Mid3]]+Table1[[#This Row],[Mid6]]+Table1[[#This Row],[Mid9]]</f>
        <v>0</v>
      </c>
      <c r="CP1353" s="19">
        <f>Table1[[#This Row],[Mid12]]+Table1[[#This Row],[Mid15]]+Table1[[#This Row],[Mid18]]+Table1[[#This Row],[Mid21]]+Table1[[#This Row],[Mid24]]</f>
        <v>94</v>
      </c>
      <c r="CQ1353" s="19">
        <f>Table1[[#This Row],[Mid27]]+Table1[[#This Row],[Mid30]]+Table1[[#This Row],[Mid33]]+Table1[[#This Row],[Mid36]]+Table1[[#This Row],[Mid39]]</f>
        <v>0</v>
      </c>
      <c r="CR1353" t="s">
        <v>415</v>
      </c>
      <c r="CS1353" s="19" t="str">
        <f>IF(AND(Table1[[#This Row],[Low41]]=0, Table1[[#This Row],[High43]]=0),"N","Y")</f>
        <v>N</v>
      </c>
    </row>
    <row r="1354" spans="1:97" ht="19.5" customHeight="1" x14ac:dyDescent="0.25">
      <c r="A1354">
        <v>11356</v>
      </c>
      <c r="B1354" s="32" t="s">
        <v>4159</v>
      </c>
      <c r="C1354" t="s">
        <v>4160</v>
      </c>
      <c r="D1354">
        <v>49.487000000000002</v>
      </c>
      <c r="E1354" t="s">
        <v>4177</v>
      </c>
      <c r="F1354" t="s">
        <v>4178</v>
      </c>
      <c r="G1354" t="s">
        <v>4163</v>
      </c>
      <c r="H1354" t="s">
        <v>252</v>
      </c>
      <c r="I1354" s="32" t="s">
        <v>2669</v>
      </c>
      <c r="J1354" s="32" t="s">
        <v>202</v>
      </c>
      <c r="K1354" s="32" t="s">
        <v>203</v>
      </c>
      <c r="L1354" s="32" t="s">
        <v>121</v>
      </c>
      <c r="M1354" t="s">
        <v>616</v>
      </c>
      <c r="N1354" s="27" t="s">
        <v>4164</v>
      </c>
      <c r="O1354" t="s">
        <v>2652</v>
      </c>
      <c r="P1354" t="s">
        <v>1150</v>
      </c>
      <c r="Q1354" s="6" t="s">
        <v>4165</v>
      </c>
      <c r="R1354" s="32" t="s">
        <v>4166</v>
      </c>
      <c r="S1354">
        <v>2022</v>
      </c>
      <c r="T1354" t="s">
        <v>3959</v>
      </c>
      <c r="U1354" t="s">
        <v>4167</v>
      </c>
      <c r="W1354" s="7"/>
      <c r="AC1354" s="7"/>
      <c r="AD1354" s="7"/>
      <c r="AE1354" t="str">
        <f>IF(ISERROR([2]!Table1[[#This Row],[Well Count]]/[2]!Table1[[#This Row],[Site Area km2]]),"",[2]!Table1[[#This Row],[Well Count]]/[2]!Table1[[#This Row],[Site Area km2]])</f>
        <v/>
      </c>
      <c r="AH1354" t="s">
        <v>2259</v>
      </c>
      <c r="AI1354" s="34"/>
      <c r="AM1354" s="21" t="s">
        <v>4168</v>
      </c>
      <c r="AN1354" t="s">
        <v>132</v>
      </c>
      <c r="AO1354" s="19"/>
      <c r="AP1354" s="19"/>
      <c r="AQ1354" s="19"/>
      <c r="AR1354" s="19"/>
      <c r="AS1354" s="19"/>
      <c r="AT1354" s="19"/>
      <c r="AU1354" s="19"/>
      <c r="AV1354" s="19"/>
      <c r="AW1354" s="19"/>
      <c r="AX1354" s="19"/>
      <c r="AY1354" s="19"/>
      <c r="AZ1354" s="19"/>
      <c r="BA1354" s="19"/>
      <c r="BB1354" s="19"/>
      <c r="BC1354" s="19"/>
      <c r="BD1354" s="19"/>
      <c r="BE1354" s="19"/>
      <c r="BF1354" s="19"/>
      <c r="BG1354" s="19"/>
      <c r="BH1354" s="19"/>
      <c r="BI1354" s="19"/>
      <c r="BJ1354" s="19"/>
      <c r="BK1354" s="19"/>
      <c r="BL1354" s="19"/>
      <c r="BM1354" s="19"/>
      <c r="BN1354" s="19">
        <v>157</v>
      </c>
      <c r="BO1354" s="19"/>
      <c r="BP1354" s="19"/>
      <c r="BQ1354" s="19"/>
      <c r="BR1354" s="19"/>
      <c r="BS1354" s="19"/>
      <c r="BT1354" s="19"/>
      <c r="BU1354" s="19"/>
      <c r="BV1354" s="19"/>
      <c r="BW1354" s="19"/>
      <c r="BX1354" s="19"/>
      <c r="BY1354" s="19"/>
      <c r="BZ1354" s="19"/>
      <c r="CA1354" s="19"/>
      <c r="CB1354" s="19"/>
      <c r="CC1354" s="19"/>
      <c r="CD1354" s="19"/>
      <c r="CE135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54" s="19">
        <f>SUM(Table1[[#This Row],[Mid39]],Table1[[#This Row],[Mid36]],Table1[[#This Row],[Mid33]],Table1[[#This Row],[Mid30]],Table1[[#This Row],[Mid27]],Table1[[#This Row],[Mid24]],Table1[[#This Row],[Mid21]],Table1[[#This Row],[Mid18]],Table1[[#This Row],[Mid15]],Table1[[#This Row],[Mid12]],Table1[[#This Row],[Mid9]],Table1[[#This Row],[Mid6]],Table1[[#This Row],[Mid3]],Table1[[#This Row],[Mid]])</f>
        <v>157</v>
      </c>
      <c r="CG135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54" s="35" t="s">
        <v>134</v>
      </c>
      <c r="CJ1354" t="s">
        <v>157</v>
      </c>
      <c r="CL1354" s="19">
        <f>IF(Table1[[#This Row],[Type]]="Petroleum",1,IF(ISERROR(Table1[[#This Row],[Well Density]]*Table1[[#This Row],[Single Well Discovery Area]]),"",IF(Table1[[#This Row],[Well Density]]*Table1[[#This Row],[Single Well Discovery Area]]&gt;1,1,Table1[[#This Row],[Well Density]]*Table1[[#This Row],[Single Well Discovery Area]])))</f>
        <v>1</v>
      </c>
      <c r="CM1354" t="s">
        <v>158</v>
      </c>
      <c r="CN1354" s="19">
        <f>Table1[[#This Row],[Mid]]</f>
        <v>0</v>
      </c>
      <c r="CO1354" s="19">
        <f>Table1[[#This Row],[Mid3]]+Table1[[#This Row],[Mid6]]+Table1[[#This Row],[Mid9]]</f>
        <v>0</v>
      </c>
      <c r="CP1354" s="19">
        <f>Table1[[#This Row],[Mid12]]+Table1[[#This Row],[Mid15]]+Table1[[#This Row],[Mid18]]+Table1[[#This Row],[Mid21]]+Table1[[#This Row],[Mid24]]</f>
        <v>157</v>
      </c>
      <c r="CQ1354" s="19">
        <f>Table1[[#This Row],[Mid27]]+Table1[[#This Row],[Mid30]]+Table1[[#This Row],[Mid33]]+Table1[[#This Row],[Mid36]]+Table1[[#This Row],[Mid39]]</f>
        <v>0</v>
      </c>
      <c r="CR1354" t="s">
        <v>415</v>
      </c>
      <c r="CS1354" s="19" t="str">
        <f>IF(AND(Table1[[#This Row],[Low41]]=0, Table1[[#This Row],[High43]]=0),"N","Y")</f>
        <v>N</v>
      </c>
    </row>
    <row r="1355" spans="1:97" ht="19.5" customHeight="1" x14ac:dyDescent="0.25">
      <c r="A1355">
        <v>11357</v>
      </c>
      <c r="B1355" s="32" t="s">
        <v>4159</v>
      </c>
      <c r="C1355" t="s">
        <v>4160</v>
      </c>
      <c r="D1355">
        <v>49.500999999999998</v>
      </c>
      <c r="E1355" t="s">
        <v>4179</v>
      </c>
      <c r="F1355" t="s">
        <v>4180</v>
      </c>
      <c r="G1355" t="s">
        <v>4163</v>
      </c>
      <c r="H1355" t="s">
        <v>252</v>
      </c>
      <c r="I1355" s="32" t="s">
        <v>2669</v>
      </c>
      <c r="J1355" s="32" t="s">
        <v>202</v>
      </c>
      <c r="K1355" s="32" t="s">
        <v>203</v>
      </c>
      <c r="L1355" s="32" t="s">
        <v>121</v>
      </c>
      <c r="M1355" t="s">
        <v>616</v>
      </c>
      <c r="N1355" s="27" t="s">
        <v>4164</v>
      </c>
      <c r="O1355" t="s">
        <v>2652</v>
      </c>
      <c r="P1355" t="s">
        <v>1150</v>
      </c>
      <c r="Q1355" s="6" t="s">
        <v>4165</v>
      </c>
      <c r="R1355" s="32" t="s">
        <v>4166</v>
      </c>
      <c r="S1355">
        <v>2022</v>
      </c>
      <c r="T1355" t="s">
        <v>3959</v>
      </c>
      <c r="U1355" t="s">
        <v>4167</v>
      </c>
      <c r="W1355" s="7"/>
      <c r="AC1355" s="7"/>
      <c r="AD1355" s="7"/>
      <c r="AE1355" t="str">
        <f>IF(ISERROR([2]!Table1[[#This Row],[Well Count]]/[2]!Table1[[#This Row],[Site Area km2]]),"",[2]!Table1[[#This Row],[Well Count]]/[2]!Table1[[#This Row],[Site Area km2]])</f>
        <v/>
      </c>
      <c r="AH1355" t="s">
        <v>2259</v>
      </c>
      <c r="AI1355" s="34"/>
      <c r="AM1355" s="21" t="s">
        <v>4168</v>
      </c>
      <c r="AN1355" t="s">
        <v>132</v>
      </c>
      <c r="AO1355" s="19"/>
      <c r="AP1355" s="19"/>
      <c r="AQ1355" s="19"/>
      <c r="AR1355" s="19"/>
      <c r="AS1355" s="19"/>
      <c r="AT1355" s="19"/>
      <c r="AU1355" s="19"/>
      <c r="AV1355" s="19"/>
      <c r="AW1355" s="19"/>
      <c r="AX1355" s="19"/>
      <c r="AY1355" s="19"/>
      <c r="AZ1355" s="19"/>
      <c r="BA1355" s="19"/>
      <c r="BB1355" s="19"/>
      <c r="BC1355" s="19"/>
      <c r="BD1355" s="19"/>
      <c r="BE1355" s="19"/>
      <c r="BF1355" s="19"/>
      <c r="BG1355" s="19"/>
      <c r="BH1355" s="19"/>
      <c r="BI1355" s="19"/>
      <c r="BJ1355" s="19"/>
      <c r="BK1355" s="19"/>
      <c r="BL1355" s="19"/>
      <c r="BM1355" s="19"/>
      <c r="BN1355" s="19">
        <v>93</v>
      </c>
      <c r="BO1355" s="19"/>
      <c r="BP1355" s="19"/>
      <c r="BQ1355" s="19"/>
      <c r="BR1355" s="19"/>
      <c r="BS1355" s="19"/>
      <c r="BT1355" s="19"/>
      <c r="BU1355" s="19"/>
      <c r="BV1355" s="19"/>
      <c r="BW1355" s="19"/>
      <c r="BX1355" s="19"/>
      <c r="BY1355" s="19"/>
      <c r="BZ1355" s="19"/>
      <c r="CA1355" s="19"/>
      <c r="CB1355" s="19"/>
      <c r="CC1355" s="19"/>
      <c r="CD1355" s="19"/>
      <c r="CE135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55" s="19">
        <f>SUM(Table1[[#This Row],[Mid39]],Table1[[#This Row],[Mid36]],Table1[[#This Row],[Mid33]],Table1[[#This Row],[Mid30]],Table1[[#This Row],[Mid27]],Table1[[#This Row],[Mid24]],Table1[[#This Row],[Mid21]],Table1[[#This Row],[Mid18]],Table1[[#This Row],[Mid15]],Table1[[#This Row],[Mid12]],Table1[[#This Row],[Mid9]],Table1[[#This Row],[Mid6]],Table1[[#This Row],[Mid3]],Table1[[#This Row],[Mid]])</f>
        <v>93</v>
      </c>
      <c r="CG135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55" s="35" t="s">
        <v>134</v>
      </c>
      <c r="CJ1355" t="s">
        <v>157</v>
      </c>
      <c r="CL1355" s="19">
        <f>IF(Table1[[#This Row],[Type]]="Petroleum",1,IF(ISERROR(Table1[[#This Row],[Well Density]]*Table1[[#This Row],[Single Well Discovery Area]]),"",IF(Table1[[#This Row],[Well Density]]*Table1[[#This Row],[Single Well Discovery Area]]&gt;1,1,Table1[[#This Row],[Well Density]]*Table1[[#This Row],[Single Well Discovery Area]])))</f>
        <v>1</v>
      </c>
      <c r="CM1355" t="s">
        <v>158</v>
      </c>
      <c r="CN1355" s="19">
        <f>Table1[[#This Row],[Mid]]</f>
        <v>0</v>
      </c>
      <c r="CO1355" s="19">
        <f>Table1[[#This Row],[Mid3]]+Table1[[#This Row],[Mid6]]+Table1[[#This Row],[Mid9]]</f>
        <v>0</v>
      </c>
      <c r="CP1355" s="19">
        <f>Table1[[#This Row],[Mid12]]+Table1[[#This Row],[Mid15]]+Table1[[#This Row],[Mid18]]+Table1[[#This Row],[Mid21]]+Table1[[#This Row],[Mid24]]</f>
        <v>93</v>
      </c>
      <c r="CQ1355" s="19">
        <f>Table1[[#This Row],[Mid27]]+Table1[[#This Row],[Mid30]]+Table1[[#This Row],[Mid33]]+Table1[[#This Row],[Mid36]]+Table1[[#This Row],[Mid39]]</f>
        <v>0</v>
      </c>
      <c r="CR1355" t="s">
        <v>415</v>
      </c>
      <c r="CS1355" s="19" t="str">
        <f>IF(AND(Table1[[#This Row],[Low41]]=0, Table1[[#This Row],[High43]]=0),"N","Y")</f>
        <v>N</v>
      </c>
    </row>
    <row r="1356" spans="1:97" ht="19.5" customHeight="1" x14ac:dyDescent="0.25">
      <c r="A1356">
        <v>11358</v>
      </c>
      <c r="B1356" s="32" t="s">
        <v>4159</v>
      </c>
      <c r="C1356" t="s">
        <v>4160</v>
      </c>
      <c r="D1356">
        <v>49.988999999999997</v>
      </c>
      <c r="E1356" t="s">
        <v>4181</v>
      </c>
      <c r="F1356" t="s">
        <v>4182</v>
      </c>
      <c r="G1356" t="s">
        <v>4163</v>
      </c>
      <c r="H1356" t="s">
        <v>252</v>
      </c>
      <c r="I1356" s="32" t="s">
        <v>2669</v>
      </c>
      <c r="J1356" s="32" t="s">
        <v>202</v>
      </c>
      <c r="K1356" s="32" t="s">
        <v>203</v>
      </c>
      <c r="L1356" s="32" t="s">
        <v>121</v>
      </c>
      <c r="M1356" t="s">
        <v>616</v>
      </c>
      <c r="N1356" s="27" t="s">
        <v>4164</v>
      </c>
      <c r="O1356" t="s">
        <v>2652</v>
      </c>
      <c r="P1356" t="s">
        <v>1150</v>
      </c>
      <c r="Q1356" s="6" t="s">
        <v>4165</v>
      </c>
      <c r="R1356" s="32" t="s">
        <v>4166</v>
      </c>
      <c r="S1356">
        <v>2022</v>
      </c>
      <c r="T1356" t="s">
        <v>3959</v>
      </c>
      <c r="U1356" t="s">
        <v>4167</v>
      </c>
      <c r="W1356" s="7"/>
      <c r="AC1356" s="7"/>
      <c r="AD1356" s="7"/>
      <c r="AE1356" t="str">
        <f>IF(ISERROR([2]!Table1[[#This Row],[Well Count]]/[2]!Table1[[#This Row],[Site Area km2]]),"",[2]!Table1[[#This Row],[Well Count]]/[2]!Table1[[#This Row],[Site Area km2]])</f>
        <v/>
      </c>
      <c r="AH1356" t="s">
        <v>2259</v>
      </c>
      <c r="AI1356" s="34"/>
      <c r="AM1356" s="21" t="s">
        <v>4168</v>
      </c>
      <c r="AN1356" t="s">
        <v>132</v>
      </c>
      <c r="AO1356" s="19"/>
      <c r="AP1356" s="19"/>
      <c r="AQ1356" s="19"/>
      <c r="AR1356" s="19"/>
      <c r="AS1356" s="19"/>
      <c r="AT1356" s="19"/>
      <c r="AU1356" s="19"/>
      <c r="AV1356" s="19"/>
      <c r="AW1356" s="19"/>
      <c r="AX1356" s="19"/>
      <c r="AY1356" s="19"/>
      <c r="AZ1356" s="19"/>
      <c r="BA1356" s="19"/>
      <c r="BB1356" s="19"/>
      <c r="BC1356" s="19"/>
      <c r="BD1356" s="19"/>
      <c r="BE1356" s="19"/>
      <c r="BF1356" s="19"/>
      <c r="BG1356" s="19"/>
      <c r="BH1356" s="19"/>
      <c r="BI1356" s="19"/>
      <c r="BJ1356" s="19"/>
      <c r="BK1356" s="19"/>
      <c r="BL1356" s="19"/>
      <c r="BM1356" s="19"/>
      <c r="BN1356" s="19">
        <v>28</v>
      </c>
      <c r="BO1356" s="19"/>
      <c r="BP1356" s="19"/>
      <c r="BQ1356" s="19"/>
      <c r="BR1356" s="19"/>
      <c r="BS1356" s="19"/>
      <c r="BT1356" s="19"/>
      <c r="BU1356" s="19"/>
      <c r="BV1356" s="19"/>
      <c r="BW1356" s="19"/>
      <c r="BX1356" s="19"/>
      <c r="BY1356" s="19"/>
      <c r="BZ1356" s="19"/>
      <c r="CA1356" s="19"/>
      <c r="CB1356" s="19"/>
      <c r="CC1356" s="19"/>
      <c r="CD1356" s="19"/>
      <c r="CE135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56" s="19">
        <f>SUM(Table1[[#This Row],[Mid39]],Table1[[#This Row],[Mid36]],Table1[[#This Row],[Mid33]],Table1[[#This Row],[Mid30]],Table1[[#This Row],[Mid27]],Table1[[#This Row],[Mid24]],Table1[[#This Row],[Mid21]],Table1[[#This Row],[Mid18]],Table1[[#This Row],[Mid15]],Table1[[#This Row],[Mid12]],Table1[[#This Row],[Mid9]],Table1[[#This Row],[Mid6]],Table1[[#This Row],[Mid3]],Table1[[#This Row],[Mid]])</f>
        <v>28</v>
      </c>
      <c r="CG135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56" s="35" t="s">
        <v>134</v>
      </c>
      <c r="CJ1356" t="s">
        <v>157</v>
      </c>
      <c r="CL1356" s="19">
        <f>IF(Table1[[#This Row],[Type]]="Petroleum",1,IF(ISERROR(Table1[[#This Row],[Well Density]]*Table1[[#This Row],[Single Well Discovery Area]]),"",IF(Table1[[#This Row],[Well Density]]*Table1[[#This Row],[Single Well Discovery Area]]&gt;1,1,Table1[[#This Row],[Well Density]]*Table1[[#This Row],[Single Well Discovery Area]])))</f>
        <v>1</v>
      </c>
      <c r="CM1356" t="s">
        <v>158</v>
      </c>
      <c r="CN1356" s="19">
        <f>Table1[[#This Row],[Mid]]</f>
        <v>0</v>
      </c>
      <c r="CO1356" s="19">
        <f>Table1[[#This Row],[Mid3]]+Table1[[#This Row],[Mid6]]+Table1[[#This Row],[Mid9]]</f>
        <v>0</v>
      </c>
      <c r="CP1356" s="19">
        <f>Table1[[#This Row],[Mid12]]+Table1[[#This Row],[Mid15]]+Table1[[#This Row],[Mid18]]+Table1[[#This Row],[Mid21]]+Table1[[#This Row],[Mid24]]</f>
        <v>28</v>
      </c>
      <c r="CQ1356" s="19">
        <f>Table1[[#This Row],[Mid27]]+Table1[[#This Row],[Mid30]]+Table1[[#This Row],[Mid33]]+Table1[[#This Row],[Mid36]]+Table1[[#This Row],[Mid39]]</f>
        <v>0</v>
      </c>
      <c r="CR1356" t="s">
        <v>415</v>
      </c>
      <c r="CS1356" s="19" t="str">
        <f>IF(AND(Table1[[#This Row],[Low41]]=0, Table1[[#This Row],[High43]]=0),"N","Y")</f>
        <v>N</v>
      </c>
    </row>
    <row r="1357" spans="1:97" ht="19.5" customHeight="1" x14ac:dyDescent="0.25">
      <c r="A1357">
        <v>11359</v>
      </c>
      <c r="B1357" s="32" t="s">
        <v>4159</v>
      </c>
      <c r="C1357" t="s">
        <v>4160</v>
      </c>
      <c r="D1357">
        <v>49.957999999999998</v>
      </c>
      <c r="E1357" t="s">
        <v>4183</v>
      </c>
      <c r="F1357" t="s">
        <v>4184</v>
      </c>
      <c r="G1357" t="s">
        <v>4163</v>
      </c>
      <c r="H1357" t="s">
        <v>252</v>
      </c>
      <c r="I1357" s="32" t="s">
        <v>1748</v>
      </c>
      <c r="J1357" s="32" t="s">
        <v>202</v>
      </c>
      <c r="K1357" s="32" t="s">
        <v>203</v>
      </c>
      <c r="L1357" s="32" t="s">
        <v>121</v>
      </c>
      <c r="M1357" t="s">
        <v>616</v>
      </c>
      <c r="N1357" s="27" t="s">
        <v>4164</v>
      </c>
      <c r="O1357" t="s">
        <v>2652</v>
      </c>
      <c r="P1357" t="s">
        <v>1150</v>
      </c>
      <c r="Q1357" s="6" t="s">
        <v>4165</v>
      </c>
      <c r="R1357" s="32" t="s">
        <v>4166</v>
      </c>
      <c r="S1357">
        <v>2022</v>
      </c>
      <c r="T1357" t="s">
        <v>3959</v>
      </c>
      <c r="U1357" t="s">
        <v>4167</v>
      </c>
      <c r="W1357" s="7"/>
      <c r="AC1357" s="7"/>
      <c r="AD1357" s="7"/>
      <c r="AE1357" t="str">
        <f>IF(ISERROR([2]!Table1[[#This Row],[Well Count]]/[2]!Table1[[#This Row],[Site Area km2]]),"",[2]!Table1[[#This Row],[Well Count]]/[2]!Table1[[#This Row],[Site Area km2]])</f>
        <v/>
      </c>
      <c r="AH1357" t="s">
        <v>2259</v>
      </c>
      <c r="AI1357" s="34"/>
      <c r="AM1357" s="21" t="s">
        <v>4168</v>
      </c>
      <c r="AN1357" t="s">
        <v>132</v>
      </c>
      <c r="AO1357" s="19"/>
      <c r="AP1357" s="19"/>
      <c r="AQ1357" s="19"/>
      <c r="AR1357" s="19"/>
      <c r="AS1357" s="19"/>
      <c r="AT1357" s="19"/>
      <c r="AU1357" s="19"/>
      <c r="AV1357" s="19"/>
      <c r="AW1357" s="19"/>
      <c r="AX1357" s="19"/>
      <c r="AY1357" s="19"/>
      <c r="AZ1357" s="19"/>
      <c r="BA1357" s="19"/>
      <c r="BB1357" s="19"/>
      <c r="BC1357" s="19"/>
      <c r="BD1357" s="19"/>
      <c r="BE1357" s="19"/>
      <c r="BF1357" s="19"/>
      <c r="BG1357" s="19"/>
      <c r="BH1357" s="19"/>
      <c r="BI1357" s="19"/>
      <c r="BJ1357" s="19"/>
      <c r="BK1357" s="19"/>
      <c r="BL1357" s="19"/>
      <c r="BM1357" s="19"/>
      <c r="BN1357" s="19">
        <v>67</v>
      </c>
      <c r="BO1357" s="19"/>
      <c r="BP1357" s="19"/>
      <c r="BQ1357" s="19"/>
      <c r="BR1357" s="19"/>
      <c r="BS1357" s="19"/>
      <c r="BT1357" s="19"/>
      <c r="BU1357" s="19"/>
      <c r="BV1357" s="19"/>
      <c r="BW1357" s="19"/>
      <c r="BX1357" s="19"/>
      <c r="BY1357" s="19"/>
      <c r="BZ1357" s="19"/>
      <c r="CA1357" s="19"/>
      <c r="CB1357" s="19"/>
      <c r="CC1357" s="19"/>
      <c r="CD1357" s="19"/>
      <c r="CE135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57" s="19">
        <f>SUM(Table1[[#This Row],[Mid39]],Table1[[#This Row],[Mid36]],Table1[[#This Row],[Mid33]],Table1[[#This Row],[Mid30]],Table1[[#This Row],[Mid27]],Table1[[#This Row],[Mid24]],Table1[[#This Row],[Mid21]],Table1[[#This Row],[Mid18]],Table1[[#This Row],[Mid15]],Table1[[#This Row],[Mid12]],Table1[[#This Row],[Mid9]],Table1[[#This Row],[Mid6]],Table1[[#This Row],[Mid3]],Table1[[#This Row],[Mid]])</f>
        <v>67</v>
      </c>
      <c r="CG135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57" s="35" t="s">
        <v>134</v>
      </c>
      <c r="CJ1357" t="s">
        <v>157</v>
      </c>
      <c r="CL1357" s="19">
        <f>IF(Table1[[#This Row],[Type]]="Petroleum",1,IF(ISERROR(Table1[[#This Row],[Well Density]]*Table1[[#This Row],[Single Well Discovery Area]]),"",IF(Table1[[#This Row],[Well Density]]*Table1[[#This Row],[Single Well Discovery Area]]&gt;1,1,Table1[[#This Row],[Well Density]]*Table1[[#This Row],[Single Well Discovery Area]])))</f>
        <v>1</v>
      </c>
      <c r="CM1357" t="s">
        <v>158</v>
      </c>
      <c r="CN1357" s="19">
        <f>Table1[[#This Row],[Mid]]</f>
        <v>0</v>
      </c>
      <c r="CO1357" s="19">
        <f>Table1[[#This Row],[Mid3]]+Table1[[#This Row],[Mid6]]+Table1[[#This Row],[Mid9]]</f>
        <v>0</v>
      </c>
      <c r="CP1357" s="19">
        <f>Table1[[#This Row],[Mid12]]+Table1[[#This Row],[Mid15]]+Table1[[#This Row],[Mid18]]+Table1[[#This Row],[Mid21]]+Table1[[#This Row],[Mid24]]</f>
        <v>67</v>
      </c>
      <c r="CQ1357" s="19">
        <f>Table1[[#This Row],[Mid27]]+Table1[[#This Row],[Mid30]]+Table1[[#This Row],[Mid33]]+Table1[[#This Row],[Mid36]]+Table1[[#This Row],[Mid39]]</f>
        <v>0</v>
      </c>
      <c r="CR1357" t="s">
        <v>415</v>
      </c>
      <c r="CS1357" s="19" t="str">
        <f>IF(AND(Table1[[#This Row],[Low41]]=0, Table1[[#This Row],[High43]]=0),"N","Y")</f>
        <v>N</v>
      </c>
    </row>
    <row r="1358" spans="1:97" ht="19.5" customHeight="1" x14ac:dyDescent="0.25">
      <c r="A1358">
        <v>11360</v>
      </c>
      <c r="B1358" s="32" t="s">
        <v>4159</v>
      </c>
      <c r="C1358" t="s">
        <v>4160</v>
      </c>
      <c r="D1358">
        <v>50.326999999999998</v>
      </c>
      <c r="E1358" t="s">
        <v>4185</v>
      </c>
      <c r="F1358" t="s">
        <v>4186</v>
      </c>
      <c r="G1358" t="s">
        <v>4163</v>
      </c>
      <c r="H1358" t="s">
        <v>252</v>
      </c>
      <c r="I1358" s="32" t="s">
        <v>1748</v>
      </c>
      <c r="J1358" s="32" t="s">
        <v>202</v>
      </c>
      <c r="K1358" s="32" t="s">
        <v>203</v>
      </c>
      <c r="L1358" s="32" t="s">
        <v>121</v>
      </c>
      <c r="M1358" t="s">
        <v>616</v>
      </c>
      <c r="N1358" s="27" t="s">
        <v>4164</v>
      </c>
      <c r="O1358" t="s">
        <v>2652</v>
      </c>
      <c r="P1358" t="s">
        <v>1150</v>
      </c>
      <c r="Q1358" s="6" t="s">
        <v>4165</v>
      </c>
      <c r="R1358" s="32" t="s">
        <v>4166</v>
      </c>
      <c r="S1358">
        <v>2022</v>
      </c>
      <c r="T1358" t="s">
        <v>3959</v>
      </c>
      <c r="U1358" t="s">
        <v>4167</v>
      </c>
      <c r="W1358" s="7"/>
      <c r="AC1358" s="7"/>
      <c r="AD1358" s="7"/>
      <c r="AE1358" t="str">
        <f>IF(ISERROR([2]!Table1[[#This Row],[Well Count]]/[2]!Table1[[#This Row],[Site Area km2]]),"",[2]!Table1[[#This Row],[Well Count]]/[2]!Table1[[#This Row],[Site Area km2]])</f>
        <v/>
      </c>
      <c r="AH1358" t="s">
        <v>2259</v>
      </c>
      <c r="AI1358" s="34"/>
      <c r="AM1358" s="21" t="s">
        <v>4168</v>
      </c>
      <c r="AN1358" t="s">
        <v>132</v>
      </c>
      <c r="AO1358" s="19"/>
      <c r="AP1358" s="19"/>
      <c r="AQ1358" s="19"/>
      <c r="AR1358" s="19"/>
      <c r="AS1358" s="19"/>
      <c r="AT1358" s="19"/>
      <c r="AU1358" s="19"/>
      <c r="AV1358" s="19"/>
      <c r="AW1358" s="19"/>
      <c r="AX1358" s="19"/>
      <c r="AY1358" s="19"/>
      <c r="AZ1358" s="19"/>
      <c r="BA1358" s="19"/>
      <c r="BB1358" s="19"/>
      <c r="BC1358" s="19"/>
      <c r="BD1358" s="19"/>
      <c r="BE1358" s="19"/>
      <c r="BF1358" s="19"/>
      <c r="BG1358" s="19"/>
      <c r="BH1358" s="19"/>
      <c r="BI1358" s="19"/>
      <c r="BJ1358" s="19"/>
      <c r="BK1358" s="19"/>
      <c r="BL1358" s="19"/>
      <c r="BM1358" s="19"/>
      <c r="BN1358" s="19">
        <v>159</v>
      </c>
      <c r="BO1358" s="19"/>
      <c r="BP1358" s="19"/>
      <c r="BQ1358" s="19"/>
      <c r="BR1358" s="19"/>
      <c r="BS1358" s="19"/>
      <c r="BT1358" s="19"/>
      <c r="BU1358" s="19"/>
      <c r="BV1358" s="19"/>
      <c r="BW1358" s="19"/>
      <c r="BX1358" s="19"/>
      <c r="BY1358" s="19"/>
      <c r="BZ1358" s="19"/>
      <c r="CA1358" s="19"/>
      <c r="CB1358" s="19"/>
      <c r="CC1358" s="19"/>
      <c r="CD1358" s="19"/>
      <c r="CE135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58" s="19">
        <f>SUM(Table1[[#This Row],[Mid39]],Table1[[#This Row],[Mid36]],Table1[[#This Row],[Mid33]],Table1[[#This Row],[Mid30]],Table1[[#This Row],[Mid27]],Table1[[#This Row],[Mid24]],Table1[[#This Row],[Mid21]],Table1[[#This Row],[Mid18]],Table1[[#This Row],[Mid15]],Table1[[#This Row],[Mid12]],Table1[[#This Row],[Mid9]],Table1[[#This Row],[Mid6]],Table1[[#This Row],[Mid3]],Table1[[#This Row],[Mid]])</f>
        <v>159</v>
      </c>
      <c r="CG135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58" s="35" t="s">
        <v>134</v>
      </c>
      <c r="CJ1358" t="s">
        <v>157</v>
      </c>
      <c r="CL1358" s="19">
        <f>IF(Table1[[#This Row],[Type]]="Petroleum",1,IF(ISERROR(Table1[[#This Row],[Well Density]]*Table1[[#This Row],[Single Well Discovery Area]]),"",IF(Table1[[#This Row],[Well Density]]*Table1[[#This Row],[Single Well Discovery Area]]&gt;1,1,Table1[[#This Row],[Well Density]]*Table1[[#This Row],[Single Well Discovery Area]])))</f>
        <v>1</v>
      </c>
      <c r="CM1358" t="s">
        <v>158</v>
      </c>
      <c r="CN1358" s="19">
        <f>Table1[[#This Row],[Mid]]</f>
        <v>0</v>
      </c>
      <c r="CO1358" s="19">
        <f>Table1[[#This Row],[Mid3]]+Table1[[#This Row],[Mid6]]+Table1[[#This Row],[Mid9]]</f>
        <v>0</v>
      </c>
      <c r="CP1358" s="19">
        <f>Table1[[#This Row],[Mid12]]+Table1[[#This Row],[Mid15]]+Table1[[#This Row],[Mid18]]+Table1[[#This Row],[Mid21]]+Table1[[#This Row],[Mid24]]</f>
        <v>159</v>
      </c>
      <c r="CQ1358" s="19">
        <f>Table1[[#This Row],[Mid27]]+Table1[[#This Row],[Mid30]]+Table1[[#This Row],[Mid33]]+Table1[[#This Row],[Mid36]]+Table1[[#This Row],[Mid39]]</f>
        <v>0</v>
      </c>
      <c r="CR1358" t="s">
        <v>415</v>
      </c>
      <c r="CS1358" s="19" t="str">
        <f>IF(AND(Table1[[#This Row],[Low41]]=0, Table1[[#This Row],[High43]]=0),"N","Y")</f>
        <v>N</v>
      </c>
    </row>
    <row r="1359" spans="1:97" ht="19.5" customHeight="1" x14ac:dyDescent="0.25">
      <c r="A1359">
        <v>11361</v>
      </c>
      <c r="B1359" s="32" t="s">
        <v>4159</v>
      </c>
      <c r="C1359" s="32" t="s">
        <v>4187</v>
      </c>
      <c r="D1359">
        <v>50.436300000000003</v>
      </c>
      <c r="E1359" s="40">
        <v>33.565300000000001</v>
      </c>
      <c r="F1359" t="s">
        <v>4188</v>
      </c>
      <c r="G1359" t="s">
        <v>3930</v>
      </c>
      <c r="H1359" t="s">
        <v>252</v>
      </c>
      <c r="I1359" s="32" t="s">
        <v>1748</v>
      </c>
      <c r="J1359" s="32" t="s">
        <v>202</v>
      </c>
      <c r="K1359" s="32" t="s">
        <v>203</v>
      </c>
      <c r="L1359" s="32" t="s">
        <v>121</v>
      </c>
      <c r="M1359" t="s">
        <v>4189</v>
      </c>
      <c r="N1359" s="27" t="s">
        <v>4164</v>
      </c>
      <c r="O1359" t="s">
        <v>2652</v>
      </c>
      <c r="P1359" t="s">
        <v>1150</v>
      </c>
      <c r="Q1359" s="6" t="s">
        <v>4165</v>
      </c>
      <c r="R1359" s="32" t="s">
        <v>4166</v>
      </c>
      <c r="S1359">
        <v>2022</v>
      </c>
      <c r="T1359" t="s">
        <v>3959</v>
      </c>
      <c r="U1359" t="s">
        <v>4167</v>
      </c>
      <c r="W1359" s="7"/>
      <c r="AC1359" s="7"/>
      <c r="AD1359" s="7"/>
      <c r="AE1359" t="str">
        <f>IF(ISERROR([2]!Table1[[#This Row],[Well Count]]/[2]!Table1[[#This Row],[Site Area km2]]),"",[2]!Table1[[#This Row],[Well Count]]/[2]!Table1[[#This Row],[Site Area km2]])</f>
        <v/>
      </c>
      <c r="AH1359" t="s">
        <v>2259</v>
      </c>
      <c r="AI1359" s="34"/>
      <c r="AM1359" s="21" t="s">
        <v>4168</v>
      </c>
      <c r="AN1359" t="s">
        <v>132</v>
      </c>
      <c r="AO1359" s="19"/>
      <c r="AP1359" s="19"/>
      <c r="AQ1359" s="19"/>
      <c r="AR1359" s="19"/>
      <c r="AS1359" s="19"/>
      <c r="AT1359" s="19"/>
      <c r="AU1359" s="19"/>
      <c r="AV1359" s="19"/>
      <c r="AW1359" s="19"/>
      <c r="AX1359" s="19"/>
      <c r="AY1359" s="19"/>
      <c r="AZ1359" s="19"/>
      <c r="BA1359" s="19"/>
      <c r="BB1359" s="19"/>
      <c r="BC1359" s="19"/>
      <c r="BD1359" s="19"/>
      <c r="BE1359" s="19"/>
      <c r="BF1359" s="19"/>
      <c r="BG1359" s="19"/>
      <c r="BH1359" s="19"/>
      <c r="BI1359" s="19"/>
      <c r="BJ1359" s="19"/>
      <c r="BK1359" s="19"/>
      <c r="BL1359" s="19"/>
      <c r="BM1359" s="19"/>
      <c r="BN1359" s="19">
        <v>163</v>
      </c>
      <c r="BO1359" s="19"/>
      <c r="BP1359" s="19"/>
      <c r="BQ1359" s="19"/>
      <c r="BR1359" s="19"/>
      <c r="BS1359" s="19"/>
      <c r="BT1359" s="19"/>
      <c r="BU1359" s="19"/>
      <c r="BV1359" s="19"/>
      <c r="BW1359" s="19"/>
      <c r="BX1359" s="19"/>
      <c r="BY1359" s="19"/>
      <c r="BZ1359" s="19"/>
      <c r="CA1359" s="19"/>
      <c r="CB1359" s="19"/>
      <c r="CC1359" s="19"/>
      <c r="CD1359" s="19"/>
      <c r="CE135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59" s="19">
        <f>SUM(Table1[[#This Row],[Mid39]],Table1[[#This Row],[Mid36]],Table1[[#This Row],[Mid33]],Table1[[#This Row],[Mid30]],Table1[[#This Row],[Mid27]],Table1[[#This Row],[Mid24]],Table1[[#This Row],[Mid21]],Table1[[#This Row],[Mid18]],Table1[[#This Row],[Mid15]],Table1[[#This Row],[Mid12]],Table1[[#This Row],[Mid9]],Table1[[#This Row],[Mid6]],Table1[[#This Row],[Mid3]],Table1[[#This Row],[Mid]])</f>
        <v>163</v>
      </c>
      <c r="CG135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59" s="35" t="s">
        <v>134</v>
      </c>
      <c r="CJ1359" t="s">
        <v>157</v>
      </c>
      <c r="CL1359" s="19">
        <f>IF(Table1[[#This Row],[Type]]="Petroleum",1,IF(ISERROR(Table1[[#This Row],[Well Density]]*Table1[[#This Row],[Single Well Discovery Area]]),"",IF(Table1[[#This Row],[Well Density]]*Table1[[#This Row],[Single Well Discovery Area]]&gt;1,1,Table1[[#This Row],[Well Density]]*Table1[[#This Row],[Single Well Discovery Area]])))</f>
        <v>1</v>
      </c>
      <c r="CM1359" t="s">
        <v>158</v>
      </c>
      <c r="CN1359" s="19">
        <f>Table1[[#This Row],[Mid]]</f>
        <v>0</v>
      </c>
      <c r="CO1359" s="19">
        <f>Table1[[#This Row],[Mid3]]+Table1[[#This Row],[Mid6]]+Table1[[#This Row],[Mid9]]</f>
        <v>0</v>
      </c>
      <c r="CP1359" s="19">
        <f>Table1[[#This Row],[Mid12]]+Table1[[#This Row],[Mid15]]+Table1[[#This Row],[Mid18]]+Table1[[#This Row],[Mid21]]+Table1[[#This Row],[Mid24]]</f>
        <v>163</v>
      </c>
      <c r="CQ1359" s="19">
        <f>Table1[[#This Row],[Mid27]]+Table1[[#This Row],[Mid30]]+Table1[[#This Row],[Mid33]]+Table1[[#This Row],[Mid36]]+Table1[[#This Row],[Mid39]]</f>
        <v>0</v>
      </c>
      <c r="CR1359" t="s">
        <v>415</v>
      </c>
      <c r="CS1359" s="19" t="str">
        <f>IF(AND(Table1[[#This Row],[Low41]]=0, Table1[[#This Row],[High43]]=0),"N","Y")</f>
        <v>N</v>
      </c>
    </row>
    <row r="1360" spans="1:97" ht="19.5" customHeight="1" x14ac:dyDescent="0.25">
      <c r="A1360">
        <v>11362</v>
      </c>
      <c r="B1360" s="32" t="s">
        <v>4159</v>
      </c>
      <c r="C1360" s="32" t="s">
        <v>4187</v>
      </c>
      <c r="D1360">
        <v>48.847000000000001</v>
      </c>
      <c r="E1360">
        <v>23.584</v>
      </c>
      <c r="F1360" s="32" t="s">
        <v>4190</v>
      </c>
      <c r="G1360" t="s">
        <v>3930</v>
      </c>
      <c r="H1360" t="s">
        <v>252</v>
      </c>
      <c r="I1360" s="32" t="s">
        <v>118</v>
      </c>
      <c r="J1360" s="32" t="s">
        <v>119</v>
      </c>
      <c r="K1360" s="32" t="s">
        <v>190</v>
      </c>
      <c r="L1360" s="32" t="s">
        <v>18</v>
      </c>
      <c r="M1360" t="s">
        <v>4189</v>
      </c>
      <c r="N1360" s="27" t="s">
        <v>4164</v>
      </c>
      <c r="O1360" t="s">
        <v>2652</v>
      </c>
      <c r="P1360" t="s">
        <v>1150</v>
      </c>
      <c r="Q1360" s="6" t="s">
        <v>2447</v>
      </c>
      <c r="R1360" s="32" t="s">
        <v>4191</v>
      </c>
      <c r="S1360">
        <v>2022</v>
      </c>
      <c r="T1360" t="s">
        <v>3959</v>
      </c>
      <c r="U1360" t="s">
        <v>4167</v>
      </c>
      <c r="W1360" s="7"/>
      <c r="X1360">
        <v>12000</v>
      </c>
      <c r="AC1360" s="7"/>
      <c r="AD1360" s="7"/>
      <c r="AE1360" t="str">
        <f>IF(ISERROR([2]!Table1[[#This Row],[Well Count]]/[2]!Table1[[#This Row],[Site Area km2]]),"",[2]!Table1[[#This Row],[Well Count]]/[2]!Table1[[#This Row],[Site Area km2]])</f>
        <v/>
      </c>
      <c r="AH1360" t="s">
        <v>2259</v>
      </c>
      <c r="AI1360" s="34"/>
      <c r="AM1360" s="21" t="s">
        <v>4192</v>
      </c>
      <c r="AN1360" t="s">
        <v>132</v>
      </c>
      <c r="AO1360" s="19"/>
      <c r="AP1360" s="19"/>
      <c r="AQ1360" s="19"/>
      <c r="AR1360" s="19"/>
      <c r="AS1360" s="19"/>
      <c r="AT1360" s="19"/>
      <c r="AU1360" s="19"/>
      <c r="AV1360" s="19"/>
      <c r="AW1360" s="19"/>
      <c r="AX1360" s="19"/>
      <c r="AY1360" s="19"/>
      <c r="AZ1360" s="19"/>
      <c r="BA1360" s="19"/>
      <c r="BB1360" s="19"/>
      <c r="BC1360" s="19"/>
      <c r="BD1360" s="19"/>
      <c r="BE1360" s="19"/>
      <c r="BF1360" s="19"/>
      <c r="BG1360" s="19"/>
      <c r="BH1360" s="19"/>
      <c r="BI1360" s="19"/>
      <c r="BJ1360" s="19"/>
      <c r="BK1360" s="19"/>
      <c r="BL1360" s="19"/>
      <c r="BM1360" s="19"/>
      <c r="BN1360" s="19"/>
      <c r="BO1360" s="19"/>
      <c r="BP1360" s="19"/>
      <c r="BQ1360" s="19"/>
      <c r="BR1360" s="19"/>
      <c r="BS1360" s="19"/>
      <c r="BT1360" s="19"/>
      <c r="BU1360" s="19"/>
      <c r="BV1360" s="19"/>
      <c r="BW1360" s="19"/>
      <c r="BX1360" s="19"/>
      <c r="BY1360" s="19"/>
      <c r="BZ1360" s="19"/>
      <c r="CA1360" s="19"/>
      <c r="CB1360" s="19"/>
      <c r="CC1360" s="19">
        <v>15000</v>
      </c>
      <c r="CD1360" s="19"/>
      <c r="CE136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60" s="19">
        <f>SUM(Table1[[#This Row],[Mid39]],Table1[[#This Row],[Mid36]],Table1[[#This Row],[Mid33]],Table1[[#This Row],[Mid30]],Table1[[#This Row],[Mid27]],Table1[[#This Row],[Mid24]],Table1[[#This Row],[Mid21]],Table1[[#This Row],[Mid18]],Table1[[#This Row],[Mid15]],Table1[[#This Row],[Mid12]],Table1[[#This Row],[Mid9]],Table1[[#This Row],[Mid6]],Table1[[#This Row],[Mid3]],Table1[[#This Row],[Mid]])</f>
        <v>15000</v>
      </c>
      <c r="CG136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60" s="35" t="s">
        <v>134</v>
      </c>
      <c r="CJ1360" t="s">
        <v>157</v>
      </c>
      <c r="CL1360" s="19" t="str">
        <f>IF(Table1[[#This Row],[Type]]="Petroleum",1,IF(ISERROR(Table1[[#This Row],[Well Density]]*Table1[[#This Row],[Single Well Discovery Area]]),"",IF(Table1[[#This Row],[Well Density]]*Table1[[#This Row],[Single Well Discovery Area]]&gt;1,1,Table1[[#This Row],[Well Density]]*Table1[[#This Row],[Single Well Discovery Area]])))</f>
        <v/>
      </c>
      <c r="CM1360" t="s">
        <v>158</v>
      </c>
      <c r="CN1360" s="19">
        <f>Table1[[#This Row],[Mid]]</f>
        <v>0</v>
      </c>
      <c r="CO1360" s="19">
        <f>Table1[[#This Row],[Mid3]]+Table1[[#This Row],[Mid6]]+Table1[[#This Row],[Mid9]]</f>
        <v>0</v>
      </c>
      <c r="CP1360" s="19">
        <f>Table1[[#This Row],[Mid12]]+Table1[[#This Row],[Mid15]]+Table1[[#This Row],[Mid18]]+Table1[[#This Row],[Mid21]]+Table1[[#This Row],[Mid24]]</f>
        <v>0</v>
      </c>
      <c r="CQ1360" s="19">
        <f>Table1[[#This Row],[Mid27]]+Table1[[#This Row],[Mid30]]+Table1[[#This Row],[Mid33]]+Table1[[#This Row],[Mid36]]+Table1[[#This Row],[Mid39]]</f>
        <v>15000</v>
      </c>
      <c r="CR1360" t="s">
        <v>415</v>
      </c>
      <c r="CS1360" s="19" t="str">
        <f>IF(AND(Table1[[#This Row],[Low41]]=0, Table1[[#This Row],[High43]]=0),"N","Y")</f>
        <v>N</v>
      </c>
    </row>
    <row r="1361" spans="1:97" ht="19.5" customHeight="1" x14ac:dyDescent="0.25">
      <c r="A1361">
        <v>11363</v>
      </c>
      <c r="B1361" s="32" t="s">
        <v>4159</v>
      </c>
      <c r="C1361" s="32" t="s">
        <v>4160</v>
      </c>
      <c r="D1361">
        <v>49.723999999999997</v>
      </c>
      <c r="E1361">
        <v>34.975000000000001</v>
      </c>
      <c r="F1361" t="s">
        <v>4163</v>
      </c>
      <c r="G1361" t="s">
        <v>4163</v>
      </c>
      <c r="H1361" t="s">
        <v>252</v>
      </c>
      <c r="I1361" s="32" t="s">
        <v>118</v>
      </c>
      <c r="J1361" s="32" t="s">
        <v>119</v>
      </c>
      <c r="K1361" s="32" t="s">
        <v>190</v>
      </c>
      <c r="L1361" s="32" t="s">
        <v>18</v>
      </c>
      <c r="M1361" t="s">
        <v>616</v>
      </c>
      <c r="N1361" s="27" t="s">
        <v>4164</v>
      </c>
      <c r="O1361" t="s">
        <v>2652</v>
      </c>
      <c r="P1361" t="s">
        <v>1150</v>
      </c>
      <c r="Q1361" s="6" t="s">
        <v>255</v>
      </c>
      <c r="R1361" s="32" t="s">
        <v>4191</v>
      </c>
      <c r="S1361">
        <v>2022</v>
      </c>
      <c r="T1361" t="s">
        <v>3959</v>
      </c>
      <c r="U1361" t="s">
        <v>4167</v>
      </c>
      <c r="W1361" s="7"/>
      <c r="X1361">
        <v>20000</v>
      </c>
      <c r="AC1361" s="7"/>
      <c r="AD1361" s="7"/>
      <c r="AE1361" t="str">
        <f>IF(ISERROR([2]!Table1[[#This Row],[Well Count]]/[2]!Table1[[#This Row],[Site Area km2]]),"",[2]!Table1[[#This Row],[Well Count]]/[2]!Table1[[#This Row],[Site Area km2]])</f>
        <v/>
      </c>
      <c r="AH1361" t="s">
        <v>2259</v>
      </c>
      <c r="AI1361" s="34"/>
      <c r="AM1361" s="21" t="s">
        <v>4192</v>
      </c>
      <c r="AN1361" t="s">
        <v>132</v>
      </c>
      <c r="AO1361" s="19"/>
      <c r="AP1361" s="19"/>
      <c r="AQ1361" s="19"/>
      <c r="AR1361" s="19"/>
      <c r="AS1361" s="19"/>
      <c r="AT1361" s="19"/>
      <c r="AU1361" s="19"/>
      <c r="AV1361" s="19"/>
      <c r="AW1361" s="19"/>
      <c r="AX1361" s="19"/>
      <c r="AY1361" s="19"/>
      <c r="AZ1361" s="19"/>
      <c r="BA1361" s="19"/>
      <c r="BB1361" s="19"/>
      <c r="BC1361" s="19"/>
      <c r="BD1361" s="19"/>
      <c r="BE1361" s="19"/>
      <c r="BF1361" s="19"/>
      <c r="BG1361" s="19"/>
      <c r="BH1361" s="19"/>
      <c r="BI1361" s="19"/>
      <c r="BJ1361" s="19"/>
      <c r="BK1361" s="19"/>
      <c r="BL1361" s="19"/>
      <c r="BM1361" s="19"/>
      <c r="BN1361" s="19"/>
      <c r="BO1361" s="19"/>
      <c r="BP1361" s="19"/>
      <c r="BQ1361" s="19"/>
      <c r="BR1361" s="19"/>
      <c r="BS1361" s="19"/>
      <c r="BT1361" s="19"/>
      <c r="BU1361" s="19"/>
      <c r="BV1361" s="19"/>
      <c r="BW1361" s="19"/>
      <c r="BX1361" s="19"/>
      <c r="BY1361" s="19"/>
      <c r="BZ1361" s="19"/>
      <c r="CA1361" s="19"/>
      <c r="CB1361" s="19"/>
      <c r="CC1361" s="19">
        <v>45000</v>
      </c>
      <c r="CD1361" s="19"/>
      <c r="CE136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61" s="19">
        <f>SUM(Table1[[#This Row],[Mid39]],Table1[[#This Row],[Mid36]],Table1[[#This Row],[Mid33]],Table1[[#This Row],[Mid30]],Table1[[#This Row],[Mid27]],Table1[[#This Row],[Mid24]],Table1[[#This Row],[Mid21]],Table1[[#This Row],[Mid18]],Table1[[#This Row],[Mid15]],Table1[[#This Row],[Mid12]],Table1[[#This Row],[Mid9]],Table1[[#This Row],[Mid6]],Table1[[#This Row],[Mid3]],Table1[[#This Row],[Mid]])</f>
        <v>45000</v>
      </c>
      <c r="CG136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61" s="35" t="s">
        <v>134</v>
      </c>
      <c r="CJ1361" t="s">
        <v>157</v>
      </c>
      <c r="CL1361" s="19" t="str">
        <f>IF(Table1[[#This Row],[Type]]="Petroleum",1,IF(ISERROR(Table1[[#This Row],[Well Density]]*Table1[[#This Row],[Single Well Discovery Area]]),"",IF(Table1[[#This Row],[Well Density]]*Table1[[#This Row],[Single Well Discovery Area]]&gt;1,1,Table1[[#This Row],[Well Density]]*Table1[[#This Row],[Single Well Discovery Area]])))</f>
        <v/>
      </c>
      <c r="CM1361" t="s">
        <v>158</v>
      </c>
      <c r="CN1361" s="19">
        <f>Table1[[#This Row],[Mid]]</f>
        <v>0</v>
      </c>
      <c r="CO1361" s="19">
        <f>Table1[[#This Row],[Mid3]]+Table1[[#This Row],[Mid6]]+Table1[[#This Row],[Mid9]]</f>
        <v>0</v>
      </c>
      <c r="CP1361" s="19">
        <f>Table1[[#This Row],[Mid12]]+Table1[[#This Row],[Mid15]]+Table1[[#This Row],[Mid18]]+Table1[[#This Row],[Mid21]]+Table1[[#This Row],[Mid24]]</f>
        <v>0</v>
      </c>
      <c r="CQ1361" s="19">
        <f>Table1[[#This Row],[Mid27]]+Table1[[#This Row],[Mid30]]+Table1[[#This Row],[Mid33]]+Table1[[#This Row],[Mid36]]+Table1[[#This Row],[Mid39]]</f>
        <v>45000</v>
      </c>
      <c r="CR1361" t="s">
        <v>415</v>
      </c>
      <c r="CS1361" s="19" t="str">
        <f>IF(AND(Table1[[#This Row],[Low41]]=0, Table1[[#This Row],[High43]]=0),"N","Y")</f>
        <v>N</v>
      </c>
    </row>
    <row r="1362" spans="1:97" ht="19.5" customHeight="1" x14ac:dyDescent="0.25">
      <c r="A1362">
        <v>11364</v>
      </c>
      <c r="B1362" s="32" t="s">
        <v>4193</v>
      </c>
      <c r="C1362" t="s">
        <v>4194</v>
      </c>
      <c r="D1362">
        <v>44.051400000000001</v>
      </c>
      <c r="E1362">
        <v>18.103400000000001</v>
      </c>
      <c r="F1362" s="32" t="s">
        <v>4195</v>
      </c>
      <c r="G1362" t="s">
        <v>2811</v>
      </c>
      <c r="H1362" t="s">
        <v>4196</v>
      </c>
      <c r="I1362" s="32" t="s">
        <v>118</v>
      </c>
      <c r="J1362" s="32" t="s">
        <v>119</v>
      </c>
      <c r="K1362" s="32" t="s">
        <v>190</v>
      </c>
      <c r="L1362" s="32" t="s">
        <v>18</v>
      </c>
      <c r="M1362" t="s">
        <v>4197</v>
      </c>
      <c r="N1362" s="6" t="s">
        <v>4198</v>
      </c>
      <c r="O1362" t="s">
        <v>2652</v>
      </c>
      <c r="P1362" t="s">
        <v>1150</v>
      </c>
      <c r="Q1362" s="6" t="s">
        <v>255</v>
      </c>
      <c r="R1362" s="32" t="s">
        <v>4199</v>
      </c>
      <c r="S1362">
        <v>2009</v>
      </c>
      <c r="T1362" t="s">
        <v>3959</v>
      </c>
      <c r="U1362" t="s">
        <v>4167</v>
      </c>
      <c r="V1362" s="7">
        <v>792.67</v>
      </c>
      <c r="W1362" s="7"/>
      <c r="X1362">
        <v>250</v>
      </c>
      <c r="Y1362">
        <v>40</v>
      </c>
      <c r="Z1362">
        <v>15</v>
      </c>
      <c r="AC1362" s="7">
        <v>830</v>
      </c>
      <c r="AD1362" s="7"/>
      <c r="AE1362" t="str">
        <f>IF(ISERROR([2]!Table1[[#This Row],[Well Count]]/[2]!Table1[[#This Row],[Site Area km2]]),"",[2]!Table1[[#This Row],[Well Count]]/[2]!Table1[[#This Row],[Site Area km2]])</f>
        <v/>
      </c>
      <c r="AH1362" t="s">
        <v>2259</v>
      </c>
      <c r="AI1362" s="34">
        <v>3</v>
      </c>
      <c r="AM1362" s="21" t="s">
        <v>4200</v>
      </c>
      <c r="AN1362" t="s">
        <v>132</v>
      </c>
      <c r="AO1362" s="19"/>
      <c r="AP1362" s="19"/>
      <c r="AQ1362" s="19"/>
      <c r="AR1362" s="19"/>
      <c r="AS1362" s="19"/>
      <c r="AT1362" s="19"/>
      <c r="AU1362" s="19"/>
      <c r="AV1362" s="19"/>
      <c r="AW1362" s="19"/>
      <c r="AX1362" s="19"/>
      <c r="AY1362" s="19"/>
      <c r="AZ1362" s="19"/>
      <c r="BA1362" s="19"/>
      <c r="BB1362" s="19"/>
      <c r="BC1362" s="19"/>
      <c r="BD1362" s="19"/>
      <c r="BE1362" s="19"/>
      <c r="BF1362" s="19"/>
      <c r="BG1362" s="19"/>
      <c r="BH1362" s="19"/>
      <c r="BI1362" s="19"/>
      <c r="BJ1362" s="19"/>
      <c r="BK1362" s="19"/>
      <c r="BL1362" s="19"/>
      <c r="BM1362" s="19"/>
      <c r="BN1362" s="19"/>
      <c r="BO1362" s="19"/>
      <c r="BP1362" s="19"/>
      <c r="BQ1362" s="19"/>
      <c r="BR1362" s="19"/>
      <c r="BS1362" s="19"/>
      <c r="BT1362" s="19"/>
      <c r="BU1362" s="19"/>
      <c r="BV1362" s="19"/>
      <c r="BW1362" s="19"/>
      <c r="BX1362" s="19"/>
      <c r="BY1362" s="19"/>
      <c r="BZ1362" s="19"/>
      <c r="CA1362" s="19"/>
      <c r="CB1362" s="19"/>
      <c r="CC1362" s="19">
        <v>296</v>
      </c>
      <c r="CD1362" s="19"/>
      <c r="CE136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62" s="19">
        <f>SUM(Table1[[#This Row],[Mid39]],Table1[[#This Row],[Mid36]],Table1[[#This Row],[Mid33]],Table1[[#This Row],[Mid30]],Table1[[#This Row],[Mid27]],Table1[[#This Row],[Mid24]],Table1[[#This Row],[Mid21]],Table1[[#This Row],[Mid18]],Table1[[#This Row],[Mid15]],Table1[[#This Row],[Mid12]],Table1[[#This Row],[Mid9]],Table1[[#This Row],[Mid6]],Table1[[#This Row],[Mid3]],Table1[[#This Row],[Mid]])</f>
        <v>296</v>
      </c>
      <c r="CG136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62" s="35" t="s">
        <v>134</v>
      </c>
      <c r="CJ1362" t="s">
        <v>157</v>
      </c>
      <c r="CL1362" s="19" t="str">
        <f>IF(Table1[[#This Row],[Type]]="Petroleum",1,IF(ISERROR(Table1[[#This Row],[Well Density]]*Table1[[#This Row],[Single Well Discovery Area]]),"",IF(Table1[[#This Row],[Well Density]]*Table1[[#This Row],[Single Well Discovery Area]]&gt;1,1,Table1[[#This Row],[Well Density]]*Table1[[#This Row],[Single Well Discovery Area]])))</f>
        <v/>
      </c>
      <c r="CM1362" t="s">
        <v>158</v>
      </c>
      <c r="CN1362" s="19">
        <f>Table1[[#This Row],[Mid]]</f>
        <v>0</v>
      </c>
      <c r="CO1362" s="19">
        <f>Table1[[#This Row],[Mid3]]+Table1[[#This Row],[Mid6]]+Table1[[#This Row],[Mid9]]</f>
        <v>0</v>
      </c>
      <c r="CP1362" s="19">
        <f>Table1[[#This Row],[Mid12]]+Table1[[#This Row],[Mid15]]+Table1[[#This Row],[Mid18]]+Table1[[#This Row],[Mid21]]+Table1[[#This Row],[Mid24]]</f>
        <v>0</v>
      </c>
      <c r="CQ1362" s="19">
        <f>Table1[[#This Row],[Mid27]]+Table1[[#This Row],[Mid30]]+Table1[[#This Row],[Mid33]]+Table1[[#This Row],[Mid36]]+Table1[[#This Row],[Mid39]]</f>
        <v>296</v>
      </c>
      <c r="CR1362" t="s">
        <v>415</v>
      </c>
      <c r="CS1362" s="19" t="str">
        <f>IF(AND(Table1[[#This Row],[Low41]]=0, Table1[[#This Row],[High43]]=0),"N","Y")</f>
        <v>N</v>
      </c>
    </row>
    <row r="1363" spans="1:97" ht="19.5" customHeight="1" x14ac:dyDescent="0.25">
      <c r="A1363">
        <v>11365</v>
      </c>
      <c r="B1363" s="32" t="s">
        <v>4201</v>
      </c>
      <c r="C1363" s="32" t="s">
        <v>4202</v>
      </c>
      <c r="D1363">
        <v>41.883899999999997</v>
      </c>
      <c r="E1363">
        <v>22.064399999999999</v>
      </c>
      <c r="F1363" s="32" t="s">
        <v>4203</v>
      </c>
      <c r="G1363" t="s">
        <v>2896</v>
      </c>
      <c r="H1363" t="s">
        <v>4204</v>
      </c>
      <c r="I1363" s="32" t="s">
        <v>118</v>
      </c>
      <c r="J1363" s="32" t="s">
        <v>119</v>
      </c>
      <c r="K1363" s="32" t="s">
        <v>190</v>
      </c>
      <c r="L1363" s="32" t="s">
        <v>18</v>
      </c>
      <c r="M1363" t="s">
        <v>4205</v>
      </c>
      <c r="N1363" s="6" t="s">
        <v>4206</v>
      </c>
      <c r="O1363" t="s">
        <v>2652</v>
      </c>
      <c r="P1363" t="s">
        <v>1150</v>
      </c>
      <c r="Q1363" s="27" t="s">
        <v>4207</v>
      </c>
      <c r="R1363" s="32" t="s">
        <v>4208</v>
      </c>
      <c r="S1363">
        <v>2013</v>
      </c>
      <c r="T1363" t="s">
        <v>3959</v>
      </c>
      <c r="U1363" t="s">
        <v>4167</v>
      </c>
      <c r="V1363" s="7">
        <v>200</v>
      </c>
      <c r="W1363" s="7">
        <v>761</v>
      </c>
      <c r="X1363">
        <v>830</v>
      </c>
      <c r="Z1363">
        <v>12</v>
      </c>
      <c r="AA1363">
        <v>10</v>
      </c>
      <c r="AB1363" t="s">
        <v>4209</v>
      </c>
      <c r="AC1363" s="7">
        <v>182</v>
      </c>
      <c r="AD1363" s="7"/>
      <c r="AE1363" t="str">
        <f>IF(ISERROR([2]!Table1[[#This Row],[Well Count]]/[2]!Table1[[#This Row],[Site Area km2]]),"",[2]!Table1[[#This Row],[Well Count]]/[2]!Table1[[#This Row],[Site Area km2]])</f>
        <v/>
      </c>
      <c r="AG1363">
        <v>8</v>
      </c>
      <c r="AH1363" t="s">
        <v>2259</v>
      </c>
      <c r="AI1363" s="34">
        <v>2</v>
      </c>
      <c r="AJ1363">
        <v>1.45E-9</v>
      </c>
      <c r="AM1363" s="21" t="s">
        <v>4210</v>
      </c>
      <c r="AN1363" t="s">
        <v>132</v>
      </c>
      <c r="AO1363" s="19"/>
      <c r="AP1363" s="19"/>
      <c r="AQ1363" s="19"/>
      <c r="AR1363" s="19"/>
      <c r="AS1363" s="19"/>
      <c r="AT1363" s="19"/>
      <c r="AU1363" s="19"/>
      <c r="AV1363" s="19"/>
      <c r="AW1363" s="19"/>
      <c r="AX1363" s="19"/>
      <c r="AY1363" s="19"/>
      <c r="AZ1363" s="19"/>
      <c r="BA1363" s="19"/>
      <c r="BB1363" s="19"/>
      <c r="BC1363" s="19"/>
      <c r="BD1363" s="19"/>
      <c r="BE1363" s="19"/>
      <c r="BF1363" s="19"/>
      <c r="BG1363" s="19"/>
      <c r="BH1363" s="19"/>
      <c r="BI1363" s="19"/>
      <c r="BJ1363" s="19"/>
      <c r="BK1363" s="19"/>
      <c r="BL1363" s="19"/>
      <c r="BM1363" s="19"/>
      <c r="BN1363" s="19"/>
      <c r="BO1363" s="19"/>
      <c r="BP1363" s="19"/>
      <c r="BQ1363" s="19"/>
      <c r="BR1363" s="19"/>
      <c r="BS1363" s="19"/>
      <c r="BT1363" s="19"/>
      <c r="BU1363" s="19"/>
      <c r="BV1363" s="19"/>
      <c r="BW1363" s="19"/>
      <c r="BX1363" s="19"/>
      <c r="BY1363" s="19"/>
      <c r="BZ1363" s="19"/>
      <c r="CA1363" s="19"/>
      <c r="CB1363">
        <v>17.835999999999899</v>
      </c>
      <c r="CC1363">
        <v>72.508799999999994</v>
      </c>
      <c r="CD1363">
        <v>183.45599999999899</v>
      </c>
      <c r="CE1363" s="19">
        <f>SUM(Table1[[#This Row],[Low38]],Table1[[#This Row],[Low35]],Table1[[#This Row],[Low32]],Table1[[#This Row],[Low29]],Table1[[#This Row],[Low26]],Table1[[#This Row],[Low23]],Table1[[#This Row],[Low20]],Table1[[#This Row],[Low17]],Table1[[#This Row],[Low14]],Table1[[#This Row],[Low11]],Table1[[#This Row],[Low8]],Table1[[#This Row],[Low5]],Table1[[#This Row],[Low2]],Table1[[#This Row],[Low]])</f>
        <v>17.835999999999899</v>
      </c>
      <c r="CF1363" s="19">
        <f>SUM(Table1[[#This Row],[Mid39]],Table1[[#This Row],[Mid36]],Table1[[#This Row],[Mid33]],Table1[[#This Row],[Mid30]],Table1[[#This Row],[Mid27]],Table1[[#This Row],[Mid24]],Table1[[#This Row],[Mid21]],Table1[[#This Row],[Mid18]],Table1[[#This Row],[Mid15]],Table1[[#This Row],[Mid12]],Table1[[#This Row],[Mid9]],Table1[[#This Row],[Mid6]],Table1[[#This Row],[Mid3]],Table1[[#This Row],[Mid]])</f>
        <v>72.508799999999994</v>
      </c>
      <c r="CG136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183.45599999999899</v>
      </c>
      <c r="CI1363" s="35" t="s">
        <v>134</v>
      </c>
      <c r="CJ1363" t="s">
        <v>157</v>
      </c>
      <c r="CL1363" s="19" t="str">
        <f>IF(Table1[[#This Row],[Type]]="Petroleum",1,IF(ISERROR(Table1[[#This Row],[Well Density]]*Table1[[#This Row],[Single Well Discovery Area]]),"",IF(Table1[[#This Row],[Well Density]]*Table1[[#This Row],[Single Well Discovery Area]]&gt;1,1,Table1[[#This Row],[Well Density]]*Table1[[#This Row],[Single Well Discovery Area]])))</f>
        <v/>
      </c>
      <c r="CM1363" t="s">
        <v>158</v>
      </c>
      <c r="CN1363" s="19">
        <f>Table1[[#This Row],[Mid]]</f>
        <v>0</v>
      </c>
      <c r="CO1363" s="19">
        <f>Table1[[#This Row],[Mid3]]+Table1[[#This Row],[Mid6]]+Table1[[#This Row],[Mid9]]</f>
        <v>0</v>
      </c>
      <c r="CP1363" s="19">
        <f>Table1[[#This Row],[Mid12]]+Table1[[#This Row],[Mid15]]+Table1[[#This Row],[Mid18]]+Table1[[#This Row],[Mid21]]+Table1[[#This Row],[Mid24]]</f>
        <v>0</v>
      </c>
      <c r="CQ1363" s="19">
        <f>Table1[[#This Row],[Mid27]]+Table1[[#This Row],[Mid30]]+Table1[[#This Row],[Mid33]]+Table1[[#This Row],[Mid36]]+Table1[[#This Row],[Mid39]]</f>
        <v>72.508799999999994</v>
      </c>
      <c r="CR1363" t="s">
        <v>415</v>
      </c>
      <c r="CS1363" s="19" t="str">
        <f>IF(AND(Table1[[#This Row],[Low41]]=0, Table1[[#This Row],[High43]]=0),"N","Y")</f>
        <v>Y</v>
      </c>
    </row>
    <row r="1364" spans="1:97" ht="19.5" customHeight="1" x14ac:dyDescent="0.25">
      <c r="A1364">
        <v>11366</v>
      </c>
      <c r="B1364" s="32" t="s">
        <v>4201</v>
      </c>
      <c r="C1364" s="32" t="s">
        <v>4202</v>
      </c>
      <c r="D1364">
        <v>41.860399999999998</v>
      </c>
      <c r="E1364">
        <v>21.914999999999999</v>
      </c>
      <c r="F1364" s="32" t="s">
        <v>4211</v>
      </c>
      <c r="G1364" t="s">
        <v>2896</v>
      </c>
      <c r="H1364" t="s">
        <v>4204</v>
      </c>
      <c r="I1364" s="32" t="s">
        <v>118</v>
      </c>
      <c r="J1364" s="32" t="s">
        <v>119</v>
      </c>
      <c r="K1364" s="32" t="s">
        <v>190</v>
      </c>
      <c r="L1364" s="32" t="s">
        <v>18</v>
      </c>
      <c r="M1364" t="s">
        <v>4205</v>
      </c>
      <c r="N1364" s="27" t="s">
        <v>4206</v>
      </c>
      <c r="O1364" t="s">
        <v>2652</v>
      </c>
      <c r="P1364" t="s">
        <v>1150</v>
      </c>
      <c r="Q1364" s="27" t="s">
        <v>4207</v>
      </c>
      <c r="R1364" s="32" t="s">
        <v>4208</v>
      </c>
      <c r="S1364">
        <v>2013</v>
      </c>
      <c r="T1364" t="s">
        <v>3959</v>
      </c>
      <c r="U1364" t="s">
        <v>4167</v>
      </c>
      <c r="V1364" s="7">
        <v>150</v>
      </c>
      <c r="W1364" s="7">
        <v>770</v>
      </c>
      <c r="X1364">
        <v>400</v>
      </c>
      <c r="Z1364">
        <v>12</v>
      </c>
      <c r="AA1364">
        <v>10</v>
      </c>
      <c r="AB1364" t="s">
        <v>4212</v>
      </c>
      <c r="AC1364" s="7">
        <v>295</v>
      </c>
      <c r="AD1364" s="7"/>
      <c r="AE1364" t="str">
        <f>IF(ISERROR([2]!Table1[[#This Row],[Well Count]]/[2]!Table1[[#This Row],[Site Area km2]]),"",[2]!Table1[[#This Row],[Well Count]]/[2]!Table1[[#This Row],[Site Area km2]])</f>
        <v/>
      </c>
      <c r="AG1364">
        <v>9.5</v>
      </c>
      <c r="AH1364" t="s">
        <v>2259</v>
      </c>
      <c r="AI1364" s="34">
        <v>2</v>
      </c>
      <c r="AJ1364">
        <v>1.45E-9</v>
      </c>
      <c r="AM1364" s="21" t="s">
        <v>4210</v>
      </c>
      <c r="AN1364" t="s">
        <v>132</v>
      </c>
      <c r="AO1364" s="19"/>
      <c r="AP1364" s="19"/>
      <c r="AQ1364" s="19"/>
      <c r="AR1364" s="19"/>
      <c r="AS1364" s="19"/>
      <c r="AT1364" s="19"/>
      <c r="AU1364" s="19"/>
      <c r="AV1364" s="19"/>
      <c r="AW1364" s="19"/>
      <c r="AX1364" s="19"/>
      <c r="AY1364" s="19"/>
      <c r="AZ1364" s="19"/>
      <c r="BA1364" s="19"/>
      <c r="BB1364" s="19"/>
      <c r="BC1364" s="19"/>
      <c r="BD1364" s="19"/>
      <c r="BE1364" s="19"/>
      <c r="BF1364" s="19"/>
      <c r="BG1364" s="19"/>
      <c r="BH1364" s="19"/>
      <c r="BI1364" s="19"/>
      <c r="BJ1364" s="19"/>
      <c r="BK1364" s="19"/>
      <c r="BL1364" s="19"/>
      <c r="BM1364" s="19"/>
      <c r="BN1364" s="19"/>
      <c r="BO1364" s="19"/>
      <c r="BP1364" s="19"/>
      <c r="BQ1364" s="19"/>
      <c r="BR1364" s="19"/>
      <c r="BS1364" s="19"/>
      <c r="BT1364" s="19"/>
      <c r="BU1364" s="19"/>
      <c r="BV1364" s="19"/>
      <c r="BW1364" s="19"/>
      <c r="BX1364" s="19"/>
      <c r="BY1364" s="19"/>
      <c r="BZ1364" s="19"/>
      <c r="CA1364" s="19"/>
      <c r="CB1364">
        <v>10.324999999999999</v>
      </c>
      <c r="CC1364">
        <v>42.48</v>
      </c>
      <c r="CD1364">
        <v>104.075999999999</v>
      </c>
      <c r="CE1364" s="19">
        <f>SUM(Table1[[#This Row],[Low38]],Table1[[#This Row],[Low35]],Table1[[#This Row],[Low32]],Table1[[#This Row],[Low29]],Table1[[#This Row],[Low26]],Table1[[#This Row],[Low23]],Table1[[#This Row],[Low20]],Table1[[#This Row],[Low17]],Table1[[#This Row],[Low14]],Table1[[#This Row],[Low11]],Table1[[#This Row],[Low8]],Table1[[#This Row],[Low5]],Table1[[#This Row],[Low2]],Table1[[#This Row],[Low]])</f>
        <v>10.324999999999999</v>
      </c>
      <c r="CF1364" s="19">
        <f>SUM(Table1[[#This Row],[Mid39]],Table1[[#This Row],[Mid36]],Table1[[#This Row],[Mid33]],Table1[[#This Row],[Mid30]],Table1[[#This Row],[Mid27]],Table1[[#This Row],[Mid24]],Table1[[#This Row],[Mid21]],Table1[[#This Row],[Mid18]],Table1[[#This Row],[Mid15]],Table1[[#This Row],[Mid12]],Table1[[#This Row],[Mid9]],Table1[[#This Row],[Mid6]],Table1[[#This Row],[Mid3]],Table1[[#This Row],[Mid]])</f>
        <v>42.48</v>
      </c>
      <c r="CG136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104.075999999999</v>
      </c>
      <c r="CI1364" s="35" t="s">
        <v>134</v>
      </c>
      <c r="CJ1364" t="s">
        <v>157</v>
      </c>
      <c r="CL1364" s="19" t="str">
        <f>IF(Table1[[#This Row],[Type]]="Petroleum",1,IF(ISERROR(Table1[[#This Row],[Well Density]]*Table1[[#This Row],[Single Well Discovery Area]]),"",IF(Table1[[#This Row],[Well Density]]*Table1[[#This Row],[Single Well Discovery Area]]&gt;1,1,Table1[[#This Row],[Well Density]]*Table1[[#This Row],[Single Well Discovery Area]])))</f>
        <v/>
      </c>
      <c r="CM1364" t="s">
        <v>158</v>
      </c>
      <c r="CN1364" s="19">
        <f>Table1[[#This Row],[Mid]]</f>
        <v>0</v>
      </c>
      <c r="CO1364" s="19">
        <f>Table1[[#This Row],[Mid3]]+Table1[[#This Row],[Mid6]]+Table1[[#This Row],[Mid9]]</f>
        <v>0</v>
      </c>
      <c r="CP1364" s="19">
        <f>Table1[[#This Row],[Mid12]]+Table1[[#This Row],[Mid15]]+Table1[[#This Row],[Mid18]]+Table1[[#This Row],[Mid21]]+Table1[[#This Row],[Mid24]]</f>
        <v>0</v>
      </c>
      <c r="CQ1364" s="19">
        <f>Table1[[#This Row],[Mid27]]+Table1[[#This Row],[Mid30]]+Table1[[#This Row],[Mid33]]+Table1[[#This Row],[Mid36]]+Table1[[#This Row],[Mid39]]</f>
        <v>42.48</v>
      </c>
      <c r="CR1364" t="s">
        <v>415</v>
      </c>
      <c r="CS1364" s="19" t="str">
        <f>IF(AND(Table1[[#This Row],[Low41]]=0, Table1[[#This Row],[High43]]=0),"N","Y")</f>
        <v>Y</v>
      </c>
    </row>
    <row r="1365" spans="1:97" ht="19.5" customHeight="1" x14ac:dyDescent="0.25">
      <c r="A1365">
        <v>11367</v>
      </c>
      <c r="B1365" s="32" t="s">
        <v>4201</v>
      </c>
      <c r="C1365" s="32" t="s">
        <v>4202</v>
      </c>
      <c r="D1365">
        <v>41.780299999999997</v>
      </c>
      <c r="E1365">
        <v>21.819600000000001</v>
      </c>
      <c r="F1365" s="32" t="s">
        <v>4213</v>
      </c>
      <c r="G1365" t="s">
        <v>2896</v>
      </c>
      <c r="H1365" t="s">
        <v>4204</v>
      </c>
      <c r="I1365" s="32" t="s">
        <v>118</v>
      </c>
      <c r="J1365" s="32" t="s">
        <v>119</v>
      </c>
      <c r="K1365" s="32" t="s">
        <v>190</v>
      </c>
      <c r="L1365" s="32" t="s">
        <v>18</v>
      </c>
      <c r="M1365" t="s">
        <v>4205</v>
      </c>
      <c r="N1365" s="27" t="s">
        <v>4206</v>
      </c>
      <c r="O1365" t="s">
        <v>2652</v>
      </c>
      <c r="P1365" t="s">
        <v>1150</v>
      </c>
      <c r="Q1365" s="27" t="s">
        <v>4207</v>
      </c>
      <c r="R1365" s="32" t="s">
        <v>4208</v>
      </c>
      <c r="S1365">
        <v>2013</v>
      </c>
      <c r="T1365" t="s">
        <v>3959</v>
      </c>
      <c r="U1365" t="s">
        <v>4167</v>
      </c>
      <c r="V1365" s="7">
        <v>100</v>
      </c>
      <c r="W1365" s="7">
        <v>593</v>
      </c>
      <c r="X1365">
        <v>400</v>
      </c>
      <c r="Z1365">
        <v>12</v>
      </c>
      <c r="AA1365">
        <v>10</v>
      </c>
      <c r="AB1365" t="s">
        <v>4209</v>
      </c>
      <c r="AC1365" s="7">
        <v>295</v>
      </c>
      <c r="AD1365" s="7"/>
      <c r="AE1365" t="str">
        <f>IF(ISERROR([2]!Table1[[#This Row],[Well Count]]/[2]!Table1[[#This Row],[Site Area km2]]),"",[2]!Table1[[#This Row],[Well Count]]/[2]!Table1[[#This Row],[Site Area km2]])</f>
        <v/>
      </c>
      <c r="AG1365">
        <v>9.5</v>
      </c>
      <c r="AH1365" t="s">
        <v>2259</v>
      </c>
      <c r="AI1365" s="34">
        <v>2</v>
      </c>
      <c r="AJ1365">
        <v>1.45E-9</v>
      </c>
      <c r="AM1365" s="21" t="s">
        <v>4210</v>
      </c>
      <c r="AN1365" t="s">
        <v>132</v>
      </c>
      <c r="AO1365" s="19"/>
      <c r="AP1365" s="19"/>
      <c r="AQ1365" s="19"/>
      <c r="AR1365" s="19"/>
      <c r="AS1365" s="19"/>
      <c r="AT1365" s="19"/>
      <c r="AU1365" s="19"/>
      <c r="AV1365" s="19"/>
      <c r="AW1365" s="19"/>
      <c r="AX1365" s="19"/>
      <c r="AY1365" s="19"/>
      <c r="AZ1365" s="19"/>
      <c r="BA1365" s="19"/>
      <c r="BB1365" s="19"/>
      <c r="BC1365" s="19"/>
      <c r="BD1365" s="19"/>
      <c r="BE1365" s="19"/>
      <c r="BF1365" s="19"/>
      <c r="BG1365" s="19"/>
      <c r="BH1365" s="19"/>
      <c r="BI1365" s="19"/>
      <c r="BJ1365" s="19"/>
      <c r="BK1365" s="19"/>
      <c r="BL1365" s="19"/>
      <c r="BM1365" s="19"/>
      <c r="BN1365" s="19"/>
      <c r="BO1365" s="19"/>
      <c r="BP1365" s="19"/>
      <c r="BQ1365" s="19"/>
      <c r="BR1365" s="19"/>
      <c r="BS1365" s="19"/>
      <c r="BT1365" s="19"/>
      <c r="BU1365" s="19"/>
      <c r="BV1365" s="19"/>
      <c r="BW1365" s="19"/>
      <c r="BX1365" s="19"/>
      <c r="BY1365" s="19"/>
      <c r="BZ1365" s="19"/>
      <c r="CA1365" s="19"/>
      <c r="CB1365">
        <v>6.1950000000000003</v>
      </c>
      <c r="CC1365">
        <v>28.32</v>
      </c>
      <c r="CD1365">
        <v>74.34</v>
      </c>
      <c r="CE1365" s="19">
        <f>SUM(Table1[[#This Row],[Low38]],Table1[[#This Row],[Low35]],Table1[[#This Row],[Low32]],Table1[[#This Row],[Low29]],Table1[[#This Row],[Low26]],Table1[[#This Row],[Low23]],Table1[[#This Row],[Low20]],Table1[[#This Row],[Low17]],Table1[[#This Row],[Low14]],Table1[[#This Row],[Low11]],Table1[[#This Row],[Low8]],Table1[[#This Row],[Low5]],Table1[[#This Row],[Low2]],Table1[[#This Row],[Low]])</f>
        <v>6.1950000000000003</v>
      </c>
      <c r="CF1365" s="19">
        <f>SUM(Table1[[#This Row],[Mid39]],Table1[[#This Row],[Mid36]],Table1[[#This Row],[Mid33]],Table1[[#This Row],[Mid30]],Table1[[#This Row],[Mid27]],Table1[[#This Row],[Mid24]],Table1[[#This Row],[Mid21]],Table1[[#This Row],[Mid18]],Table1[[#This Row],[Mid15]],Table1[[#This Row],[Mid12]],Table1[[#This Row],[Mid9]],Table1[[#This Row],[Mid6]],Table1[[#This Row],[Mid3]],Table1[[#This Row],[Mid]])</f>
        <v>28.32</v>
      </c>
      <c r="CG136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74.34</v>
      </c>
      <c r="CI1365" s="35" t="s">
        <v>134</v>
      </c>
      <c r="CJ1365" t="s">
        <v>157</v>
      </c>
      <c r="CL1365" s="19" t="str">
        <f>IF(Table1[[#This Row],[Type]]="Petroleum",1,IF(ISERROR(Table1[[#This Row],[Well Density]]*Table1[[#This Row],[Single Well Discovery Area]]),"",IF(Table1[[#This Row],[Well Density]]*Table1[[#This Row],[Single Well Discovery Area]]&gt;1,1,Table1[[#This Row],[Well Density]]*Table1[[#This Row],[Single Well Discovery Area]])))</f>
        <v/>
      </c>
      <c r="CM1365" t="s">
        <v>158</v>
      </c>
      <c r="CN1365" s="19">
        <f>Table1[[#This Row],[Mid]]</f>
        <v>0</v>
      </c>
      <c r="CO1365" s="19">
        <f>Table1[[#This Row],[Mid3]]+Table1[[#This Row],[Mid6]]+Table1[[#This Row],[Mid9]]</f>
        <v>0</v>
      </c>
      <c r="CP1365" s="19">
        <f>Table1[[#This Row],[Mid12]]+Table1[[#This Row],[Mid15]]+Table1[[#This Row],[Mid18]]+Table1[[#This Row],[Mid21]]+Table1[[#This Row],[Mid24]]</f>
        <v>0</v>
      </c>
      <c r="CQ1365" s="19">
        <f>Table1[[#This Row],[Mid27]]+Table1[[#This Row],[Mid30]]+Table1[[#This Row],[Mid33]]+Table1[[#This Row],[Mid36]]+Table1[[#This Row],[Mid39]]</f>
        <v>28.32</v>
      </c>
      <c r="CR1365" t="s">
        <v>415</v>
      </c>
      <c r="CS1365" s="19" t="str">
        <f>IF(AND(Table1[[#This Row],[Low41]]=0, Table1[[#This Row],[High43]]=0),"N","Y")</f>
        <v>Y</v>
      </c>
    </row>
    <row r="1366" spans="1:97" ht="19.5" customHeight="1" x14ac:dyDescent="0.25">
      <c r="A1366">
        <v>11368</v>
      </c>
      <c r="B1366" s="32" t="s">
        <v>4214</v>
      </c>
      <c r="C1366" s="32" t="s">
        <v>4215</v>
      </c>
      <c r="D1366">
        <v>9.9654900000000008</v>
      </c>
      <c r="E1366">
        <v>-60.457059999999998</v>
      </c>
      <c r="F1366" t="s">
        <v>4216</v>
      </c>
      <c r="G1366" t="s">
        <v>4217</v>
      </c>
      <c r="H1366" t="s">
        <v>252</v>
      </c>
      <c r="I1366" s="32" t="s">
        <v>2245</v>
      </c>
      <c r="J1366" s="32" t="s">
        <v>202</v>
      </c>
      <c r="K1366" s="32" t="s">
        <v>203</v>
      </c>
      <c r="L1366" s="32" t="s">
        <v>121</v>
      </c>
      <c r="M1366" t="s">
        <v>252</v>
      </c>
      <c r="N1366" s="27" t="s">
        <v>4218</v>
      </c>
      <c r="O1366" t="s">
        <v>2652</v>
      </c>
      <c r="P1366" t="s">
        <v>2652</v>
      </c>
      <c r="Q1366" s="6" t="s">
        <v>4219</v>
      </c>
      <c r="R1366" s="32" t="s">
        <v>4220</v>
      </c>
      <c r="S1366">
        <v>2013</v>
      </c>
      <c r="T1366" t="s">
        <v>3959</v>
      </c>
      <c r="U1366" t="s">
        <v>4221</v>
      </c>
      <c r="W1366" s="7">
        <v>1591</v>
      </c>
      <c r="AC1366" s="7"/>
      <c r="AD1366" s="7"/>
      <c r="AH1366" t="s">
        <v>4222</v>
      </c>
      <c r="AI1366" s="34"/>
      <c r="AM1366" s="21"/>
      <c r="AO1366" s="19"/>
      <c r="AP1366" s="19"/>
      <c r="AQ1366" s="19"/>
      <c r="AR1366" s="19"/>
      <c r="AS1366" s="19"/>
      <c r="AT1366" s="19"/>
      <c r="AU1366" s="19"/>
      <c r="AV1366" s="19"/>
      <c r="AW1366" s="19"/>
      <c r="AX1366" s="19"/>
      <c r="AY1366" s="19"/>
      <c r="AZ1366" s="19"/>
      <c r="BA1366" s="19"/>
      <c r="BB1366" s="19"/>
      <c r="BC1366" s="19"/>
      <c r="BD1366" s="19"/>
      <c r="BE1366" s="19"/>
      <c r="BF1366" s="19"/>
      <c r="BG1366" s="19"/>
      <c r="BH1366" s="19"/>
      <c r="BI1366" s="19"/>
      <c r="BJ1366" s="19"/>
      <c r="BK1366" s="19"/>
      <c r="BL1366" s="19"/>
      <c r="BM1366" s="19"/>
      <c r="BN1366" s="19">
        <v>16.2</v>
      </c>
      <c r="BO1366" s="19"/>
      <c r="BP1366" s="19"/>
      <c r="BQ1366" s="19"/>
      <c r="BR1366" s="19"/>
      <c r="BS1366" s="19"/>
      <c r="BT1366" s="19"/>
      <c r="BU1366" s="19"/>
      <c r="BV1366" s="19"/>
      <c r="BW1366" s="19"/>
      <c r="BX1366" s="19"/>
      <c r="BY1366" s="19"/>
      <c r="BZ1366" s="19"/>
      <c r="CA1366" s="19"/>
      <c r="CB1366" s="19"/>
      <c r="CC1366" s="19"/>
      <c r="CD1366" s="19"/>
      <c r="CE136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66" s="19">
        <f>SUM(Table1[[#This Row],[Mid39]],Table1[[#This Row],[Mid36]],Table1[[#This Row],[Mid33]],Table1[[#This Row],[Mid30]],Table1[[#This Row],[Mid27]],Table1[[#This Row],[Mid24]],Table1[[#This Row],[Mid21]],Table1[[#This Row],[Mid18]],Table1[[#This Row],[Mid15]],Table1[[#This Row],[Mid12]],Table1[[#This Row],[Mid9]],Table1[[#This Row],[Mid6]],Table1[[#This Row],[Mid3]],Table1[[#This Row],[Mid]])</f>
        <v>16.2</v>
      </c>
      <c r="CG136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66" s="35" t="s">
        <v>189</v>
      </c>
      <c r="CJ1366" t="s">
        <v>157</v>
      </c>
      <c r="CL1366" s="19">
        <f>IF(Table1[[#This Row],[Type]]="Petroleum",1,IF(ISERROR(Table1[[#This Row],[Well Density]]*Table1[[#This Row],[Single Well Discovery Area]]),"",IF(Table1[[#This Row],[Well Density]]*Table1[[#This Row],[Single Well Discovery Area]]&gt;1,1,Table1[[#This Row],[Well Density]]*Table1[[#This Row],[Single Well Discovery Area]])))</f>
        <v>1</v>
      </c>
      <c r="CM1366" t="s">
        <v>135</v>
      </c>
      <c r="CN1366" s="19">
        <f>Table1[[#This Row],[Mid]]</f>
        <v>0</v>
      </c>
      <c r="CO1366" s="19">
        <f>Table1[[#This Row],[Mid3]]+Table1[[#This Row],[Mid6]]+Table1[[#This Row],[Mid9]]</f>
        <v>0</v>
      </c>
      <c r="CP1366" s="19">
        <f>Table1[[#This Row],[Mid12]]+Table1[[#This Row],[Mid15]]+Table1[[#This Row],[Mid18]]+Table1[[#This Row],[Mid21]]+Table1[[#This Row],[Mid24]]</f>
        <v>16.2</v>
      </c>
      <c r="CQ1366" s="19">
        <f>Table1[[#This Row],[Mid27]]+Table1[[#This Row],[Mid30]]+Table1[[#This Row],[Mid33]]+Table1[[#This Row],[Mid36]]+Table1[[#This Row],[Mid39]]</f>
        <v>0</v>
      </c>
      <c r="CR1366" t="s">
        <v>471</v>
      </c>
      <c r="CS1366" s="19" t="str">
        <f>IF(AND(Table1[[#This Row],[Low41]]=0, Table1[[#This Row],[High43]]=0),"N","Y")</f>
        <v>N</v>
      </c>
    </row>
    <row r="1367" spans="1:97" ht="19.5" customHeight="1" x14ac:dyDescent="0.25">
      <c r="A1367">
        <v>11369</v>
      </c>
      <c r="B1367" s="32" t="s">
        <v>4214</v>
      </c>
      <c r="C1367" t="s">
        <v>4223</v>
      </c>
      <c r="D1367">
        <v>11.490819999999999</v>
      </c>
      <c r="E1367">
        <v>-60.739289999999997</v>
      </c>
      <c r="F1367" s="32" t="s">
        <v>4224</v>
      </c>
      <c r="G1367" t="s">
        <v>4225</v>
      </c>
      <c r="H1367" t="s">
        <v>252</v>
      </c>
      <c r="I1367" s="32" t="s">
        <v>2245</v>
      </c>
      <c r="J1367" s="32" t="s">
        <v>202</v>
      </c>
      <c r="K1367" s="32" t="s">
        <v>203</v>
      </c>
      <c r="L1367" s="32" t="s">
        <v>121</v>
      </c>
      <c r="M1367" t="s">
        <v>252</v>
      </c>
      <c r="N1367" s="6" t="s">
        <v>4218</v>
      </c>
      <c r="O1367" t="s">
        <v>2652</v>
      </c>
      <c r="P1367" t="s">
        <v>2652</v>
      </c>
      <c r="Q1367" s="6" t="s">
        <v>4219</v>
      </c>
      <c r="R1367" s="32" t="s">
        <v>4220</v>
      </c>
      <c r="S1367">
        <v>2013</v>
      </c>
      <c r="T1367" t="s">
        <v>3959</v>
      </c>
      <c r="U1367" t="s">
        <v>4221</v>
      </c>
      <c r="W1367" s="7">
        <v>1554</v>
      </c>
      <c r="AC1367" s="7"/>
      <c r="AD1367" s="7"/>
      <c r="AH1367" t="s">
        <v>4222</v>
      </c>
      <c r="AI1367" s="34"/>
      <c r="AM1367" s="21"/>
      <c r="AO1367" s="19"/>
      <c r="AP1367" s="19"/>
      <c r="AQ1367" s="19"/>
      <c r="AR1367" s="19"/>
      <c r="AS1367" s="19"/>
      <c r="AT1367" s="19"/>
      <c r="AU1367" s="19"/>
      <c r="AV1367" s="19"/>
      <c r="AW1367" s="19"/>
      <c r="AX1367" s="19"/>
      <c r="AY1367" s="19"/>
      <c r="AZ1367" s="19"/>
      <c r="BA1367" s="19"/>
      <c r="BB1367" s="19"/>
      <c r="BC1367" s="19"/>
      <c r="BD1367" s="19"/>
      <c r="BE1367" s="19"/>
      <c r="BF1367" s="19"/>
      <c r="BG1367" s="19"/>
      <c r="BH1367" s="19"/>
      <c r="BI1367" s="19"/>
      <c r="BJ1367" s="19"/>
      <c r="BK1367" s="19"/>
      <c r="BL1367" s="19"/>
      <c r="BM1367" s="19"/>
      <c r="BN1367" s="19">
        <v>62.6</v>
      </c>
      <c r="BO1367" s="19"/>
      <c r="BP1367" s="19"/>
      <c r="BQ1367" s="19"/>
      <c r="BR1367" s="19"/>
      <c r="BS1367" s="19"/>
      <c r="BT1367" s="19"/>
      <c r="BU1367" s="19"/>
      <c r="BV1367" s="19"/>
      <c r="BW1367" s="19"/>
      <c r="BX1367" s="19"/>
      <c r="BY1367" s="19"/>
      <c r="BZ1367" s="19"/>
      <c r="CA1367" s="19"/>
      <c r="CB1367" s="19"/>
      <c r="CC1367" s="19"/>
      <c r="CD1367" s="19"/>
      <c r="CE136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67" s="19">
        <f>SUM(Table1[[#This Row],[Mid39]],Table1[[#This Row],[Mid36]],Table1[[#This Row],[Mid33]],Table1[[#This Row],[Mid30]],Table1[[#This Row],[Mid27]],Table1[[#This Row],[Mid24]],Table1[[#This Row],[Mid21]],Table1[[#This Row],[Mid18]],Table1[[#This Row],[Mid15]],Table1[[#This Row],[Mid12]],Table1[[#This Row],[Mid9]],Table1[[#This Row],[Mid6]],Table1[[#This Row],[Mid3]],Table1[[#This Row],[Mid]])</f>
        <v>62.6</v>
      </c>
      <c r="CG136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67" s="35" t="s">
        <v>189</v>
      </c>
      <c r="CJ1367" t="s">
        <v>157</v>
      </c>
      <c r="CL1367" s="19">
        <f>IF(Table1[[#This Row],[Type]]="Petroleum",1,IF(ISERROR(Table1[[#This Row],[Well Density]]*Table1[[#This Row],[Single Well Discovery Area]]),"",IF(Table1[[#This Row],[Well Density]]*Table1[[#This Row],[Single Well Discovery Area]]&gt;1,1,Table1[[#This Row],[Well Density]]*Table1[[#This Row],[Single Well Discovery Area]])))</f>
        <v>1</v>
      </c>
      <c r="CM1367" t="s">
        <v>135</v>
      </c>
      <c r="CN1367" s="19">
        <f>Table1[[#This Row],[Mid]]</f>
        <v>0</v>
      </c>
      <c r="CO1367" s="19">
        <f>Table1[[#This Row],[Mid3]]+Table1[[#This Row],[Mid6]]+Table1[[#This Row],[Mid9]]</f>
        <v>0</v>
      </c>
      <c r="CP1367" s="19">
        <f>Table1[[#This Row],[Mid12]]+Table1[[#This Row],[Mid15]]+Table1[[#This Row],[Mid18]]+Table1[[#This Row],[Mid21]]+Table1[[#This Row],[Mid24]]</f>
        <v>62.6</v>
      </c>
      <c r="CQ1367" s="19">
        <f>Table1[[#This Row],[Mid27]]+Table1[[#This Row],[Mid30]]+Table1[[#This Row],[Mid33]]+Table1[[#This Row],[Mid36]]+Table1[[#This Row],[Mid39]]</f>
        <v>0</v>
      </c>
      <c r="CR1367" t="s">
        <v>471</v>
      </c>
      <c r="CS1367" s="19" t="str">
        <f>IF(AND(Table1[[#This Row],[Low41]]=0, Table1[[#This Row],[High43]]=0),"N","Y")</f>
        <v>N</v>
      </c>
    </row>
    <row r="1368" spans="1:97" ht="19.5" customHeight="1" x14ac:dyDescent="0.25">
      <c r="A1368">
        <v>11370</v>
      </c>
      <c r="B1368" s="32" t="s">
        <v>4214</v>
      </c>
      <c r="C1368" s="32" t="s">
        <v>4223</v>
      </c>
      <c r="D1368">
        <v>11.454829999999999</v>
      </c>
      <c r="E1368">
        <v>-60.759979999999999</v>
      </c>
      <c r="F1368" s="32" t="s">
        <v>4226</v>
      </c>
      <c r="G1368" t="s">
        <v>4225</v>
      </c>
      <c r="H1368" t="s">
        <v>252</v>
      </c>
      <c r="I1368" s="32" t="s">
        <v>2245</v>
      </c>
      <c r="J1368" s="32" t="s">
        <v>202</v>
      </c>
      <c r="K1368" s="32" t="s">
        <v>203</v>
      </c>
      <c r="L1368" s="32" t="s">
        <v>121</v>
      </c>
      <c r="M1368" t="s">
        <v>252</v>
      </c>
      <c r="N1368" s="6" t="s">
        <v>4218</v>
      </c>
      <c r="O1368" t="s">
        <v>2652</v>
      </c>
      <c r="P1368" t="s">
        <v>2652</v>
      </c>
      <c r="Q1368" s="27" t="s">
        <v>4219</v>
      </c>
      <c r="R1368" s="32" t="s">
        <v>4220</v>
      </c>
      <c r="S1368">
        <v>2013</v>
      </c>
      <c r="T1368" t="s">
        <v>3959</v>
      </c>
      <c r="U1368" t="s">
        <v>4221</v>
      </c>
      <c r="W1368" s="7">
        <v>1530</v>
      </c>
      <c r="AC1368" s="7"/>
      <c r="AD1368" s="7"/>
      <c r="AH1368" t="s">
        <v>4222</v>
      </c>
      <c r="AI1368" s="34"/>
      <c r="AM1368" s="21"/>
      <c r="AO1368" s="19"/>
      <c r="AP1368" s="19"/>
      <c r="AQ1368" s="19"/>
      <c r="AR1368" s="19"/>
      <c r="AS1368" s="19"/>
      <c r="AT1368" s="19"/>
      <c r="AU1368" s="19"/>
      <c r="AV1368" s="19"/>
      <c r="AW1368" s="19"/>
      <c r="AX1368" s="19"/>
      <c r="AY1368" s="19"/>
      <c r="AZ1368" s="19"/>
      <c r="BA1368" s="19"/>
      <c r="BB1368" s="19"/>
      <c r="BC1368" s="19"/>
      <c r="BD1368" s="19"/>
      <c r="BE1368" s="19"/>
      <c r="BF1368" s="19"/>
      <c r="BG1368" s="19"/>
      <c r="BH1368" s="19"/>
      <c r="BI1368" s="19"/>
      <c r="BJ1368" s="19"/>
      <c r="BK1368" s="19"/>
      <c r="BL1368" s="19"/>
      <c r="BM1368" s="19"/>
      <c r="BN1368" s="19">
        <v>15</v>
      </c>
      <c r="BO1368" s="19"/>
      <c r="BP1368" s="19"/>
      <c r="BQ1368" s="19"/>
      <c r="BR1368" s="19"/>
      <c r="BS1368" s="19"/>
      <c r="BT1368" s="19"/>
      <c r="BU1368" s="19"/>
      <c r="BV1368" s="19"/>
      <c r="BW1368" s="19"/>
      <c r="BX1368" s="19"/>
      <c r="BY1368" s="19"/>
      <c r="BZ1368" s="19"/>
      <c r="CA1368" s="19"/>
      <c r="CE136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68" s="19">
        <f>SUM(Table1[[#This Row],[Mid39]],Table1[[#This Row],[Mid36]],Table1[[#This Row],[Mid33]],Table1[[#This Row],[Mid30]],Table1[[#This Row],[Mid27]],Table1[[#This Row],[Mid24]],Table1[[#This Row],[Mid21]],Table1[[#This Row],[Mid18]],Table1[[#This Row],[Mid15]],Table1[[#This Row],[Mid12]],Table1[[#This Row],[Mid9]],Table1[[#This Row],[Mid6]],Table1[[#This Row],[Mid3]],Table1[[#This Row],[Mid]])</f>
        <v>15</v>
      </c>
      <c r="CG136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68" s="35" t="s">
        <v>189</v>
      </c>
      <c r="CJ1368" t="s">
        <v>157</v>
      </c>
      <c r="CL1368" s="19">
        <f>IF(Table1[[#This Row],[Type]]="Petroleum",1,IF(ISERROR(Table1[[#This Row],[Well Density]]*Table1[[#This Row],[Single Well Discovery Area]]),"",IF(Table1[[#This Row],[Well Density]]*Table1[[#This Row],[Single Well Discovery Area]]&gt;1,1,Table1[[#This Row],[Well Density]]*Table1[[#This Row],[Single Well Discovery Area]])))</f>
        <v>1</v>
      </c>
      <c r="CM1368" t="s">
        <v>158</v>
      </c>
      <c r="CN1368" s="19">
        <f>Table1[[#This Row],[Mid]]</f>
        <v>0</v>
      </c>
      <c r="CO1368" s="19">
        <f>Table1[[#This Row],[Mid3]]+Table1[[#This Row],[Mid6]]+Table1[[#This Row],[Mid9]]</f>
        <v>0</v>
      </c>
      <c r="CP1368" s="19">
        <f>Table1[[#This Row],[Mid12]]+Table1[[#This Row],[Mid15]]+Table1[[#This Row],[Mid18]]+Table1[[#This Row],[Mid21]]+Table1[[#This Row],[Mid24]]</f>
        <v>15</v>
      </c>
      <c r="CQ1368" s="19">
        <f>Table1[[#This Row],[Mid27]]+Table1[[#This Row],[Mid30]]+Table1[[#This Row],[Mid33]]+Table1[[#This Row],[Mid36]]+Table1[[#This Row],[Mid39]]</f>
        <v>0</v>
      </c>
      <c r="CR1368" t="s">
        <v>471</v>
      </c>
      <c r="CS1368" s="19" t="str">
        <f>IF(AND(Table1[[#This Row],[Low41]]=0, Table1[[#This Row],[High43]]=0),"N","Y")</f>
        <v>N</v>
      </c>
    </row>
    <row r="1369" spans="1:97" ht="19.5" customHeight="1" x14ac:dyDescent="0.25">
      <c r="A1369">
        <v>11371</v>
      </c>
      <c r="B1369" s="32" t="s">
        <v>4214</v>
      </c>
      <c r="C1369" s="32" t="s">
        <v>4223</v>
      </c>
      <c r="D1369">
        <v>11.176399999999999</v>
      </c>
      <c r="E1369">
        <v>-61.657519999999998</v>
      </c>
      <c r="F1369" s="32" t="s">
        <v>4227</v>
      </c>
      <c r="G1369" t="s">
        <v>4225</v>
      </c>
      <c r="H1369" t="s">
        <v>252</v>
      </c>
      <c r="I1369" s="32" t="s">
        <v>2245</v>
      </c>
      <c r="J1369" s="32" t="s">
        <v>202</v>
      </c>
      <c r="K1369" s="32" t="s">
        <v>203</v>
      </c>
      <c r="L1369" s="32" t="s">
        <v>121</v>
      </c>
      <c r="M1369" t="s">
        <v>252</v>
      </c>
      <c r="N1369" s="27" t="s">
        <v>4218</v>
      </c>
      <c r="O1369" t="s">
        <v>2652</v>
      </c>
      <c r="P1369" t="s">
        <v>2652</v>
      </c>
      <c r="Q1369" s="27" t="s">
        <v>4219</v>
      </c>
      <c r="R1369" s="32" t="s">
        <v>4220</v>
      </c>
      <c r="S1369">
        <v>2013</v>
      </c>
      <c r="T1369" t="s">
        <v>3959</v>
      </c>
      <c r="U1369" t="s">
        <v>4221</v>
      </c>
      <c r="W1369" s="7">
        <v>2384</v>
      </c>
      <c r="AC1369" s="7"/>
      <c r="AD1369" s="7"/>
      <c r="AH1369" t="s">
        <v>4222</v>
      </c>
      <c r="AI1369" s="34"/>
      <c r="AM1369" s="21"/>
      <c r="AO1369" s="19"/>
      <c r="AP1369" s="19"/>
      <c r="AQ1369" s="19"/>
      <c r="AR1369" s="19"/>
      <c r="AS1369" s="19"/>
      <c r="AT1369" s="19"/>
      <c r="AU1369" s="19"/>
      <c r="AV1369" s="19"/>
      <c r="AW1369" s="19"/>
      <c r="AX1369" s="19"/>
      <c r="AY1369" s="19"/>
      <c r="AZ1369" s="19"/>
      <c r="BA1369" s="19"/>
      <c r="BB1369" s="19"/>
      <c r="BC1369" s="19"/>
      <c r="BD1369" s="19"/>
      <c r="BE1369" s="19"/>
      <c r="BF1369" s="19"/>
      <c r="BG1369" s="19"/>
      <c r="BH1369" s="19"/>
      <c r="BI1369" s="19"/>
      <c r="BJ1369" s="19"/>
      <c r="BK1369" s="19"/>
      <c r="BL1369" s="19"/>
      <c r="BM1369" s="19"/>
      <c r="BN1369" s="19">
        <v>20.7</v>
      </c>
      <c r="BO1369" s="19"/>
      <c r="BP1369" s="19"/>
      <c r="BQ1369" s="19"/>
      <c r="BR1369" s="19"/>
      <c r="BS1369" s="19"/>
      <c r="BT1369" s="19"/>
      <c r="BU1369" s="19"/>
      <c r="BV1369" s="19"/>
      <c r="BW1369" s="19"/>
      <c r="BX1369" s="19"/>
      <c r="BY1369" s="19"/>
      <c r="BZ1369" s="19"/>
      <c r="CA1369" s="19"/>
      <c r="CE136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69" s="19">
        <f>SUM(Table1[[#This Row],[Mid39]],Table1[[#This Row],[Mid36]],Table1[[#This Row],[Mid33]],Table1[[#This Row],[Mid30]],Table1[[#This Row],[Mid27]],Table1[[#This Row],[Mid24]],Table1[[#This Row],[Mid21]],Table1[[#This Row],[Mid18]],Table1[[#This Row],[Mid15]],Table1[[#This Row],[Mid12]],Table1[[#This Row],[Mid9]],Table1[[#This Row],[Mid6]],Table1[[#This Row],[Mid3]],Table1[[#This Row],[Mid]])</f>
        <v>20.7</v>
      </c>
      <c r="CG136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69" s="35" t="s">
        <v>189</v>
      </c>
      <c r="CJ1369" t="s">
        <v>157</v>
      </c>
      <c r="CL1369" s="19">
        <f>IF(Table1[[#This Row],[Type]]="Petroleum",1,IF(ISERROR(Table1[[#This Row],[Well Density]]*Table1[[#This Row],[Single Well Discovery Area]]),"",IF(Table1[[#This Row],[Well Density]]*Table1[[#This Row],[Single Well Discovery Area]]&gt;1,1,Table1[[#This Row],[Well Density]]*Table1[[#This Row],[Single Well Discovery Area]])))</f>
        <v>1</v>
      </c>
      <c r="CM1369" t="s">
        <v>158</v>
      </c>
      <c r="CN1369" s="19">
        <f>Table1[[#This Row],[Mid]]</f>
        <v>0</v>
      </c>
      <c r="CO1369" s="19">
        <f>Table1[[#This Row],[Mid3]]+Table1[[#This Row],[Mid6]]+Table1[[#This Row],[Mid9]]</f>
        <v>0</v>
      </c>
      <c r="CP1369" s="19">
        <f>Table1[[#This Row],[Mid12]]+Table1[[#This Row],[Mid15]]+Table1[[#This Row],[Mid18]]+Table1[[#This Row],[Mid21]]+Table1[[#This Row],[Mid24]]</f>
        <v>20.7</v>
      </c>
      <c r="CQ1369" s="19">
        <f>Table1[[#This Row],[Mid27]]+Table1[[#This Row],[Mid30]]+Table1[[#This Row],[Mid33]]+Table1[[#This Row],[Mid36]]+Table1[[#This Row],[Mid39]]</f>
        <v>0</v>
      </c>
      <c r="CR1369" t="s">
        <v>471</v>
      </c>
      <c r="CS1369" s="19" t="str">
        <f>IF(AND(Table1[[#This Row],[Low41]]=0, Table1[[#This Row],[High43]]=0),"N","Y")</f>
        <v>N</v>
      </c>
    </row>
    <row r="1370" spans="1:97" ht="19.5" customHeight="1" x14ac:dyDescent="0.25">
      <c r="A1370">
        <v>11372</v>
      </c>
      <c r="B1370" s="32" t="s">
        <v>4214</v>
      </c>
      <c r="C1370" s="32" t="s">
        <v>4215</v>
      </c>
      <c r="D1370">
        <v>10.206770000000001</v>
      </c>
      <c r="E1370">
        <v>-60.246609999999997</v>
      </c>
      <c r="F1370" s="32" t="s">
        <v>4228</v>
      </c>
      <c r="G1370" t="s">
        <v>4217</v>
      </c>
      <c r="H1370" t="s">
        <v>252</v>
      </c>
      <c r="I1370" s="32" t="s">
        <v>2245</v>
      </c>
      <c r="J1370" s="32" t="s">
        <v>202</v>
      </c>
      <c r="K1370" s="32" t="s">
        <v>203</v>
      </c>
      <c r="L1370" s="32" t="s">
        <v>121</v>
      </c>
      <c r="M1370" t="s">
        <v>252</v>
      </c>
      <c r="N1370" s="27" t="s">
        <v>4218</v>
      </c>
      <c r="O1370" t="s">
        <v>2652</v>
      </c>
      <c r="P1370" t="s">
        <v>2652</v>
      </c>
      <c r="Q1370" s="27" t="s">
        <v>4219</v>
      </c>
      <c r="R1370" s="32" t="s">
        <v>4220</v>
      </c>
      <c r="S1370">
        <v>2013</v>
      </c>
      <c r="T1370" t="s">
        <v>3959</v>
      </c>
      <c r="U1370" t="s">
        <v>4221</v>
      </c>
      <c r="W1370" s="7">
        <v>2395</v>
      </c>
      <c r="AC1370" s="7"/>
      <c r="AD1370" s="7"/>
      <c r="AH1370" t="s">
        <v>4222</v>
      </c>
      <c r="AI1370" s="34"/>
      <c r="AM1370" s="21"/>
      <c r="AO1370" s="19"/>
      <c r="AP1370" s="19"/>
      <c r="AQ1370" s="19"/>
      <c r="AR1370" s="19"/>
      <c r="AS1370" s="19"/>
      <c r="AT1370" s="19"/>
      <c r="AU1370" s="19"/>
      <c r="AV1370" s="19"/>
      <c r="AW1370" s="19"/>
      <c r="AX1370" s="19"/>
      <c r="AY1370" s="19"/>
      <c r="AZ1370" s="19"/>
      <c r="BA1370" s="19"/>
      <c r="BB1370" s="19"/>
      <c r="BC1370" s="19"/>
      <c r="BD1370" s="19"/>
      <c r="BE1370" s="19"/>
      <c r="BF1370" s="19"/>
      <c r="BG1370" s="19"/>
      <c r="BH1370" s="19"/>
      <c r="BI1370" s="19"/>
      <c r="BJ1370" s="19"/>
      <c r="BK1370" s="19"/>
      <c r="BL1370" s="19"/>
      <c r="BM1370" s="19"/>
      <c r="BN1370" s="19">
        <v>66.8</v>
      </c>
      <c r="BO1370" s="19"/>
      <c r="BP1370" s="19"/>
      <c r="BQ1370" s="19"/>
      <c r="BR1370" s="19"/>
      <c r="BS1370" s="19"/>
      <c r="BT1370" s="19"/>
      <c r="BU1370" s="19"/>
      <c r="BV1370" s="19"/>
      <c r="BW1370" s="19"/>
      <c r="BX1370" s="19"/>
      <c r="BY1370" s="19"/>
      <c r="BZ1370" s="19"/>
      <c r="CA1370" s="19"/>
      <c r="CE137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70" s="19">
        <f>SUM(Table1[[#This Row],[Mid39]],Table1[[#This Row],[Mid36]],Table1[[#This Row],[Mid33]],Table1[[#This Row],[Mid30]],Table1[[#This Row],[Mid27]],Table1[[#This Row],[Mid24]],Table1[[#This Row],[Mid21]],Table1[[#This Row],[Mid18]],Table1[[#This Row],[Mid15]],Table1[[#This Row],[Mid12]],Table1[[#This Row],[Mid9]],Table1[[#This Row],[Mid6]],Table1[[#This Row],[Mid3]],Table1[[#This Row],[Mid]])</f>
        <v>66.8</v>
      </c>
      <c r="CG137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70" s="35" t="s">
        <v>189</v>
      </c>
      <c r="CJ1370" t="s">
        <v>157</v>
      </c>
      <c r="CL1370" s="19">
        <f>IF(Table1[[#This Row],[Type]]="Petroleum",1,IF(ISERROR(Table1[[#This Row],[Well Density]]*Table1[[#This Row],[Single Well Discovery Area]]),"",IF(Table1[[#This Row],[Well Density]]*Table1[[#This Row],[Single Well Discovery Area]]&gt;1,1,Table1[[#This Row],[Well Density]]*Table1[[#This Row],[Single Well Discovery Area]])))</f>
        <v>1</v>
      </c>
      <c r="CM1370" t="s">
        <v>158</v>
      </c>
      <c r="CN1370" s="19">
        <f>Table1[[#This Row],[Mid]]</f>
        <v>0</v>
      </c>
      <c r="CO1370" s="19">
        <f>Table1[[#This Row],[Mid3]]+Table1[[#This Row],[Mid6]]+Table1[[#This Row],[Mid9]]</f>
        <v>0</v>
      </c>
      <c r="CP1370" s="19">
        <f>Table1[[#This Row],[Mid12]]+Table1[[#This Row],[Mid15]]+Table1[[#This Row],[Mid18]]+Table1[[#This Row],[Mid21]]+Table1[[#This Row],[Mid24]]</f>
        <v>66.8</v>
      </c>
      <c r="CQ1370" s="19">
        <f>Table1[[#This Row],[Mid27]]+Table1[[#This Row],[Mid30]]+Table1[[#This Row],[Mid33]]+Table1[[#This Row],[Mid36]]+Table1[[#This Row],[Mid39]]</f>
        <v>0</v>
      </c>
      <c r="CR1370" t="s">
        <v>471</v>
      </c>
      <c r="CS1370" s="19" t="str">
        <f>IF(AND(Table1[[#This Row],[Low41]]=0, Table1[[#This Row],[High43]]=0),"N","Y")</f>
        <v>N</v>
      </c>
    </row>
    <row r="1371" spans="1:97" ht="19.5" customHeight="1" x14ac:dyDescent="0.25">
      <c r="A1371">
        <v>11373</v>
      </c>
      <c r="B1371" s="32" t="s">
        <v>4214</v>
      </c>
      <c r="C1371" s="32" t="s">
        <v>4223</v>
      </c>
      <c r="D1371">
        <v>11.133940000000001</v>
      </c>
      <c r="E1371">
        <v>-61.605049999999999</v>
      </c>
      <c r="F1371" t="s">
        <v>4229</v>
      </c>
      <c r="G1371" t="s">
        <v>4225</v>
      </c>
      <c r="H1371" t="s">
        <v>252</v>
      </c>
      <c r="I1371" s="32" t="s">
        <v>2245</v>
      </c>
      <c r="J1371" s="32" t="s">
        <v>202</v>
      </c>
      <c r="K1371" s="32" t="s">
        <v>203</v>
      </c>
      <c r="L1371" s="32" t="s">
        <v>121</v>
      </c>
      <c r="M1371" t="s">
        <v>252</v>
      </c>
      <c r="N1371" s="27" t="s">
        <v>4218</v>
      </c>
      <c r="O1371" t="s">
        <v>2652</v>
      </c>
      <c r="P1371" t="s">
        <v>2652</v>
      </c>
      <c r="Q1371" s="6" t="s">
        <v>4219</v>
      </c>
      <c r="R1371" s="32" t="s">
        <v>4220</v>
      </c>
      <c r="S1371">
        <v>2013</v>
      </c>
      <c r="T1371" t="s">
        <v>3959</v>
      </c>
      <c r="U1371" t="s">
        <v>4221</v>
      </c>
      <c r="W1371" s="7">
        <v>2555</v>
      </c>
      <c r="AC1371" s="7"/>
      <c r="AD1371" s="7"/>
      <c r="AH1371" t="s">
        <v>4222</v>
      </c>
      <c r="AI1371" s="34"/>
      <c r="AM1371" s="21"/>
      <c r="AO1371" s="19"/>
      <c r="AP1371" s="19"/>
      <c r="AQ1371" s="19"/>
      <c r="AR1371" s="19"/>
      <c r="AS1371" s="19"/>
      <c r="AT1371" s="19"/>
      <c r="AU1371" s="19"/>
      <c r="AV1371" s="19"/>
      <c r="AW1371" s="19"/>
      <c r="AX1371" s="19"/>
      <c r="AY1371" s="19"/>
      <c r="AZ1371" s="19"/>
      <c r="BA1371" s="19"/>
      <c r="BB1371" s="19"/>
      <c r="BC1371" s="19"/>
      <c r="BD1371" s="19"/>
      <c r="BE1371" s="19"/>
      <c r="BF1371" s="19"/>
      <c r="BG1371" s="19"/>
      <c r="BH1371" s="19"/>
      <c r="BI1371" s="19"/>
      <c r="BJ1371" s="19"/>
      <c r="BK1371" s="19"/>
      <c r="BL1371" s="19"/>
      <c r="BM1371" s="19"/>
      <c r="BN1371" s="19">
        <v>73.5</v>
      </c>
      <c r="BO1371" s="19"/>
      <c r="BP1371" s="19"/>
      <c r="BQ1371" s="19"/>
      <c r="BR1371" s="19"/>
      <c r="BS1371" s="19"/>
      <c r="BT1371" s="19"/>
      <c r="BU1371" s="19"/>
      <c r="BV1371" s="19"/>
      <c r="BW1371" s="19"/>
      <c r="BX1371" s="19"/>
      <c r="BY1371" s="19"/>
      <c r="BZ1371" s="19"/>
      <c r="CA1371" s="19"/>
      <c r="CB1371" s="19"/>
      <c r="CC1371" s="19"/>
      <c r="CD1371" s="19"/>
      <c r="CE137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71" s="19">
        <f>SUM(Table1[[#This Row],[Mid39]],Table1[[#This Row],[Mid36]],Table1[[#This Row],[Mid33]],Table1[[#This Row],[Mid30]],Table1[[#This Row],[Mid27]],Table1[[#This Row],[Mid24]],Table1[[#This Row],[Mid21]],Table1[[#This Row],[Mid18]],Table1[[#This Row],[Mid15]],Table1[[#This Row],[Mid12]],Table1[[#This Row],[Mid9]],Table1[[#This Row],[Mid6]],Table1[[#This Row],[Mid3]],Table1[[#This Row],[Mid]])</f>
        <v>73.5</v>
      </c>
      <c r="CG137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71" s="35" t="s">
        <v>189</v>
      </c>
      <c r="CJ1371" t="s">
        <v>157</v>
      </c>
      <c r="CL1371" s="19">
        <f>IF(Table1[[#This Row],[Type]]="Petroleum",1,IF(ISERROR(Table1[[#This Row],[Well Density]]*Table1[[#This Row],[Single Well Discovery Area]]),"",IF(Table1[[#This Row],[Well Density]]*Table1[[#This Row],[Single Well Discovery Area]]&gt;1,1,Table1[[#This Row],[Well Density]]*Table1[[#This Row],[Single Well Discovery Area]])))</f>
        <v>1</v>
      </c>
      <c r="CM1371" t="s">
        <v>158</v>
      </c>
      <c r="CN1371" s="19">
        <f>Table1[[#This Row],[Mid]]</f>
        <v>0</v>
      </c>
      <c r="CO1371" s="19">
        <f>Table1[[#This Row],[Mid3]]+Table1[[#This Row],[Mid6]]+Table1[[#This Row],[Mid9]]</f>
        <v>0</v>
      </c>
      <c r="CP1371" s="19">
        <f>Table1[[#This Row],[Mid12]]+Table1[[#This Row],[Mid15]]+Table1[[#This Row],[Mid18]]+Table1[[#This Row],[Mid21]]+Table1[[#This Row],[Mid24]]</f>
        <v>73.5</v>
      </c>
      <c r="CQ1371" s="19">
        <f>Table1[[#This Row],[Mid27]]+Table1[[#This Row],[Mid30]]+Table1[[#This Row],[Mid33]]+Table1[[#This Row],[Mid36]]+Table1[[#This Row],[Mid39]]</f>
        <v>0</v>
      </c>
      <c r="CR1371" t="s">
        <v>471</v>
      </c>
      <c r="CS1371" s="19" t="str">
        <f>IF(AND(Table1[[#This Row],[Low41]]=0, Table1[[#This Row],[High43]]=0),"N","Y")</f>
        <v>N</v>
      </c>
    </row>
    <row r="1372" spans="1:97" ht="19.5" customHeight="1" x14ac:dyDescent="0.25">
      <c r="A1372">
        <v>11374</v>
      </c>
      <c r="B1372" s="32" t="s">
        <v>4214</v>
      </c>
      <c r="C1372" t="s">
        <v>4230</v>
      </c>
      <c r="D1372">
        <v>10.317729999999999</v>
      </c>
      <c r="E1372">
        <v>-61.85154</v>
      </c>
      <c r="F1372" s="32" t="s">
        <v>4231</v>
      </c>
      <c r="G1372" t="s">
        <v>4232</v>
      </c>
      <c r="H1372" t="s">
        <v>252</v>
      </c>
      <c r="I1372" s="32" t="s">
        <v>2245</v>
      </c>
      <c r="J1372" s="32" t="s">
        <v>202</v>
      </c>
      <c r="K1372" s="32" t="s">
        <v>203</v>
      </c>
      <c r="L1372" s="32" t="s">
        <v>121</v>
      </c>
      <c r="M1372" t="s">
        <v>252</v>
      </c>
      <c r="N1372" s="6" t="s">
        <v>4218</v>
      </c>
      <c r="O1372" t="s">
        <v>2652</v>
      </c>
      <c r="P1372" t="s">
        <v>2652</v>
      </c>
      <c r="Q1372" s="6" t="s">
        <v>4219</v>
      </c>
      <c r="R1372" s="32" t="s">
        <v>4220</v>
      </c>
      <c r="S1372">
        <v>2013</v>
      </c>
      <c r="T1372" t="s">
        <v>3959</v>
      </c>
      <c r="U1372" t="s">
        <v>4221</v>
      </c>
      <c r="W1372" s="7">
        <v>1725</v>
      </c>
      <c r="AC1372" s="7"/>
      <c r="AD1372" s="7"/>
      <c r="AH1372" t="s">
        <v>4222</v>
      </c>
      <c r="AI1372" s="34"/>
      <c r="AM1372" s="21"/>
      <c r="AO1372" s="19"/>
      <c r="AP1372" s="19"/>
      <c r="AQ1372" s="19"/>
      <c r="AR1372" s="19"/>
      <c r="AS1372" s="19"/>
      <c r="AT1372" s="19"/>
      <c r="AU1372" s="19"/>
      <c r="AV1372" s="19"/>
      <c r="AW1372" s="19"/>
      <c r="AX1372" s="19"/>
      <c r="AY1372" s="19"/>
      <c r="AZ1372" s="19"/>
      <c r="BA1372" s="19"/>
      <c r="BB1372" s="19"/>
      <c r="BC1372" s="19"/>
      <c r="BD1372" s="19"/>
      <c r="BE1372" s="19"/>
      <c r="BF1372" s="19"/>
      <c r="BG1372" s="19"/>
      <c r="BH1372" s="19"/>
      <c r="BI1372" s="19"/>
      <c r="BJ1372" s="19"/>
      <c r="BK1372" s="19"/>
      <c r="BL1372" s="19"/>
      <c r="BM1372" s="19"/>
      <c r="BN1372" s="19">
        <v>36.5</v>
      </c>
      <c r="BO1372" s="19"/>
      <c r="BP1372" s="19"/>
      <c r="BQ1372" s="19"/>
      <c r="BR1372" s="19"/>
      <c r="BS1372" s="19"/>
      <c r="BT1372" s="19"/>
      <c r="BU1372" s="19"/>
      <c r="BV1372" s="19"/>
      <c r="BW1372" s="19"/>
      <c r="BX1372" s="19"/>
      <c r="BY1372" s="19"/>
      <c r="BZ1372" s="19"/>
      <c r="CA1372" s="19"/>
      <c r="CB1372" s="19"/>
      <c r="CC1372" s="19"/>
      <c r="CD1372" s="19"/>
      <c r="CE137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72" s="19">
        <f>SUM(Table1[[#This Row],[Mid39]],Table1[[#This Row],[Mid36]],Table1[[#This Row],[Mid33]],Table1[[#This Row],[Mid30]],Table1[[#This Row],[Mid27]],Table1[[#This Row],[Mid24]],Table1[[#This Row],[Mid21]],Table1[[#This Row],[Mid18]],Table1[[#This Row],[Mid15]],Table1[[#This Row],[Mid12]],Table1[[#This Row],[Mid9]],Table1[[#This Row],[Mid6]],Table1[[#This Row],[Mid3]],Table1[[#This Row],[Mid]])</f>
        <v>36.5</v>
      </c>
      <c r="CG137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72" s="35" t="s">
        <v>189</v>
      </c>
      <c r="CJ1372" t="s">
        <v>157</v>
      </c>
      <c r="CL1372" s="19">
        <f>IF(Table1[[#This Row],[Type]]="Petroleum",1,IF(ISERROR(Table1[[#This Row],[Well Density]]*Table1[[#This Row],[Single Well Discovery Area]]),"",IF(Table1[[#This Row],[Well Density]]*Table1[[#This Row],[Single Well Discovery Area]]&gt;1,1,Table1[[#This Row],[Well Density]]*Table1[[#This Row],[Single Well Discovery Area]])))</f>
        <v>1</v>
      </c>
      <c r="CM1372" t="s">
        <v>158</v>
      </c>
      <c r="CN1372" s="19">
        <f>Table1[[#This Row],[Mid]]</f>
        <v>0</v>
      </c>
      <c r="CO1372" s="19">
        <f>Table1[[#This Row],[Mid3]]+Table1[[#This Row],[Mid6]]+Table1[[#This Row],[Mid9]]</f>
        <v>0</v>
      </c>
      <c r="CP1372" s="19">
        <f>Table1[[#This Row],[Mid12]]+Table1[[#This Row],[Mid15]]+Table1[[#This Row],[Mid18]]+Table1[[#This Row],[Mid21]]+Table1[[#This Row],[Mid24]]</f>
        <v>36.5</v>
      </c>
      <c r="CQ1372" s="19">
        <f>Table1[[#This Row],[Mid27]]+Table1[[#This Row],[Mid30]]+Table1[[#This Row],[Mid33]]+Table1[[#This Row],[Mid36]]+Table1[[#This Row],[Mid39]]</f>
        <v>0</v>
      </c>
      <c r="CR1372" t="s">
        <v>471</v>
      </c>
      <c r="CS1372" s="19" t="str">
        <f>IF(AND(Table1[[#This Row],[Low41]]=0, Table1[[#This Row],[High43]]=0),"N","Y")</f>
        <v>N</v>
      </c>
    </row>
    <row r="1373" spans="1:97" ht="19.5" customHeight="1" x14ac:dyDescent="0.25">
      <c r="A1373">
        <v>11375</v>
      </c>
      <c r="B1373" s="32" t="s">
        <v>4214</v>
      </c>
      <c r="C1373" s="32" t="s">
        <v>4223</v>
      </c>
      <c r="D1373">
        <v>11.346719999999999</v>
      </c>
      <c r="E1373">
        <v>-60.842790000000001</v>
      </c>
      <c r="F1373" s="32" t="s">
        <v>4233</v>
      </c>
      <c r="G1373" t="s">
        <v>4225</v>
      </c>
      <c r="H1373" t="s">
        <v>252</v>
      </c>
      <c r="I1373" s="32" t="s">
        <v>2245</v>
      </c>
      <c r="J1373" s="32" t="s">
        <v>202</v>
      </c>
      <c r="K1373" s="32" t="s">
        <v>203</v>
      </c>
      <c r="L1373" s="32" t="s">
        <v>121</v>
      </c>
      <c r="M1373" t="s">
        <v>252</v>
      </c>
      <c r="N1373" s="6" t="s">
        <v>4218</v>
      </c>
      <c r="O1373" t="s">
        <v>2652</v>
      </c>
      <c r="P1373" t="s">
        <v>2652</v>
      </c>
      <c r="Q1373" s="27" t="s">
        <v>4219</v>
      </c>
      <c r="R1373" s="32" t="s">
        <v>4220</v>
      </c>
      <c r="S1373">
        <v>2013</v>
      </c>
      <c r="T1373" t="s">
        <v>3959</v>
      </c>
      <c r="U1373" t="s">
        <v>4221</v>
      </c>
      <c r="W1373" s="7">
        <v>1087</v>
      </c>
      <c r="AC1373" s="7"/>
      <c r="AD1373" s="7"/>
      <c r="AH1373" t="s">
        <v>4222</v>
      </c>
      <c r="AI1373" s="34"/>
      <c r="AM1373" s="21"/>
      <c r="AO1373" s="19"/>
      <c r="AP1373" s="19"/>
      <c r="AQ1373" s="19"/>
      <c r="AR1373" s="19"/>
      <c r="AS1373" s="19"/>
      <c r="AT1373" s="19"/>
      <c r="AU1373" s="19"/>
      <c r="AV1373" s="19"/>
      <c r="AW1373" s="19"/>
      <c r="AX1373" s="19"/>
      <c r="AY1373" s="19"/>
      <c r="AZ1373" s="19"/>
      <c r="BA1373" s="19"/>
      <c r="BB1373" s="19"/>
      <c r="BC1373" s="19"/>
      <c r="BD1373" s="19"/>
      <c r="BE1373" s="19"/>
      <c r="BF1373" s="19"/>
      <c r="BG1373" s="19"/>
      <c r="BH1373" s="19"/>
      <c r="BI1373" s="19"/>
      <c r="BJ1373" s="19"/>
      <c r="BK1373" s="19"/>
      <c r="BL1373" s="19"/>
      <c r="BM1373" s="19"/>
      <c r="BN1373" s="19">
        <v>10.199999999999999</v>
      </c>
      <c r="BO1373" s="19"/>
      <c r="BP1373" s="19"/>
      <c r="BQ1373" s="19"/>
      <c r="BR1373" s="19"/>
      <c r="BS1373" s="19"/>
      <c r="BT1373" s="19"/>
      <c r="BU1373" s="19"/>
      <c r="BV1373" s="19"/>
      <c r="BW1373" s="19"/>
      <c r="BX1373" s="19"/>
      <c r="BY1373" s="19"/>
      <c r="BZ1373" s="19"/>
      <c r="CA1373" s="19"/>
      <c r="CE137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73" s="19">
        <f>SUM(Table1[[#This Row],[Mid39]],Table1[[#This Row],[Mid36]],Table1[[#This Row],[Mid33]],Table1[[#This Row],[Mid30]],Table1[[#This Row],[Mid27]],Table1[[#This Row],[Mid24]],Table1[[#This Row],[Mid21]],Table1[[#This Row],[Mid18]],Table1[[#This Row],[Mid15]],Table1[[#This Row],[Mid12]],Table1[[#This Row],[Mid9]],Table1[[#This Row],[Mid6]],Table1[[#This Row],[Mid3]],Table1[[#This Row],[Mid]])</f>
        <v>10.199999999999999</v>
      </c>
      <c r="CG137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73" s="35" t="s">
        <v>189</v>
      </c>
      <c r="CJ1373" t="s">
        <v>157</v>
      </c>
      <c r="CL1373" s="19">
        <f>IF(Table1[[#This Row],[Type]]="Petroleum",1,IF(ISERROR(Table1[[#This Row],[Well Density]]*Table1[[#This Row],[Single Well Discovery Area]]),"",IF(Table1[[#This Row],[Well Density]]*Table1[[#This Row],[Single Well Discovery Area]]&gt;1,1,Table1[[#This Row],[Well Density]]*Table1[[#This Row],[Single Well Discovery Area]])))</f>
        <v>1</v>
      </c>
      <c r="CM1373" t="s">
        <v>158</v>
      </c>
      <c r="CN1373" s="19">
        <f>Table1[[#This Row],[Mid]]</f>
        <v>0</v>
      </c>
      <c r="CO1373" s="19">
        <f>Table1[[#This Row],[Mid3]]+Table1[[#This Row],[Mid6]]+Table1[[#This Row],[Mid9]]</f>
        <v>0</v>
      </c>
      <c r="CP1373" s="19">
        <f>Table1[[#This Row],[Mid12]]+Table1[[#This Row],[Mid15]]+Table1[[#This Row],[Mid18]]+Table1[[#This Row],[Mid21]]+Table1[[#This Row],[Mid24]]</f>
        <v>10.199999999999999</v>
      </c>
      <c r="CQ1373" s="19">
        <f>Table1[[#This Row],[Mid27]]+Table1[[#This Row],[Mid30]]+Table1[[#This Row],[Mid33]]+Table1[[#This Row],[Mid36]]+Table1[[#This Row],[Mid39]]</f>
        <v>0</v>
      </c>
      <c r="CR1373" t="s">
        <v>471</v>
      </c>
      <c r="CS1373" s="19" t="str">
        <f>IF(AND(Table1[[#This Row],[Low41]]=0, Table1[[#This Row],[High43]]=0),"N","Y")</f>
        <v>N</v>
      </c>
    </row>
    <row r="1374" spans="1:97" ht="19.5" customHeight="1" x14ac:dyDescent="0.25">
      <c r="A1374">
        <v>11376</v>
      </c>
      <c r="B1374" s="32" t="s">
        <v>4214</v>
      </c>
      <c r="C1374" s="32" t="s">
        <v>4215</v>
      </c>
      <c r="D1374">
        <v>10.10772</v>
      </c>
      <c r="E1374">
        <v>-60.307740000000003</v>
      </c>
      <c r="F1374" s="32" t="s">
        <v>4234</v>
      </c>
      <c r="G1374" t="s">
        <v>4217</v>
      </c>
      <c r="H1374" t="s">
        <v>252</v>
      </c>
      <c r="I1374" s="32" t="s">
        <v>582</v>
      </c>
      <c r="J1374" s="32" t="s">
        <v>202</v>
      </c>
      <c r="K1374" s="32" t="s">
        <v>203</v>
      </c>
      <c r="L1374" s="32" t="s">
        <v>121</v>
      </c>
      <c r="M1374" t="s">
        <v>252</v>
      </c>
      <c r="N1374" s="27" t="s">
        <v>4218</v>
      </c>
      <c r="O1374" t="s">
        <v>2652</v>
      </c>
      <c r="P1374" t="s">
        <v>2652</v>
      </c>
      <c r="Q1374" s="27" t="s">
        <v>4219</v>
      </c>
      <c r="R1374" s="32" t="s">
        <v>4220</v>
      </c>
      <c r="S1374">
        <v>2013</v>
      </c>
      <c r="T1374" t="s">
        <v>3959</v>
      </c>
      <c r="U1374" t="s">
        <v>4221</v>
      </c>
      <c r="W1374" s="7">
        <v>2519</v>
      </c>
      <c r="AC1374" s="7"/>
      <c r="AD1374" s="7"/>
      <c r="AH1374" t="s">
        <v>4235</v>
      </c>
      <c r="AI1374" s="34"/>
      <c r="AM1374" s="21"/>
      <c r="AO1374" s="19"/>
      <c r="AP1374" s="19"/>
      <c r="AQ1374" s="19"/>
      <c r="AR1374" s="19"/>
      <c r="AS1374" s="19"/>
      <c r="AT1374" s="19"/>
      <c r="AU1374" s="19"/>
      <c r="AV1374" s="19"/>
      <c r="AW1374" s="19"/>
      <c r="AX1374" s="19"/>
      <c r="AY1374" s="19"/>
      <c r="AZ1374" s="19"/>
      <c r="BA1374" s="19"/>
      <c r="BB1374" s="19"/>
      <c r="BC1374" s="19"/>
      <c r="BD1374" s="19"/>
      <c r="BE1374" s="19"/>
      <c r="BF1374" s="19"/>
      <c r="BG1374" s="19"/>
      <c r="BH1374" s="19"/>
      <c r="BI1374" s="19"/>
      <c r="BJ1374" s="19"/>
      <c r="BK1374" s="19"/>
      <c r="BL1374" s="19"/>
      <c r="BM1374" s="19"/>
      <c r="BN1374" s="19">
        <v>10.199999999999999</v>
      </c>
      <c r="BO1374" s="19"/>
      <c r="BP1374" s="19"/>
      <c r="BQ1374" s="19"/>
      <c r="BR1374" s="19"/>
      <c r="BS1374" s="19"/>
      <c r="BT1374" s="19"/>
      <c r="BU1374" s="19"/>
      <c r="BV1374" s="19"/>
      <c r="BW1374" s="19"/>
      <c r="BX1374" s="19"/>
      <c r="BY1374" s="19"/>
      <c r="BZ1374" s="19"/>
      <c r="CA1374" s="19"/>
      <c r="CE137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74" s="19">
        <f>SUM(Table1[[#This Row],[Mid39]],Table1[[#This Row],[Mid36]],Table1[[#This Row],[Mid33]],Table1[[#This Row],[Mid30]],Table1[[#This Row],[Mid27]],Table1[[#This Row],[Mid24]],Table1[[#This Row],[Mid21]],Table1[[#This Row],[Mid18]],Table1[[#This Row],[Mid15]],Table1[[#This Row],[Mid12]],Table1[[#This Row],[Mid9]],Table1[[#This Row],[Mid6]],Table1[[#This Row],[Mid3]],Table1[[#This Row],[Mid]])</f>
        <v>10.199999999999999</v>
      </c>
      <c r="CG137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74" s="35" t="s">
        <v>189</v>
      </c>
      <c r="CJ1374" t="s">
        <v>157</v>
      </c>
      <c r="CL1374" s="19">
        <f>IF(Table1[[#This Row],[Type]]="Petroleum",1,IF(ISERROR(Table1[[#This Row],[Well Density]]*Table1[[#This Row],[Single Well Discovery Area]]),"",IF(Table1[[#This Row],[Well Density]]*Table1[[#This Row],[Single Well Discovery Area]]&gt;1,1,Table1[[#This Row],[Well Density]]*Table1[[#This Row],[Single Well Discovery Area]])))</f>
        <v>1</v>
      </c>
      <c r="CM1374" t="s">
        <v>158</v>
      </c>
      <c r="CN1374" s="19">
        <f>Table1[[#This Row],[Mid]]</f>
        <v>0</v>
      </c>
      <c r="CO1374" s="19">
        <f>Table1[[#This Row],[Mid3]]+Table1[[#This Row],[Mid6]]+Table1[[#This Row],[Mid9]]</f>
        <v>0</v>
      </c>
      <c r="CP1374" s="19">
        <f>Table1[[#This Row],[Mid12]]+Table1[[#This Row],[Mid15]]+Table1[[#This Row],[Mid18]]+Table1[[#This Row],[Mid21]]+Table1[[#This Row],[Mid24]]</f>
        <v>10.199999999999999</v>
      </c>
      <c r="CQ1374" s="19">
        <f>Table1[[#This Row],[Mid27]]+Table1[[#This Row],[Mid30]]+Table1[[#This Row],[Mid33]]+Table1[[#This Row],[Mid36]]+Table1[[#This Row],[Mid39]]</f>
        <v>0</v>
      </c>
      <c r="CR1374" t="s">
        <v>471</v>
      </c>
      <c r="CS1374" s="19" t="str">
        <f>IF(AND(Table1[[#This Row],[Low41]]=0, Table1[[#This Row],[High43]]=0),"N","Y")</f>
        <v>N</v>
      </c>
    </row>
    <row r="1375" spans="1:97" ht="19.5" customHeight="1" x14ac:dyDescent="0.25">
      <c r="A1375">
        <v>11377</v>
      </c>
      <c r="B1375" s="32" t="s">
        <v>4214</v>
      </c>
      <c r="C1375" s="32" t="s">
        <v>4215</v>
      </c>
      <c r="D1375">
        <v>10.270390000000001</v>
      </c>
      <c r="E1375">
        <v>-60.550649999999997</v>
      </c>
      <c r="F1375" s="32" t="s">
        <v>4236</v>
      </c>
      <c r="G1375" t="s">
        <v>4217</v>
      </c>
      <c r="H1375" t="s">
        <v>252</v>
      </c>
      <c r="I1375" s="32" t="s">
        <v>2245</v>
      </c>
      <c r="J1375" s="32" t="s">
        <v>202</v>
      </c>
      <c r="K1375" s="32" t="s">
        <v>203</v>
      </c>
      <c r="L1375" s="32" t="s">
        <v>121</v>
      </c>
      <c r="M1375" t="s">
        <v>252</v>
      </c>
      <c r="N1375" s="27" t="s">
        <v>4218</v>
      </c>
      <c r="O1375" t="s">
        <v>2652</v>
      </c>
      <c r="P1375" t="s">
        <v>2652</v>
      </c>
      <c r="Q1375" s="27" t="s">
        <v>4219</v>
      </c>
      <c r="R1375" s="32" t="s">
        <v>4220</v>
      </c>
      <c r="S1375">
        <v>2013</v>
      </c>
      <c r="T1375" t="s">
        <v>3959</v>
      </c>
      <c r="U1375" t="s">
        <v>4221</v>
      </c>
      <c r="W1375" s="7">
        <v>3800</v>
      </c>
      <c r="AC1375" s="7"/>
      <c r="AD1375" s="7"/>
      <c r="AH1375" t="s">
        <v>4222</v>
      </c>
      <c r="AI1375" s="34"/>
      <c r="AM1375" s="21"/>
      <c r="AO1375" s="19"/>
      <c r="AP1375" s="19"/>
      <c r="AQ1375" s="19"/>
      <c r="AR1375" s="19"/>
      <c r="AS1375" s="19"/>
      <c r="AT1375" s="19"/>
      <c r="AU1375" s="19"/>
      <c r="AV1375" s="19"/>
      <c r="AW1375" s="19"/>
      <c r="AX1375" s="19"/>
      <c r="AY1375" s="19"/>
      <c r="AZ1375" s="19"/>
      <c r="BA1375" s="19"/>
      <c r="BB1375" s="19"/>
      <c r="BC1375" s="19"/>
      <c r="BD1375" s="19"/>
      <c r="BE1375" s="19"/>
      <c r="BF1375" s="19"/>
      <c r="BG1375" s="19"/>
      <c r="BH1375" s="19"/>
      <c r="BI1375" s="19"/>
      <c r="BJ1375" s="19"/>
      <c r="BK1375" s="19"/>
      <c r="BL1375" s="19"/>
      <c r="BM1375" s="19"/>
      <c r="BN1375" s="19">
        <v>26.9</v>
      </c>
      <c r="BO1375" s="19"/>
      <c r="BP1375" s="19"/>
      <c r="BQ1375" s="19"/>
      <c r="BR1375" s="19"/>
      <c r="BS1375" s="19"/>
      <c r="BT1375" s="19"/>
      <c r="BU1375" s="19"/>
      <c r="BV1375" s="19"/>
      <c r="BW1375" s="19"/>
      <c r="BX1375" s="19"/>
      <c r="BY1375" s="19"/>
      <c r="BZ1375" s="19"/>
      <c r="CA1375" s="19"/>
      <c r="CE137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75" s="19">
        <f>SUM(Table1[[#This Row],[Mid39]],Table1[[#This Row],[Mid36]],Table1[[#This Row],[Mid33]],Table1[[#This Row],[Mid30]],Table1[[#This Row],[Mid27]],Table1[[#This Row],[Mid24]],Table1[[#This Row],[Mid21]],Table1[[#This Row],[Mid18]],Table1[[#This Row],[Mid15]],Table1[[#This Row],[Mid12]],Table1[[#This Row],[Mid9]],Table1[[#This Row],[Mid6]],Table1[[#This Row],[Mid3]],Table1[[#This Row],[Mid]])</f>
        <v>26.9</v>
      </c>
      <c r="CG137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75" s="35" t="s">
        <v>189</v>
      </c>
      <c r="CJ1375" t="s">
        <v>157</v>
      </c>
      <c r="CL1375" s="19">
        <f>IF(Table1[[#This Row],[Type]]="Petroleum",1,IF(ISERROR(Table1[[#This Row],[Well Density]]*Table1[[#This Row],[Single Well Discovery Area]]),"",IF(Table1[[#This Row],[Well Density]]*Table1[[#This Row],[Single Well Discovery Area]]&gt;1,1,Table1[[#This Row],[Well Density]]*Table1[[#This Row],[Single Well Discovery Area]])))</f>
        <v>1</v>
      </c>
      <c r="CM1375" t="s">
        <v>158</v>
      </c>
      <c r="CN1375" s="19">
        <f>Table1[[#This Row],[Mid]]</f>
        <v>0</v>
      </c>
      <c r="CO1375" s="19">
        <f>Table1[[#This Row],[Mid3]]+Table1[[#This Row],[Mid6]]+Table1[[#This Row],[Mid9]]</f>
        <v>0</v>
      </c>
      <c r="CP1375" s="19">
        <f>Table1[[#This Row],[Mid12]]+Table1[[#This Row],[Mid15]]+Table1[[#This Row],[Mid18]]+Table1[[#This Row],[Mid21]]+Table1[[#This Row],[Mid24]]</f>
        <v>26.9</v>
      </c>
      <c r="CQ1375" s="19">
        <f>Table1[[#This Row],[Mid27]]+Table1[[#This Row],[Mid30]]+Table1[[#This Row],[Mid33]]+Table1[[#This Row],[Mid36]]+Table1[[#This Row],[Mid39]]</f>
        <v>0</v>
      </c>
      <c r="CR1375" t="s">
        <v>471</v>
      </c>
      <c r="CS1375" s="19" t="str">
        <f>IF(AND(Table1[[#This Row],[Low41]]=0, Table1[[#This Row],[High43]]=0),"N","Y")</f>
        <v>N</v>
      </c>
    </row>
    <row r="1376" spans="1:97" ht="19.5" customHeight="1" x14ac:dyDescent="0.25">
      <c r="A1376">
        <v>11378</v>
      </c>
      <c r="B1376" s="32" t="s">
        <v>4214</v>
      </c>
      <c r="C1376" s="32" t="s">
        <v>4223</v>
      </c>
      <c r="D1376">
        <v>11.231059999999999</v>
      </c>
      <c r="E1376">
        <v>-61.524439999999998</v>
      </c>
      <c r="F1376" t="s">
        <v>4237</v>
      </c>
      <c r="G1376" t="s">
        <v>4225</v>
      </c>
      <c r="H1376" t="s">
        <v>252</v>
      </c>
      <c r="I1376" s="32" t="s">
        <v>2245</v>
      </c>
      <c r="J1376" s="32" t="s">
        <v>202</v>
      </c>
      <c r="K1376" s="32" t="s">
        <v>203</v>
      </c>
      <c r="L1376" s="32" t="s">
        <v>121</v>
      </c>
      <c r="M1376" t="s">
        <v>252</v>
      </c>
      <c r="N1376" s="27" t="s">
        <v>4218</v>
      </c>
      <c r="O1376" t="s">
        <v>2652</v>
      </c>
      <c r="P1376" t="s">
        <v>2652</v>
      </c>
      <c r="Q1376" s="6" t="s">
        <v>4219</v>
      </c>
      <c r="R1376" s="32" t="s">
        <v>4220</v>
      </c>
      <c r="S1376">
        <v>2013</v>
      </c>
      <c r="T1376" t="s">
        <v>3959</v>
      </c>
      <c r="U1376" t="s">
        <v>4221</v>
      </c>
      <c r="W1376" s="7">
        <v>2332</v>
      </c>
      <c r="AC1376" s="7"/>
      <c r="AD1376" s="7"/>
      <c r="AH1376" t="s">
        <v>4222</v>
      </c>
      <c r="AI1376" s="34"/>
      <c r="AM1376" s="21"/>
      <c r="AO1376" s="19"/>
      <c r="AP1376" s="19"/>
      <c r="AQ1376" s="19"/>
      <c r="AR1376" s="19"/>
      <c r="AS1376" s="19"/>
      <c r="AT1376" s="19"/>
      <c r="AU1376" s="19"/>
      <c r="AV1376" s="19"/>
      <c r="AW1376" s="19"/>
      <c r="AX1376" s="19"/>
      <c r="AY1376" s="19"/>
      <c r="AZ1376" s="19"/>
      <c r="BA1376" s="19"/>
      <c r="BB1376" s="19"/>
      <c r="BC1376" s="19"/>
      <c r="BD1376" s="19"/>
      <c r="BE1376" s="19"/>
      <c r="BF1376" s="19"/>
      <c r="BG1376" s="19"/>
      <c r="BH1376" s="19"/>
      <c r="BI1376" s="19"/>
      <c r="BJ1376" s="19"/>
      <c r="BK1376" s="19"/>
      <c r="BL1376" s="19"/>
      <c r="BM1376" s="19"/>
      <c r="BN1376" s="19">
        <v>41.3</v>
      </c>
      <c r="BO1376" s="19"/>
      <c r="BP1376" s="19"/>
      <c r="BQ1376" s="19"/>
      <c r="BR1376" s="19"/>
      <c r="BS1376" s="19"/>
      <c r="BT1376" s="19"/>
      <c r="BU1376" s="19"/>
      <c r="BV1376" s="19"/>
      <c r="BW1376" s="19"/>
      <c r="BX1376" s="19"/>
      <c r="BY1376" s="19"/>
      <c r="BZ1376" s="19"/>
      <c r="CA1376" s="19"/>
      <c r="CB1376" s="19"/>
      <c r="CC1376" s="19"/>
      <c r="CD1376" s="19"/>
      <c r="CE137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76" s="19">
        <f>SUM(Table1[[#This Row],[Mid39]],Table1[[#This Row],[Mid36]],Table1[[#This Row],[Mid33]],Table1[[#This Row],[Mid30]],Table1[[#This Row],[Mid27]],Table1[[#This Row],[Mid24]],Table1[[#This Row],[Mid21]],Table1[[#This Row],[Mid18]],Table1[[#This Row],[Mid15]],Table1[[#This Row],[Mid12]],Table1[[#This Row],[Mid9]],Table1[[#This Row],[Mid6]],Table1[[#This Row],[Mid3]],Table1[[#This Row],[Mid]])</f>
        <v>41.3</v>
      </c>
      <c r="CG137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76" s="35" t="s">
        <v>189</v>
      </c>
      <c r="CJ1376" t="s">
        <v>157</v>
      </c>
      <c r="CL1376" s="19">
        <f>IF(Table1[[#This Row],[Type]]="Petroleum",1,IF(ISERROR(Table1[[#This Row],[Well Density]]*Table1[[#This Row],[Single Well Discovery Area]]),"",IF(Table1[[#This Row],[Well Density]]*Table1[[#This Row],[Single Well Discovery Area]]&gt;1,1,Table1[[#This Row],[Well Density]]*Table1[[#This Row],[Single Well Discovery Area]])))</f>
        <v>1</v>
      </c>
      <c r="CM1376" t="s">
        <v>135</v>
      </c>
      <c r="CN1376" s="19">
        <f>Table1[[#This Row],[Mid]]</f>
        <v>0</v>
      </c>
      <c r="CO1376" s="19">
        <f>Table1[[#This Row],[Mid3]]+Table1[[#This Row],[Mid6]]+Table1[[#This Row],[Mid9]]</f>
        <v>0</v>
      </c>
      <c r="CP1376" s="19">
        <f>Table1[[#This Row],[Mid12]]+Table1[[#This Row],[Mid15]]+Table1[[#This Row],[Mid18]]+Table1[[#This Row],[Mid21]]+Table1[[#This Row],[Mid24]]</f>
        <v>41.3</v>
      </c>
      <c r="CQ1376" s="19">
        <f>Table1[[#This Row],[Mid27]]+Table1[[#This Row],[Mid30]]+Table1[[#This Row],[Mid33]]+Table1[[#This Row],[Mid36]]+Table1[[#This Row],[Mid39]]</f>
        <v>0</v>
      </c>
      <c r="CR1376" t="s">
        <v>471</v>
      </c>
      <c r="CS1376" s="19" t="str">
        <f>IF(AND(Table1[[#This Row],[Low41]]=0, Table1[[#This Row],[High43]]=0),"N","Y")</f>
        <v>N</v>
      </c>
    </row>
    <row r="1377" spans="1:97" ht="19.5" customHeight="1" x14ac:dyDescent="0.25">
      <c r="A1377">
        <v>11379</v>
      </c>
      <c r="B1377" s="32" t="s">
        <v>4214</v>
      </c>
      <c r="C1377" t="s">
        <v>4223</v>
      </c>
      <c r="D1377">
        <v>11.6526</v>
      </c>
      <c r="E1377">
        <v>-60.606900000000003</v>
      </c>
      <c r="F1377" s="32" t="s">
        <v>4238</v>
      </c>
      <c r="G1377" t="s">
        <v>4225</v>
      </c>
      <c r="H1377" t="s">
        <v>252</v>
      </c>
      <c r="I1377" s="32" t="s">
        <v>2245</v>
      </c>
      <c r="J1377" s="32" t="s">
        <v>202</v>
      </c>
      <c r="K1377" s="32" t="s">
        <v>203</v>
      </c>
      <c r="L1377" s="32" t="s">
        <v>121</v>
      </c>
      <c r="M1377" t="s">
        <v>252</v>
      </c>
      <c r="N1377" s="6" t="s">
        <v>4218</v>
      </c>
      <c r="O1377" t="s">
        <v>2652</v>
      </c>
      <c r="P1377" t="s">
        <v>2652</v>
      </c>
      <c r="Q1377" s="6" t="s">
        <v>4219</v>
      </c>
      <c r="R1377" s="32" t="s">
        <v>4220</v>
      </c>
      <c r="S1377">
        <v>2013</v>
      </c>
      <c r="T1377" t="s">
        <v>3959</v>
      </c>
      <c r="U1377" t="s">
        <v>4221</v>
      </c>
      <c r="W1377" s="7">
        <v>1848</v>
      </c>
      <c r="AC1377" s="7"/>
      <c r="AD1377" s="7"/>
      <c r="AH1377" t="s">
        <v>4222</v>
      </c>
      <c r="AI1377" s="34"/>
      <c r="AM1377" s="21"/>
      <c r="AO1377" s="19"/>
      <c r="AP1377" s="19"/>
      <c r="AQ1377" s="19"/>
      <c r="AR1377" s="19"/>
      <c r="AS1377" s="19"/>
      <c r="AT1377" s="19"/>
      <c r="AU1377" s="19"/>
      <c r="AV1377" s="19"/>
      <c r="AW1377" s="19"/>
      <c r="AX1377" s="19"/>
      <c r="AY1377" s="19"/>
      <c r="AZ1377" s="19"/>
      <c r="BA1377" s="19"/>
      <c r="BB1377" s="19"/>
      <c r="BC1377" s="19"/>
      <c r="BD1377" s="19"/>
      <c r="BE1377" s="19"/>
      <c r="BF1377" s="19"/>
      <c r="BG1377" s="19"/>
      <c r="BH1377" s="19"/>
      <c r="BI1377" s="19"/>
      <c r="BJ1377" s="19"/>
      <c r="BK1377" s="19"/>
      <c r="BL1377" s="19"/>
      <c r="BM1377" s="19"/>
      <c r="BN1377" s="19">
        <v>20.5</v>
      </c>
      <c r="BO1377" s="19"/>
      <c r="BP1377" s="19"/>
      <c r="BQ1377" s="19"/>
      <c r="BR1377" s="19"/>
      <c r="BS1377" s="19"/>
      <c r="BT1377" s="19"/>
      <c r="BU1377" s="19"/>
      <c r="BV1377" s="19"/>
      <c r="BW1377" s="19"/>
      <c r="BX1377" s="19"/>
      <c r="BY1377" s="19"/>
      <c r="BZ1377" s="19"/>
      <c r="CA1377" s="19"/>
      <c r="CB1377" s="19"/>
      <c r="CC1377" s="19"/>
      <c r="CD1377" s="19"/>
      <c r="CE137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77" s="19">
        <f>SUM(Table1[[#This Row],[Mid39]],Table1[[#This Row],[Mid36]],Table1[[#This Row],[Mid33]],Table1[[#This Row],[Mid30]],Table1[[#This Row],[Mid27]],Table1[[#This Row],[Mid24]],Table1[[#This Row],[Mid21]],Table1[[#This Row],[Mid18]],Table1[[#This Row],[Mid15]],Table1[[#This Row],[Mid12]],Table1[[#This Row],[Mid9]],Table1[[#This Row],[Mid6]],Table1[[#This Row],[Mid3]],Table1[[#This Row],[Mid]])</f>
        <v>20.5</v>
      </c>
      <c r="CG137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77" s="35" t="s">
        <v>189</v>
      </c>
      <c r="CJ1377" t="s">
        <v>157</v>
      </c>
      <c r="CL1377" s="19">
        <f>IF(Table1[[#This Row],[Type]]="Petroleum",1,IF(ISERROR(Table1[[#This Row],[Well Density]]*Table1[[#This Row],[Single Well Discovery Area]]),"",IF(Table1[[#This Row],[Well Density]]*Table1[[#This Row],[Single Well Discovery Area]]&gt;1,1,Table1[[#This Row],[Well Density]]*Table1[[#This Row],[Single Well Discovery Area]])))</f>
        <v>1</v>
      </c>
      <c r="CM1377" t="s">
        <v>158</v>
      </c>
      <c r="CN1377" s="19">
        <f>Table1[[#This Row],[Mid]]</f>
        <v>0</v>
      </c>
      <c r="CO1377" s="19">
        <f>Table1[[#This Row],[Mid3]]+Table1[[#This Row],[Mid6]]+Table1[[#This Row],[Mid9]]</f>
        <v>0</v>
      </c>
      <c r="CP1377" s="19">
        <f>Table1[[#This Row],[Mid12]]+Table1[[#This Row],[Mid15]]+Table1[[#This Row],[Mid18]]+Table1[[#This Row],[Mid21]]+Table1[[#This Row],[Mid24]]</f>
        <v>20.5</v>
      </c>
      <c r="CQ1377" s="19">
        <f>Table1[[#This Row],[Mid27]]+Table1[[#This Row],[Mid30]]+Table1[[#This Row],[Mid33]]+Table1[[#This Row],[Mid36]]+Table1[[#This Row],[Mid39]]</f>
        <v>0</v>
      </c>
      <c r="CR1377" t="s">
        <v>471</v>
      </c>
      <c r="CS1377" s="19" t="str">
        <f>IF(AND(Table1[[#This Row],[Low41]]=0, Table1[[#This Row],[High43]]=0),"N","Y")</f>
        <v>N</v>
      </c>
    </row>
    <row r="1378" spans="1:97" ht="19.5" customHeight="1" x14ac:dyDescent="0.25">
      <c r="A1378">
        <v>11380</v>
      </c>
      <c r="B1378" s="32" t="s">
        <v>4214</v>
      </c>
      <c r="C1378" s="32" t="s">
        <v>4239</v>
      </c>
      <c r="D1378">
        <v>10.18411</v>
      </c>
      <c r="E1378">
        <v>-61.917400000000001</v>
      </c>
      <c r="F1378" s="32" t="s">
        <v>4240</v>
      </c>
      <c r="G1378" t="s">
        <v>4232</v>
      </c>
      <c r="H1378" t="s">
        <v>252</v>
      </c>
      <c r="I1378" s="32" t="s">
        <v>582</v>
      </c>
      <c r="J1378" s="32" t="s">
        <v>202</v>
      </c>
      <c r="K1378" s="32" t="s">
        <v>203</v>
      </c>
      <c r="L1378" s="32" t="s">
        <v>121</v>
      </c>
      <c r="M1378" t="s">
        <v>252</v>
      </c>
      <c r="N1378" s="6" t="s">
        <v>4241</v>
      </c>
      <c r="O1378" t="s">
        <v>2652</v>
      </c>
      <c r="P1378" t="s">
        <v>2652</v>
      </c>
      <c r="Q1378" s="27" t="s">
        <v>4219</v>
      </c>
      <c r="R1378" s="32" t="s">
        <v>4242</v>
      </c>
      <c r="S1378">
        <v>2023</v>
      </c>
      <c r="T1378" t="s">
        <v>3959</v>
      </c>
      <c r="U1378" t="s">
        <v>4221</v>
      </c>
      <c r="W1378" s="7"/>
      <c r="AC1378" s="7"/>
      <c r="AD1378" s="7"/>
      <c r="AH1378" t="s">
        <v>4235</v>
      </c>
      <c r="AI1378" s="34"/>
      <c r="AM1378" s="21"/>
      <c r="AO1378" s="19"/>
      <c r="AP1378" s="19"/>
      <c r="AQ1378" s="19"/>
      <c r="AR1378" s="19"/>
      <c r="AS1378" s="19"/>
      <c r="AT1378" s="19"/>
      <c r="AU1378" s="19"/>
      <c r="AV1378" s="19"/>
      <c r="AW1378" s="19"/>
      <c r="AX1378" s="19"/>
      <c r="AY1378" s="19"/>
      <c r="AZ1378" s="19"/>
      <c r="BA1378" s="19"/>
      <c r="BB1378" s="19"/>
      <c r="BC1378" s="19"/>
      <c r="BD1378" s="19"/>
      <c r="BE1378" s="19"/>
      <c r="BF1378" s="19"/>
      <c r="BG1378" s="19"/>
      <c r="BH1378" s="19"/>
      <c r="BI1378" s="19"/>
      <c r="BJ1378" s="19"/>
      <c r="BK1378" s="19"/>
      <c r="BL1378" s="19"/>
      <c r="BM1378" s="19"/>
      <c r="BN1378" s="19">
        <v>29.968</v>
      </c>
      <c r="BO1378" s="19"/>
      <c r="BP1378" s="19"/>
      <c r="BQ1378" s="19"/>
      <c r="BR1378" s="19"/>
      <c r="BS1378" s="19"/>
      <c r="BT1378" s="19"/>
      <c r="BU1378" s="19"/>
      <c r="BV1378" s="19"/>
      <c r="BW1378" s="19"/>
      <c r="BX1378" s="19"/>
      <c r="BY1378" s="19"/>
      <c r="BZ1378" s="19"/>
      <c r="CA1378" s="19"/>
      <c r="CE137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78" s="19">
        <f>SUM(Table1[[#This Row],[Mid39]],Table1[[#This Row],[Mid36]],Table1[[#This Row],[Mid33]],Table1[[#This Row],[Mid30]],Table1[[#This Row],[Mid27]],Table1[[#This Row],[Mid24]],Table1[[#This Row],[Mid21]],Table1[[#This Row],[Mid18]],Table1[[#This Row],[Mid15]],Table1[[#This Row],[Mid12]],Table1[[#This Row],[Mid9]],Table1[[#This Row],[Mid6]],Table1[[#This Row],[Mid3]],Table1[[#This Row],[Mid]])</f>
        <v>29.968</v>
      </c>
      <c r="CG137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78" s="35" t="s">
        <v>189</v>
      </c>
      <c r="CJ1378" t="s">
        <v>157</v>
      </c>
      <c r="CL1378" s="19">
        <f>IF(Table1[[#This Row],[Type]]="Petroleum",1,IF(ISERROR(Table1[[#This Row],[Well Density]]*Table1[[#This Row],[Single Well Discovery Area]]),"",IF(Table1[[#This Row],[Well Density]]*Table1[[#This Row],[Single Well Discovery Area]]&gt;1,1,Table1[[#This Row],[Well Density]]*Table1[[#This Row],[Single Well Discovery Area]])))</f>
        <v>1</v>
      </c>
      <c r="CM1378" t="s">
        <v>158</v>
      </c>
      <c r="CN1378" s="19">
        <f>Table1[[#This Row],[Mid]]</f>
        <v>0</v>
      </c>
      <c r="CO1378" s="19">
        <f>Table1[[#This Row],[Mid3]]+Table1[[#This Row],[Mid6]]+Table1[[#This Row],[Mid9]]</f>
        <v>0</v>
      </c>
      <c r="CP1378" s="19">
        <f>Table1[[#This Row],[Mid12]]+Table1[[#This Row],[Mid15]]+Table1[[#This Row],[Mid18]]+Table1[[#This Row],[Mid21]]+Table1[[#This Row],[Mid24]]</f>
        <v>29.968</v>
      </c>
      <c r="CQ1378" s="19">
        <f>Table1[[#This Row],[Mid27]]+Table1[[#This Row],[Mid30]]+Table1[[#This Row],[Mid33]]+Table1[[#This Row],[Mid36]]+Table1[[#This Row],[Mid39]]</f>
        <v>0</v>
      </c>
      <c r="CR1378" t="s">
        <v>471</v>
      </c>
      <c r="CS1378" s="19" t="str">
        <f>IF(AND(Table1[[#This Row],[Low41]]=0, Table1[[#This Row],[High43]]=0),"N","Y")</f>
        <v>N</v>
      </c>
    </row>
    <row r="1379" spans="1:97" ht="19.5" customHeight="1" x14ac:dyDescent="0.25">
      <c r="A1379">
        <v>11381</v>
      </c>
      <c r="B1379" t="s">
        <v>4214</v>
      </c>
      <c r="C1379" t="s">
        <v>4239</v>
      </c>
      <c r="D1379">
        <v>10.24174</v>
      </c>
      <c r="E1379">
        <v>-61.901580000000003</v>
      </c>
      <c r="F1379" t="s">
        <v>4243</v>
      </c>
      <c r="G1379" t="s">
        <v>4232</v>
      </c>
      <c r="H1379" t="s">
        <v>252</v>
      </c>
      <c r="I1379" t="s">
        <v>582</v>
      </c>
      <c r="J1379" t="s">
        <v>202</v>
      </c>
      <c r="K1379" t="s">
        <v>203</v>
      </c>
      <c r="L1379" t="s">
        <v>121</v>
      </c>
      <c r="M1379" t="s">
        <v>252</v>
      </c>
      <c r="N1379" s="6" t="s">
        <v>4241</v>
      </c>
      <c r="O1379" t="s">
        <v>2652</v>
      </c>
      <c r="P1379" t="s">
        <v>2652</v>
      </c>
      <c r="Q1379" t="s">
        <v>4219</v>
      </c>
      <c r="R1379" t="s">
        <v>4244</v>
      </c>
      <c r="S1379">
        <v>2023</v>
      </c>
      <c r="T1379" t="s">
        <v>3959</v>
      </c>
      <c r="U1379" t="s">
        <v>4221</v>
      </c>
      <c r="V1379"/>
      <c r="AH1379" t="s">
        <v>4235</v>
      </c>
      <c r="BN1379">
        <v>46.29</v>
      </c>
      <c r="CE137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79" s="19">
        <f>SUM(Table1[[#This Row],[Mid39]],Table1[[#This Row],[Mid36]],Table1[[#This Row],[Mid33]],Table1[[#This Row],[Mid30]],Table1[[#This Row],[Mid27]],Table1[[#This Row],[Mid24]],Table1[[#This Row],[Mid21]],Table1[[#This Row],[Mid18]],Table1[[#This Row],[Mid15]],Table1[[#This Row],[Mid12]],Table1[[#This Row],[Mid9]],Table1[[#This Row],[Mid6]],Table1[[#This Row],[Mid3]],Table1[[#This Row],[Mid]])</f>
        <v>46.29</v>
      </c>
      <c r="CG137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79" s="35" t="s">
        <v>189</v>
      </c>
      <c r="CJ1379" t="s">
        <v>157</v>
      </c>
      <c r="CL1379" s="19">
        <f>IF(Table1[[#This Row],[Type]]="Petroleum",1,IF(ISERROR(Table1[[#This Row],[Well Density]]*Table1[[#This Row],[Single Well Discovery Area]]),"",IF(Table1[[#This Row],[Well Density]]*Table1[[#This Row],[Single Well Discovery Area]]&gt;1,1,Table1[[#This Row],[Well Density]]*Table1[[#This Row],[Single Well Discovery Area]])))</f>
        <v>1</v>
      </c>
      <c r="CM1379" t="s">
        <v>158</v>
      </c>
      <c r="CN1379" s="19">
        <f>Table1[[#This Row],[Mid]]</f>
        <v>0</v>
      </c>
      <c r="CO1379" s="19">
        <f>Table1[[#This Row],[Mid3]]+Table1[[#This Row],[Mid6]]+Table1[[#This Row],[Mid9]]</f>
        <v>0</v>
      </c>
      <c r="CP1379" s="19">
        <f>Table1[[#This Row],[Mid12]]+Table1[[#This Row],[Mid15]]+Table1[[#This Row],[Mid18]]+Table1[[#This Row],[Mid21]]+Table1[[#This Row],[Mid24]]</f>
        <v>46.29</v>
      </c>
      <c r="CQ1379" s="19">
        <f>Table1[[#This Row],[Mid27]]+Table1[[#This Row],[Mid30]]+Table1[[#This Row],[Mid33]]+Table1[[#This Row],[Mid36]]+Table1[[#This Row],[Mid39]]</f>
        <v>0</v>
      </c>
      <c r="CR1379" t="s">
        <v>471</v>
      </c>
      <c r="CS1379" s="19" t="str">
        <f>IF(AND(Table1[[#This Row],[Low41]]=0, Table1[[#This Row],[High43]]=0),"N","Y")</f>
        <v>N</v>
      </c>
    </row>
    <row r="1380" spans="1:97" ht="19.5" customHeight="1" x14ac:dyDescent="0.25">
      <c r="A1380">
        <v>11382</v>
      </c>
      <c r="B1380" t="s">
        <v>4214</v>
      </c>
      <c r="C1380" t="s">
        <v>4245</v>
      </c>
      <c r="D1380">
        <v>10.186299999999999</v>
      </c>
      <c r="E1380">
        <v>-61.269599999999997</v>
      </c>
      <c r="F1380" t="s">
        <v>4246</v>
      </c>
      <c r="G1380" t="s">
        <v>4232</v>
      </c>
      <c r="H1380" t="s">
        <v>252</v>
      </c>
      <c r="I1380" t="s">
        <v>582</v>
      </c>
      <c r="J1380" t="s">
        <v>202</v>
      </c>
      <c r="K1380" t="s">
        <v>203</v>
      </c>
      <c r="L1380" t="s">
        <v>121</v>
      </c>
      <c r="M1380" t="s">
        <v>252</v>
      </c>
      <c r="N1380" s="6" t="s">
        <v>4241</v>
      </c>
      <c r="O1380" t="s">
        <v>2652</v>
      </c>
      <c r="P1380" t="s">
        <v>2652</v>
      </c>
      <c r="Q1380" t="s">
        <v>4219</v>
      </c>
      <c r="R1380" t="s">
        <v>4247</v>
      </c>
      <c r="S1380">
        <v>2023</v>
      </c>
      <c r="T1380" t="s">
        <v>3959</v>
      </c>
      <c r="U1380" t="s">
        <v>4221</v>
      </c>
      <c r="V1380"/>
      <c r="W1380" t="s">
        <v>4248</v>
      </c>
      <c r="AH1380" t="s">
        <v>4235</v>
      </c>
      <c r="BN1380">
        <v>10.925000000000001</v>
      </c>
      <c r="CE138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80" s="19">
        <f>SUM(Table1[[#This Row],[Mid39]],Table1[[#This Row],[Mid36]],Table1[[#This Row],[Mid33]],Table1[[#This Row],[Mid30]],Table1[[#This Row],[Mid27]],Table1[[#This Row],[Mid24]],Table1[[#This Row],[Mid21]],Table1[[#This Row],[Mid18]],Table1[[#This Row],[Mid15]],Table1[[#This Row],[Mid12]],Table1[[#This Row],[Mid9]],Table1[[#This Row],[Mid6]],Table1[[#This Row],[Mid3]],Table1[[#This Row],[Mid]])</f>
        <v>10.925000000000001</v>
      </c>
      <c r="CG138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80" s="35" t="s">
        <v>189</v>
      </c>
      <c r="CJ1380" t="s">
        <v>157</v>
      </c>
      <c r="CL1380" s="19">
        <f>IF(Table1[[#This Row],[Type]]="Petroleum",1,IF(ISERROR(Table1[[#This Row],[Well Density]]*Table1[[#This Row],[Single Well Discovery Area]]),"",IF(Table1[[#This Row],[Well Density]]*Table1[[#This Row],[Single Well Discovery Area]]&gt;1,1,Table1[[#This Row],[Well Density]]*Table1[[#This Row],[Single Well Discovery Area]])))</f>
        <v>1</v>
      </c>
      <c r="CM1380" t="s">
        <v>158</v>
      </c>
      <c r="CN1380" s="19">
        <f>Table1[[#This Row],[Mid]]</f>
        <v>0</v>
      </c>
      <c r="CO1380" s="19">
        <f>Table1[[#This Row],[Mid3]]+Table1[[#This Row],[Mid6]]+Table1[[#This Row],[Mid9]]</f>
        <v>0</v>
      </c>
      <c r="CP1380" s="19">
        <f>Table1[[#This Row],[Mid12]]+Table1[[#This Row],[Mid15]]+Table1[[#This Row],[Mid18]]+Table1[[#This Row],[Mid21]]+Table1[[#This Row],[Mid24]]</f>
        <v>10.925000000000001</v>
      </c>
      <c r="CQ1380" s="19">
        <f>Table1[[#This Row],[Mid27]]+Table1[[#This Row],[Mid30]]+Table1[[#This Row],[Mid33]]+Table1[[#This Row],[Mid36]]+Table1[[#This Row],[Mid39]]</f>
        <v>0</v>
      </c>
      <c r="CR1380" t="s">
        <v>471</v>
      </c>
      <c r="CS1380" s="19" t="str">
        <f>IF(AND(Table1[[#This Row],[Low41]]=0, Table1[[#This Row],[High43]]=0),"N","Y")</f>
        <v>N</v>
      </c>
    </row>
    <row r="1381" spans="1:97" ht="19.5" customHeight="1" x14ac:dyDescent="0.25">
      <c r="A1381">
        <v>11383</v>
      </c>
      <c r="B1381" t="s">
        <v>4214</v>
      </c>
      <c r="C1381" t="s">
        <v>4249</v>
      </c>
      <c r="D1381">
        <v>10.1576</v>
      </c>
      <c r="E1381">
        <v>-61.492199999999997</v>
      </c>
      <c r="F1381" t="s">
        <v>4250</v>
      </c>
      <c r="G1381" t="s">
        <v>4232</v>
      </c>
      <c r="H1381" t="s">
        <v>252</v>
      </c>
      <c r="I1381" t="s">
        <v>582</v>
      </c>
      <c r="J1381" t="s">
        <v>202</v>
      </c>
      <c r="K1381" t="s">
        <v>203</v>
      </c>
      <c r="L1381" t="s">
        <v>121</v>
      </c>
      <c r="M1381" t="s">
        <v>252</v>
      </c>
      <c r="N1381" s="6" t="s">
        <v>4251</v>
      </c>
      <c r="O1381" t="s">
        <v>2652</v>
      </c>
      <c r="P1381" t="s">
        <v>2652</v>
      </c>
      <c r="Q1381" t="s">
        <v>4219</v>
      </c>
      <c r="R1381" t="s">
        <v>4252</v>
      </c>
      <c r="S1381">
        <v>2024</v>
      </c>
      <c r="T1381" t="s">
        <v>3959</v>
      </c>
      <c r="U1381" t="s">
        <v>4221</v>
      </c>
      <c r="V1381"/>
      <c r="AH1381" t="s">
        <v>4235</v>
      </c>
      <c r="BN1381">
        <v>92.1</v>
      </c>
      <c r="CE138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81" s="19">
        <f>SUM(Table1[[#This Row],[Mid39]],Table1[[#This Row],[Mid36]],Table1[[#This Row],[Mid33]],Table1[[#This Row],[Mid30]],Table1[[#This Row],[Mid27]],Table1[[#This Row],[Mid24]],Table1[[#This Row],[Mid21]],Table1[[#This Row],[Mid18]],Table1[[#This Row],[Mid15]],Table1[[#This Row],[Mid12]],Table1[[#This Row],[Mid9]],Table1[[#This Row],[Mid6]],Table1[[#This Row],[Mid3]],Table1[[#This Row],[Mid]])</f>
        <v>92.1</v>
      </c>
      <c r="CG138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81" s="35" t="s">
        <v>189</v>
      </c>
      <c r="CJ1381" t="s">
        <v>157</v>
      </c>
      <c r="CL1381" s="19">
        <f>IF(Table1[[#This Row],[Type]]="Petroleum",1,IF(ISERROR(Table1[[#This Row],[Well Density]]*Table1[[#This Row],[Single Well Discovery Area]]),"",IF(Table1[[#This Row],[Well Density]]*Table1[[#This Row],[Single Well Discovery Area]]&gt;1,1,Table1[[#This Row],[Well Density]]*Table1[[#This Row],[Single Well Discovery Area]])))</f>
        <v>1</v>
      </c>
      <c r="CM1381" t="s">
        <v>158</v>
      </c>
      <c r="CN1381" s="19">
        <f>Table1[[#This Row],[Mid]]</f>
        <v>0</v>
      </c>
      <c r="CO1381" s="19">
        <f>Table1[[#This Row],[Mid3]]+Table1[[#This Row],[Mid6]]+Table1[[#This Row],[Mid9]]</f>
        <v>0</v>
      </c>
      <c r="CP1381" s="19">
        <f>Table1[[#This Row],[Mid12]]+Table1[[#This Row],[Mid15]]+Table1[[#This Row],[Mid18]]+Table1[[#This Row],[Mid21]]+Table1[[#This Row],[Mid24]]</f>
        <v>92.1</v>
      </c>
      <c r="CQ1381" s="19">
        <f>Table1[[#This Row],[Mid27]]+Table1[[#This Row],[Mid30]]+Table1[[#This Row],[Mid33]]+Table1[[#This Row],[Mid36]]+Table1[[#This Row],[Mid39]]</f>
        <v>0</v>
      </c>
      <c r="CR1381" t="s">
        <v>471</v>
      </c>
      <c r="CS1381" s="19" t="str">
        <f>IF(AND(Table1[[#This Row],[Low41]]=0, Table1[[#This Row],[High43]]=0),"N","Y")</f>
        <v>N</v>
      </c>
    </row>
    <row r="1382" spans="1:97" ht="19.5" customHeight="1" x14ac:dyDescent="0.25">
      <c r="A1382">
        <v>11384</v>
      </c>
      <c r="B1382" t="s">
        <v>4214</v>
      </c>
      <c r="C1382" t="s">
        <v>4245</v>
      </c>
      <c r="D1382">
        <v>10.205270000000001</v>
      </c>
      <c r="E1382">
        <v>-61.273350000000001</v>
      </c>
      <c r="F1382" t="s">
        <v>4253</v>
      </c>
      <c r="G1382" t="s">
        <v>4232</v>
      </c>
      <c r="H1382" t="s">
        <v>4254</v>
      </c>
      <c r="I1382" t="s">
        <v>2245</v>
      </c>
      <c r="J1382" t="s">
        <v>202</v>
      </c>
      <c r="K1382" t="s">
        <v>203</v>
      </c>
      <c r="L1382" t="s">
        <v>121</v>
      </c>
      <c r="M1382" t="s">
        <v>252</v>
      </c>
      <c r="N1382" s="6" t="s">
        <v>4255</v>
      </c>
      <c r="O1382" t="s">
        <v>2652</v>
      </c>
      <c r="P1382" t="s">
        <v>2652</v>
      </c>
      <c r="Q1382" t="s">
        <v>4219</v>
      </c>
      <c r="R1382" t="s">
        <v>4256</v>
      </c>
      <c r="S1382">
        <v>2024</v>
      </c>
      <c r="T1382" t="s">
        <v>3959</v>
      </c>
      <c r="U1382" t="s">
        <v>4221</v>
      </c>
      <c r="V1382"/>
      <c r="AH1382" t="s">
        <v>4257</v>
      </c>
      <c r="AI1382">
        <v>70</v>
      </c>
      <c r="BN1382">
        <v>15.117000000000001</v>
      </c>
      <c r="CC1382">
        <v>0.66</v>
      </c>
      <c r="CE138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82" s="19">
        <f>SUM(Table1[[#This Row],[Mid39]],Table1[[#This Row],[Mid36]],Table1[[#This Row],[Mid33]],Table1[[#This Row],[Mid30]],Table1[[#This Row],[Mid27]],Table1[[#This Row],[Mid24]],Table1[[#This Row],[Mid21]],Table1[[#This Row],[Mid18]],Table1[[#This Row],[Mid15]],Table1[[#This Row],[Mid12]],Table1[[#This Row],[Mid9]],Table1[[#This Row],[Mid6]],Table1[[#This Row],[Mid3]],Table1[[#This Row],[Mid]])</f>
        <v>15.777000000000001</v>
      </c>
      <c r="CG138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82" s="35" t="s">
        <v>189</v>
      </c>
      <c r="CJ1382" t="s">
        <v>157</v>
      </c>
      <c r="CL1382" s="19">
        <f>IF(Table1[[#This Row],[Type]]="Petroleum",1,IF(ISERROR(Table1[[#This Row],[Well Density]]*Table1[[#This Row],[Single Well Discovery Area]]),"",IF(Table1[[#This Row],[Well Density]]*Table1[[#This Row],[Single Well Discovery Area]]&gt;1,1,Table1[[#This Row],[Well Density]]*Table1[[#This Row],[Single Well Discovery Area]])))</f>
        <v>1</v>
      </c>
      <c r="CM1382" t="s">
        <v>135</v>
      </c>
      <c r="CN1382" s="19">
        <f>Table1[[#This Row],[Mid]]</f>
        <v>0</v>
      </c>
      <c r="CO1382" s="19">
        <f>Table1[[#This Row],[Mid3]]+Table1[[#This Row],[Mid6]]+Table1[[#This Row],[Mid9]]</f>
        <v>0</v>
      </c>
      <c r="CP1382" s="19">
        <f>Table1[[#This Row],[Mid12]]+Table1[[#This Row],[Mid15]]+Table1[[#This Row],[Mid18]]+Table1[[#This Row],[Mid21]]+Table1[[#This Row],[Mid24]]</f>
        <v>15.117000000000001</v>
      </c>
      <c r="CQ1382" s="19">
        <f>Table1[[#This Row],[Mid27]]+Table1[[#This Row],[Mid30]]+Table1[[#This Row],[Mid33]]+Table1[[#This Row],[Mid36]]+Table1[[#This Row],[Mid39]]</f>
        <v>0.66</v>
      </c>
      <c r="CR1382" t="s">
        <v>471</v>
      </c>
      <c r="CS1382" s="19" t="str">
        <f>IF(AND(Table1[[#This Row],[Low41]]=0, Table1[[#This Row],[High43]]=0),"N","Y")</f>
        <v>N</v>
      </c>
    </row>
    <row r="1383" spans="1:97" ht="19.5" customHeight="1" x14ac:dyDescent="0.25">
      <c r="A1383">
        <v>11385</v>
      </c>
      <c r="B1383" t="s">
        <v>4258</v>
      </c>
      <c r="C1383" t="s">
        <v>4259</v>
      </c>
      <c r="D1383">
        <v>-38.726999999999997</v>
      </c>
      <c r="E1383">
        <v>-66.742000000000004</v>
      </c>
      <c r="F1383" t="s">
        <v>4260</v>
      </c>
      <c r="G1383" t="s">
        <v>4261</v>
      </c>
      <c r="H1383" t="s">
        <v>252</v>
      </c>
      <c r="I1383" t="s">
        <v>520</v>
      </c>
      <c r="J1383" t="s">
        <v>202</v>
      </c>
      <c r="K1383" t="s">
        <v>203</v>
      </c>
      <c r="L1383" t="s">
        <v>121</v>
      </c>
      <c r="M1383" t="s">
        <v>252</v>
      </c>
      <c r="N1383" s="6" t="s">
        <v>4262</v>
      </c>
      <c r="O1383" t="s">
        <v>2652</v>
      </c>
      <c r="P1383" t="s">
        <v>2652</v>
      </c>
      <c r="Q1383" t="s">
        <v>4219</v>
      </c>
      <c r="R1383" t="s">
        <v>4263</v>
      </c>
      <c r="S1383">
        <v>2015</v>
      </c>
      <c r="T1383" t="s">
        <v>3959</v>
      </c>
      <c r="U1383" t="s">
        <v>4221</v>
      </c>
      <c r="V1383"/>
      <c r="AH1383" t="s">
        <v>4264</v>
      </c>
      <c r="AM1383" t="s">
        <v>4265</v>
      </c>
      <c r="BN1383">
        <v>9389</v>
      </c>
      <c r="CE138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83" s="19">
        <f>SUM(Table1[[#This Row],[Mid39]],Table1[[#This Row],[Mid36]],Table1[[#This Row],[Mid33]],Table1[[#This Row],[Mid30]],Table1[[#This Row],[Mid27]],Table1[[#This Row],[Mid24]],Table1[[#This Row],[Mid21]],Table1[[#This Row],[Mid18]],Table1[[#This Row],[Mid15]],Table1[[#This Row],[Mid12]],Table1[[#This Row],[Mid9]],Table1[[#This Row],[Mid6]],Table1[[#This Row],[Mid3]],Table1[[#This Row],[Mid]])</f>
        <v>9389</v>
      </c>
      <c r="CG138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83" s="35" t="s">
        <v>189</v>
      </c>
      <c r="CJ1383" t="s">
        <v>157</v>
      </c>
      <c r="CL1383" s="19">
        <f>IF(Table1[[#This Row],[Type]]="Petroleum",1,IF(ISERROR(Table1[[#This Row],[Well Density]]*Table1[[#This Row],[Single Well Discovery Area]]),"",IF(Table1[[#This Row],[Well Density]]*Table1[[#This Row],[Single Well Discovery Area]]&gt;1,1,Table1[[#This Row],[Well Density]]*Table1[[#This Row],[Single Well Discovery Area]])))</f>
        <v>1</v>
      </c>
      <c r="CM1383" t="s">
        <v>158</v>
      </c>
      <c r="CN1383" s="19">
        <f>Table1[[#This Row],[Mid]]</f>
        <v>0</v>
      </c>
      <c r="CO1383" s="19">
        <f>Table1[[#This Row],[Mid3]]+Table1[[#This Row],[Mid6]]+Table1[[#This Row],[Mid9]]</f>
        <v>0</v>
      </c>
      <c r="CP1383" s="19">
        <f>Table1[[#This Row],[Mid12]]+Table1[[#This Row],[Mid15]]+Table1[[#This Row],[Mid18]]+Table1[[#This Row],[Mid21]]+Table1[[#This Row],[Mid24]]</f>
        <v>9389</v>
      </c>
      <c r="CQ1383" s="19">
        <f>Table1[[#This Row],[Mid27]]+Table1[[#This Row],[Mid30]]+Table1[[#This Row],[Mid33]]+Table1[[#This Row],[Mid36]]+Table1[[#This Row],[Mid39]]</f>
        <v>0</v>
      </c>
      <c r="CR1383" t="s">
        <v>471</v>
      </c>
      <c r="CS1383" s="19" t="str">
        <f>IF(AND(Table1[[#This Row],[Low41]]=0, Table1[[#This Row],[High43]]=0),"N","Y")</f>
        <v>N</v>
      </c>
    </row>
    <row r="1384" spans="1:97" ht="19.5" customHeight="1" x14ac:dyDescent="0.25">
      <c r="A1384">
        <v>11386</v>
      </c>
      <c r="B1384" t="s">
        <v>4258</v>
      </c>
      <c r="C1384" t="s">
        <v>4259</v>
      </c>
      <c r="D1384">
        <v>-38.627000000000002</v>
      </c>
      <c r="E1384">
        <v>-66.641999999999996</v>
      </c>
      <c r="F1384" t="s">
        <v>4266</v>
      </c>
      <c r="G1384" t="s">
        <v>4261</v>
      </c>
      <c r="H1384" t="s">
        <v>252</v>
      </c>
      <c r="I1384" t="s">
        <v>118</v>
      </c>
      <c r="J1384" t="s">
        <v>118</v>
      </c>
      <c r="K1384" t="s">
        <v>190</v>
      </c>
      <c r="L1384" t="s">
        <v>18</v>
      </c>
      <c r="M1384" t="s">
        <v>252</v>
      </c>
      <c r="N1384" s="6" t="s">
        <v>4262</v>
      </c>
      <c r="O1384" t="s">
        <v>2652</v>
      </c>
      <c r="P1384" t="s">
        <v>2652</v>
      </c>
      <c r="Q1384" t="s">
        <v>4219</v>
      </c>
      <c r="R1384" t="s">
        <v>4267</v>
      </c>
      <c r="S1384">
        <v>2015</v>
      </c>
      <c r="T1384" t="s">
        <v>3959</v>
      </c>
      <c r="U1384" t="s">
        <v>4221</v>
      </c>
      <c r="V1384"/>
      <c r="AH1384" t="s">
        <v>4268</v>
      </c>
      <c r="AM1384" t="s">
        <v>4265</v>
      </c>
      <c r="CC1384">
        <v>4566</v>
      </c>
      <c r="CE138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84" s="19">
        <f>SUM(Table1[[#This Row],[Mid39]],Table1[[#This Row],[Mid36]],Table1[[#This Row],[Mid33]],Table1[[#This Row],[Mid30]],Table1[[#This Row],[Mid27]],Table1[[#This Row],[Mid24]],Table1[[#This Row],[Mid21]],Table1[[#This Row],[Mid18]],Table1[[#This Row],[Mid15]],Table1[[#This Row],[Mid12]],Table1[[#This Row],[Mid9]],Table1[[#This Row],[Mid6]],Table1[[#This Row],[Mid3]],Table1[[#This Row],[Mid]])</f>
        <v>4566</v>
      </c>
      <c r="CG138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84" s="35" t="s">
        <v>189</v>
      </c>
      <c r="CJ1384" t="s">
        <v>157</v>
      </c>
      <c r="CL1384" s="19">
        <f>IF(Table1[[#This Row],[Type]]="Petroleum",1,IF(ISERROR(Table1[[#This Row],[Well Density]]*Table1[[#This Row],[Single Well Discovery Area]]),"",IF(Table1[[#This Row],[Well Density]]*Table1[[#This Row],[Single Well Discovery Area]]&gt;1,1,Table1[[#This Row],[Well Density]]*Table1[[#This Row],[Single Well Discovery Area]])))</f>
        <v>0</v>
      </c>
      <c r="CM1384" t="s">
        <v>158</v>
      </c>
      <c r="CN1384" s="19">
        <f>Table1[[#This Row],[Mid]]</f>
        <v>0</v>
      </c>
      <c r="CO1384" s="19">
        <f>Table1[[#This Row],[Mid3]]+Table1[[#This Row],[Mid6]]+Table1[[#This Row],[Mid9]]</f>
        <v>0</v>
      </c>
      <c r="CP1384" s="19">
        <f>Table1[[#This Row],[Mid12]]+Table1[[#This Row],[Mid15]]+Table1[[#This Row],[Mid18]]+Table1[[#This Row],[Mid21]]+Table1[[#This Row],[Mid24]]</f>
        <v>0</v>
      </c>
      <c r="CQ1384" s="19">
        <f>Table1[[#This Row],[Mid27]]+Table1[[#This Row],[Mid30]]+Table1[[#This Row],[Mid33]]+Table1[[#This Row],[Mid36]]+Table1[[#This Row],[Mid39]]</f>
        <v>4566</v>
      </c>
      <c r="CR1384" t="s">
        <v>471</v>
      </c>
      <c r="CS1384" s="19" t="str">
        <f>IF(AND(Table1[[#This Row],[Low41]]=0, Table1[[#This Row],[High43]]=0),"N","Y")</f>
        <v>N</v>
      </c>
    </row>
    <row r="1385" spans="1:97" ht="19.5" customHeight="1" x14ac:dyDescent="0.25">
      <c r="A1385">
        <v>11387</v>
      </c>
      <c r="B1385" t="s">
        <v>4269</v>
      </c>
      <c r="C1385" t="s">
        <v>4259</v>
      </c>
      <c r="D1385">
        <v>-37.959200000000003</v>
      </c>
      <c r="E1385">
        <v>-72.260000000000005</v>
      </c>
      <c r="F1385" t="s">
        <v>4270</v>
      </c>
      <c r="G1385" t="s">
        <v>4271</v>
      </c>
      <c r="H1385" t="s">
        <v>252</v>
      </c>
      <c r="I1385" t="s">
        <v>520</v>
      </c>
      <c r="J1385" t="s">
        <v>202</v>
      </c>
      <c r="K1385" t="s">
        <v>203</v>
      </c>
      <c r="L1385" t="s">
        <v>121</v>
      </c>
      <c r="M1385" t="s">
        <v>252</v>
      </c>
      <c r="N1385" s="6" t="s">
        <v>4262</v>
      </c>
      <c r="O1385" t="s">
        <v>2652</v>
      </c>
      <c r="P1385" t="s">
        <v>2652</v>
      </c>
      <c r="Q1385" t="s">
        <v>4219</v>
      </c>
      <c r="R1385" t="s">
        <v>4272</v>
      </c>
      <c r="S1385">
        <v>2015</v>
      </c>
      <c r="T1385" t="s">
        <v>3959</v>
      </c>
      <c r="U1385" t="s">
        <v>4221</v>
      </c>
      <c r="V1385"/>
      <c r="AH1385" t="s">
        <v>4264</v>
      </c>
      <c r="AM1385" t="s">
        <v>4265</v>
      </c>
      <c r="BN1385">
        <v>2552</v>
      </c>
      <c r="CE138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85" s="19">
        <f>SUM(Table1[[#This Row],[Mid39]],Table1[[#This Row],[Mid36]],Table1[[#This Row],[Mid33]],Table1[[#This Row],[Mid30]],Table1[[#This Row],[Mid27]],Table1[[#This Row],[Mid24]],Table1[[#This Row],[Mid21]],Table1[[#This Row],[Mid18]],Table1[[#This Row],[Mid15]],Table1[[#This Row],[Mid12]],Table1[[#This Row],[Mid9]],Table1[[#This Row],[Mid6]],Table1[[#This Row],[Mid3]],Table1[[#This Row],[Mid]])</f>
        <v>2552</v>
      </c>
      <c r="CG138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85" s="35" t="s">
        <v>189</v>
      </c>
      <c r="CJ1385" t="s">
        <v>157</v>
      </c>
      <c r="CL1385" s="19">
        <f>IF(Table1[[#This Row],[Type]]="Petroleum",1,IF(ISERROR(Table1[[#This Row],[Well Density]]*Table1[[#This Row],[Single Well Discovery Area]]),"",IF(Table1[[#This Row],[Well Density]]*Table1[[#This Row],[Single Well Discovery Area]]&gt;1,1,Table1[[#This Row],[Well Density]]*Table1[[#This Row],[Single Well Discovery Area]])))</f>
        <v>1</v>
      </c>
      <c r="CM1385" t="s">
        <v>158</v>
      </c>
      <c r="CN1385" s="19">
        <f>Table1[[#This Row],[Mid]]</f>
        <v>0</v>
      </c>
      <c r="CO1385" s="19">
        <f>Table1[[#This Row],[Mid3]]+Table1[[#This Row],[Mid6]]+Table1[[#This Row],[Mid9]]</f>
        <v>0</v>
      </c>
      <c r="CP1385" s="19">
        <f>Table1[[#This Row],[Mid12]]+Table1[[#This Row],[Mid15]]+Table1[[#This Row],[Mid18]]+Table1[[#This Row],[Mid21]]+Table1[[#This Row],[Mid24]]</f>
        <v>2552</v>
      </c>
      <c r="CQ1385" s="19">
        <f>Table1[[#This Row],[Mid27]]+Table1[[#This Row],[Mid30]]+Table1[[#This Row],[Mid33]]+Table1[[#This Row],[Mid36]]+Table1[[#This Row],[Mid39]]</f>
        <v>0</v>
      </c>
      <c r="CR1385" t="s">
        <v>471</v>
      </c>
      <c r="CS1385" s="19" t="str">
        <f>IF(AND(Table1[[#This Row],[Low41]]=0, Table1[[#This Row],[High43]]=0),"N","Y")</f>
        <v>N</v>
      </c>
    </row>
    <row r="1386" spans="1:97" ht="19.5" customHeight="1" x14ac:dyDescent="0.25">
      <c r="A1386">
        <v>11388</v>
      </c>
      <c r="B1386" t="s">
        <v>4269</v>
      </c>
      <c r="C1386" t="s">
        <v>4259</v>
      </c>
      <c r="D1386">
        <v>-37.859200000000001</v>
      </c>
      <c r="E1386">
        <v>-72.16</v>
      </c>
      <c r="F1386" t="s">
        <v>4273</v>
      </c>
      <c r="G1386" t="s">
        <v>4271</v>
      </c>
      <c r="H1386" t="s">
        <v>252</v>
      </c>
      <c r="I1386" t="s">
        <v>118</v>
      </c>
      <c r="J1386" t="s">
        <v>118</v>
      </c>
      <c r="K1386" t="s">
        <v>190</v>
      </c>
      <c r="L1386" t="s">
        <v>18</v>
      </c>
      <c r="M1386" t="s">
        <v>252</v>
      </c>
      <c r="N1386" s="6" t="s">
        <v>4262</v>
      </c>
      <c r="O1386" t="s">
        <v>2652</v>
      </c>
      <c r="P1386" t="s">
        <v>2652</v>
      </c>
      <c r="Q1386" t="s">
        <v>4219</v>
      </c>
      <c r="R1386" t="s">
        <v>4267</v>
      </c>
      <c r="S1386">
        <v>2015</v>
      </c>
      <c r="T1386" t="s">
        <v>3959</v>
      </c>
      <c r="U1386" t="s">
        <v>4221</v>
      </c>
      <c r="V1386"/>
      <c r="AH1386" t="s">
        <v>4268</v>
      </c>
      <c r="AM1386" t="s">
        <v>4265</v>
      </c>
      <c r="CC1386">
        <v>1241</v>
      </c>
      <c r="CE138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86" s="19">
        <f>SUM(Table1[[#This Row],[Mid39]],Table1[[#This Row],[Mid36]],Table1[[#This Row],[Mid33]],Table1[[#This Row],[Mid30]],Table1[[#This Row],[Mid27]],Table1[[#This Row],[Mid24]],Table1[[#This Row],[Mid21]],Table1[[#This Row],[Mid18]],Table1[[#This Row],[Mid15]],Table1[[#This Row],[Mid12]],Table1[[#This Row],[Mid9]],Table1[[#This Row],[Mid6]],Table1[[#This Row],[Mid3]],Table1[[#This Row],[Mid]])</f>
        <v>1241</v>
      </c>
      <c r="CG138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86" s="35" t="s">
        <v>189</v>
      </c>
      <c r="CJ1386" t="s">
        <v>157</v>
      </c>
      <c r="CL1386" s="19">
        <f>IF(Table1[[#This Row],[Type]]="Petroleum",1,IF(ISERROR(Table1[[#This Row],[Well Density]]*Table1[[#This Row],[Single Well Discovery Area]]),"",IF(Table1[[#This Row],[Well Density]]*Table1[[#This Row],[Single Well Discovery Area]]&gt;1,1,Table1[[#This Row],[Well Density]]*Table1[[#This Row],[Single Well Discovery Area]])))</f>
        <v>0</v>
      </c>
      <c r="CM1386" t="s">
        <v>158</v>
      </c>
      <c r="CN1386" s="19">
        <f>Table1[[#This Row],[Mid]]</f>
        <v>0</v>
      </c>
      <c r="CO1386" s="19">
        <f>Table1[[#This Row],[Mid3]]+Table1[[#This Row],[Mid6]]+Table1[[#This Row],[Mid9]]</f>
        <v>0</v>
      </c>
      <c r="CP1386" s="19">
        <f>Table1[[#This Row],[Mid12]]+Table1[[#This Row],[Mid15]]+Table1[[#This Row],[Mid18]]+Table1[[#This Row],[Mid21]]+Table1[[#This Row],[Mid24]]</f>
        <v>0</v>
      </c>
      <c r="CQ1386" s="19">
        <f>Table1[[#This Row],[Mid27]]+Table1[[#This Row],[Mid30]]+Table1[[#This Row],[Mid33]]+Table1[[#This Row],[Mid36]]+Table1[[#This Row],[Mid39]]</f>
        <v>1241</v>
      </c>
      <c r="CR1386" t="s">
        <v>471</v>
      </c>
      <c r="CS1386" s="19" t="str">
        <f>IF(AND(Table1[[#This Row],[Low41]]=0, Table1[[#This Row],[High43]]=0),"N","Y")</f>
        <v>N</v>
      </c>
    </row>
    <row r="1387" spans="1:97" ht="19.5" customHeight="1" x14ac:dyDescent="0.25">
      <c r="A1387">
        <v>11389</v>
      </c>
      <c r="B1387" t="s">
        <v>4274</v>
      </c>
      <c r="C1387" t="s">
        <v>4259</v>
      </c>
      <c r="D1387">
        <v>4.8550000000000004</v>
      </c>
      <c r="E1387">
        <v>-74.739000000000004</v>
      </c>
      <c r="F1387" t="s">
        <v>4275</v>
      </c>
      <c r="G1387" t="s">
        <v>4276</v>
      </c>
      <c r="H1387" t="s">
        <v>252</v>
      </c>
      <c r="I1387" t="s">
        <v>118</v>
      </c>
      <c r="J1387" t="s">
        <v>118</v>
      </c>
      <c r="K1387" t="s">
        <v>190</v>
      </c>
      <c r="L1387" t="s">
        <v>18</v>
      </c>
      <c r="M1387" t="s">
        <v>252</v>
      </c>
      <c r="N1387" s="6" t="s">
        <v>4262</v>
      </c>
      <c r="O1387" t="s">
        <v>2652</v>
      </c>
      <c r="P1387" t="s">
        <v>2652</v>
      </c>
      <c r="Q1387" t="s">
        <v>4219</v>
      </c>
      <c r="R1387" t="s">
        <v>4277</v>
      </c>
      <c r="S1387">
        <v>2015</v>
      </c>
      <c r="T1387" t="s">
        <v>3959</v>
      </c>
      <c r="U1387" t="s">
        <v>4221</v>
      </c>
      <c r="V1387"/>
      <c r="AH1387" t="s">
        <v>4268</v>
      </c>
      <c r="AM1387" t="s">
        <v>4265</v>
      </c>
      <c r="CC1387">
        <v>1733</v>
      </c>
      <c r="CE138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87" s="19">
        <f>SUM(Table1[[#This Row],[Mid39]],Table1[[#This Row],[Mid36]],Table1[[#This Row],[Mid33]],Table1[[#This Row],[Mid30]],Table1[[#This Row],[Mid27]],Table1[[#This Row],[Mid24]],Table1[[#This Row],[Mid21]],Table1[[#This Row],[Mid18]],Table1[[#This Row],[Mid15]],Table1[[#This Row],[Mid12]],Table1[[#This Row],[Mid9]],Table1[[#This Row],[Mid6]],Table1[[#This Row],[Mid3]],Table1[[#This Row],[Mid]])</f>
        <v>1733</v>
      </c>
      <c r="CG138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87" s="35" t="s">
        <v>189</v>
      </c>
      <c r="CJ1387" t="s">
        <v>157</v>
      </c>
      <c r="CL1387" s="19">
        <f>IF(Table1[[#This Row],[Type]]="Petroleum",1,IF(ISERROR(Table1[[#This Row],[Well Density]]*Table1[[#This Row],[Single Well Discovery Area]]),"",IF(Table1[[#This Row],[Well Density]]*Table1[[#This Row],[Single Well Discovery Area]]&gt;1,1,Table1[[#This Row],[Well Density]]*Table1[[#This Row],[Single Well Discovery Area]])))</f>
        <v>0</v>
      </c>
      <c r="CM1387" t="s">
        <v>158</v>
      </c>
      <c r="CN1387" s="19">
        <f>Table1[[#This Row],[Mid]]</f>
        <v>0</v>
      </c>
      <c r="CO1387" s="19">
        <f>Table1[[#This Row],[Mid3]]+Table1[[#This Row],[Mid6]]+Table1[[#This Row],[Mid9]]</f>
        <v>0</v>
      </c>
      <c r="CP1387" s="19">
        <f>Table1[[#This Row],[Mid12]]+Table1[[#This Row],[Mid15]]+Table1[[#This Row],[Mid18]]+Table1[[#This Row],[Mid21]]+Table1[[#This Row],[Mid24]]</f>
        <v>0</v>
      </c>
      <c r="CQ1387" s="19">
        <f>Table1[[#This Row],[Mid27]]+Table1[[#This Row],[Mid30]]+Table1[[#This Row],[Mid33]]+Table1[[#This Row],[Mid36]]+Table1[[#This Row],[Mid39]]</f>
        <v>1733</v>
      </c>
      <c r="CR1387" t="s">
        <v>471</v>
      </c>
      <c r="CS1387" s="19" t="str">
        <f>IF(AND(Table1[[#This Row],[Low41]]=0, Table1[[#This Row],[High43]]=0),"N","Y")</f>
        <v>N</v>
      </c>
    </row>
    <row r="1388" spans="1:97" ht="19.5" customHeight="1" x14ac:dyDescent="0.25">
      <c r="A1388">
        <v>11390</v>
      </c>
      <c r="B1388" t="s">
        <v>4258</v>
      </c>
      <c r="C1388" t="s">
        <v>4278</v>
      </c>
      <c r="D1388">
        <v>-37.9</v>
      </c>
      <c r="E1388">
        <v>-69.260000000000005</v>
      </c>
      <c r="F1388" t="s">
        <v>4279</v>
      </c>
      <c r="G1388" t="s">
        <v>4261</v>
      </c>
      <c r="H1388" t="s">
        <v>4280</v>
      </c>
      <c r="I1388" t="s">
        <v>520</v>
      </c>
      <c r="J1388" t="s">
        <v>202</v>
      </c>
      <c r="K1388" t="s">
        <v>203</v>
      </c>
      <c r="L1388" t="s">
        <v>121</v>
      </c>
      <c r="M1388" t="s">
        <v>252</v>
      </c>
      <c r="N1388" s="6" t="s">
        <v>4281</v>
      </c>
      <c r="O1388" t="s">
        <v>2652</v>
      </c>
      <c r="P1388" t="s">
        <v>2652</v>
      </c>
      <c r="Q1388" t="s">
        <v>4282</v>
      </c>
      <c r="R1388" t="s">
        <v>4283</v>
      </c>
      <c r="S1388">
        <v>2022</v>
      </c>
      <c r="T1388" t="s">
        <v>3959</v>
      </c>
      <c r="U1388" t="s">
        <v>4221</v>
      </c>
      <c r="V1388"/>
      <c r="W1388">
        <v>1700</v>
      </c>
      <c r="Z1388">
        <v>10</v>
      </c>
      <c r="AA1388">
        <v>10</v>
      </c>
      <c r="AH1388" t="s">
        <v>4284</v>
      </c>
      <c r="AM1388" t="s">
        <v>4285</v>
      </c>
      <c r="BN1388">
        <v>100</v>
      </c>
      <c r="CE138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88" s="19">
        <f>SUM(Table1[[#This Row],[Mid39]],Table1[[#This Row],[Mid36]],Table1[[#This Row],[Mid33]],Table1[[#This Row],[Mid30]],Table1[[#This Row],[Mid27]],Table1[[#This Row],[Mid24]],Table1[[#This Row],[Mid21]],Table1[[#This Row],[Mid18]],Table1[[#This Row],[Mid15]],Table1[[#This Row],[Mid12]],Table1[[#This Row],[Mid9]],Table1[[#This Row],[Mid6]],Table1[[#This Row],[Mid3]],Table1[[#This Row],[Mid]])</f>
        <v>100</v>
      </c>
      <c r="CG138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88" s="35" t="s">
        <v>189</v>
      </c>
      <c r="CJ1388" t="s">
        <v>157</v>
      </c>
      <c r="CL1388" s="19">
        <f>IF(Table1[[#This Row],[Type]]="Petroleum",1,IF(ISERROR(Table1[[#This Row],[Well Density]]*Table1[[#This Row],[Single Well Discovery Area]]),"",IF(Table1[[#This Row],[Well Density]]*Table1[[#This Row],[Single Well Discovery Area]]&gt;1,1,Table1[[#This Row],[Well Density]]*Table1[[#This Row],[Single Well Discovery Area]])))</f>
        <v>1</v>
      </c>
      <c r="CM1388" t="s">
        <v>135</v>
      </c>
      <c r="CN1388" s="19">
        <f>Table1[[#This Row],[Mid]]</f>
        <v>0</v>
      </c>
      <c r="CO1388" s="19">
        <f>Table1[[#This Row],[Mid3]]+Table1[[#This Row],[Mid6]]+Table1[[#This Row],[Mid9]]</f>
        <v>0</v>
      </c>
      <c r="CP1388" s="19">
        <f>Table1[[#This Row],[Mid12]]+Table1[[#This Row],[Mid15]]+Table1[[#This Row],[Mid18]]+Table1[[#This Row],[Mid21]]+Table1[[#This Row],[Mid24]]</f>
        <v>100</v>
      </c>
      <c r="CQ1388" s="19">
        <f>Table1[[#This Row],[Mid27]]+Table1[[#This Row],[Mid30]]+Table1[[#This Row],[Mid33]]+Table1[[#This Row],[Mid36]]+Table1[[#This Row],[Mid39]]</f>
        <v>0</v>
      </c>
      <c r="CR1388" t="s">
        <v>471</v>
      </c>
      <c r="CS1388" s="19" t="str">
        <f>IF(AND(Table1[[#This Row],[Low41]]=0, Table1[[#This Row],[High43]]=0),"N","Y")</f>
        <v>N</v>
      </c>
    </row>
    <row r="1389" spans="1:97" ht="19.5" customHeight="1" x14ac:dyDescent="0.25">
      <c r="A1389">
        <v>11391</v>
      </c>
      <c r="B1389" t="s">
        <v>4258</v>
      </c>
      <c r="C1389" t="s">
        <v>4286</v>
      </c>
      <c r="D1389">
        <v>-45.731999999999999</v>
      </c>
      <c r="E1389">
        <v>-69.337999999999994</v>
      </c>
      <c r="F1389" t="s">
        <v>4287</v>
      </c>
      <c r="G1389" t="s">
        <v>4288</v>
      </c>
      <c r="H1389" t="s">
        <v>4289</v>
      </c>
      <c r="I1389" t="s">
        <v>520</v>
      </c>
      <c r="J1389" t="s">
        <v>202</v>
      </c>
      <c r="K1389" t="s">
        <v>203</v>
      </c>
      <c r="L1389" t="s">
        <v>121</v>
      </c>
      <c r="M1389" t="s">
        <v>252</v>
      </c>
      <c r="N1389" s="6" t="s">
        <v>4281</v>
      </c>
      <c r="O1389" t="s">
        <v>2652</v>
      </c>
      <c r="P1389" t="s">
        <v>2652</v>
      </c>
      <c r="Q1389" t="s">
        <v>4290</v>
      </c>
      <c r="R1389" t="s">
        <v>4283</v>
      </c>
      <c r="S1389">
        <v>2022</v>
      </c>
      <c r="T1389" t="s">
        <v>3959</v>
      </c>
      <c r="U1389" t="s">
        <v>4221</v>
      </c>
      <c r="V1389"/>
      <c r="W1389">
        <v>1700</v>
      </c>
      <c r="Z1389">
        <v>10</v>
      </c>
      <c r="AA1389">
        <v>10</v>
      </c>
      <c r="AH1389" t="s">
        <v>4284</v>
      </c>
      <c r="AM1389" t="s">
        <v>4285</v>
      </c>
      <c r="BN1389">
        <v>300</v>
      </c>
      <c r="CE138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89" s="19">
        <f>SUM(Table1[[#This Row],[Mid39]],Table1[[#This Row],[Mid36]],Table1[[#This Row],[Mid33]],Table1[[#This Row],[Mid30]],Table1[[#This Row],[Mid27]],Table1[[#This Row],[Mid24]],Table1[[#This Row],[Mid21]],Table1[[#This Row],[Mid18]],Table1[[#This Row],[Mid15]],Table1[[#This Row],[Mid12]],Table1[[#This Row],[Mid9]],Table1[[#This Row],[Mid6]],Table1[[#This Row],[Mid3]],Table1[[#This Row],[Mid]])</f>
        <v>300</v>
      </c>
      <c r="CG138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89" s="35" t="s">
        <v>134</v>
      </c>
      <c r="CJ1389" t="s">
        <v>157</v>
      </c>
      <c r="CL1389" s="19">
        <f>IF(Table1[[#This Row],[Type]]="Petroleum",1,IF(ISERROR(Table1[[#This Row],[Well Density]]*Table1[[#This Row],[Single Well Discovery Area]]),"",IF(Table1[[#This Row],[Well Density]]*Table1[[#This Row],[Single Well Discovery Area]]&gt;1,1,Table1[[#This Row],[Well Density]]*Table1[[#This Row],[Single Well Discovery Area]])))</f>
        <v>1</v>
      </c>
      <c r="CM1389" t="s">
        <v>158</v>
      </c>
      <c r="CN1389" s="19">
        <f>Table1[[#This Row],[Mid]]</f>
        <v>0</v>
      </c>
      <c r="CO1389" s="19">
        <f>Table1[[#This Row],[Mid3]]+Table1[[#This Row],[Mid6]]+Table1[[#This Row],[Mid9]]</f>
        <v>0</v>
      </c>
      <c r="CP1389" s="19">
        <f>Table1[[#This Row],[Mid12]]+Table1[[#This Row],[Mid15]]+Table1[[#This Row],[Mid18]]+Table1[[#This Row],[Mid21]]+Table1[[#This Row],[Mid24]]</f>
        <v>300</v>
      </c>
      <c r="CQ1389" s="19">
        <f>Table1[[#This Row],[Mid27]]+Table1[[#This Row],[Mid30]]+Table1[[#This Row],[Mid33]]+Table1[[#This Row],[Mid36]]+Table1[[#This Row],[Mid39]]</f>
        <v>0</v>
      </c>
      <c r="CR1389" t="s">
        <v>471</v>
      </c>
      <c r="CS1389" s="19" t="str">
        <f>IF(AND(Table1[[#This Row],[Low41]]=0, Table1[[#This Row],[High43]]=0),"N","Y")</f>
        <v>N</v>
      </c>
    </row>
    <row r="1390" spans="1:97" ht="19.5" customHeight="1" x14ac:dyDescent="0.25">
      <c r="A1390">
        <v>11392</v>
      </c>
      <c r="B1390" t="s">
        <v>4291</v>
      </c>
      <c r="C1390" t="s">
        <v>4292</v>
      </c>
      <c r="D1390">
        <v>-4.6053100000000002</v>
      </c>
      <c r="E1390">
        <v>-81.252510000000001</v>
      </c>
      <c r="F1390" t="s">
        <v>4293</v>
      </c>
      <c r="G1390" t="s">
        <v>4294</v>
      </c>
      <c r="H1390" t="s">
        <v>4295</v>
      </c>
      <c r="I1390" t="s">
        <v>582</v>
      </c>
      <c r="J1390" t="s">
        <v>202</v>
      </c>
      <c r="K1390" t="s">
        <v>203</v>
      </c>
      <c r="L1390" t="s">
        <v>121</v>
      </c>
      <c r="M1390" t="s">
        <v>487</v>
      </c>
      <c r="N1390" s="6" t="s">
        <v>4296</v>
      </c>
      <c r="O1390" t="s">
        <v>2652</v>
      </c>
      <c r="P1390" t="s">
        <v>2652</v>
      </c>
      <c r="Q1390" t="s">
        <v>4297</v>
      </c>
      <c r="R1390" t="s">
        <v>4298</v>
      </c>
      <c r="S1390">
        <v>2021</v>
      </c>
      <c r="T1390" t="s">
        <v>3959</v>
      </c>
      <c r="U1390" t="s">
        <v>4221</v>
      </c>
      <c r="V1390">
        <v>5917500</v>
      </c>
      <c r="W1390">
        <v>1260</v>
      </c>
      <c r="X1390">
        <v>620</v>
      </c>
      <c r="Z1390">
        <v>17.600000000000001</v>
      </c>
      <c r="AA1390">
        <v>640</v>
      </c>
      <c r="AC1390">
        <v>583.29999999999995</v>
      </c>
      <c r="AD1390">
        <v>42</v>
      </c>
      <c r="AE1390">
        <v>7.0975899999999998E-6</v>
      </c>
      <c r="AH1390" t="s">
        <v>1612</v>
      </c>
      <c r="AM1390" t="s">
        <v>4299</v>
      </c>
      <c r="BK1390">
        <v>35.369999999999997</v>
      </c>
      <c r="CE139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90" s="19">
        <f>SUM(Table1[[#This Row],[Mid39]],Table1[[#This Row],[Mid36]],Table1[[#This Row],[Mid33]],Table1[[#This Row],[Mid30]],Table1[[#This Row],[Mid27]],Table1[[#This Row],[Mid24]],Table1[[#This Row],[Mid21]],Table1[[#This Row],[Mid18]],Table1[[#This Row],[Mid15]],Table1[[#This Row],[Mid12]],Table1[[#This Row],[Mid9]],Table1[[#This Row],[Mid6]],Table1[[#This Row],[Mid3]],Table1[[#This Row],[Mid]])</f>
        <v>35.369999999999997</v>
      </c>
      <c r="CG139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90" s="35" t="s">
        <v>134</v>
      </c>
      <c r="CJ1390" t="s">
        <v>157</v>
      </c>
      <c r="CL1390" s="19">
        <f>IF(Table1[[#This Row],[Type]]="Petroleum",1,IF(ISERROR(Table1[[#This Row],[Well Density]]*Table1[[#This Row],[Single Well Discovery Area]]),"",IF(Table1[[#This Row],[Well Density]]*Table1[[#This Row],[Single Well Discovery Area]]&gt;1,1,Table1[[#This Row],[Well Density]]*Table1[[#This Row],[Single Well Discovery Area]])))</f>
        <v>1</v>
      </c>
      <c r="CM1390" t="s">
        <v>158</v>
      </c>
      <c r="CN1390" s="19">
        <f>Table1[[#This Row],[Mid]]</f>
        <v>0</v>
      </c>
      <c r="CO1390" s="19">
        <f>Table1[[#This Row],[Mid3]]+Table1[[#This Row],[Mid6]]+Table1[[#This Row],[Mid9]]</f>
        <v>0</v>
      </c>
      <c r="CP1390" s="19">
        <f>Table1[[#This Row],[Mid12]]+Table1[[#This Row],[Mid15]]+Table1[[#This Row],[Mid18]]+Table1[[#This Row],[Mid21]]+Table1[[#This Row],[Mid24]]</f>
        <v>35.369999999999997</v>
      </c>
      <c r="CQ1390" s="19">
        <f>Table1[[#This Row],[Mid27]]+Table1[[#This Row],[Mid30]]+Table1[[#This Row],[Mid33]]+Table1[[#This Row],[Mid36]]+Table1[[#This Row],[Mid39]]</f>
        <v>0</v>
      </c>
      <c r="CR1390" t="s">
        <v>471</v>
      </c>
      <c r="CS1390" s="19" t="str">
        <f>IF(AND(Table1[[#This Row],[Low41]]=0, Table1[[#This Row],[High43]]=0),"N","Y")</f>
        <v>N</v>
      </c>
    </row>
    <row r="1391" spans="1:97" ht="19.5" customHeight="1" x14ac:dyDescent="0.25">
      <c r="A1391">
        <v>11393</v>
      </c>
      <c r="B1391" t="s">
        <v>4291</v>
      </c>
      <c r="C1391" t="s">
        <v>4292</v>
      </c>
      <c r="D1391">
        <v>-4.5886300000000002</v>
      </c>
      <c r="E1391">
        <v>-81.215479999999999</v>
      </c>
      <c r="F1391" t="s">
        <v>4300</v>
      </c>
      <c r="G1391" t="s">
        <v>4294</v>
      </c>
      <c r="H1391" t="s">
        <v>4295</v>
      </c>
      <c r="I1391" t="s">
        <v>582</v>
      </c>
      <c r="J1391" t="s">
        <v>202</v>
      </c>
      <c r="K1391" t="s">
        <v>203</v>
      </c>
      <c r="L1391" t="s">
        <v>121</v>
      </c>
      <c r="M1391" t="s">
        <v>487</v>
      </c>
      <c r="N1391" s="6" t="s">
        <v>4296</v>
      </c>
      <c r="O1391" t="s">
        <v>2652</v>
      </c>
      <c r="P1391" t="s">
        <v>2652</v>
      </c>
      <c r="Q1391" t="s">
        <v>4297</v>
      </c>
      <c r="R1391" t="s">
        <v>4301</v>
      </c>
      <c r="S1391">
        <v>2021</v>
      </c>
      <c r="T1391" t="s">
        <v>3959</v>
      </c>
      <c r="U1391" t="s">
        <v>4221</v>
      </c>
      <c r="V1391">
        <v>2762210</v>
      </c>
      <c r="W1391">
        <v>1260</v>
      </c>
      <c r="X1391">
        <v>620</v>
      </c>
      <c r="Z1391">
        <v>17.600000000000001</v>
      </c>
      <c r="AA1391">
        <v>640</v>
      </c>
      <c r="AC1391">
        <v>583.29999999999995</v>
      </c>
      <c r="AD1391">
        <v>3</v>
      </c>
      <c r="AE1391">
        <v>1.08609E-6</v>
      </c>
      <c r="AH1391" t="s">
        <v>4284</v>
      </c>
      <c r="AM1391" t="s">
        <v>4302</v>
      </c>
      <c r="BK1391">
        <v>10.1</v>
      </c>
      <c r="CE139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91" s="19">
        <f>SUM(Table1[[#This Row],[Mid39]],Table1[[#This Row],[Mid36]],Table1[[#This Row],[Mid33]],Table1[[#This Row],[Mid30]],Table1[[#This Row],[Mid27]],Table1[[#This Row],[Mid24]],Table1[[#This Row],[Mid21]],Table1[[#This Row],[Mid18]],Table1[[#This Row],[Mid15]],Table1[[#This Row],[Mid12]],Table1[[#This Row],[Mid9]],Table1[[#This Row],[Mid6]],Table1[[#This Row],[Mid3]],Table1[[#This Row],[Mid]])</f>
        <v>10.1</v>
      </c>
      <c r="CG139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91" s="35" t="s">
        <v>134</v>
      </c>
      <c r="CJ1391" t="s">
        <v>157</v>
      </c>
      <c r="CL1391" s="19">
        <f>IF(Table1[[#This Row],[Type]]="Petroleum",1,IF(ISERROR(Table1[[#This Row],[Well Density]]*Table1[[#This Row],[Single Well Discovery Area]]),"",IF(Table1[[#This Row],[Well Density]]*Table1[[#This Row],[Single Well Discovery Area]]&gt;1,1,Table1[[#This Row],[Well Density]]*Table1[[#This Row],[Single Well Discovery Area]])))</f>
        <v>1</v>
      </c>
      <c r="CM1391" t="s">
        <v>158</v>
      </c>
      <c r="CN1391" s="19">
        <f>Table1[[#This Row],[Mid]]</f>
        <v>0</v>
      </c>
      <c r="CO1391" s="19">
        <f>Table1[[#This Row],[Mid3]]+Table1[[#This Row],[Mid6]]+Table1[[#This Row],[Mid9]]</f>
        <v>0</v>
      </c>
      <c r="CP1391" s="19">
        <f>Table1[[#This Row],[Mid12]]+Table1[[#This Row],[Mid15]]+Table1[[#This Row],[Mid18]]+Table1[[#This Row],[Mid21]]+Table1[[#This Row],[Mid24]]</f>
        <v>10.1</v>
      </c>
      <c r="CQ1391" s="19">
        <f>Table1[[#This Row],[Mid27]]+Table1[[#This Row],[Mid30]]+Table1[[#This Row],[Mid33]]+Table1[[#This Row],[Mid36]]+Table1[[#This Row],[Mid39]]</f>
        <v>0</v>
      </c>
      <c r="CR1391" t="s">
        <v>471</v>
      </c>
      <c r="CS1391" s="19" t="str">
        <f>IF(AND(Table1[[#This Row],[Low41]]=0, Table1[[#This Row],[High43]]=0),"N","Y")</f>
        <v>N</v>
      </c>
    </row>
    <row r="1392" spans="1:97" ht="19.5" customHeight="1" x14ac:dyDescent="0.25">
      <c r="A1392">
        <v>11394</v>
      </c>
      <c r="B1392" t="s">
        <v>4291</v>
      </c>
      <c r="C1392" t="s">
        <v>4292</v>
      </c>
      <c r="D1392">
        <v>-4.5857000000000001</v>
      </c>
      <c r="E1392">
        <v>-81.211320000000001</v>
      </c>
      <c r="F1392" t="s">
        <v>4303</v>
      </c>
      <c r="G1392" t="s">
        <v>4294</v>
      </c>
      <c r="H1392" t="s">
        <v>4295</v>
      </c>
      <c r="I1392" t="s">
        <v>582</v>
      </c>
      <c r="J1392" t="s">
        <v>202</v>
      </c>
      <c r="K1392" t="s">
        <v>203</v>
      </c>
      <c r="L1392" t="s">
        <v>121</v>
      </c>
      <c r="M1392" t="s">
        <v>487</v>
      </c>
      <c r="N1392" s="6" t="s">
        <v>4296</v>
      </c>
      <c r="O1392" t="s">
        <v>2652</v>
      </c>
      <c r="P1392" t="s">
        <v>2652</v>
      </c>
      <c r="Q1392" t="s">
        <v>4297</v>
      </c>
      <c r="R1392" t="s">
        <v>4301</v>
      </c>
      <c r="S1392">
        <v>2021</v>
      </c>
      <c r="T1392" t="s">
        <v>3959</v>
      </c>
      <c r="U1392" t="s">
        <v>4221</v>
      </c>
      <c r="V1392">
        <v>2337300</v>
      </c>
      <c r="W1392">
        <v>1260</v>
      </c>
      <c r="X1392">
        <v>620</v>
      </c>
      <c r="Z1392">
        <v>17.600000000000001</v>
      </c>
      <c r="AA1392">
        <v>640</v>
      </c>
      <c r="AC1392">
        <v>583.29999999999995</v>
      </c>
      <c r="AD1392">
        <v>3</v>
      </c>
      <c r="AE1392">
        <v>1.2835300000000001E-6</v>
      </c>
      <c r="AH1392" t="s">
        <v>4284</v>
      </c>
      <c r="AM1392" t="s">
        <v>4302</v>
      </c>
      <c r="BK1392">
        <v>10.5</v>
      </c>
      <c r="CE139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92" s="19">
        <f>SUM(Table1[[#This Row],[Mid39]],Table1[[#This Row],[Mid36]],Table1[[#This Row],[Mid33]],Table1[[#This Row],[Mid30]],Table1[[#This Row],[Mid27]],Table1[[#This Row],[Mid24]],Table1[[#This Row],[Mid21]],Table1[[#This Row],[Mid18]],Table1[[#This Row],[Mid15]],Table1[[#This Row],[Mid12]],Table1[[#This Row],[Mid9]],Table1[[#This Row],[Mid6]],Table1[[#This Row],[Mid3]],Table1[[#This Row],[Mid]])</f>
        <v>10.5</v>
      </c>
      <c r="CG139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92" s="35" t="s">
        <v>134</v>
      </c>
      <c r="CJ1392" t="s">
        <v>157</v>
      </c>
      <c r="CL1392" s="19">
        <f>IF(Table1[[#This Row],[Type]]="Petroleum",1,IF(ISERROR(Table1[[#This Row],[Well Density]]*Table1[[#This Row],[Single Well Discovery Area]]),"",IF(Table1[[#This Row],[Well Density]]*Table1[[#This Row],[Single Well Discovery Area]]&gt;1,1,Table1[[#This Row],[Well Density]]*Table1[[#This Row],[Single Well Discovery Area]])))</f>
        <v>1</v>
      </c>
      <c r="CM1392" t="s">
        <v>135</v>
      </c>
      <c r="CN1392" s="19">
        <f>Table1[[#This Row],[Mid]]</f>
        <v>0</v>
      </c>
      <c r="CO1392" s="19">
        <f>Table1[[#This Row],[Mid3]]+Table1[[#This Row],[Mid6]]+Table1[[#This Row],[Mid9]]</f>
        <v>0</v>
      </c>
      <c r="CP1392" s="19">
        <f>Table1[[#This Row],[Mid12]]+Table1[[#This Row],[Mid15]]+Table1[[#This Row],[Mid18]]+Table1[[#This Row],[Mid21]]+Table1[[#This Row],[Mid24]]</f>
        <v>10.5</v>
      </c>
      <c r="CQ1392" s="19">
        <f>Table1[[#This Row],[Mid27]]+Table1[[#This Row],[Mid30]]+Table1[[#This Row],[Mid33]]+Table1[[#This Row],[Mid36]]+Table1[[#This Row],[Mid39]]</f>
        <v>0</v>
      </c>
      <c r="CR1392" t="s">
        <v>471</v>
      </c>
      <c r="CS1392" s="19" t="str">
        <f>IF(AND(Table1[[#This Row],[Low41]]=0, Table1[[#This Row],[High43]]=0),"N","Y")</f>
        <v>N</v>
      </c>
    </row>
    <row r="1393" spans="1:97" ht="19.5" customHeight="1" x14ac:dyDescent="0.25">
      <c r="A1393">
        <v>11395</v>
      </c>
      <c r="B1393" t="s">
        <v>4274</v>
      </c>
      <c r="C1393" t="s">
        <v>4304</v>
      </c>
      <c r="D1393">
        <v>4.7510000000000003</v>
      </c>
      <c r="E1393">
        <v>-71.346999999999994</v>
      </c>
      <c r="F1393" t="s">
        <v>4305</v>
      </c>
      <c r="G1393" t="s">
        <v>4306</v>
      </c>
      <c r="H1393" t="s">
        <v>252</v>
      </c>
      <c r="I1393" t="s">
        <v>118</v>
      </c>
      <c r="J1393" t="s">
        <v>118</v>
      </c>
      <c r="K1393" t="s">
        <v>190</v>
      </c>
      <c r="L1393" t="s">
        <v>121</v>
      </c>
      <c r="M1393" t="s">
        <v>2905</v>
      </c>
      <c r="N1393" s="6" t="s">
        <v>4307</v>
      </c>
      <c r="O1393" t="s">
        <v>2652</v>
      </c>
      <c r="P1393" t="s">
        <v>2652</v>
      </c>
      <c r="Q1393" t="s">
        <v>4308</v>
      </c>
      <c r="R1393" t="s">
        <v>4309</v>
      </c>
      <c r="S1393">
        <v>2023</v>
      </c>
      <c r="T1393" t="s">
        <v>3959</v>
      </c>
      <c r="U1393" t="s">
        <v>4221</v>
      </c>
      <c r="V1393"/>
      <c r="W1393">
        <v>2700</v>
      </c>
      <c r="AD1393">
        <v>150</v>
      </c>
      <c r="AF1393">
        <v>200</v>
      </c>
      <c r="AH1393" t="s">
        <v>4284</v>
      </c>
      <c r="AI1393">
        <v>4</v>
      </c>
      <c r="AM1393" t="s">
        <v>4310</v>
      </c>
      <c r="BH1393">
        <v>5920</v>
      </c>
      <c r="CE139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93" s="19">
        <f>SUM(Table1[[#This Row],[Mid39]],Table1[[#This Row],[Mid36]],Table1[[#This Row],[Mid33]],Table1[[#This Row],[Mid30]],Table1[[#This Row],[Mid27]],Table1[[#This Row],[Mid24]],Table1[[#This Row],[Mid21]],Table1[[#This Row],[Mid18]],Table1[[#This Row],[Mid15]],Table1[[#This Row],[Mid12]],Table1[[#This Row],[Mid9]],Table1[[#This Row],[Mid6]],Table1[[#This Row],[Mid3]],Table1[[#This Row],[Mid]])</f>
        <v>5920</v>
      </c>
      <c r="CG139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93" s="35" t="s">
        <v>189</v>
      </c>
      <c r="CJ1393" t="s">
        <v>157</v>
      </c>
      <c r="CL1393" s="19">
        <f>IF(Table1[[#This Row],[Type]]="Petroleum",1,IF(ISERROR(Table1[[#This Row],[Well Density]]*Table1[[#This Row],[Single Well Discovery Area]]),"",IF(Table1[[#This Row],[Well Density]]*Table1[[#This Row],[Single Well Discovery Area]]&gt;1,1,Table1[[#This Row],[Well Density]]*Table1[[#This Row],[Single Well Discovery Area]])))</f>
        <v>0</v>
      </c>
      <c r="CM1393" t="s">
        <v>158</v>
      </c>
      <c r="CN1393" s="19">
        <f>Table1[[#This Row],[Mid]]</f>
        <v>0</v>
      </c>
      <c r="CO1393" s="19">
        <f>Table1[[#This Row],[Mid3]]+Table1[[#This Row],[Mid6]]+Table1[[#This Row],[Mid9]]</f>
        <v>0</v>
      </c>
      <c r="CP1393" s="19">
        <f>Table1[[#This Row],[Mid12]]+Table1[[#This Row],[Mid15]]+Table1[[#This Row],[Mid18]]+Table1[[#This Row],[Mid21]]+Table1[[#This Row],[Mid24]]</f>
        <v>5920</v>
      </c>
      <c r="CQ1393" s="19">
        <f>Table1[[#This Row],[Mid27]]+Table1[[#This Row],[Mid30]]+Table1[[#This Row],[Mid33]]+Table1[[#This Row],[Mid36]]+Table1[[#This Row],[Mid39]]</f>
        <v>0</v>
      </c>
      <c r="CR1393" t="s">
        <v>471</v>
      </c>
      <c r="CS1393" s="19" t="str">
        <f>IF(AND(Table1[[#This Row],[Low41]]=0, Table1[[#This Row],[High43]]=0),"N","Y")</f>
        <v>N</v>
      </c>
    </row>
    <row r="1394" spans="1:97" ht="19.5" customHeight="1" x14ac:dyDescent="0.25">
      <c r="A1394">
        <v>11396</v>
      </c>
      <c r="B1394" t="s">
        <v>4274</v>
      </c>
      <c r="C1394" t="s">
        <v>4304</v>
      </c>
      <c r="D1394">
        <v>4.7</v>
      </c>
      <c r="E1394">
        <v>-71.147000000000006</v>
      </c>
      <c r="F1394" t="s">
        <v>4311</v>
      </c>
      <c r="G1394" t="s">
        <v>4306</v>
      </c>
      <c r="H1394" t="s">
        <v>252</v>
      </c>
      <c r="I1394" t="s">
        <v>118</v>
      </c>
      <c r="J1394" t="s">
        <v>118</v>
      </c>
      <c r="K1394" t="s">
        <v>190</v>
      </c>
      <c r="L1394" t="s">
        <v>121</v>
      </c>
      <c r="M1394" t="s">
        <v>191</v>
      </c>
      <c r="N1394" s="6" t="s">
        <v>4307</v>
      </c>
      <c r="O1394" t="s">
        <v>2652</v>
      </c>
      <c r="P1394" t="s">
        <v>2652</v>
      </c>
      <c r="Q1394" t="s">
        <v>4312</v>
      </c>
      <c r="R1394" t="s">
        <v>4309</v>
      </c>
      <c r="S1394">
        <v>2023</v>
      </c>
      <c r="T1394" t="s">
        <v>3959</v>
      </c>
      <c r="U1394" t="s">
        <v>4221</v>
      </c>
      <c r="V1394"/>
      <c r="W1394">
        <v>2700</v>
      </c>
      <c r="AD1394">
        <v>150</v>
      </c>
      <c r="AF1394">
        <v>200</v>
      </c>
      <c r="AH1394" t="s">
        <v>4284</v>
      </c>
      <c r="AI1394">
        <v>4</v>
      </c>
      <c r="AM1394" t="s">
        <v>4310</v>
      </c>
      <c r="BH1394">
        <v>5100</v>
      </c>
      <c r="CE139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94" s="19">
        <f>SUM(Table1[[#This Row],[Mid39]],Table1[[#This Row],[Mid36]],Table1[[#This Row],[Mid33]],Table1[[#This Row],[Mid30]],Table1[[#This Row],[Mid27]],Table1[[#This Row],[Mid24]],Table1[[#This Row],[Mid21]],Table1[[#This Row],[Mid18]],Table1[[#This Row],[Mid15]],Table1[[#This Row],[Mid12]],Table1[[#This Row],[Mid9]],Table1[[#This Row],[Mid6]],Table1[[#This Row],[Mid3]],Table1[[#This Row],[Mid]])</f>
        <v>5100</v>
      </c>
      <c r="CG139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94" s="35" t="s">
        <v>189</v>
      </c>
      <c r="CJ1394" t="s">
        <v>157</v>
      </c>
      <c r="CL1394" s="19">
        <f>IF(Table1[[#This Row],[Type]]="Petroleum",1,IF(ISERROR(Table1[[#This Row],[Well Density]]*Table1[[#This Row],[Single Well Discovery Area]]),"",IF(Table1[[#This Row],[Well Density]]*Table1[[#This Row],[Single Well Discovery Area]]&gt;1,1,Table1[[#This Row],[Well Density]]*Table1[[#This Row],[Single Well Discovery Area]])))</f>
        <v>0</v>
      </c>
      <c r="CM1394" t="s">
        <v>158</v>
      </c>
      <c r="CN1394" s="19">
        <f>Table1[[#This Row],[Mid]]</f>
        <v>0</v>
      </c>
      <c r="CO1394" s="19">
        <f>Table1[[#This Row],[Mid3]]+Table1[[#This Row],[Mid6]]+Table1[[#This Row],[Mid9]]</f>
        <v>0</v>
      </c>
      <c r="CP1394" s="19">
        <f>Table1[[#This Row],[Mid12]]+Table1[[#This Row],[Mid15]]+Table1[[#This Row],[Mid18]]+Table1[[#This Row],[Mid21]]+Table1[[#This Row],[Mid24]]</f>
        <v>5100</v>
      </c>
      <c r="CQ1394" s="19">
        <f>Table1[[#This Row],[Mid27]]+Table1[[#This Row],[Mid30]]+Table1[[#This Row],[Mid33]]+Table1[[#This Row],[Mid36]]+Table1[[#This Row],[Mid39]]</f>
        <v>0</v>
      </c>
      <c r="CR1394" t="s">
        <v>471</v>
      </c>
      <c r="CS1394" s="19" t="str">
        <f>IF(AND(Table1[[#This Row],[Low41]]=0, Table1[[#This Row],[High43]]=0),"N","Y")</f>
        <v>N</v>
      </c>
    </row>
    <row r="1395" spans="1:97" ht="19.5" customHeight="1" x14ac:dyDescent="0.25">
      <c r="A1395">
        <v>11397</v>
      </c>
      <c r="B1395" t="s">
        <v>4274</v>
      </c>
      <c r="C1395" t="s">
        <v>4304</v>
      </c>
      <c r="D1395">
        <v>4.851</v>
      </c>
      <c r="E1395">
        <v>-71.247</v>
      </c>
      <c r="F1395" t="s">
        <v>4313</v>
      </c>
      <c r="G1395" t="s">
        <v>4306</v>
      </c>
      <c r="H1395" t="s">
        <v>252</v>
      </c>
      <c r="I1395" t="s">
        <v>118</v>
      </c>
      <c r="J1395" t="s">
        <v>118</v>
      </c>
      <c r="K1395" t="s">
        <v>190</v>
      </c>
      <c r="L1395" t="s">
        <v>121</v>
      </c>
      <c r="M1395" t="s">
        <v>191</v>
      </c>
      <c r="N1395" s="6" t="s">
        <v>4307</v>
      </c>
      <c r="O1395" t="s">
        <v>2652</v>
      </c>
      <c r="P1395" t="s">
        <v>2652</v>
      </c>
      <c r="Q1395" t="s">
        <v>4314</v>
      </c>
      <c r="R1395" t="s">
        <v>4309</v>
      </c>
      <c r="S1395">
        <v>2023</v>
      </c>
      <c r="T1395" t="s">
        <v>3959</v>
      </c>
      <c r="U1395" t="s">
        <v>4221</v>
      </c>
      <c r="V1395"/>
      <c r="W1395">
        <v>2700</v>
      </c>
      <c r="AD1395">
        <v>150</v>
      </c>
      <c r="AF1395">
        <v>200</v>
      </c>
      <c r="AH1395" t="s">
        <v>4284</v>
      </c>
      <c r="AI1395">
        <v>4</v>
      </c>
      <c r="AM1395" t="s">
        <v>4310</v>
      </c>
      <c r="BH1395">
        <v>7060</v>
      </c>
      <c r="CE139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95" s="19">
        <f>SUM(Table1[[#This Row],[Mid39]],Table1[[#This Row],[Mid36]],Table1[[#This Row],[Mid33]],Table1[[#This Row],[Mid30]],Table1[[#This Row],[Mid27]],Table1[[#This Row],[Mid24]],Table1[[#This Row],[Mid21]],Table1[[#This Row],[Mid18]],Table1[[#This Row],[Mid15]],Table1[[#This Row],[Mid12]],Table1[[#This Row],[Mid9]],Table1[[#This Row],[Mid6]],Table1[[#This Row],[Mid3]],Table1[[#This Row],[Mid]])</f>
        <v>7060</v>
      </c>
      <c r="CG139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95" s="35" t="s">
        <v>189</v>
      </c>
      <c r="CJ1395" t="s">
        <v>157</v>
      </c>
      <c r="CL1395" s="19">
        <f>IF(Table1[[#This Row],[Type]]="Petroleum",1,IF(ISERROR(Table1[[#This Row],[Well Density]]*Table1[[#This Row],[Single Well Discovery Area]]),"",IF(Table1[[#This Row],[Well Density]]*Table1[[#This Row],[Single Well Discovery Area]]&gt;1,1,Table1[[#This Row],[Well Density]]*Table1[[#This Row],[Single Well Discovery Area]])))</f>
        <v>0</v>
      </c>
      <c r="CM1395" t="s">
        <v>158</v>
      </c>
      <c r="CN1395" s="19">
        <f>Table1[[#This Row],[Mid]]</f>
        <v>0</v>
      </c>
      <c r="CO1395" s="19">
        <f>Table1[[#This Row],[Mid3]]+Table1[[#This Row],[Mid6]]+Table1[[#This Row],[Mid9]]</f>
        <v>0</v>
      </c>
      <c r="CP1395" s="19">
        <f>Table1[[#This Row],[Mid12]]+Table1[[#This Row],[Mid15]]+Table1[[#This Row],[Mid18]]+Table1[[#This Row],[Mid21]]+Table1[[#This Row],[Mid24]]</f>
        <v>7060</v>
      </c>
      <c r="CQ1395" s="19">
        <f>Table1[[#This Row],[Mid27]]+Table1[[#This Row],[Mid30]]+Table1[[#This Row],[Mid33]]+Table1[[#This Row],[Mid36]]+Table1[[#This Row],[Mid39]]</f>
        <v>0</v>
      </c>
      <c r="CR1395" t="s">
        <v>471</v>
      </c>
      <c r="CS1395" s="19" t="str">
        <f>IF(AND(Table1[[#This Row],[Low41]]=0, Table1[[#This Row],[High43]]=0),"N","Y")</f>
        <v>N</v>
      </c>
    </row>
    <row r="1396" spans="1:97" ht="19.5" customHeight="1" x14ac:dyDescent="0.25">
      <c r="A1396">
        <v>11398</v>
      </c>
      <c r="B1396" t="s">
        <v>4274</v>
      </c>
      <c r="C1396" t="s">
        <v>4304</v>
      </c>
      <c r="D1396">
        <v>4.7510000000000003</v>
      </c>
      <c r="E1396">
        <v>-71.247</v>
      </c>
      <c r="F1396" t="s">
        <v>4315</v>
      </c>
      <c r="G1396" t="s">
        <v>4306</v>
      </c>
      <c r="H1396" t="s">
        <v>252</v>
      </c>
      <c r="I1396" t="s">
        <v>118</v>
      </c>
      <c r="J1396" t="s">
        <v>118</v>
      </c>
      <c r="K1396" t="s">
        <v>190</v>
      </c>
      <c r="L1396" t="s">
        <v>121</v>
      </c>
      <c r="M1396" t="s">
        <v>2262</v>
      </c>
      <c r="N1396" s="6" t="s">
        <v>4307</v>
      </c>
      <c r="O1396" t="s">
        <v>2652</v>
      </c>
      <c r="P1396" t="s">
        <v>2652</v>
      </c>
      <c r="Q1396" t="s">
        <v>4316</v>
      </c>
      <c r="R1396" t="s">
        <v>4309</v>
      </c>
      <c r="S1396">
        <v>2023</v>
      </c>
      <c r="T1396" t="s">
        <v>3959</v>
      </c>
      <c r="U1396" t="s">
        <v>4221</v>
      </c>
      <c r="V1396"/>
      <c r="W1396">
        <v>2700</v>
      </c>
      <c r="AD1396">
        <v>150</v>
      </c>
      <c r="AF1396">
        <v>200</v>
      </c>
      <c r="AH1396" t="s">
        <v>4284</v>
      </c>
      <c r="AI1396">
        <v>4</v>
      </c>
      <c r="AM1396" t="s">
        <v>4310</v>
      </c>
      <c r="BH1396">
        <v>2990</v>
      </c>
      <c r="CE139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96" s="19">
        <f>SUM(Table1[[#This Row],[Mid39]],Table1[[#This Row],[Mid36]],Table1[[#This Row],[Mid33]],Table1[[#This Row],[Mid30]],Table1[[#This Row],[Mid27]],Table1[[#This Row],[Mid24]],Table1[[#This Row],[Mid21]],Table1[[#This Row],[Mid18]],Table1[[#This Row],[Mid15]],Table1[[#This Row],[Mid12]],Table1[[#This Row],[Mid9]],Table1[[#This Row],[Mid6]],Table1[[#This Row],[Mid3]],Table1[[#This Row],[Mid]])</f>
        <v>2990</v>
      </c>
      <c r="CG139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96" s="35" t="s">
        <v>189</v>
      </c>
      <c r="CJ1396" t="s">
        <v>157</v>
      </c>
      <c r="CL1396" s="19">
        <f>IF(Table1[[#This Row],[Type]]="Petroleum",1,IF(ISERROR(Table1[[#This Row],[Well Density]]*Table1[[#This Row],[Single Well Discovery Area]]),"",IF(Table1[[#This Row],[Well Density]]*Table1[[#This Row],[Single Well Discovery Area]]&gt;1,1,Table1[[#This Row],[Well Density]]*Table1[[#This Row],[Single Well Discovery Area]])))</f>
        <v>0</v>
      </c>
      <c r="CM1396" t="s">
        <v>158</v>
      </c>
      <c r="CN1396" s="19">
        <f>Table1[[#This Row],[Mid]]</f>
        <v>0</v>
      </c>
      <c r="CO1396" s="19">
        <f>Table1[[#This Row],[Mid3]]+Table1[[#This Row],[Mid6]]+Table1[[#This Row],[Mid9]]</f>
        <v>0</v>
      </c>
      <c r="CP1396" s="19">
        <f>Table1[[#This Row],[Mid12]]+Table1[[#This Row],[Mid15]]+Table1[[#This Row],[Mid18]]+Table1[[#This Row],[Mid21]]+Table1[[#This Row],[Mid24]]</f>
        <v>2990</v>
      </c>
      <c r="CQ1396" s="19">
        <f>Table1[[#This Row],[Mid27]]+Table1[[#This Row],[Mid30]]+Table1[[#This Row],[Mid33]]+Table1[[#This Row],[Mid36]]+Table1[[#This Row],[Mid39]]</f>
        <v>0</v>
      </c>
      <c r="CR1396" t="s">
        <v>471</v>
      </c>
      <c r="CS1396" s="19" t="str">
        <f>IF(AND(Table1[[#This Row],[Low41]]=0, Table1[[#This Row],[High43]]=0),"N","Y")</f>
        <v>N</v>
      </c>
    </row>
    <row r="1397" spans="1:97" ht="19.5" customHeight="1" x14ac:dyDescent="0.25">
      <c r="A1397">
        <v>11399</v>
      </c>
      <c r="B1397" t="s">
        <v>4274</v>
      </c>
      <c r="C1397" t="s">
        <v>4317</v>
      </c>
      <c r="D1397">
        <v>7.25</v>
      </c>
      <c r="E1397">
        <v>-73.837000000000003</v>
      </c>
      <c r="F1397" t="s">
        <v>4318</v>
      </c>
      <c r="G1397" t="s">
        <v>4276</v>
      </c>
      <c r="H1397" t="s">
        <v>4319</v>
      </c>
      <c r="I1397" t="s">
        <v>582</v>
      </c>
      <c r="J1397" t="s">
        <v>202</v>
      </c>
      <c r="K1397" t="s">
        <v>203</v>
      </c>
      <c r="L1397" t="s">
        <v>121</v>
      </c>
      <c r="M1397" t="s">
        <v>252</v>
      </c>
      <c r="N1397" s="6" t="s">
        <v>4320</v>
      </c>
      <c r="O1397" t="s">
        <v>2652</v>
      </c>
      <c r="P1397" t="s">
        <v>4321</v>
      </c>
      <c r="Q1397" t="s">
        <v>4322</v>
      </c>
      <c r="R1397" t="s">
        <v>4323</v>
      </c>
      <c r="S1397">
        <v>2023</v>
      </c>
      <c r="T1397" t="s">
        <v>3959</v>
      </c>
      <c r="U1397" t="s">
        <v>4221</v>
      </c>
      <c r="V1397"/>
      <c r="AD1397">
        <v>70</v>
      </c>
      <c r="AH1397" t="s">
        <v>4284</v>
      </c>
      <c r="AM1397" t="s">
        <v>4302</v>
      </c>
      <c r="BN1397">
        <v>4410</v>
      </c>
      <c r="CE139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97" s="19">
        <f>SUM(Table1[[#This Row],[Mid39]],Table1[[#This Row],[Mid36]],Table1[[#This Row],[Mid33]],Table1[[#This Row],[Mid30]],Table1[[#This Row],[Mid27]],Table1[[#This Row],[Mid24]],Table1[[#This Row],[Mid21]],Table1[[#This Row],[Mid18]],Table1[[#This Row],[Mid15]],Table1[[#This Row],[Mid12]],Table1[[#This Row],[Mid9]],Table1[[#This Row],[Mid6]],Table1[[#This Row],[Mid3]],Table1[[#This Row],[Mid]])</f>
        <v>4410</v>
      </c>
      <c r="CG139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97" s="35" t="s">
        <v>189</v>
      </c>
      <c r="CJ1397" t="s">
        <v>133</v>
      </c>
      <c r="CL1397" s="19">
        <f>IF(Table1[[#This Row],[Type]]="Petroleum",1,IF(ISERROR(Table1[[#This Row],[Well Density]]*Table1[[#This Row],[Single Well Discovery Area]]),"",IF(Table1[[#This Row],[Well Density]]*Table1[[#This Row],[Single Well Discovery Area]]&gt;1,1,Table1[[#This Row],[Well Density]]*Table1[[#This Row],[Single Well Discovery Area]])))</f>
        <v>1</v>
      </c>
      <c r="CM1397" t="s">
        <v>158</v>
      </c>
      <c r="CN1397" s="19">
        <f>Table1[[#This Row],[Mid]]</f>
        <v>0</v>
      </c>
      <c r="CO1397" s="19">
        <f>Table1[[#This Row],[Mid3]]+Table1[[#This Row],[Mid6]]+Table1[[#This Row],[Mid9]]</f>
        <v>0</v>
      </c>
      <c r="CP1397" s="19">
        <f>Table1[[#This Row],[Mid12]]+Table1[[#This Row],[Mid15]]+Table1[[#This Row],[Mid18]]+Table1[[#This Row],[Mid21]]+Table1[[#This Row],[Mid24]]</f>
        <v>4410</v>
      </c>
      <c r="CQ1397" s="19">
        <f>Table1[[#This Row],[Mid27]]+Table1[[#This Row],[Mid30]]+Table1[[#This Row],[Mid33]]+Table1[[#This Row],[Mid36]]+Table1[[#This Row],[Mid39]]</f>
        <v>0</v>
      </c>
      <c r="CR1397" t="s">
        <v>471</v>
      </c>
      <c r="CS1397" s="19" t="str">
        <f>IF(AND(Table1[[#This Row],[Low41]]=0, Table1[[#This Row],[High43]]=0),"N","Y")</f>
        <v>N</v>
      </c>
    </row>
    <row r="1398" spans="1:97" ht="19.5" customHeight="1" x14ac:dyDescent="0.25">
      <c r="A1398">
        <v>11400</v>
      </c>
      <c r="B1398" t="s">
        <v>4274</v>
      </c>
      <c r="C1398" t="s">
        <v>4324</v>
      </c>
      <c r="D1398">
        <v>0.77700000000000002</v>
      </c>
      <c r="E1398">
        <v>-76.992000000000004</v>
      </c>
      <c r="F1398" t="s">
        <v>4325</v>
      </c>
      <c r="G1398" t="s">
        <v>4326</v>
      </c>
      <c r="H1398" t="s">
        <v>252</v>
      </c>
      <c r="I1398" t="s">
        <v>582</v>
      </c>
      <c r="J1398" t="s">
        <v>202</v>
      </c>
      <c r="K1398" t="s">
        <v>203</v>
      </c>
      <c r="L1398" t="s">
        <v>121</v>
      </c>
      <c r="M1398" t="s">
        <v>252</v>
      </c>
      <c r="N1398" s="6" t="s">
        <v>4320</v>
      </c>
      <c r="O1398" t="s">
        <v>2652</v>
      </c>
      <c r="P1398" t="s">
        <v>4321</v>
      </c>
      <c r="Q1398" t="s">
        <v>4322</v>
      </c>
      <c r="R1398" t="s">
        <v>4323</v>
      </c>
      <c r="S1398">
        <v>2023</v>
      </c>
      <c r="T1398" t="s">
        <v>3959</v>
      </c>
      <c r="U1398" t="s">
        <v>4221</v>
      </c>
      <c r="V1398"/>
      <c r="AH1398" t="s">
        <v>4284</v>
      </c>
      <c r="AM1398" t="s">
        <v>4302</v>
      </c>
      <c r="BN1398">
        <v>318.60000000000002</v>
      </c>
      <c r="CE139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98" s="19">
        <f>SUM(Table1[[#This Row],[Mid39]],Table1[[#This Row],[Mid36]],Table1[[#This Row],[Mid33]],Table1[[#This Row],[Mid30]],Table1[[#This Row],[Mid27]],Table1[[#This Row],[Mid24]],Table1[[#This Row],[Mid21]],Table1[[#This Row],[Mid18]],Table1[[#This Row],[Mid15]],Table1[[#This Row],[Mid12]],Table1[[#This Row],[Mid9]],Table1[[#This Row],[Mid6]],Table1[[#This Row],[Mid3]],Table1[[#This Row],[Mid]])</f>
        <v>318.60000000000002</v>
      </c>
      <c r="CG139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98" s="35" t="s">
        <v>189</v>
      </c>
      <c r="CJ1398" t="s">
        <v>133</v>
      </c>
      <c r="CL1398" s="19">
        <f>IF(Table1[[#This Row],[Type]]="Petroleum",1,IF(ISERROR(Table1[[#This Row],[Well Density]]*Table1[[#This Row],[Single Well Discovery Area]]),"",IF(Table1[[#This Row],[Well Density]]*Table1[[#This Row],[Single Well Discovery Area]]&gt;1,1,Table1[[#This Row],[Well Density]]*Table1[[#This Row],[Single Well Discovery Area]])))</f>
        <v>1</v>
      </c>
      <c r="CM1398" t="s">
        <v>158</v>
      </c>
      <c r="CN1398" s="19">
        <f>Table1[[#This Row],[Mid]]</f>
        <v>0</v>
      </c>
      <c r="CO1398" s="19">
        <f>Table1[[#This Row],[Mid3]]+Table1[[#This Row],[Mid6]]+Table1[[#This Row],[Mid9]]</f>
        <v>0</v>
      </c>
      <c r="CP1398" s="19">
        <f>Table1[[#This Row],[Mid12]]+Table1[[#This Row],[Mid15]]+Table1[[#This Row],[Mid18]]+Table1[[#This Row],[Mid21]]+Table1[[#This Row],[Mid24]]</f>
        <v>318.60000000000002</v>
      </c>
      <c r="CQ1398" s="19">
        <f>Table1[[#This Row],[Mid27]]+Table1[[#This Row],[Mid30]]+Table1[[#This Row],[Mid33]]+Table1[[#This Row],[Mid36]]+Table1[[#This Row],[Mid39]]</f>
        <v>0</v>
      </c>
      <c r="CR1398" t="s">
        <v>471</v>
      </c>
      <c r="CS1398" s="19" t="str">
        <f>IF(AND(Table1[[#This Row],[Low41]]=0, Table1[[#This Row],[High43]]=0),"N","Y")</f>
        <v>N</v>
      </c>
    </row>
    <row r="1399" spans="1:97" ht="19.5" customHeight="1" x14ac:dyDescent="0.25">
      <c r="A1399">
        <v>11401</v>
      </c>
      <c r="B1399" t="s">
        <v>4274</v>
      </c>
      <c r="C1399" t="s">
        <v>4327</v>
      </c>
      <c r="D1399">
        <v>10.316000000000001</v>
      </c>
      <c r="E1399">
        <v>-75.096999999999994</v>
      </c>
      <c r="F1399" t="s">
        <v>4328</v>
      </c>
      <c r="G1399" t="s">
        <v>4329</v>
      </c>
      <c r="H1399" t="s">
        <v>252</v>
      </c>
      <c r="I1399" t="s">
        <v>582</v>
      </c>
      <c r="J1399" t="s">
        <v>202</v>
      </c>
      <c r="K1399" t="s">
        <v>203</v>
      </c>
      <c r="L1399" t="s">
        <v>121</v>
      </c>
      <c r="M1399" t="s">
        <v>252</v>
      </c>
      <c r="N1399" s="6" t="s">
        <v>4320</v>
      </c>
      <c r="O1399" t="s">
        <v>2652</v>
      </c>
      <c r="P1399" t="s">
        <v>4321</v>
      </c>
      <c r="Q1399" t="s">
        <v>4322</v>
      </c>
      <c r="R1399" t="s">
        <v>4323</v>
      </c>
      <c r="S1399">
        <v>2023</v>
      </c>
      <c r="T1399" t="s">
        <v>3959</v>
      </c>
      <c r="U1399" t="s">
        <v>4221</v>
      </c>
      <c r="V1399"/>
      <c r="AH1399" t="s">
        <v>4284</v>
      </c>
      <c r="AM1399" t="s">
        <v>4302</v>
      </c>
      <c r="BN1399">
        <v>318.60000000000002</v>
      </c>
      <c r="CE139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399" s="19">
        <f>SUM(Table1[[#This Row],[Mid39]],Table1[[#This Row],[Mid36]],Table1[[#This Row],[Mid33]],Table1[[#This Row],[Mid30]],Table1[[#This Row],[Mid27]],Table1[[#This Row],[Mid24]],Table1[[#This Row],[Mid21]],Table1[[#This Row],[Mid18]],Table1[[#This Row],[Mid15]],Table1[[#This Row],[Mid12]],Table1[[#This Row],[Mid9]],Table1[[#This Row],[Mid6]],Table1[[#This Row],[Mid3]],Table1[[#This Row],[Mid]])</f>
        <v>318.60000000000002</v>
      </c>
      <c r="CG139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399" s="35" t="s">
        <v>189</v>
      </c>
      <c r="CJ1399" t="s">
        <v>133</v>
      </c>
      <c r="CL1399" s="19">
        <f>IF(Table1[[#This Row],[Type]]="Petroleum",1,IF(ISERROR(Table1[[#This Row],[Well Density]]*Table1[[#This Row],[Single Well Discovery Area]]),"",IF(Table1[[#This Row],[Well Density]]*Table1[[#This Row],[Single Well Discovery Area]]&gt;1,1,Table1[[#This Row],[Well Density]]*Table1[[#This Row],[Single Well Discovery Area]])))</f>
        <v>1</v>
      </c>
      <c r="CM1399" t="s">
        <v>158</v>
      </c>
      <c r="CN1399" s="19">
        <f>Table1[[#This Row],[Mid]]</f>
        <v>0</v>
      </c>
      <c r="CO1399" s="19">
        <f>Table1[[#This Row],[Mid3]]+Table1[[#This Row],[Mid6]]+Table1[[#This Row],[Mid9]]</f>
        <v>0</v>
      </c>
      <c r="CP1399" s="19">
        <f>Table1[[#This Row],[Mid12]]+Table1[[#This Row],[Mid15]]+Table1[[#This Row],[Mid18]]+Table1[[#This Row],[Mid21]]+Table1[[#This Row],[Mid24]]</f>
        <v>318.60000000000002</v>
      </c>
      <c r="CQ1399" s="19">
        <f>Table1[[#This Row],[Mid27]]+Table1[[#This Row],[Mid30]]+Table1[[#This Row],[Mid33]]+Table1[[#This Row],[Mid36]]+Table1[[#This Row],[Mid39]]</f>
        <v>0</v>
      </c>
      <c r="CR1399" t="s">
        <v>471</v>
      </c>
      <c r="CS1399" s="19" t="str">
        <f>IF(AND(Table1[[#This Row],[Low41]]=0, Table1[[#This Row],[High43]]=0),"N","Y")</f>
        <v>N</v>
      </c>
    </row>
    <row r="1400" spans="1:97" ht="19.5" customHeight="1" x14ac:dyDescent="0.25">
      <c r="A1400">
        <v>11402</v>
      </c>
      <c r="B1400" t="s">
        <v>4274</v>
      </c>
      <c r="C1400" t="s">
        <v>4330</v>
      </c>
      <c r="D1400">
        <v>3.4369999999999998</v>
      </c>
      <c r="E1400">
        <v>-74.641999999999996</v>
      </c>
      <c r="F1400" t="s">
        <v>4331</v>
      </c>
      <c r="G1400" t="s">
        <v>4332</v>
      </c>
      <c r="H1400" t="s">
        <v>252</v>
      </c>
      <c r="I1400" t="s">
        <v>582</v>
      </c>
      <c r="J1400" t="s">
        <v>202</v>
      </c>
      <c r="K1400" t="s">
        <v>203</v>
      </c>
      <c r="L1400" t="s">
        <v>121</v>
      </c>
      <c r="M1400" t="s">
        <v>252</v>
      </c>
      <c r="N1400" s="6" t="s">
        <v>4320</v>
      </c>
      <c r="O1400" t="s">
        <v>2652</v>
      </c>
      <c r="P1400" t="s">
        <v>4321</v>
      </c>
      <c r="Q1400" t="s">
        <v>4322</v>
      </c>
      <c r="R1400" t="s">
        <v>4323</v>
      </c>
      <c r="S1400">
        <v>2023</v>
      </c>
      <c r="T1400" t="s">
        <v>3959</v>
      </c>
      <c r="U1400" t="s">
        <v>4221</v>
      </c>
      <c r="V1400"/>
      <c r="AH1400" t="s">
        <v>4284</v>
      </c>
      <c r="AM1400" t="s">
        <v>4302</v>
      </c>
      <c r="BN1400">
        <v>371.7</v>
      </c>
      <c r="CE140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00" s="19">
        <f>SUM(Table1[[#This Row],[Mid39]],Table1[[#This Row],[Mid36]],Table1[[#This Row],[Mid33]],Table1[[#This Row],[Mid30]],Table1[[#This Row],[Mid27]],Table1[[#This Row],[Mid24]],Table1[[#This Row],[Mid21]],Table1[[#This Row],[Mid18]],Table1[[#This Row],[Mid15]],Table1[[#This Row],[Mid12]],Table1[[#This Row],[Mid9]],Table1[[#This Row],[Mid6]],Table1[[#This Row],[Mid3]],Table1[[#This Row],[Mid]])</f>
        <v>371.7</v>
      </c>
      <c r="CG140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00" s="35" t="s">
        <v>189</v>
      </c>
      <c r="CJ1400" t="s">
        <v>133</v>
      </c>
      <c r="CL1400" s="19">
        <f>IF(Table1[[#This Row],[Type]]="Petroleum",1,IF(ISERROR(Table1[[#This Row],[Well Density]]*Table1[[#This Row],[Single Well Discovery Area]]),"",IF(Table1[[#This Row],[Well Density]]*Table1[[#This Row],[Single Well Discovery Area]]&gt;1,1,Table1[[#This Row],[Well Density]]*Table1[[#This Row],[Single Well Discovery Area]])))</f>
        <v>1</v>
      </c>
      <c r="CM1400" t="s">
        <v>158</v>
      </c>
      <c r="CN1400" s="19">
        <f>Table1[[#This Row],[Mid]]</f>
        <v>0</v>
      </c>
      <c r="CO1400" s="19">
        <f>Table1[[#This Row],[Mid3]]+Table1[[#This Row],[Mid6]]+Table1[[#This Row],[Mid9]]</f>
        <v>0</v>
      </c>
      <c r="CP1400" s="19">
        <f>Table1[[#This Row],[Mid12]]+Table1[[#This Row],[Mid15]]+Table1[[#This Row],[Mid18]]+Table1[[#This Row],[Mid21]]+Table1[[#This Row],[Mid24]]</f>
        <v>371.7</v>
      </c>
      <c r="CQ1400" s="19">
        <f>Table1[[#This Row],[Mid27]]+Table1[[#This Row],[Mid30]]+Table1[[#This Row],[Mid33]]+Table1[[#This Row],[Mid36]]+Table1[[#This Row],[Mid39]]</f>
        <v>0</v>
      </c>
      <c r="CR1400" t="s">
        <v>471</v>
      </c>
      <c r="CS1400" s="19" t="str">
        <f>IF(AND(Table1[[#This Row],[Low41]]=0, Table1[[#This Row],[High43]]=0),"N","Y")</f>
        <v>N</v>
      </c>
    </row>
    <row r="1401" spans="1:97" ht="19.5" customHeight="1" x14ac:dyDescent="0.25">
      <c r="A1401">
        <v>11403</v>
      </c>
      <c r="B1401" t="s">
        <v>4274</v>
      </c>
      <c r="C1401" t="s">
        <v>4333</v>
      </c>
      <c r="D1401">
        <v>6.7149999999999999</v>
      </c>
      <c r="E1401">
        <v>-73.986000000000004</v>
      </c>
      <c r="F1401" t="s">
        <v>4334</v>
      </c>
      <c r="G1401" t="s">
        <v>4276</v>
      </c>
      <c r="H1401" t="s">
        <v>252</v>
      </c>
      <c r="I1401" t="s">
        <v>118</v>
      </c>
      <c r="J1401" t="s">
        <v>118</v>
      </c>
      <c r="K1401" t="s">
        <v>190</v>
      </c>
      <c r="L1401" t="s">
        <v>18</v>
      </c>
      <c r="M1401" t="s">
        <v>4335</v>
      </c>
      <c r="N1401" s="6" t="s">
        <v>4336</v>
      </c>
      <c r="O1401" t="s">
        <v>2652</v>
      </c>
      <c r="P1401" t="s">
        <v>4337</v>
      </c>
      <c r="Q1401" t="s">
        <v>4338</v>
      </c>
      <c r="R1401" t="s">
        <v>4339</v>
      </c>
      <c r="S1401">
        <v>2023</v>
      </c>
      <c r="T1401" t="s">
        <v>3959</v>
      </c>
      <c r="U1401" t="s">
        <v>4221</v>
      </c>
      <c r="V1401"/>
      <c r="X1401">
        <v>130</v>
      </c>
      <c r="AD1401">
        <v>100</v>
      </c>
      <c r="AH1401" t="s">
        <v>1612</v>
      </c>
      <c r="AI1401" t="s">
        <v>4340</v>
      </c>
      <c r="CC1401">
        <v>60</v>
      </c>
      <c r="CE140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01" s="19">
        <f>SUM(Table1[[#This Row],[Mid39]],Table1[[#This Row],[Mid36]],Table1[[#This Row],[Mid33]],Table1[[#This Row],[Mid30]],Table1[[#This Row],[Mid27]],Table1[[#This Row],[Mid24]],Table1[[#This Row],[Mid21]],Table1[[#This Row],[Mid18]],Table1[[#This Row],[Mid15]],Table1[[#This Row],[Mid12]],Table1[[#This Row],[Mid9]],Table1[[#This Row],[Mid6]],Table1[[#This Row],[Mid3]],Table1[[#This Row],[Mid]])</f>
        <v>60</v>
      </c>
      <c r="CG140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01" s="35" t="s">
        <v>189</v>
      </c>
      <c r="CJ1401" t="s">
        <v>133</v>
      </c>
      <c r="CL1401" s="19">
        <f>IF(Table1[[#This Row],[Type]]="Petroleum",1,IF(ISERROR(Table1[[#This Row],[Well Density]]*Table1[[#This Row],[Single Well Discovery Area]]),"",IF(Table1[[#This Row],[Well Density]]*Table1[[#This Row],[Single Well Discovery Area]]&gt;1,1,Table1[[#This Row],[Well Density]]*Table1[[#This Row],[Single Well Discovery Area]])))</f>
        <v>0</v>
      </c>
      <c r="CM1401" t="s">
        <v>135</v>
      </c>
      <c r="CN1401" s="19">
        <f>Table1[[#This Row],[Mid]]</f>
        <v>0</v>
      </c>
      <c r="CO1401" s="19">
        <f>Table1[[#This Row],[Mid3]]+Table1[[#This Row],[Mid6]]+Table1[[#This Row],[Mid9]]</f>
        <v>0</v>
      </c>
      <c r="CP1401" s="19">
        <f>Table1[[#This Row],[Mid12]]+Table1[[#This Row],[Mid15]]+Table1[[#This Row],[Mid18]]+Table1[[#This Row],[Mid21]]+Table1[[#This Row],[Mid24]]</f>
        <v>0</v>
      </c>
      <c r="CQ1401" s="19">
        <f>Table1[[#This Row],[Mid27]]+Table1[[#This Row],[Mid30]]+Table1[[#This Row],[Mid33]]+Table1[[#This Row],[Mid36]]+Table1[[#This Row],[Mid39]]</f>
        <v>60</v>
      </c>
      <c r="CR1401" t="s">
        <v>471</v>
      </c>
      <c r="CS1401" s="19" t="str">
        <f>IF(AND(Table1[[#This Row],[Low41]]=0, Table1[[#This Row],[High43]]=0),"N","Y")</f>
        <v>N</v>
      </c>
    </row>
    <row r="1402" spans="1:97" ht="19.5" customHeight="1" x14ac:dyDescent="0.25">
      <c r="A1402">
        <v>11404</v>
      </c>
      <c r="B1402" t="s">
        <v>4341</v>
      </c>
      <c r="C1402" t="s">
        <v>4342</v>
      </c>
      <c r="D1402">
        <v>-21.5</v>
      </c>
      <c r="E1402">
        <v>22.5</v>
      </c>
      <c r="F1402" t="s">
        <v>4343</v>
      </c>
      <c r="G1402" t="s">
        <v>4344</v>
      </c>
      <c r="H1402" t="s">
        <v>4345</v>
      </c>
      <c r="I1402" t="s">
        <v>118</v>
      </c>
      <c r="J1402" t="s">
        <v>119</v>
      </c>
      <c r="K1402" t="s">
        <v>190</v>
      </c>
      <c r="L1402" t="s">
        <v>18</v>
      </c>
      <c r="M1402" t="s">
        <v>597</v>
      </c>
      <c r="N1402" s="6" t="s">
        <v>4346</v>
      </c>
      <c r="P1402" t="s">
        <v>4347</v>
      </c>
      <c r="Q1402" t="s">
        <v>4348</v>
      </c>
      <c r="R1402" t="s">
        <v>4349</v>
      </c>
      <c r="S1402">
        <v>2017</v>
      </c>
      <c r="T1402" t="s">
        <v>3959</v>
      </c>
      <c r="U1402" t="s">
        <v>3764</v>
      </c>
      <c r="V1402"/>
      <c r="W1402">
        <v>10000</v>
      </c>
      <c r="X1402">
        <v>1100</v>
      </c>
      <c r="Z1402">
        <v>5</v>
      </c>
      <c r="AH1402" t="s">
        <v>2259</v>
      </c>
      <c r="AM1402" t="s">
        <v>167</v>
      </c>
      <c r="AN1402" t="s">
        <v>132</v>
      </c>
      <c r="CC1402">
        <v>958</v>
      </c>
      <c r="CE140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02" s="19">
        <f>SUM(Table1[[#This Row],[Mid39]],Table1[[#This Row],[Mid36]],Table1[[#This Row],[Mid33]],Table1[[#This Row],[Mid30]],Table1[[#This Row],[Mid27]],Table1[[#This Row],[Mid24]],Table1[[#This Row],[Mid21]],Table1[[#This Row],[Mid18]],Table1[[#This Row],[Mid15]],Table1[[#This Row],[Mid12]],Table1[[#This Row],[Mid9]],Table1[[#This Row],[Mid6]],Table1[[#This Row],[Mid3]],Table1[[#This Row],[Mid]])</f>
        <v>958</v>
      </c>
      <c r="CG140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02" s="35" t="s">
        <v>134</v>
      </c>
      <c r="CJ1402" t="s">
        <v>158</v>
      </c>
      <c r="CL1402" s="19">
        <v>0</v>
      </c>
      <c r="CM1402" t="s">
        <v>135</v>
      </c>
      <c r="CN1402" s="19">
        <f>Table1[[#This Row],[Mid]]</f>
        <v>0</v>
      </c>
      <c r="CO1402" s="19">
        <f>Table1[[#This Row],[Mid3]]+Table1[[#This Row],[Mid6]]+Table1[[#This Row],[Mid9]]</f>
        <v>0</v>
      </c>
      <c r="CP1402" s="19">
        <f>Table1[[#This Row],[Mid12]]+Table1[[#This Row],[Mid15]]+Table1[[#This Row],[Mid18]]+Table1[[#This Row],[Mid21]]+Table1[[#This Row],[Mid24]]</f>
        <v>0</v>
      </c>
      <c r="CQ1402" s="19">
        <f>Table1[[#This Row],[Mid27]]+Table1[[#This Row],[Mid30]]+Table1[[#This Row],[Mid33]]+Table1[[#This Row],[Mid36]]+Table1[[#This Row],[Mid39]]</f>
        <v>958</v>
      </c>
      <c r="CR1402" t="s">
        <v>2317</v>
      </c>
      <c r="CS1402" s="19" t="str">
        <f>IF(AND(Table1[[#This Row],[Low41]]=0, Table1[[#This Row],[High43]]=0),"N","Y")</f>
        <v>N</v>
      </c>
    </row>
    <row r="1403" spans="1:97" ht="19.5" customHeight="1" x14ac:dyDescent="0.25">
      <c r="A1403">
        <v>11405</v>
      </c>
      <c r="B1403" t="s">
        <v>4341</v>
      </c>
      <c r="C1403" t="s">
        <v>4342</v>
      </c>
      <c r="D1403">
        <v>-23.3</v>
      </c>
      <c r="E1403">
        <v>25.2</v>
      </c>
      <c r="F1403" t="s">
        <v>4350</v>
      </c>
      <c r="G1403" t="s">
        <v>4344</v>
      </c>
      <c r="H1403" t="s">
        <v>4351</v>
      </c>
      <c r="I1403" t="s">
        <v>118</v>
      </c>
      <c r="J1403" t="s">
        <v>119</v>
      </c>
      <c r="K1403" t="s">
        <v>190</v>
      </c>
      <c r="L1403" t="s">
        <v>18</v>
      </c>
      <c r="M1403" t="s">
        <v>252</v>
      </c>
      <c r="N1403" s="6" t="s">
        <v>4346</v>
      </c>
      <c r="P1403" t="s">
        <v>4352</v>
      </c>
      <c r="Q1403" t="s">
        <v>4353</v>
      </c>
      <c r="R1403" t="s">
        <v>4354</v>
      </c>
      <c r="S1403">
        <v>2017</v>
      </c>
      <c r="T1403" t="s">
        <v>3959</v>
      </c>
      <c r="U1403" t="s">
        <v>3764</v>
      </c>
      <c r="V1403"/>
      <c r="W1403">
        <v>800</v>
      </c>
      <c r="Z1403">
        <v>5</v>
      </c>
      <c r="AH1403" t="s">
        <v>2259</v>
      </c>
      <c r="AM1403" t="s">
        <v>167</v>
      </c>
      <c r="AN1403" t="s">
        <v>132</v>
      </c>
      <c r="CC1403">
        <v>643</v>
      </c>
      <c r="CE140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03" s="19">
        <f>SUM(Table1[[#This Row],[Mid39]],Table1[[#This Row],[Mid36]],Table1[[#This Row],[Mid33]],Table1[[#This Row],[Mid30]],Table1[[#This Row],[Mid27]],Table1[[#This Row],[Mid24]],Table1[[#This Row],[Mid21]],Table1[[#This Row],[Mid18]],Table1[[#This Row],[Mid15]],Table1[[#This Row],[Mid12]],Table1[[#This Row],[Mid9]],Table1[[#This Row],[Mid6]],Table1[[#This Row],[Mid3]],Table1[[#This Row],[Mid]])</f>
        <v>643</v>
      </c>
      <c r="CG140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03" s="35" t="s">
        <v>134</v>
      </c>
      <c r="CJ1403" t="s">
        <v>158</v>
      </c>
      <c r="CL1403" s="19">
        <v>0</v>
      </c>
      <c r="CM1403" t="s">
        <v>135</v>
      </c>
      <c r="CN1403" s="19">
        <f>Table1[[#This Row],[Mid]]</f>
        <v>0</v>
      </c>
      <c r="CO1403" s="19">
        <f>Table1[[#This Row],[Mid3]]+Table1[[#This Row],[Mid6]]+Table1[[#This Row],[Mid9]]</f>
        <v>0</v>
      </c>
      <c r="CP1403" s="19">
        <f>Table1[[#This Row],[Mid12]]+Table1[[#This Row],[Mid15]]+Table1[[#This Row],[Mid18]]+Table1[[#This Row],[Mid21]]+Table1[[#This Row],[Mid24]]</f>
        <v>0</v>
      </c>
      <c r="CQ1403" s="19">
        <f>Table1[[#This Row],[Mid27]]+Table1[[#This Row],[Mid30]]+Table1[[#This Row],[Mid33]]+Table1[[#This Row],[Mid36]]+Table1[[#This Row],[Mid39]]</f>
        <v>643</v>
      </c>
      <c r="CR1403" t="s">
        <v>2317</v>
      </c>
      <c r="CS1403" s="19" t="str">
        <f>IF(AND(Table1[[#This Row],[Low41]]=0, Table1[[#This Row],[High43]]=0),"N","Y")</f>
        <v>N</v>
      </c>
    </row>
    <row r="1404" spans="1:97" ht="19.5" customHeight="1" x14ac:dyDescent="0.25">
      <c r="A1404">
        <v>11406</v>
      </c>
      <c r="B1404" t="s">
        <v>4341</v>
      </c>
      <c r="C1404" t="s">
        <v>4355</v>
      </c>
      <c r="D1404">
        <v>-22.2</v>
      </c>
      <c r="E1404">
        <v>25.1</v>
      </c>
      <c r="F1404" t="s">
        <v>4356</v>
      </c>
      <c r="G1404" t="s">
        <v>4344</v>
      </c>
      <c r="H1404" t="s">
        <v>4357</v>
      </c>
      <c r="I1404" t="s">
        <v>118</v>
      </c>
      <c r="J1404" t="s">
        <v>119</v>
      </c>
      <c r="K1404" t="s">
        <v>190</v>
      </c>
      <c r="L1404" t="s">
        <v>18</v>
      </c>
      <c r="M1404" t="s">
        <v>252</v>
      </c>
      <c r="N1404" s="6" t="s">
        <v>4346</v>
      </c>
      <c r="P1404" t="s">
        <v>4358</v>
      </c>
      <c r="Q1404" t="s">
        <v>4359</v>
      </c>
      <c r="R1404" t="s">
        <v>4360</v>
      </c>
      <c r="S1404">
        <v>2017</v>
      </c>
      <c r="T1404" t="s">
        <v>3959</v>
      </c>
      <c r="U1404" t="s">
        <v>3764</v>
      </c>
      <c r="V1404"/>
      <c r="W1404" t="s">
        <v>4361</v>
      </c>
      <c r="Z1404">
        <v>5</v>
      </c>
      <c r="AH1404" t="s">
        <v>2259</v>
      </c>
      <c r="AM1404" t="s">
        <v>167</v>
      </c>
      <c r="AN1404" t="s">
        <v>132</v>
      </c>
      <c r="CC1404">
        <v>289</v>
      </c>
      <c r="CE140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04" s="19">
        <f>SUM(Table1[[#This Row],[Mid39]],Table1[[#This Row],[Mid36]],Table1[[#This Row],[Mid33]],Table1[[#This Row],[Mid30]],Table1[[#This Row],[Mid27]],Table1[[#This Row],[Mid24]],Table1[[#This Row],[Mid21]],Table1[[#This Row],[Mid18]],Table1[[#This Row],[Mid15]],Table1[[#This Row],[Mid12]],Table1[[#This Row],[Mid9]],Table1[[#This Row],[Mid6]],Table1[[#This Row],[Mid3]],Table1[[#This Row],[Mid]])</f>
        <v>289</v>
      </c>
      <c r="CG140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04" s="35" t="s">
        <v>134</v>
      </c>
      <c r="CJ1404" t="s">
        <v>158</v>
      </c>
      <c r="CL1404" s="19">
        <v>0</v>
      </c>
      <c r="CM1404" t="s">
        <v>135</v>
      </c>
      <c r="CN1404" s="19">
        <f>Table1[[#This Row],[Mid]]</f>
        <v>0</v>
      </c>
      <c r="CO1404" s="19">
        <f>Table1[[#This Row],[Mid3]]+Table1[[#This Row],[Mid6]]+Table1[[#This Row],[Mid9]]</f>
        <v>0</v>
      </c>
      <c r="CP1404" s="19">
        <f>Table1[[#This Row],[Mid12]]+Table1[[#This Row],[Mid15]]+Table1[[#This Row],[Mid18]]+Table1[[#This Row],[Mid21]]+Table1[[#This Row],[Mid24]]</f>
        <v>0</v>
      </c>
      <c r="CQ1404" s="19">
        <f>Table1[[#This Row],[Mid27]]+Table1[[#This Row],[Mid30]]+Table1[[#This Row],[Mid33]]+Table1[[#This Row],[Mid36]]+Table1[[#This Row],[Mid39]]</f>
        <v>289</v>
      </c>
      <c r="CR1404" t="s">
        <v>2317</v>
      </c>
      <c r="CS1404" s="19" t="str">
        <f>IF(AND(Table1[[#This Row],[Low41]]=0, Table1[[#This Row],[High43]]=0),"N","Y")</f>
        <v>N</v>
      </c>
    </row>
    <row r="1405" spans="1:97" ht="19.5" customHeight="1" x14ac:dyDescent="0.25">
      <c r="A1405">
        <v>11407</v>
      </c>
      <c r="B1405" s="32" t="s">
        <v>4362</v>
      </c>
      <c r="C1405" s="32" t="s">
        <v>165</v>
      </c>
      <c r="D1405">
        <v>1.2</v>
      </c>
      <c r="E1405">
        <v>9.5</v>
      </c>
      <c r="F1405" s="32" t="s">
        <v>4363</v>
      </c>
      <c r="G1405" t="s">
        <v>4362</v>
      </c>
      <c r="H1405" t="s">
        <v>167</v>
      </c>
      <c r="I1405" s="32" t="s">
        <v>582</v>
      </c>
      <c r="J1405" s="32" t="s">
        <v>202</v>
      </c>
      <c r="K1405" s="32" t="s">
        <v>190</v>
      </c>
      <c r="L1405" s="32" t="s">
        <v>4364</v>
      </c>
      <c r="M1405" t="s">
        <v>252</v>
      </c>
      <c r="N1405" s="6" t="s">
        <v>4365</v>
      </c>
      <c r="Q1405"/>
      <c r="R1405" s="32" t="s">
        <v>2930</v>
      </c>
      <c r="S1405">
        <v>2009</v>
      </c>
      <c r="T1405" t="s">
        <v>3959</v>
      </c>
      <c r="U1405" t="s">
        <v>3764</v>
      </c>
      <c r="V1405"/>
      <c r="W1405" s="7"/>
      <c r="AC1405" s="7"/>
      <c r="AD1405" s="7"/>
      <c r="AH1405" t="s">
        <v>257</v>
      </c>
      <c r="AI1405" s="34"/>
      <c r="AO1405" s="19"/>
      <c r="AP1405" s="19"/>
      <c r="AQ1405" s="19"/>
      <c r="AR1405" s="19"/>
      <c r="AS1405" s="19"/>
      <c r="AT1405" s="19"/>
      <c r="AU1405" s="19"/>
      <c r="AV1405" s="19"/>
      <c r="AW1405" s="19"/>
      <c r="AX1405" s="19"/>
      <c r="AY1405" s="19"/>
      <c r="AZ1405" s="19"/>
      <c r="BA1405" s="19"/>
      <c r="BB1405" s="19"/>
      <c r="BC1405" s="19"/>
      <c r="BD1405" s="19"/>
      <c r="BE1405" s="19"/>
      <c r="BF1405" s="19"/>
      <c r="BG1405" s="19"/>
      <c r="BH1405" s="19"/>
      <c r="BI1405" s="19"/>
      <c r="BJ1405" s="19"/>
      <c r="BK1405" s="19"/>
      <c r="BL1405" s="19"/>
      <c r="BM1405" s="19"/>
      <c r="BN1405" s="19"/>
      <c r="BO1405" s="19"/>
      <c r="BP1405" s="19"/>
      <c r="BQ1405" s="19"/>
      <c r="BR1405" s="19"/>
      <c r="BS1405" s="19"/>
      <c r="BT1405" s="19"/>
      <c r="BU1405" s="19"/>
      <c r="BV1405" s="19"/>
      <c r="BW1405" s="19"/>
      <c r="BX1405" s="19"/>
      <c r="BY1405" s="19"/>
      <c r="BZ1405" s="19">
        <v>1300</v>
      </c>
      <c r="CA1405" s="19"/>
      <c r="CB1405" s="19"/>
      <c r="CC1405" s="19"/>
      <c r="CD1405" s="19"/>
      <c r="CE1405" s="19">
        <v>0</v>
      </c>
      <c r="CF1405" s="19">
        <v>1300</v>
      </c>
      <c r="CG1405" s="19">
        <v>0</v>
      </c>
      <c r="CI1405" s="35"/>
      <c r="CL1405" s="20">
        <v>1</v>
      </c>
      <c r="CM1405" t="s">
        <v>135</v>
      </c>
      <c r="CN1405" s="19">
        <f>Table1[[#This Row],[Mid]]</f>
        <v>0</v>
      </c>
      <c r="CO1405" s="19">
        <f>Table1[[#This Row],[Mid3]]+Table1[[#This Row],[Mid6]]+Table1[[#This Row],[Mid9]]</f>
        <v>0</v>
      </c>
      <c r="CP1405" s="19">
        <f>Table1[[#This Row],[Mid12]]+Table1[[#This Row],[Mid15]]+Table1[[#This Row],[Mid18]]+Table1[[#This Row],[Mid21]]+Table1[[#This Row],[Mid24]]</f>
        <v>0</v>
      </c>
      <c r="CQ1405" s="19">
        <f>Table1[[#This Row],[Mid27]]+Table1[[#This Row],[Mid30]]+Table1[[#This Row],[Mid33]]+Table1[[#This Row],[Mid36]]+Table1[[#This Row],[Mid39]]</f>
        <v>1300</v>
      </c>
      <c r="CR1405" t="s">
        <v>2317</v>
      </c>
      <c r="CS1405" s="19" t="str">
        <f>IF(AND(Table1[[#This Row],[Low41]]=0, Table1[[#This Row],[High43]]=0),"N","Y")</f>
        <v>N</v>
      </c>
    </row>
    <row r="1406" spans="1:97" ht="19.5" customHeight="1" x14ac:dyDescent="0.25">
      <c r="A1406">
        <v>11408</v>
      </c>
      <c r="B1406" t="s">
        <v>4366</v>
      </c>
      <c r="C1406" t="s">
        <v>4367</v>
      </c>
      <c r="D1406">
        <v>-39.082990000000002</v>
      </c>
      <c r="E1406">
        <v>174.34026</v>
      </c>
      <c r="F1406" t="s">
        <v>4368</v>
      </c>
      <c r="G1406" t="s">
        <v>4369</v>
      </c>
      <c r="H1406" t="s">
        <v>4370</v>
      </c>
      <c r="I1406" t="s">
        <v>1648</v>
      </c>
      <c r="J1406" t="s">
        <v>202</v>
      </c>
      <c r="K1406" t="s">
        <v>203</v>
      </c>
      <c r="L1406" t="s">
        <v>121</v>
      </c>
      <c r="M1406" t="s">
        <v>487</v>
      </c>
      <c r="N1406" s="6" t="s">
        <v>4371</v>
      </c>
      <c r="O1406" t="s">
        <v>1150</v>
      </c>
      <c r="P1406" t="s">
        <v>1150</v>
      </c>
      <c r="Q1406" t="s">
        <v>4372</v>
      </c>
      <c r="R1406" t="s">
        <v>4373</v>
      </c>
      <c r="S1406">
        <v>2009</v>
      </c>
      <c r="T1406" t="s">
        <v>3959</v>
      </c>
      <c r="U1406" t="s">
        <v>4374</v>
      </c>
      <c r="V1406"/>
      <c r="X1406">
        <v>615</v>
      </c>
      <c r="AD1406">
        <v>8</v>
      </c>
      <c r="AF1406">
        <v>200</v>
      </c>
      <c r="AH1406" t="s">
        <v>4375</v>
      </c>
      <c r="AM1406" t="s">
        <v>3576</v>
      </c>
      <c r="AN1406" t="s">
        <v>132</v>
      </c>
      <c r="BN1406">
        <v>23</v>
      </c>
      <c r="CE140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06" s="19">
        <f>SUM(Table1[[#This Row],[Mid39]],Table1[[#This Row],[Mid36]],Table1[[#This Row],[Mid33]],Table1[[#This Row],[Mid30]],Table1[[#This Row],[Mid27]],Table1[[#This Row],[Mid24]],Table1[[#This Row],[Mid21]],Table1[[#This Row],[Mid18]],Table1[[#This Row],[Mid15]],Table1[[#This Row],[Mid12]],Table1[[#This Row],[Mid9]],Table1[[#This Row],[Mid6]],Table1[[#This Row],[Mid3]],Table1[[#This Row],[Mid]])</f>
        <v>23</v>
      </c>
      <c r="CG140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06" s="35" t="s">
        <v>134</v>
      </c>
      <c r="CJ1406" t="s">
        <v>158</v>
      </c>
      <c r="CL1406" s="19">
        <v>1</v>
      </c>
      <c r="CM1406" t="s">
        <v>158</v>
      </c>
      <c r="CN1406" s="19">
        <f>Table1[[#This Row],[Mid]]</f>
        <v>0</v>
      </c>
      <c r="CO1406" s="19">
        <f>Table1[[#This Row],[Mid3]]+Table1[[#This Row],[Mid6]]+Table1[[#This Row],[Mid9]]</f>
        <v>0</v>
      </c>
      <c r="CP1406" s="19">
        <f>Table1[[#This Row],[Mid12]]+Table1[[#This Row],[Mid15]]+Table1[[#This Row],[Mid18]]+Table1[[#This Row],[Mid21]]+Table1[[#This Row],[Mid24]]</f>
        <v>23</v>
      </c>
      <c r="CQ1406" s="19">
        <f>Table1[[#This Row],[Mid27]]+Table1[[#This Row],[Mid30]]+Table1[[#This Row],[Mid33]]+Table1[[#This Row],[Mid36]]+Table1[[#This Row],[Mid39]]</f>
        <v>0</v>
      </c>
      <c r="CR1406" t="s">
        <v>439</v>
      </c>
      <c r="CS1406" s="19" t="str">
        <f>IF(AND(Table1[[#This Row],[Low41]]=0, Table1[[#This Row],[High43]]=0),"N","Y")</f>
        <v>N</v>
      </c>
    </row>
    <row r="1407" spans="1:97" ht="19.5" customHeight="1" x14ac:dyDescent="0.25">
      <c r="A1407">
        <v>11409</v>
      </c>
      <c r="B1407" t="s">
        <v>4366</v>
      </c>
      <c r="C1407" t="s">
        <v>4376</v>
      </c>
      <c r="D1407">
        <v>-39.561300000000003</v>
      </c>
      <c r="E1407">
        <v>173.44499999999999</v>
      </c>
      <c r="F1407" t="s">
        <v>4377</v>
      </c>
      <c r="G1407" t="s">
        <v>4369</v>
      </c>
      <c r="H1407" t="s">
        <v>4378</v>
      </c>
      <c r="I1407" t="s">
        <v>1753</v>
      </c>
      <c r="J1407" t="s">
        <v>202</v>
      </c>
      <c r="K1407" t="s">
        <v>203</v>
      </c>
      <c r="L1407" t="s">
        <v>121</v>
      </c>
      <c r="M1407" t="s">
        <v>487</v>
      </c>
      <c r="N1407" s="6" t="s">
        <v>4379</v>
      </c>
      <c r="O1407" t="s">
        <v>1150</v>
      </c>
      <c r="P1407" t="s">
        <v>1150</v>
      </c>
      <c r="Q1407" t="s">
        <v>4380</v>
      </c>
      <c r="R1407" t="s">
        <v>4373</v>
      </c>
      <c r="S1407">
        <v>2009</v>
      </c>
      <c r="T1407" t="s">
        <v>3959</v>
      </c>
      <c r="U1407" t="s">
        <v>4374</v>
      </c>
      <c r="V1407">
        <v>157</v>
      </c>
      <c r="W1407">
        <v>3000</v>
      </c>
      <c r="X1407">
        <v>300</v>
      </c>
      <c r="Z1407">
        <v>27</v>
      </c>
      <c r="AF1407">
        <v>200</v>
      </c>
      <c r="AG1407">
        <v>4.1368499999999999</v>
      </c>
      <c r="AH1407" t="s">
        <v>4375</v>
      </c>
      <c r="AM1407" t="s">
        <v>3576</v>
      </c>
      <c r="AN1407" t="s">
        <v>132</v>
      </c>
      <c r="BN1407">
        <v>300</v>
      </c>
      <c r="CE140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07" s="19">
        <f>SUM(Table1[[#This Row],[Mid39]],Table1[[#This Row],[Mid36]],Table1[[#This Row],[Mid33]],Table1[[#This Row],[Mid30]],Table1[[#This Row],[Mid27]],Table1[[#This Row],[Mid24]],Table1[[#This Row],[Mid21]],Table1[[#This Row],[Mid18]],Table1[[#This Row],[Mid15]],Table1[[#This Row],[Mid12]],Table1[[#This Row],[Mid9]],Table1[[#This Row],[Mid6]],Table1[[#This Row],[Mid3]],Table1[[#This Row],[Mid]])</f>
        <v>300</v>
      </c>
      <c r="CG140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07" s="35" t="s">
        <v>134</v>
      </c>
      <c r="CJ1407" t="s">
        <v>158</v>
      </c>
      <c r="CL1407" s="19">
        <v>1</v>
      </c>
      <c r="CM1407" t="s">
        <v>158</v>
      </c>
      <c r="CN1407" s="19">
        <f>Table1[[#This Row],[Mid]]</f>
        <v>0</v>
      </c>
      <c r="CO1407" s="19">
        <f>Table1[[#This Row],[Mid3]]+Table1[[#This Row],[Mid6]]+Table1[[#This Row],[Mid9]]</f>
        <v>0</v>
      </c>
      <c r="CP1407" s="19">
        <f>Table1[[#This Row],[Mid12]]+Table1[[#This Row],[Mid15]]+Table1[[#This Row],[Mid18]]+Table1[[#This Row],[Mid21]]+Table1[[#This Row],[Mid24]]</f>
        <v>300</v>
      </c>
      <c r="CQ1407" s="19">
        <f>Table1[[#This Row],[Mid27]]+Table1[[#This Row],[Mid30]]+Table1[[#This Row],[Mid33]]+Table1[[#This Row],[Mid36]]+Table1[[#This Row],[Mid39]]</f>
        <v>0</v>
      </c>
      <c r="CR1407" t="s">
        <v>439</v>
      </c>
      <c r="CS1407" s="19" t="str">
        <f>IF(AND(Table1[[#This Row],[Low41]]=0, Table1[[#This Row],[High43]]=0),"N","Y")</f>
        <v>N</v>
      </c>
    </row>
    <row r="1408" spans="1:97" ht="19.5" customHeight="1" x14ac:dyDescent="0.25">
      <c r="A1408">
        <v>11410</v>
      </c>
      <c r="B1408" t="s">
        <v>4366</v>
      </c>
      <c r="C1408" t="s">
        <v>4367</v>
      </c>
      <c r="D1408">
        <v>-39.455199999999998</v>
      </c>
      <c r="E1408">
        <v>174.17779999999999</v>
      </c>
      <c r="F1408" t="s">
        <v>4381</v>
      </c>
      <c r="G1408" t="s">
        <v>4369</v>
      </c>
      <c r="H1408" t="s">
        <v>4382</v>
      </c>
      <c r="I1408" t="s">
        <v>1485</v>
      </c>
      <c r="J1408" t="s">
        <v>202</v>
      </c>
      <c r="K1408" t="s">
        <v>203</v>
      </c>
      <c r="L1408" t="s">
        <v>121</v>
      </c>
      <c r="M1408" t="s">
        <v>487</v>
      </c>
      <c r="N1408" s="6" t="s">
        <v>4379</v>
      </c>
      <c r="O1408" t="s">
        <v>1150</v>
      </c>
      <c r="P1408" t="s">
        <v>1150</v>
      </c>
      <c r="Q1408" t="s">
        <v>4383</v>
      </c>
      <c r="R1408" t="s">
        <v>4373</v>
      </c>
      <c r="S1408">
        <v>2009</v>
      </c>
      <c r="T1408" t="s">
        <v>3959</v>
      </c>
      <c r="U1408" t="s">
        <v>4374</v>
      </c>
      <c r="V1408"/>
      <c r="AF1408">
        <v>200</v>
      </c>
      <c r="AH1408" t="s">
        <v>4375</v>
      </c>
      <c r="AM1408" t="s">
        <v>3576</v>
      </c>
      <c r="AN1408" t="s">
        <v>132</v>
      </c>
      <c r="BN1408">
        <v>106</v>
      </c>
      <c r="CE140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08" s="19">
        <f>SUM(Table1[[#This Row],[Mid39]],Table1[[#This Row],[Mid36]],Table1[[#This Row],[Mid33]],Table1[[#This Row],[Mid30]],Table1[[#This Row],[Mid27]],Table1[[#This Row],[Mid24]],Table1[[#This Row],[Mid21]],Table1[[#This Row],[Mid18]],Table1[[#This Row],[Mid15]],Table1[[#This Row],[Mid12]],Table1[[#This Row],[Mid9]],Table1[[#This Row],[Mid6]],Table1[[#This Row],[Mid3]],Table1[[#This Row],[Mid]])</f>
        <v>106</v>
      </c>
      <c r="CG140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08" s="35" t="s">
        <v>134</v>
      </c>
      <c r="CJ1408" t="s">
        <v>158</v>
      </c>
      <c r="CL1408" s="19">
        <v>1</v>
      </c>
      <c r="CM1408" t="s">
        <v>158</v>
      </c>
      <c r="CN1408" s="19">
        <f>Table1[[#This Row],[Mid]]</f>
        <v>0</v>
      </c>
      <c r="CO1408" s="19">
        <f>Table1[[#This Row],[Mid3]]+Table1[[#This Row],[Mid6]]+Table1[[#This Row],[Mid9]]</f>
        <v>0</v>
      </c>
      <c r="CP1408" s="19">
        <f>Table1[[#This Row],[Mid12]]+Table1[[#This Row],[Mid15]]+Table1[[#This Row],[Mid18]]+Table1[[#This Row],[Mid21]]+Table1[[#This Row],[Mid24]]</f>
        <v>106</v>
      </c>
      <c r="CQ1408" s="19">
        <f>Table1[[#This Row],[Mid27]]+Table1[[#This Row],[Mid30]]+Table1[[#This Row],[Mid33]]+Table1[[#This Row],[Mid36]]+Table1[[#This Row],[Mid39]]</f>
        <v>0</v>
      </c>
      <c r="CR1408" t="s">
        <v>439</v>
      </c>
      <c r="CS1408" s="19" t="str">
        <f>IF(AND(Table1[[#This Row],[Low41]]=0, Table1[[#This Row],[High43]]=0),"N","Y")</f>
        <v>N</v>
      </c>
    </row>
    <row r="1409" spans="1:97" ht="19.5" customHeight="1" x14ac:dyDescent="0.25">
      <c r="A1409">
        <v>11411</v>
      </c>
      <c r="B1409" t="s">
        <v>4366</v>
      </c>
      <c r="C1409" t="s">
        <v>223</v>
      </c>
      <c r="D1409">
        <v>-43.783099999999997</v>
      </c>
      <c r="E1409">
        <v>171.78219999999999</v>
      </c>
      <c r="F1409" t="s">
        <v>4384</v>
      </c>
      <c r="G1409" t="s">
        <v>4385</v>
      </c>
      <c r="H1409" t="s">
        <v>4386</v>
      </c>
      <c r="I1409" t="s">
        <v>118</v>
      </c>
      <c r="J1409" t="s">
        <v>119</v>
      </c>
      <c r="K1409" t="s">
        <v>190</v>
      </c>
      <c r="L1409" t="s">
        <v>18</v>
      </c>
      <c r="M1409" t="s">
        <v>4387</v>
      </c>
      <c r="N1409" s="6" t="s">
        <v>4388</v>
      </c>
      <c r="O1409" t="s">
        <v>1150</v>
      </c>
      <c r="P1409" t="s">
        <v>1150</v>
      </c>
      <c r="Q1409" t="s">
        <v>4389</v>
      </c>
      <c r="R1409" t="s">
        <v>4390</v>
      </c>
      <c r="S1409">
        <v>2010</v>
      </c>
      <c r="T1409" t="s">
        <v>3959</v>
      </c>
      <c r="U1409" t="s">
        <v>4374</v>
      </c>
      <c r="V1409"/>
      <c r="W1409">
        <v>1071</v>
      </c>
      <c r="X1409">
        <v>200</v>
      </c>
      <c r="Z1409">
        <v>0.33</v>
      </c>
      <c r="AH1409" t="s">
        <v>4391</v>
      </c>
      <c r="AI1409">
        <v>1</v>
      </c>
      <c r="AM1409" t="s">
        <v>4392</v>
      </c>
      <c r="AN1409" t="s">
        <v>132</v>
      </c>
      <c r="CC1409">
        <v>810</v>
      </c>
      <c r="CE140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09" s="19">
        <f>SUM(Table1[[#This Row],[Mid39]],Table1[[#This Row],[Mid36]],Table1[[#This Row],[Mid33]],Table1[[#This Row],[Mid30]],Table1[[#This Row],[Mid27]],Table1[[#This Row],[Mid24]],Table1[[#This Row],[Mid21]],Table1[[#This Row],[Mid18]],Table1[[#This Row],[Mid15]],Table1[[#This Row],[Mid12]],Table1[[#This Row],[Mid9]],Table1[[#This Row],[Mid6]],Table1[[#This Row],[Mid3]],Table1[[#This Row],[Mid]])</f>
        <v>810</v>
      </c>
      <c r="CG140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09" s="35" t="s">
        <v>134</v>
      </c>
      <c r="CJ1409" t="s">
        <v>158</v>
      </c>
      <c r="CL1409" s="19">
        <v>0</v>
      </c>
      <c r="CM1409" t="s">
        <v>158</v>
      </c>
      <c r="CN1409" s="19">
        <f>Table1[[#This Row],[Mid]]</f>
        <v>0</v>
      </c>
      <c r="CO1409" s="19">
        <f>Table1[[#This Row],[Mid3]]+Table1[[#This Row],[Mid6]]+Table1[[#This Row],[Mid9]]</f>
        <v>0</v>
      </c>
      <c r="CP1409" s="19">
        <f>Table1[[#This Row],[Mid12]]+Table1[[#This Row],[Mid15]]+Table1[[#This Row],[Mid18]]+Table1[[#This Row],[Mid21]]+Table1[[#This Row],[Mid24]]</f>
        <v>0</v>
      </c>
      <c r="CQ1409" s="19">
        <f>Table1[[#This Row],[Mid27]]+Table1[[#This Row],[Mid30]]+Table1[[#This Row],[Mid33]]+Table1[[#This Row],[Mid36]]+Table1[[#This Row],[Mid39]]</f>
        <v>810</v>
      </c>
      <c r="CR1409" t="s">
        <v>439</v>
      </c>
      <c r="CS1409" s="19" t="str">
        <f>IF(AND(Table1[[#This Row],[Low41]]=0, Table1[[#This Row],[High43]]=0),"N","Y")</f>
        <v>N</v>
      </c>
    </row>
    <row r="1410" spans="1:97" ht="19.5" customHeight="1" x14ac:dyDescent="0.25">
      <c r="A1410">
        <v>11412</v>
      </c>
      <c r="B1410" t="s">
        <v>4366</v>
      </c>
      <c r="C1410" t="s">
        <v>223</v>
      </c>
      <c r="D1410">
        <v>-43.839399999999998</v>
      </c>
      <c r="E1410">
        <v>171.77950000000001</v>
      </c>
      <c r="F1410" t="s">
        <v>4384</v>
      </c>
      <c r="G1410" t="s">
        <v>4385</v>
      </c>
      <c r="H1410" t="s">
        <v>4393</v>
      </c>
      <c r="I1410" t="s">
        <v>118</v>
      </c>
      <c r="J1410" t="s">
        <v>119</v>
      </c>
      <c r="K1410" t="s">
        <v>190</v>
      </c>
      <c r="L1410" t="s">
        <v>18</v>
      </c>
      <c r="M1410" t="s">
        <v>3704</v>
      </c>
      <c r="N1410" s="6" t="s">
        <v>4388</v>
      </c>
      <c r="O1410" t="s">
        <v>1150</v>
      </c>
      <c r="P1410" t="s">
        <v>1150</v>
      </c>
      <c r="Q1410" t="s">
        <v>4394</v>
      </c>
      <c r="R1410" t="s">
        <v>4390</v>
      </c>
      <c r="S1410">
        <v>2010</v>
      </c>
      <c r="T1410" t="s">
        <v>3959</v>
      </c>
      <c r="U1410" t="s">
        <v>4374</v>
      </c>
      <c r="V1410"/>
      <c r="W1410">
        <v>1174</v>
      </c>
      <c r="X1410">
        <v>195</v>
      </c>
      <c r="Z1410">
        <v>0.35</v>
      </c>
      <c r="AH1410" t="s">
        <v>4391</v>
      </c>
      <c r="AI1410">
        <v>1</v>
      </c>
      <c r="AM1410" t="s">
        <v>4392</v>
      </c>
      <c r="AN1410" t="s">
        <v>132</v>
      </c>
      <c r="CC1410">
        <v>510</v>
      </c>
      <c r="CE141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10" s="19">
        <f>SUM(Table1[[#This Row],[Mid39]],Table1[[#This Row],[Mid36]],Table1[[#This Row],[Mid33]],Table1[[#This Row],[Mid30]],Table1[[#This Row],[Mid27]],Table1[[#This Row],[Mid24]],Table1[[#This Row],[Mid21]],Table1[[#This Row],[Mid18]],Table1[[#This Row],[Mid15]],Table1[[#This Row],[Mid12]],Table1[[#This Row],[Mid9]],Table1[[#This Row],[Mid6]],Table1[[#This Row],[Mid3]],Table1[[#This Row],[Mid]])</f>
        <v>510</v>
      </c>
      <c r="CG14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10" s="35" t="s">
        <v>134</v>
      </c>
      <c r="CJ1410" t="s">
        <v>158</v>
      </c>
      <c r="CL1410" s="19">
        <v>0</v>
      </c>
      <c r="CM1410" t="s">
        <v>158</v>
      </c>
      <c r="CN1410" s="19">
        <f>Table1[[#This Row],[Mid]]</f>
        <v>0</v>
      </c>
      <c r="CO1410" s="19">
        <f>Table1[[#This Row],[Mid3]]+Table1[[#This Row],[Mid6]]+Table1[[#This Row],[Mid9]]</f>
        <v>0</v>
      </c>
      <c r="CP1410" s="19">
        <f>Table1[[#This Row],[Mid12]]+Table1[[#This Row],[Mid15]]+Table1[[#This Row],[Mid18]]+Table1[[#This Row],[Mid21]]+Table1[[#This Row],[Mid24]]</f>
        <v>0</v>
      </c>
      <c r="CQ1410" s="19">
        <f>Table1[[#This Row],[Mid27]]+Table1[[#This Row],[Mid30]]+Table1[[#This Row],[Mid33]]+Table1[[#This Row],[Mid36]]+Table1[[#This Row],[Mid39]]</f>
        <v>510</v>
      </c>
      <c r="CR1410" t="s">
        <v>439</v>
      </c>
      <c r="CS1410" s="19" t="str">
        <f>IF(AND(Table1[[#This Row],[Low41]]=0, Table1[[#This Row],[High43]]=0),"N","Y")</f>
        <v>N</v>
      </c>
    </row>
    <row r="1411" spans="1:97" ht="19.5" customHeight="1" x14ac:dyDescent="0.25">
      <c r="A1411">
        <v>11413</v>
      </c>
      <c r="B1411" t="s">
        <v>4366</v>
      </c>
      <c r="C1411" t="s">
        <v>223</v>
      </c>
      <c r="D1411">
        <v>-43.8429</v>
      </c>
      <c r="E1411">
        <v>171.75030000000001</v>
      </c>
      <c r="F1411" t="s">
        <v>4384</v>
      </c>
      <c r="G1411" t="s">
        <v>4385</v>
      </c>
      <c r="H1411" t="s">
        <v>4395</v>
      </c>
      <c r="I1411" t="s">
        <v>118</v>
      </c>
      <c r="J1411" t="s">
        <v>119</v>
      </c>
      <c r="K1411" t="s">
        <v>190</v>
      </c>
      <c r="L1411" t="s">
        <v>18</v>
      </c>
      <c r="M1411" t="s">
        <v>487</v>
      </c>
      <c r="N1411" s="6" t="s">
        <v>4388</v>
      </c>
      <c r="O1411" t="s">
        <v>1150</v>
      </c>
      <c r="P1411" t="s">
        <v>1150</v>
      </c>
      <c r="Q1411" t="s">
        <v>4396</v>
      </c>
      <c r="R1411" t="s">
        <v>4397</v>
      </c>
      <c r="S1411">
        <v>2010</v>
      </c>
      <c r="T1411" t="s">
        <v>3959</v>
      </c>
      <c r="U1411" t="s">
        <v>4374</v>
      </c>
      <c r="V1411"/>
      <c r="W1411">
        <v>1272</v>
      </c>
      <c r="X1411">
        <v>175</v>
      </c>
      <c r="Z1411">
        <v>0.31</v>
      </c>
      <c r="AH1411" t="s">
        <v>4398</v>
      </c>
      <c r="AI1411">
        <v>1</v>
      </c>
      <c r="AM1411" t="s">
        <v>4392</v>
      </c>
      <c r="AN1411" t="s">
        <v>132</v>
      </c>
      <c r="CC1411">
        <v>1150</v>
      </c>
      <c r="CE141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11" s="19">
        <f>SUM(Table1[[#This Row],[Mid39]],Table1[[#This Row],[Mid36]],Table1[[#This Row],[Mid33]],Table1[[#This Row],[Mid30]],Table1[[#This Row],[Mid27]],Table1[[#This Row],[Mid24]],Table1[[#This Row],[Mid21]],Table1[[#This Row],[Mid18]],Table1[[#This Row],[Mid15]],Table1[[#This Row],[Mid12]],Table1[[#This Row],[Mid9]],Table1[[#This Row],[Mid6]],Table1[[#This Row],[Mid3]],Table1[[#This Row],[Mid]])</f>
        <v>1150</v>
      </c>
      <c r="CG14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11" s="35" t="s">
        <v>134</v>
      </c>
      <c r="CJ1411" t="s">
        <v>158</v>
      </c>
      <c r="CL1411" s="19">
        <v>0</v>
      </c>
      <c r="CM1411" t="s">
        <v>158</v>
      </c>
      <c r="CN1411" s="19">
        <f>Table1[[#This Row],[Mid]]</f>
        <v>0</v>
      </c>
      <c r="CO1411" s="19">
        <f>Table1[[#This Row],[Mid3]]+Table1[[#This Row],[Mid6]]+Table1[[#This Row],[Mid9]]</f>
        <v>0</v>
      </c>
      <c r="CP1411" s="19">
        <f>Table1[[#This Row],[Mid12]]+Table1[[#This Row],[Mid15]]+Table1[[#This Row],[Mid18]]+Table1[[#This Row],[Mid21]]+Table1[[#This Row],[Mid24]]</f>
        <v>0</v>
      </c>
      <c r="CQ1411" s="19">
        <f>Table1[[#This Row],[Mid27]]+Table1[[#This Row],[Mid30]]+Table1[[#This Row],[Mid33]]+Table1[[#This Row],[Mid36]]+Table1[[#This Row],[Mid39]]</f>
        <v>1150</v>
      </c>
      <c r="CR1411" t="s">
        <v>439</v>
      </c>
      <c r="CS1411" s="19" t="str">
        <f>IF(AND(Table1[[#This Row],[Low41]]=0, Table1[[#This Row],[High43]]=0),"N","Y")</f>
        <v>N</v>
      </c>
    </row>
    <row r="1412" spans="1:97" ht="19.5" customHeight="1" x14ac:dyDescent="0.25">
      <c r="A1412">
        <v>11414</v>
      </c>
      <c r="B1412" t="s">
        <v>4399</v>
      </c>
      <c r="C1412" t="s">
        <v>4400</v>
      </c>
      <c r="D1412">
        <v>32.4236</v>
      </c>
      <c r="E1412">
        <v>38.259700000000002</v>
      </c>
      <c r="F1412" t="s">
        <v>4401</v>
      </c>
      <c r="G1412" t="s">
        <v>4402</v>
      </c>
      <c r="H1412" t="s">
        <v>4403</v>
      </c>
      <c r="I1412" t="s">
        <v>118</v>
      </c>
      <c r="J1412" t="s">
        <v>119</v>
      </c>
      <c r="K1412" t="s">
        <v>190</v>
      </c>
      <c r="L1412" t="s">
        <v>3955</v>
      </c>
      <c r="M1412" t="s">
        <v>4404</v>
      </c>
      <c r="N1412" s="6" t="s">
        <v>4405</v>
      </c>
      <c r="O1412" t="s">
        <v>3331</v>
      </c>
      <c r="P1412" t="s">
        <v>1150</v>
      </c>
      <c r="Q1412" t="s">
        <v>4406</v>
      </c>
      <c r="R1412" t="s">
        <v>4407</v>
      </c>
      <c r="S1412">
        <v>2012</v>
      </c>
      <c r="T1412" t="s">
        <v>3959</v>
      </c>
      <c r="U1412" t="s">
        <v>4374</v>
      </c>
      <c r="V1412">
        <v>19300</v>
      </c>
      <c r="W1412">
        <v>4000</v>
      </c>
      <c r="X1412">
        <v>304.8</v>
      </c>
      <c r="Z1412">
        <v>8</v>
      </c>
      <c r="AB1412">
        <v>50000</v>
      </c>
      <c r="AF1412">
        <v>200</v>
      </c>
      <c r="AH1412" t="s">
        <v>4391</v>
      </c>
      <c r="AI1412">
        <v>2</v>
      </c>
      <c r="AM1412" t="s">
        <v>4408</v>
      </c>
      <c r="AN1412" t="s">
        <v>132</v>
      </c>
      <c r="CC1412">
        <v>6200</v>
      </c>
      <c r="CE141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12" s="19">
        <f>SUM(Table1[[#This Row],[Mid39]],Table1[[#This Row],[Mid36]],Table1[[#This Row],[Mid33]],Table1[[#This Row],[Mid30]],Table1[[#This Row],[Mid27]],Table1[[#This Row],[Mid24]],Table1[[#This Row],[Mid21]],Table1[[#This Row],[Mid18]],Table1[[#This Row],[Mid15]],Table1[[#This Row],[Mid12]],Table1[[#This Row],[Mid9]],Table1[[#This Row],[Mid6]],Table1[[#This Row],[Mid3]],Table1[[#This Row],[Mid]])</f>
        <v>6200</v>
      </c>
      <c r="CG14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12" s="35" t="s">
        <v>189</v>
      </c>
      <c r="CJ1412" t="s">
        <v>158</v>
      </c>
      <c r="CL1412" s="19">
        <v>0</v>
      </c>
      <c r="CM1412" t="s">
        <v>158</v>
      </c>
      <c r="CN1412" s="19">
        <f>Table1[[#This Row],[Mid]]</f>
        <v>0</v>
      </c>
      <c r="CO1412" s="19">
        <f>Table1[[#This Row],[Mid3]]+Table1[[#This Row],[Mid6]]+Table1[[#This Row],[Mid9]]</f>
        <v>0</v>
      </c>
      <c r="CP1412" s="19">
        <f>Table1[[#This Row],[Mid12]]+Table1[[#This Row],[Mid15]]+Table1[[#This Row],[Mid18]]+Table1[[#This Row],[Mid21]]+Table1[[#This Row],[Mid24]]</f>
        <v>0</v>
      </c>
      <c r="CQ1412" s="19">
        <f>Table1[[#This Row],[Mid27]]+Table1[[#This Row],[Mid30]]+Table1[[#This Row],[Mid33]]+Table1[[#This Row],[Mid36]]+Table1[[#This Row],[Mid39]]</f>
        <v>6200</v>
      </c>
      <c r="CR1412" t="s">
        <v>2308</v>
      </c>
      <c r="CS1412" s="19" t="str">
        <f>IF(AND(Table1[[#This Row],[Low41]]=0, Table1[[#This Row],[High43]]=0),"N","Y")</f>
        <v>N</v>
      </c>
    </row>
    <row r="1413" spans="1:97" ht="19.5" customHeight="1" x14ac:dyDescent="0.25">
      <c r="A1413">
        <v>11415</v>
      </c>
      <c r="B1413" t="s">
        <v>4409</v>
      </c>
      <c r="C1413" t="s">
        <v>4400</v>
      </c>
      <c r="D1413">
        <v>32.4236</v>
      </c>
      <c r="E1413">
        <v>38.259700000000002</v>
      </c>
      <c r="F1413" t="s">
        <v>4410</v>
      </c>
      <c r="G1413" t="s">
        <v>4402</v>
      </c>
      <c r="H1413" t="s">
        <v>4410</v>
      </c>
      <c r="I1413" t="s">
        <v>118</v>
      </c>
      <c r="J1413" t="s">
        <v>119</v>
      </c>
      <c r="K1413" t="s">
        <v>190</v>
      </c>
      <c r="L1413" t="s">
        <v>121</v>
      </c>
      <c r="M1413" t="s">
        <v>4404</v>
      </c>
      <c r="N1413" s="6" t="s">
        <v>4405</v>
      </c>
      <c r="O1413" t="s">
        <v>3331</v>
      </c>
      <c r="P1413" t="s">
        <v>1150</v>
      </c>
      <c r="Q1413" t="s">
        <v>4411</v>
      </c>
      <c r="R1413" t="s">
        <v>4407</v>
      </c>
      <c r="S1413">
        <v>2012</v>
      </c>
      <c r="T1413" t="s">
        <v>3959</v>
      </c>
      <c r="U1413" t="s">
        <v>4374</v>
      </c>
      <c r="V1413">
        <v>19300</v>
      </c>
      <c r="W1413">
        <v>2750</v>
      </c>
      <c r="X1413">
        <v>1050</v>
      </c>
      <c r="Z1413">
        <v>8</v>
      </c>
      <c r="AB1413">
        <v>48648</v>
      </c>
      <c r="AF1413">
        <v>200</v>
      </c>
      <c r="AG1413">
        <v>23.172999999999998</v>
      </c>
      <c r="AH1413" t="s">
        <v>4391</v>
      </c>
      <c r="AM1413" t="s">
        <v>4408</v>
      </c>
      <c r="AN1413" t="s">
        <v>132</v>
      </c>
      <c r="CC1413">
        <v>1000</v>
      </c>
      <c r="CE141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13" s="19">
        <f>SUM(Table1[[#This Row],[Mid39]],Table1[[#This Row],[Mid36]],Table1[[#This Row],[Mid33]],Table1[[#This Row],[Mid30]],Table1[[#This Row],[Mid27]],Table1[[#This Row],[Mid24]],Table1[[#This Row],[Mid21]],Table1[[#This Row],[Mid18]],Table1[[#This Row],[Mid15]],Table1[[#This Row],[Mid12]],Table1[[#This Row],[Mid9]],Table1[[#This Row],[Mid6]],Table1[[#This Row],[Mid3]],Table1[[#This Row],[Mid]])</f>
        <v>1000</v>
      </c>
      <c r="CG14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13" s="35" t="s">
        <v>189</v>
      </c>
      <c r="CJ1413" t="s">
        <v>158</v>
      </c>
      <c r="CL1413" s="19">
        <v>0</v>
      </c>
      <c r="CM1413" t="s">
        <v>158</v>
      </c>
      <c r="CN1413" s="19">
        <f>Table1[[#This Row],[Mid]]</f>
        <v>0</v>
      </c>
      <c r="CO1413" s="19">
        <f>Table1[[#This Row],[Mid3]]+Table1[[#This Row],[Mid6]]+Table1[[#This Row],[Mid9]]</f>
        <v>0</v>
      </c>
      <c r="CP1413" s="19">
        <f>Table1[[#This Row],[Mid12]]+Table1[[#This Row],[Mid15]]+Table1[[#This Row],[Mid18]]+Table1[[#This Row],[Mid21]]+Table1[[#This Row],[Mid24]]</f>
        <v>0</v>
      </c>
      <c r="CQ1413" s="19">
        <f>Table1[[#This Row],[Mid27]]+Table1[[#This Row],[Mid30]]+Table1[[#This Row],[Mid33]]+Table1[[#This Row],[Mid36]]+Table1[[#This Row],[Mid39]]</f>
        <v>1000</v>
      </c>
      <c r="CR1413" t="s">
        <v>2308</v>
      </c>
      <c r="CS1413" s="19" t="str">
        <f>IF(AND(Table1[[#This Row],[Low41]]=0, Table1[[#This Row],[High43]]=0),"N","Y")</f>
        <v>N</v>
      </c>
    </row>
    <row r="1414" spans="1:97" ht="19.5" customHeight="1" x14ac:dyDescent="0.25">
      <c r="A1414">
        <v>11416</v>
      </c>
      <c r="B1414" t="s">
        <v>4399</v>
      </c>
      <c r="C1414" t="s">
        <v>4412</v>
      </c>
      <c r="D1414">
        <v>30.6937</v>
      </c>
      <c r="E1414">
        <v>37.094900000000003</v>
      </c>
      <c r="F1414" t="s">
        <v>4403</v>
      </c>
      <c r="G1414" t="s">
        <v>4402</v>
      </c>
      <c r="H1414" t="s">
        <v>4403</v>
      </c>
      <c r="I1414" t="s">
        <v>118</v>
      </c>
      <c r="J1414" t="s">
        <v>119</v>
      </c>
      <c r="K1414" t="s">
        <v>190</v>
      </c>
      <c r="L1414" t="s">
        <v>121</v>
      </c>
      <c r="M1414" t="s">
        <v>4413</v>
      </c>
      <c r="N1414" s="6" t="s">
        <v>4405</v>
      </c>
      <c r="O1414" t="s">
        <v>3331</v>
      </c>
      <c r="P1414" t="s">
        <v>1150</v>
      </c>
      <c r="Q1414" t="s">
        <v>4414</v>
      </c>
      <c r="R1414" t="s">
        <v>4407</v>
      </c>
      <c r="S1414">
        <v>2012</v>
      </c>
      <c r="T1414" t="s">
        <v>3959</v>
      </c>
      <c r="U1414" t="s">
        <v>4374</v>
      </c>
      <c r="V1414">
        <v>12600</v>
      </c>
      <c r="W1414">
        <v>4000</v>
      </c>
      <c r="X1414">
        <v>201.1</v>
      </c>
      <c r="Z1414">
        <v>8</v>
      </c>
      <c r="AF1414">
        <v>200</v>
      </c>
      <c r="AG1414">
        <v>19.3</v>
      </c>
      <c r="AH1414" t="s">
        <v>4391</v>
      </c>
      <c r="AM1414" t="s">
        <v>4408</v>
      </c>
      <c r="AN1414" t="s">
        <v>132</v>
      </c>
      <c r="CC1414">
        <v>2700</v>
      </c>
      <c r="CE141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14" s="19">
        <f>SUM(Table1[[#This Row],[Mid39]],Table1[[#This Row],[Mid36]],Table1[[#This Row],[Mid33]],Table1[[#This Row],[Mid30]],Table1[[#This Row],[Mid27]],Table1[[#This Row],[Mid24]],Table1[[#This Row],[Mid21]],Table1[[#This Row],[Mid18]],Table1[[#This Row],[Mid15]],Table1[[#This Row],[Mid12]],Table1[[#This Row],[Mid9]],Table1[[#This Row],[Mid6]],Table1[[#This Row],[Mid3]],Table1[[#This Row],[Mid]])</f>
        <v>2700</v>
      </c>
      <c r="CG14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14" s="35" t="s">
        <v>189</v>
      </c>
      <c r="CJ1414" t="s">
        <v>158</v>
      </c>
      <c r="CL1414" s="19">
        <v>0</v>
      </c>
      <c r="CM1414" t="s">
        <v>158</v>
      </c>
      <c r="CN1414" s="19">
        <f>Table1[[#This Row],[Mid]]</f>
        <v>0</v>
      </c>
      <c r="CO1414" s="19">
        <f>Table1[[#This Row],[Mid3]]+Table1[[#This Row],[Mid6]]+Table1[[#This Row],[Mid9]]</f>
        <v>0</v>
      </c>
      <c r="CP1414" s="19">
        <f>Table1[[#This Row],[Mid12]]+Table1[[#This Row],[Mid15]]+Table1[[#This Row],[Mid18]]+Table1[[#This Row],[Mid21]]+Table1[[#This Row],[Mid24]]</f>
        <v>0</v>
      </c>
      <c r="CQ1414" s="19">
        <f>Table1[[#This Row],[Mid27]]+Table1[[#This Row],[Mid30]]+Table1[[#This Row],[Mid33]]+Table1[[#This Row],[Mid36]]+Table1[[#This Row],[Mid39]]</f>
        <v>2700</v>
      </c>
      <c r="CR1414" t="s">
        <v>439</v>
      </c>
      <c r="CS1414" s="19" t="str">
        <f>IF(AND(Table1[[#This Row],[Low41]]=0, Table1[[#This Row],[High43]]=0),"N","Y")</f>
        <v>N</v>
      </c>
    </row>
    <row r="1415" spans="1:97" ht="19.5" customHeight="1" x14ac:dyDescent="0.25">
      <c r="A1415">
        <v>11417</v>
      </c>
      <c r="B1415" t="s">
        <v>4415</v>
      </c>
      <c r="C1415" t="s">
        <v>4416</v>
      </c>
      <c r="D1415">
        <v>10.101000000000001</v>
      </c>
      <c r="E1415">
        <v>102.25700000000001</v>
      </c>
      <c r="F1415" t="s">
        <v>4417</v>
      </c>
      <c r="G1415" t="s">
        <v>4418</v>
      </c>
      <c r="H1415" t="s">
        <v>167</v>
      </c>
      <c r="I1415" t="s">
        <v>118</v>
      </c>
      <c r="J1415" t="s">
        <v>119</v>
      </c>
      <c r="K1415" t="s">
        <v>203</v>
      </c>
      <c r="L1415" t="s">
        <v>121</v>
      </c>
      <c r="M1415" t="s">
        <v>4419</v>
      </c>
      <c r="N1415" s="6" t="s">
        <v>4420</v>
      </c>
      <c r="O1415" t="s">
        <v>3331</v>
      </c>
      <c r="P1415" t="s">
        <v>1150</v>
      </c>
      <c r="Q1415" t="s">
        <v>4421</v>
      </c>
      <c r="R1415" t="s">
        <v>4422</v>
      </c>
      <c r="S1415">
        <v>2014</v>
      </c>
      <c r="T1415" t="s">
        <v>3959</v>
      </c>
      <c r="U1415" t="s">
        <v>4374</v>
      </c>
      <c r="V1415">
        <v>8600</v>
      </c>
      <c r="W1415" t="s">
        <v>4423</v>
      </c>
      <c r="X1415">
        <v>400</v>
      </c>
      <c r="Z1415">
        <v>26</v>
      </c>
      <c r="AA1415">
        <v>250</v>
      </c>
      <c r="AH1415" t="s">
        <v>4391</v>
      </c>
      <c r="AI1415">
        <v>2</v>
      </c>
      <c r="AM1415" t="s">
        <v>4424</v>
      </c>
      <c r="AN1415" t="s">
        <v>132</v>
      </c>
      <c r="CC1415">
        <v>22</v>
      </c>
      <c r="CE141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15" s="19">
        <f>SUM(Table1[[#This Row],[Mid39]],Table1[[#This Row],[Mid36]],Table1[[#This Row],[Mid33]],Table1[[#This Row],[Mid30]],Table1[[#This Row],[Mid27]],Table1[[#This Row],[Mid24]],Table1[[#This Row],[Mid21]],Table1[[#This Row],[Mid18]],Table1[[#This Row],[Mid15]],Table1[[#This Row],[Mid12]],Table1[[#This Row],[Mid9]],Table1[[#This Row],[Mid6]],Table1[[#This Row],[Mid3]],Table1[[#This Row],[Mid]])</f>
        <v>22</v>
      </c>
      <c r="CG14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15" s="35" t="s">
        <v>134</v>
      </c>
      <c r="CJ1415" t="s">
        <v>158</v>
      </c>
      <c r="CL1415" s="19">
        <v>0</v>
      </c>
      <c r="CM1415" t="s">
        <v>158</v>
      </c>
      <c r="CN1415" s="19">
        <f>Table1[[#This Row],[Mid]]</f>
        <v>0</v>
      </c>
      <c r="CO1415" s="19">
        <f>Table1[[#This Row],[Mid3]]+Table1[[#This Row],[Mid6]]+Table1[[#This Row],[Mid9]]</f>
        <v>0</v>
      </c>
      <c r="CP1415" s="19">
        <f>Table1[[#This Row],[Mid12]]+Table1[[#This Row],[Mid15]]+Table1[[#This Row],[Mid18]]+Table1[[#This Row],[Mid21]]+Table1[[#This Row],[Mid24]]</f>
        <v>0</v>
      </c>
      <c r="CQ1415" s="19">
        <f>Table1[[#This Row],[Mid27]]+Table1[[#This Row],[Mid30]]+Table1[[#This Row],[Mid33]]+Table1[[#This Row],[Mid36]]+Table1[[#This Row],[Mid39]]</f>
        <v>22</v>
      </c>
      <c r="CR1415" t="s">
        <v>439</v>
      </c>
      <c r="CS1415" s="19" t="str">
        <f>IF(AND(Table1[[#This Row],[Low41]]=0, Table1[[#This Row],[High43]]=0),"N","Y")</f>
        <v>N</v>
      </c>
    </row>
    <row r="1416" spans="1:97" ht="19.5" customHeight="1" x14ac:dyDescent="0.25">
      <c r="A1416">
        <v>11418</v>
      </c>
      <c r="B1416" t="s">
        <v>4415</v>
      </c>
      <c r="C1416" t="s">
        <v>4425</v>
      </c>
      <c r="D1416">
        <v>10.7645</v>
      </c>
      <c r="E1416">
        <v>103.0928</v>
      </c>
      <c r="F1416" t="s">
        <v>4426</v>
      </c>
      <c r="G1416" t="s">
        <v>2551</v>
      </c>
      <c r="H1416" t="s">
        <v>167</v>
      </c>
      <c r="I1416" t="s">
        <v>118</v>
      </c>
      <c r="J1416" t="s">
        <v>119</v>
      </c>
      <c r="K1416" t="s">
        <v>203</v>
      </c>
      <c r="L1416" t="s">
        <v>121</v>
      </c>
      <c r="M1416" t="s">
        <v>4427</v>
      </c>
      <c r="N1416" s="6" t="s">
        <v>4420</v>
      </c>
      <c r="O1416" t="s">
        <v>3331</v>
      </c>
      <c r="P1416" t="s">
        <v>1150</v>
      </c>
      <c r="Q1416" t="s">
        <v>4428</v>
      </c>
      <c r="R1416" t="s">
        <v>4422</v>
      </c>
      <c r="S1416">
        <v>2014</v>
      </c>
      <c r="T1416" t="s">
        <v>3959</v>
      </c>
      <c r="U1416" t="s">
        <v>4374</v>
      </c>
      <c r="V1416">
        <v>20000</v>
      </c>
      <c r="W1416">
        <v>5000</v>
      </c>
      <c r="Z1416">
        <v>10.8</v>
      </c>
      <c r="AH1416" t="s">
        <v>4391</v>
      </c>
      <c r="AI1416">
        <v>2</v>
      </c>
      <c r="AM1416" t="s">
        <v>4429</v>
      </c>
      <c r="AN1416" t="s">
        <v>132</v>
      </c>
      <c r="CC1416">
        <v>33</v>
      </c>
      <c r="CE141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16" s="19">
        <f>SUM(Table1[[#This Row],[Mid39]],Table1[[#This Row],[Mid36]],Table1[[#This Row],[Mid33]],Table1[[#This Row],[Mid30]],Table1[[#This Row],[Mid27]],Table1[[#This Row],[Mid24]],Table1[[#This Row],[Mid21]],Table1[[#This Row],[Mid18]],Table1[[#This Row],[Mid15]],Table1[[#This Row],[Mid12]],Table1[[#This Row],[Mid9]],Table1[[#This Row],[Mid6]],Table1[[#This Row],[Mid3]],Table1[[#This Row],[Mid]])</f>
        <v>33</v>
      </c>
      <c r="CG14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16" s="35" t="s">
        <v>134</v>
      </c>
      <c r="CJ1416" t="s">
        <v>158</v>
      </c>
      <c r="CL1416" s="19">
        <v>0</v>
      </c>
      <c r="CM1416" t="s">
        <v>158</v>
      </c>
      <c r="CN1416" s="19">
        <f>Table1[[#This Row],[Mid]]</f>
        <v>0</v>
      </c>
      <c r="CO1416" s="19">
        <f>Table1[[#This Row],[Mid3]]+Table1[[#This Row],[Mid6]]+Table1[[#This Row],[Mid9]]</f>
        <v>0</v>
      </c>
      <c r="CP1416" s="19">
        <f>Table1[[#This Row],[Mid12]]+Table1[[#This Row],[Mid15]]+Table1[[#This Row],[Mid18]]+Table1[[#This Row],[Mid21]]+Table1[[#This Row],[Mid24]]</f>
        <v>0</v>
      </c>
      <c r="CQ1416" s="19">
        <f>Table1[[#This Row],[Mid27]]+Table1[[#This Row],[Mid30]]+Table1[[#This Row],[Mid33]]+Table1[[#This Row],[Mid36]]+Table1[[#This Row],[Mid39]]</f>
        <v>33</v>
      </c>
      <c r="CR1416" t="s">
        <v>439</v>
      </c>
      <c r="CS1416" s="19" t="str">
        <f>IF(AND(Table1[[#This Row],[Low41]]=0, Table1[[#This Row],[High43]]=0),"N","Y")</f>
        <v>N</v>
      </c>
    </row>
    <row r="1417" spans="1:97" ht="19.5" customHeight="1" x14ac:dyDescent="0.25">
      <c r="A1417">
        <v>11419</v>
      </c>
      <c r="B1417" t="s">
        <v>4415</v>
      </c>
      <c r="C1417" t="s">
        <v>4430</v>
      </c>
      <c r="D1417">
        <v>13.159000000000001</v>
      </c>
      <c r="E1417">
        <v>103.911</v>
      </c>
      <c r="F1417" t="s">
        <v>4431</v>
      </c>
      <c r="G1417" t="s">
        <v>4432</v>
      </c>
      <c r="H1417" t="s">
        <v>167</v>
      </c>
      <c r="I1417" t="s">
        <v>118</v>
      </c>
      <c r="J1417" t="s">
        <v>119</v>
      </c>
      <c r="K1417" t="s">
        <v>203</v>
      </c>
      <c r="L1417" t="s">
        <v>121</v>
      </c>
      <c r="M1417" t="s">
        <v>4433</v>
      </c>
      <c r="N1417" s="6" t="s">
        <v>4420</v>
      </c>
      <c r="O1417" t="s">
        <v>3331</v>
      </c>
      <c r="P1417" t="s">
        <v>1150</v>
      </c>
      <c r="Q1417" t="s">
        <v>4434</v>
      </c>
      <c r="R1417" t="s">
        <v>4422</v>
      </c>
      <c r="S1417">
        <v>2014</v>
      </c>
      <c r="T1417" t="s">
        <v>3959</v>
      </c>
      <c r="U1417" t="s">
        <v>4374</v>
      </c>
      <c r="V1417">
        <v>23800</v>
      </c>
      <c r="W1417">
        <v>500</v>
      </c>
      <c r="Z1417">
        <v>10</v>
      </c>
      <c r="AH1417" t="s">
        <v>4391</v>
      </c>
      <c r="AI1417">
        <v>2</v>
      </c>
      <c r="AM1417" t="s">
        <v>4435</v>
      </c>
      <c r="AN1417" t="s">
        <v>132</v>
      </c>
      <c r="CC1417">
        <v>30</v>
      </c>
      <c r="CE141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17" s="19">
        <f>SUM(Table1[[#This Row],[Mid39]],Table1[[#This Row],[Mid36]],Table1[[#This Row],[Mid33]],Table1[[#This Row],[Mid30]],Table1[[#This Row],[Mid27]],Table1[[#This Row],[Mid24]],Table1[[#This Row],[Mid21]],Table1[[#This Row],[Mid18]],Table1[[#This Row],[Mid15]],Table1[[#This Row],[Mid12]],Table1[[#This Row],[Mid9]],Table1[[#This Row],[Mid6]],Table1[[#This Row],[Mid3]],Table1[[#This Row],[Mid]])</f>
        <v>30</v>
      </c>
      <c r="CG14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17" s="35" t="s">
        <v>134</v>
      </c>
      <c r="CJ1417" t="s">
        <v>158</v>
      </c>
      <c r="CL1417" s="19">
        <v>0</v>
      </c>
      <c r="CM1417" t="s">
        <v>158</v>
      </c>
      <c r="CN1417" s="19">
        <f>Table1[[#This Row],[Mid]]</f>
        <v>0</v>
      </c>
      <c r="CO1417" s="19">
        <f>Table1[[#This Row],[Mid3]]+Table1[[#This Row],[Mid6]]+Table1[[#This Row],[Mid9]]</f>
        <v>0</v>
      </c>
      <c r="CP1417" s="19">
        <f>Table1[[#This Row],[Mid12]]+Table1[[#This Row],[Mid15]]+Table1[[#This Row],[Mid18]]+Table1[[#This Row],[Mid21]]+Table1[[#This Row],[Mid24]]</f>
        <v>0</v>
      </c>
      <c r="CQ1417" s="19">
        <f>Table1[[#This Row],[Mid27]]+Table1[[#This Row],[Mid30]]+Table1[[#This Row],[Mid33]]+Table1[[#This Row],[Mid36]]+Table1[[#This Row],[Mid39]]</f>
        <v>30</v>
      </c>
      <c r="CR1417" t="s">
        <v>439</v>
      </c>
      <c r="CS1417" s="19" t="str">
        <f>IF(AND(Table1[[#This Row],[Low41]]=0, Table1[[#This Row],[High43]]=0),"N","Y")</f>
        <v>N</v>
      </c>
    </row>
    <row r="1418" spans="1:97" ht="19.5" customHeight="1" x14ac:dyDescent="0.25">
      <c r="A1418">
        <v>11420</v>
      </c>
      <c r="B1418" t="s">
        <v>4415</v>
      </c>
      <c r="C1418" t="s">
        <v>4416</v>
      </c>
      <c r="D1418">
        <v>10.042999999999999</v>
      </c>
      <c r="E1418">
        <v>102.34099999999999</v>
      </c>
      <c r="F1418" t="s">
        <v>4417</v>
      </c>
      <c r="G1418" t="s">
        <v>4418</v>
      </c>
      <c r="H1418" t="s">
        <v>167</v>
      </c>
      <c r="I1418" t="s">
        <v>582</v>
      </c>
      <c r="J1418" t="s">
        <v>202</v>
      </c>
      <c r="K1418" t="s">
        <v>203</v>
      </c>
      <c r="L1418" t="s">
        <v>121</v>
      </c>
      <c r="M1418" t="s">
        <v>4419</v>
      </c>
      <c r="N1418" s="6" t="s">
        <v>4420</v>
      </c>
      <c r="O1418" t="s">
        <v>3331</v>
      </c>
      <c r="P1418" t="s">
        <v>1150</v>
      </c>
      <c r="Q1418" t="s">
        <v>4421</v>
      </c>
      <c r="R1418" t="s">
        <v>4436</v>
      </c>
      <c r="S1418">
        <v>2014</v>
      </c>
      <c r="T1418" t="s">
        <v>3959</v>
      </c>
      <c r="U1418" t="s">
        <v>4374</v>
      </c>
      <c r="V1418"/>
      <c r="AH1418" t="s">
        <v>4375</v>
      </c>
      <c r="AM1418" t="s">
        <v>4437</v>
      </c>
      <c r="AN1418" t="s">
        <v>132</v>
      </c>
      <c r="BN1418">
        <v>21</v>
      </c>
      <c r="CE141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18" s="19">
        <f>SUM(Table1[[#This Row],[Mid39]],Table1[[#This Row],[Mid36]],Table1[[#This Row],[Mid33]],Table1[[#This Row],[Mid30]],Table1[[#This Row],[Mid27]],Table1[[#This Row],[Mid24]],Table1[[#This Row],[Mid21]],Table1[[#This Row],[Mid18]],Table1[[#This Row],[Mid15]],Table1[[#This Row],[Mid12]],Table1[[#This Row],[Mid9]],Table1[[#This Row],[Mid6]],Table1[[#This Row],[Mid3]],Table1[[#This Row],[Mid]])</f>
        <v>21</v>
      </c>
      <c r="CG141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18" s="35" t="s">
        <v>134</v>
      </c>
      <c r="CJ1418" t="s">
        <v>158</v>
      </c>
      <c r="CL1418" s="19">
        <v>1</v>
      </c>
      <c r="CM1418" t="s">
        <v>158</v>
      </c>
      <c r="CN1418" s="19">
        <f>Table1[[#This Row],[Mid]]</f>
        <v>0</v>
      </c>
      <c r="CO1418" s="19">
        <f>Table1[[#This Row],[Mid3]]+Table1[[#This Row],[Mid6]]+Table1[[#This Row],[Mid9]]</f>
        <v>0</v>
      </c>
      <c r="CP1418" s="19">
        <f>Table1[[#This Row],[Mid12]]+Table1[[#This Row],[Mid15]]+Table1[[#This Row],[Mid18]]+Table1[[#This Row],[Mid21]]+Table1[[#This Row],[Mid24]]</f>
        <v>21</v>
      </c>
      <c r="CQ1418" s="19">
        <f>Table1[[#This Row],[Mid27]]+Table1[[#This Row],[Mid30]]+Table1[[#This Row],[Mid33]]+Table1[[#This Row],[Mid36]]+Table1[[#This Row],[Mid39]]</f>
        <v>0</v>
      </c>
      <c r="CR1418" t="s">
        <v>439</v>
      </c>
      <c r="CS1418" s="19" t="str">
        <f>IF(AND(Table1[[#This Row],[Low41]]=0, Table1[[#This Row],[High43]]=0),"N","Y")</f>
        <v>N</v>
      </c>
    </row>
    <row r="1419" spans="1:97" ht="19.5" customHeight="1" x14ac:dyDescent="0.25">
      <c r="A1419">
        <v>11421</v>
      </c>
      <c r="B1419" t="s">
        <v>4415</v>
      </c>
      <c r="C1419" t="s">
        <v>4425</v>
      </c>
      <c r="D1419">
        <v>10.902100000000001</v>
      </c>
      <c r="E1419">
        <v>103.617</v>
      </c>
      <c r="F1419" t="s">
        <v>4426</v>
      </c>
      <c r="G1419" t="s">
        <v>2551</v>
      </c>
      <c r="H1419" t="s">
        <v>167</v>
      </c>
      <c r="I1419" t="s">
        <v>582</v>
      </c>
      <c r="J1419" t="s">
        <v>202</v>
      </c>
      <c r="K1419" t="s">
        <v>203</v>
      </c>
      <c r="L1419" t="s">
        <v>121</v>
      </c>
      <c r="M1419" t="s">
        <v>4427</v>
      </c>
      <c r="N1419" s="6" t="s">
        <v>4420</v>
      </c>
      <c r="O1419" t="s">
        <v>3331</v>
      </c>
      <c r="P1419" t="s">
        <v>1150</v>
      </c>
      <c r="Q1419" t="s">
        <v>4428</v>
      </c>
      <c r="R1419" t="s">
        <v>4436</v>
      </c>
      <c r="S1419">
        <v>2014</v>
      </c>
      <c r="T1419" t="s">
        <v>3959</v>
      </c>
      <c r="U1419" t="s">
        <v>4374</v>
      </c>
      <c r="V1419"/>
      <c r="AH1419" t="s">
        <v>4375</v>
      </c>
      <c r="AM1419" t="s">
        <v>4438</v>
      </c>
      <c r="AN1419" t="s">
        <v>132</v>
      </c>
      <c r="BN1419">
        <v>9</v>
      </c>
      <c r="CE141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19" s="19">
        <f>SUM(Table1[[#This Row],[Mid39]],Table1[[#This Row],[Mid36]],Table1[[#This Row],[Mid33]],Table1[[#This Row],[Mid30]],Table1[[#This Row],[Mid27]],Table1[[#This Row],[Mid24]],Table1[[#This Row],[Mid21]],Table1[[#This Row],[Mid18]],Table1[[#This Row],[Mid15]],Table1[[#This Row],[Mid12]],Table1[[#This Row],[Mid9]],Table1[[#This Row],[Mid6]],Table1[[#This Row],[Mid3]],Table1[[#This Row],[Mid]])</f>
        <v>9</v>
      </c>
      <c r="CG14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19" s="35" t="s">
        <v>134</v>
      </c>
      <c r="CJ1419" t="s">
        <v>158</v>
      </c>
      <c r="CL1419" s="19">
        <v>1</v>
      </c>
      <c r="CM1419" t="s">
        <v>158</v>
      </c>
      <c r="CN1419" s="19">
        <f>Table1[[#This Row],[Mid]]</f>
        <v>0</v>
      </c>
      <c r="CO1419" s="19">
        <f>Table1[[#This Row],[Mid3]]+Table1[[#This Row],[Mid6]]+Table1[[#This Row],[Mid9]]</f>
        <v>0</v>
      </c>
      <c r="CP1419" s="19">
        <f>Table1[[#This Row],[Mid12]]+Table1[[#This Row],[Mid15]]+Table1[[#This Row],[Mid18]]+Table1[[#This Row],[Mid21]]+Table1[[#This Row],[Mid24]]</f>
        <v>9</v>
      </c>
      <c r="CQ1419" s="19">
        <f>Table1[[#This Row],[Mid27]]+Table1[[#This Row],[Mid30]]+Table1[[#This Row],[Mid33]]+Table1[[#This Row],[Mid36]]+Table1[[#This Row],[Mid39]]</f>
        <v>0</v>
      </c>
      <c r="CR1419" t="s">
        <v>439</v>
      </c>
      <c r="CS1419" s="19" t="str">
        <f>IF(AND(Table1[[#This Row],[Low41]]=0, Table1[[#This Row],[High43]]=0),"N","Y")</f>
        <v>N</v>
      </c>
    </row>
    <row r="1420" spans="1:97" ht="19.5" customHeight="1" x14ac:dyDescent="0.25">
      <c r="A1420">
        <v>11422</v>
      </c>
      <c r="B1420" t="s">
        <v>4415</v>
      </c>
      <c r="C1420" t="s">
        <v>4430</v>
      </c>
      <c r="D1420">
        <v>13.132</v>
      </c>
      <c r="E1420">
        <v>103.91500000000001</v>
      </c>
      <c r="F1420" t="s">
        <v>4431</v>
      </c>
      <c r="G1420" t="s">
        <v>4432</v>
      </c>
      <c r="H1420" t="s">
        <v>167</v>
      </c>
      <c r="I1420" t="s">
        <v>582</v>
      </c>
      <c r="J1420" t="s">
        <v>202</v>
      </c>
      <c r="K1420" t="s">
        <v>203</v>
      </c>
      <c r="L1420" t="s">
        <v>121</v>
      </c>
      <c r="M1420" t="s">
        <v>4433</v>
      </c>
      <c r="N1420" s="6" t="s">
        <v>4420</v>
      </c>
      <c r="O1420" t="s">
        <v>3331</v>
      </c>
      <c r="P1420" t="s">
        <v>1150</v>
      </c>
      <c r="Q1420" t="s">
        <v>4434</v>
      </c>
      <c r="R1420" t="s">
        <v>4436</v>
      </c>
      <c r="S1420">
        <v>2014</v>
      </c>
      <c r="T1420" t="s">
        <v>3959</v>
      </c>
      <c r="U1420" t="s">
        <v>4374</v>
      </c>
      <c r="V1420"/>
      <c r="AH1420" t="s">
        <v>4375</v>
      </c>
      <c r="AM1420" t="s">
        <v>4439</v>
      </c>
      <c r="AN1420" t="s">
        <v>132</v>
      </c>
      <c r="BN1420">
        <v>17</v>
      </c>
      <c r="CE142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20" s="19">
        <f>SUM(Table1[[#This Row],[Mid39]],Table1[[#This Row],[Mid36]],Table1[[#This Row],[Mid33]],Table1[[#This Row],[Mid30]],Table1[[#This Row],[Mid27]],Table1[[#This Row],[Mid24]],Table1[[#This Row],[Mid21]],Table1[[#This Row],[Mid18]],Table1[[#This Row],[Mid15]],Table1[[#This Row],[Mid12]],Table1[[#This Row],[Mid9]],Table1[[#This Row],[Mid6]],Table1[[#This Row],[Mid3]],Table1[[#This Row],[Mid]])</f>
        <v>17</v>
      </c>
      <c r="CG14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20" s="35" t="s">
        <v>134</v>
      </c>
      <c r="CJ1420" t="s">
        <v>158</v>
      </c>
      <c r="CL1420" s="19">
        <v>1</v>
      </c>
      <c r="CM1420" t="s">
        <v>158</v>
      </c>
      <c r="CN1420" s="19">
        <f>Table1[[#This Row],[Mid]]</f>
        <v>0</v>
      </c>
      <c r="CO1420" s="19">
        <f>Table1[[#This Row],[Mid3]]+Table1[[#This Row],[Mid6]]+Table1[[#This Row],[Mid9]]</f>
        <v>0</v>
      </c>
      <c r="CP1420" s="19">
        <f>Table1[[#This Row],[Mid12]]+Table1[[#This Row],[Mid15]]+Table1[[#This Row],[Mid18]]+Table1[[#This Row],[Mid21]]+Table1[[#This Row],[Mid24]]</f>
        <v>17</v>
      </c>
      <c r="CQ1420" s="19">
        <f>Table1[[#This Row],[Mid27]]+Table1[[#This Row],[Mid30]]+Table1[[#This Row],[Mid33]]+Table1[[#This Row],[Mid36]]+Table1[[#This Row],[Mid39]]</f>
        <v>0</v>
      </c>
      <c r="CR1420" t="s">
        <v>439</v>
      </c>
      <c r="CS1420" s="19" t="str">
        <f>IF(AND(Table1[[#This Row],[Low41]]=0, Table1[[#This Row],[High43]]=0),"N","Y")</f>
        <v>N</v>
      </c>
    </row>
    <row r="1421" spans="1:97" ht="19.5" customHeight="1" x14ac:dyDescent="0.25">
      <c r="A1421">
        <v>11423</v>
      </c>
      <c r="B1421" t="s">
        <v>4440</v>
      </c>
      <c r="C1421" t="s">
        <v>4441</v>
      </c>
      <c r="D1421">
        <v>17.86</v>
      </c>
      <c r="E1421">
        <v>121.64400000000001</v>
      </c>
      <c r="F1421" t="s">
        <v>4442</v>
      </c>
      <c r="G1421" t="s">
        <v>4443</v>
      </c>
      <c r="H1421" t="s">
        <v>167</v>
      </c>
      <c r="I1421" t="s">
        <v>118</v>
      </c>
      <c r="J1421" t="s">
        <v>119</v>
      </c>
      <c r="K1421" t="s">
        <v>190</v>
      </c>
      <c r="L1421" t="s">
        <v>18</v>
      </c>
      <c r="M1421" t="s">
        <v>2768</v>
      </c>
      <c r="N1421" s="6" t="s">
        <v>4444</v>
      </c>
      <c r="O1421" t="s">
        <v>3331</v>
      </c>
      <c r="P1421" t="s">
        <v>1150</v>
      </c>
      <c r="Q1421" t="s">
        <v>255</v>
      </c>
      <c r="R1421" t="s">
        <v>4445</v>
      </c>
      <c r="S1421">
        <v>2013</v>
      </c>
      <c r="T1421" t="s">
        <v>3959</v>
      </c>
      <c r="U1421" t="s">
        <v>4374</v>
      </c>
      <c r="V1421"/>
      <c r="Z1421">
        <v>17.5</v>
      </c>
      <c r="AA1421">
        <v>500.05</v>
      </c>
      <c r="AH1421" t="s">
        <v>4391</v>
      </c>
      <c r="AM1421" t="s">
        <v>4446</v>
      </c>
      <c r="AN1421" t="s">
        <v>132</v>
      </c>
      <c r="CC1421">
        <v>23000</v>
      </c>
      <c r="CE142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21" s="19">
        <f>SUM(Table1[[#This Row],[Mid39]],Table1[[#This Row],[Mid36]],Table1[[#This Row],[Mid33]],Table1[[#This Row],[Mid30]],Table1[[#This Row],[Mid27]],Table1[[#This Row],[Mid24]],Table1[[#This Row],[Mid21]],Table1[[#This Row],[Mid18]],Table1[[#This Row],[Mid15]],Table1[[#This Row],[Mid12]],Table1[[#This Row],[Mid9]],Table1[[#This Row],[Mid6]],Table1[[#This Row],[Mid3]],Table1[[#This Row],[Mid]])</f>
        <v>23000</v>
      </c>
      <c r="CG14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21" s="35" t="s">
        <v>189</v>
      </c>
      <c r="CJ1421" t="s">
        <v>158</v>
      </c>
      <c r="CL1421" s="19">
        <v>0</v>
      </c>
      <c r="CM1421" t="s">
        <v>158</v>
      </c>
      <c r="CN1421" s="19">
        <f>Table1[[#This Row],[Mid]]</f>
        <v>0</v>
      </c>
      <c r="CO1421" s="19">
        <f>Table1[[#This Row],[Mid3]]+Table1[[#This Row],[Mid6]]+Table1[[#This Row],[Mid9]]</f>
        <v>0</v>
      </c>
      <c r="CP1421" s="19">
        <f>Table1[[#This Row],[Mid12]]+Table1[[#This Row],[Mid15]]+Table1[[#This Row],[Mid18]]+Table1[[#This Row],[Mid21]]+Table1[[#This Row],[Mid24]]</f>
        <v>0</v>
      </c>
      <c r="CQ1421" s="19">
        <f>Table1[[#This Row],[Mid27]]+Table1[[#This Row],[Mid30]]+Table1[[#This Row],[Mid33]]+Table1[[#This Row],[Mid36]]+Table1[[#This Row],[Mid39]]</f>
        <v>23000</v>
      </c>
      <c r="CR1421" t="s">
        <v>439</v>
      </c>
      <c r="CS1421" s="19" t="str">
        <f>IF(AND(Table1[[#This Row],[Low41]]=0, Table1[[#This Row],[High43]]=0),"N","Y")</f>
        <v>N</v>
      </c>
    </row>
    <row r="1422" spans="1:97" ht="19.5" customHeight="1" x14ac:dyDescent="0.25">
      <c r="A1422">
        <v>11424</v>
      </c>
      <c r="B1422" t="s">
        <v>4440</v>
      </c>
      <c r="C1422" t="s">
        <v>165</v>
      </c>
      <c r="D1422">
        <v>11.407</v>
      </c>
      <c r="E1422">
        <v>118.67</v>
      </c>
      <c r="F1422" t="s">
        <v>4447</v>
      </c>
      <c r="H1422" t="s">
        <v>167</v>
      </c>
      <c r="I1422" t="s">
        <v>2245</v>
      </c>
      <c r="J1422" t="s">
        <v>202</v>
      </c>
      <c r="K1422" t="s">
        <v>203</v>
      </c>
      <c r="L1422" t="s">
        <v>121</v>
      </c>
      <c r="M1422" t="s">
        <v>252</v>
      </c>
      <c r="N1422" s="6" t="s">
        <v>4444</v>
      </c>
      <c r="O1422" t="s">
        <v>3331</v>
      </c>
      <c r="P1422" t="s">
        <v>1150</v>
      </c>
      <c r="Q1422" t="s">
        <v>4448</v>
      </c>
      <c r="R1422" t="s">
        <v>4449</v>
      </c>
      <c r="S1422">
        <v>2013</v>
      </c>
      <c r="T1422" t="s">
        <v>3959</v>
      </c>
      <c r="U1422" t="s">
        <v>4374</v>
      </c>
      <c r="V1422"/>
      <c r="AH1422" t="s">
        <v>4375</v>
      </c>
      <c r="AM1422" t="s">
        <v>4446</v>
      </c>
      <c r="AN1422" t="s">
        <v>132</v>
      </c>
      <c r="BN1422">
        <v>251</v>
      </c>
      <c r="CE142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22" s="19">
        <f>SUM(Table1[[#This Row],[Mid39]],Table1[[#This Row],[Mid36]],Table1[[#This Row],[Mid33]],Table1[[#This Row],[Mid30]],Table1[[#This Row],[Mid27]],Table1[[#This Row],[Mid24]],Table1[[#This Row],[Mid21]],Table1[[#This Row],[Mid18]],Table1[[#This Row],[Mid15]],Table1[[#This Row],[Mid12]],Table1[[#This Row],[Mid9]],Table1[[#This Row],[Mid6]],Table1[[#This Row],[Mid3]],Table1[[#This Row],[Mid]])</f>
        <v>251</v>
      </c>
      <c r="CG14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22" s="35" t="s">
        <v>134</v>
      </c>
      <c r="CJ1422" t="s">
        <v>158</v>
      </c>
      <c r="CL1422" s="19">
        <v>1</v>
      </c>
      <c r="CM1422" t="s">
        <v>158</v>
      </c>
      <c r="CN1422" s="19">
        <f>Table1[[#This Row],[Mid]]</f>
        <v>0</v>
      </c>
      <c r="CO1422" s="19">
        <f>Table1[[#This Row],[Mid3]]+Table1[[#This Row],[Mid6]]+Table1[[#This Row],[Mid9]]</f>
        <v>0</v>
      </c>
      <c r="CP1422" s="19">
        <f>Table1[[#This Row],[Mid12]]+Table1[[#This Row],[Mid15]]+Table1[[#This Row],[Mid18]]+Table1[[#This Row],[Mid21]]+Table1[[#This Row],[Mid24]]</f>
        <v>251</v>
      </c>
      <c r="CQ1422" s="19">
        <f>Table1[[#This Row],[Mid27]]+Table1[[#This Row],[Mid30]]+Table1[[#This Row],[Mid33]]+Table1[[#This Row],[Mid36]]+Table1[[#This Row],[Mid39]]</f>
        <v>0</v>
      </c>
      <c r="CR1422" t="s">
        <v>439</v>
      </c>
      <c r="CS1422" s="19" t="str">
        <f>IF(AND(Table1[[#This Row],[Low41]]=0, Table1[[#This Row],[High43]]=0),"N","Y")</f>
        <v>N</v>
      </c>
    </row>
    <row r="1423" spans="1:97" ht="19.5" customHeight="1" x14ac:dyDescent="0.25">
      <c r="A1423">
        <v>11425</v>
      </c>
      <c r="B1423" t="s">
        <v>4440</v>
      </c>
      <c r="C1423" t="s">
        <v>4450</v>
      </c>
      <c r="D1423">
        <v>11.559200000000001</v>
      </c>
      <c r="E1423">
        <v>118.7769</v>
      </c>
      <c r="F1423" t="s">
        <v>4451</v>
      </c>
      <c r="G1423" t="s">
        <v>4452</v>
      </c>
      <c r="H1423" t="s">
        <v>4453</v>
      </c>
      <c r="I1423" t="s">
        <v>1753</v>
      </c>
      <c r="J1423" t="s">
        <v>202</v>
      </c>
      <c r="K1423" t="s">
        <v>203</v>
      </c>
      <c r="L1423" t="s">
        <v>121</v>
      </c>
      <c r="M1423" t="s">
        <v>4454</v>
      </c>
      <c r="N1423" s="6" t="s">
        <v>4455</v>
      </c>
      <c r="O1423" t="s">
        <v>3331</v>
      </c>
      <c r="P1423" t="s">
        <v>1150</v>
      </c>
      <c r="Q1423" t="s">
        <v>4456</v>
      </c>
      <c r="R1423" t="s">
        <v>4457</v>
      </c>
      <c r="S1423">
        <v>2013</v>
      </c>
      <c r="T1423" t="s">
        <v>3959</v>
      </c>
      <c r="U1423" t="s">
        <v>4374</v>
      </c>
      <c r="V1423"/>
      <c r="Z1423">
        <v>17.5</v>
      </c>
      <c r="AA1423">
        <v>500.5</v>
      </c>
      <c r="AH1423" t="s">
        <v>4375</v>
      </c>
      <c r="AM1423" t="s">
        <v>4446</v>
      </c>
      <c r="AN1423" t="s">
        <v>132</v>
      </c>
      <c r="BN1423">
        <v>67.2</v>
      </c>
      <c r="CE142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23" s="19">
        <f>SUM(Table1[[#This Row],[Mid39]],Table1[[#This Row],[Mid36]],Table1[[#This Row],[Mid33]],Table1[[#This Row],[Mid30]],Table1[[#This Row],[Mid27]],Table1[[#This Row],[Mid24]],Table1[[#This Row],[Mid21]],Table1[[#This Row],[Mid18]],Table1[[#This Row],[Mid15]],Table1[[#This Row],[Mid12]],Table1[[#This Row],[Mid9]],Table1[[#This Row],[Mid6]],Table1[[#This Row],[Mid3]],Table1[[#This Row],[Mid]])</f>
        <v>67.2</v>
      </c>
      <c r="CG14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23" s="35" t="s">
        <v>134</v>
      </c>
      <c r="CJ1423" t="s">
        <v>158</v>
      </c>
      <c r="CL1423" s="19">
        <v>1</v>
      </c>
      <c r="CM1423" t="s">
        <v>158</v>
      </c>
      <c r="CN1423" s="19">
        <f>Table1[[#This Row],[Mid]]</f>
        <v>0</v>
      </c>
      <c r="CO1423" s="19">
        <f>Table1[[#This Row],[Mid3]]+Table1[[#This Row],[Mid6]]+Table1[[#This Row],[Mid9]]</f>
        <v>0</v>
      </c>
      <c r="CP1423" s="19">
        <f>Table1[[#This Row],[Mid12]]+Table1[[#This Row],[Mid15]]+Table1[[#This Row],[Mid18]]+Table1[[#This Row],[Mid21]]+Table1[[#This Row],[Mid24]]</f>
        <v>67.2</v>
      </c>
      <c r="CQ1423" s="19">
        <f>Table1[[#This Row],[Mid27]]+Table1[[#This Row],[Mid30]]+Table1[[#This Row],[Mid33]]+Table1[[#This Row],[Mid36]]+Table1[[#This Row],[Mid39]]</f>
        <v>0</v>
      </c>
      <c r="CR1423" t="s">
        <v>439</v>
      </c>
      <c r="CS1423" s="19" t="str">
        <f>IF(AND(Table1[[#This Row],[Low41]]=0, Table1[[#This Row],[High43]]=0),"N","Y")</f>
        <v>N</v>
      </c>
    </row>
    <row r="1424" spans="1:97" ht="19.5" customHeight="1" x14ac:dyDescent="0.25">
      <c r="A1424">
        <v>11426</v>
      </c>
      <c r="B1424" t="s">
        <v>4458</v>
      </c>
      <c r="C1424" t="s">
        <v>4459</v>
      </c>
      <c r="D1424">
        <v>39.921999999999997</v>
      </c>
      <c r="E1424">
        <v>64.025000000000006</v>
      </c>
      <c r="F1424" t="s">
        <v>4460</v>
      </c>
      <c r="G1424" t="s">
        <v>4461</v>
      </c>
      <c r="H1424" t="s">
        <v>167</v>
      </c>
      <c r="I1424" t="s">
        <v>118</v>
      </c>
      <c r="J1424" t="s">
        <v>119</v>
      </c>
      <c r="K1424" t="s">
        <v>190</v>
      </c>
      <c r="L1424" t="s">
        <v>18</v>
      </c>
      <c r="M1424" t="s">
        <v>4462</v>
      </c>
      <c r="N1424" s="6" t="s">
        <v>4463</v>
      </c>
      <c r="O1424" t="s">
        <v>3331</v>
      </c>
      <c r="P1424" t="s">
        <v>1150</v>
      </c>
      <c r="Q1424" t="s">
        <v>4464</v>
      </c>
      <c r="R1424" t="s">
        <v>4465</v>
      </c>
      <c r="S1424">
        <v>2024</v>
      </c>
      <c r="T1424" t="s">
        <v>3959</v>
      </c>
      <c r="U1424" t="s">
        <v>4374</v>
      </c>
      <c r="V1424"/>
      <c r="Z1424">
        <v>0.255</v>
      </c>
      <c r="AH1424" t="s">
        <v>4391</v>
      </c>
      <c r="AI1424" t="s">
        <v>4466</v>
      </c>
      <c r="AM1424" t="s">
        <v>4467</v>
      </c>
      <c r="AN1424" t="s">
        <v>132</v>
      </c>
      <c r="CC1424">
        <v>7670.4</v>
      </c>
      <c r="CE142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24" s="19">
        <f>SUM(Table1[[#This Row],[Mid39]],Table1[[#This Row],[Mid36]],Table1[[#This Row],[Mid33]],Table1[[#This Row],[Mid30]],Table1[[#This Row],[Mid27]],Table1[[#This Row],[Mid24]],Table1[[#This Row],[Mid21]],Table1[[#This Row],[Mid18]],Table1[[#This Row],[Mid15]],Table1[[#This Row],[Mid12]],Table1[[#This Row],[Mid9]],Table1[[#This Row],[Mid6]],Table1[[#This Row],[Mid3]],Table1[[#This Row],[Mid]])</f>
        <v>7670.4</v>
      </c>
      <c r="CG14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24" s="35" t="s">
        <v>189</v>
      </c>
      <c r="CJ1424" t="s">
        <v>158</v>
      </c>
      <c r="CL1424" s="19">
        <v>0</v>
      </c>
      <c r="CM1424" t="s">
        <v>158</v>
      </c>
      <c r="CN1424" s="19">
        <f>Table1[[#This Row],[Mid]]</f>
        <v>0</v>
      </c>
      <c r="CO1424" s="19">
        <f>Table1[[#This Row],[Mid3]]+Table1[[#This Row],[Mid6]]+Table1[[#This Row],[Mid9]]</f>
        <v>0</v>
      </c>
      <c r="CP1424" s="19">
        <f>Table1[[#This Row],[Mid12]]+Table1[[#This Row],[Mid15]]+Table1[[#This Row],[Mid18]]+Table1[[#This Row],[Mid21]]+Table1[[#This Row],[Mid24]]</f>
        <v>0</v>
      </c>
      <c r="CQ1424" s="19">
        <f>Table1[[#This Row],[Mid27]]+Table1[[#This Row],[Mid30]]+Table1[[#This Row],[Mid33]]+Table1[[#This Row],[Mid36]]+Table1[[#This Row],[Mid39]]</f>
        <v>7670.4</v>
      </c>
      <c r="CR1424" t="s">
        <v>439</v>
      </c>
      <c r="CS1424" s="19" t="str">
        <f>IF(AND(Table1[[#This Row],[Low41]]=0, Table1[[#This Row],[High43]]=0),"N","Y")</f>
        <v>N</v>
      </c>
    </row>
    <row r="1425" spans="1:97" ht="19.5" customHeight="1" x14ac:dyDescent="0.25">
      <c r="A1425">
        <v>11427</v>
      </c>
      <c r="B1425" t="s">
        <v>4458</v>
      </c>
      <c r="C1425" t="s">
        <v>4468</v>
      </c>
      <c r="D1425">
        <v>40.712000000000003</v>
      </c>
      <c r="E1425">
        <v>71.623999999999995</v>
      </c>
      <c r="F1425" t="s">
        <v>4469</v>
      </c>
      <c r="G1425" t="s">
        <v>4470</v>
      </c>
      <c r="H1425" t="s">
        <v>167</v>
      </c>
      <c r="I1425" t="s">
        <v>118</v>
      </c>
      <c r="J1425" t="s">
        <v>119</v>
      </c>
      <c r="K1425" t="s">
        <v>190</v>
      </c>
      <c r="L1425" t="s">
        <v>18</v>
      </c>
      <c r="M1425" t="s">
        <v>4335</v>
      </c>
      <c r="N1425" s="6" t="s">
        <v>4463</v>
      </c>
      <c r="O1425" t="s">
        <v>3331</v>
      </c>
      <c r="P1425" t="s">
        <v>1150</v>
      </c>
      <c r="Q1425" t="s">
        <v>4464</v>
      </c>
      <c r="R1425" t="s">
        <v>4471</v>
      </c>
      <c r="S1425">
        <v>2024</v>
      </c>
      <c r="T1425" t="s">
        <v>3959</v>
      </c>
      <c r="U1425" t="s">
        <v>4374</v>
      </c>
      <c r="V1425"/>
      <c r="Z1425">
        <v>9.4E-2</v>
      </c>
      <c r="AH1425" t="s">
        <v>4391</v>
      </c>
      <c r="AI1425">
        <v>5.1000000000000004E-3</v>
      </c>
      <c r="AM1425" t="s">
        <v>4467</v>
      </c>
      <c r="AN1425" t="s">
        <v>132</v>
      </c>
      <c r="CC1425">
        <v>675.95399999999995</v>
      </c>
      <c r="CE142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25" s="19">
        <f>SUM(Table1[[#This Row],[Mid39]],Table1[[#This Row],[Mid36]],Table1[[#This Row],[Mid33]],Table1[[#This Row],[Mid30]],Table1[[#This Row],[Mid27]],Table1[[#This Row],[Mid24]],Table1[[#This Row],[Mid21]],Table1[[#This Row],[Mid18]],Table1[[#This Row],[Mid15]],Table1[[#This Row],[Mid12]],Table1[[#This Row],[Mid9]],Table1[[#This Row],[Mid6]],Table1[[#This Row],[Mid3]],Table1[[#This Row],[Mid]])</f>
        <v>675.95399999999995</v>
      </c>
      <c r="CG14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25" s="35" t="s">
        <v>189</v>
      </c>
      <c r="CJ1425" t="s">
        <v>158</v>
      </c>
      <c r="CL1425" s="19">
        <v>0</v>
      </c>
      <c r="CM1425" t="s">
        <v>158</v>
      </c>
      <c r="CN1425" s="19">
        <f>Table1[[#This Row],[Mid]]</f>
        <v>0</v>
      </c>
      <c r="CO1425" s="19">
        <f>Table1[[#This Row],[Mid3]]+Table1[[#This Row],[Mid6]]+Table1[[#This Row],[Mid9]]</f>
        <v>0</v>
      </c>
      <c r="CP1425" s="19">
        <f>Table1[[#This Row],[Mid12]]+Table1[[#This Row],[Mid15]]+Table1[[#This Row],[Mid18]]+Table1[[#This Row],[Mid21]]+Table1[[#This Row],[Mid24]]</f>
        <v>0</v>
      </c>
      <c r="CQ1425" s="19">
        <f>Table1[[#This Row],[Mid27]]+Table1[[#This Row],[Mid30]]+Table1[[#This Row],[Mid33]]+Table1[[#This Row],[Mid36]]+Table1[[#This Row],[Mid39]]</f>
        <v>675.95399999999995</v>
      </c>
      <c r="CR1425" t="s">
        <v>439</v>
      </c>
      <c r="CS1425" s="19" t="str">
        <f>IF(AND(Table1[[#This Row],[Low41]]=0, Table1[[#This Row],[High43]]=0),"N","Y")</f>
        <v>N</v>
      </c>
    </row>
    <row r="1426" spans="1:97" ht="19.5" customHeight="1" x14ac:dyDescent="0.25">
      <c r="A1426">
        <v>11428</v>
      </c>
      <c r="B1426" t="s">
        <v>4458</v>
      </c>
      <c r="C1426" t="s">
        <v>4472</v>
      </c>
      <c r="D1426">
        <v>37.803899999999999</v>
      </c>
      <c r="E1426">
        <v>67.446299999999994</v>
      </c>
      <c r="F1426" t="s">
        <v>4473</v>
      </c>
      <c r="G1426" t="s">
        <v>4474</v>
      </c>
      <c r="H1426" t="s">
        <v>167</v>
      </c>
      <c r="I1426" t="s">
        <v>118</v>
      </c>
      <c r="J1426" t="s">
        <v>119</v>
      </c>
      <c r="K1426" t="s">
        <v>203</v>
      </c>
      <c r="L1426" t="s">
        <v>18</v>
      </c>
      <c r="M1426" t="s">
        <v>4475</v>
      </c>
      <c r="N1426" s="6" t="s">
        <v>4463</v>
      </c>
      <c r="O1426" t="s">
        <v>3331</v>
      </c>
      <c r="P1426" t="s">
        <v>1150</v>
      </c>
      <c r="Q1426" t="s">
        <v>4464</v>
      </c>
      <c r="R1426" t="s">
        <v>4471</v>
      </c>
      <c r="S1426">
        <v>2024</v>
      </c>
      <c r="T1426" t="s">
        <v>3959</v>
      </c>
      <c r="U1426" t="s">
        <v>4374</v>
      </c>
      <c r="V1426"/>
      <c r="Z1426">
        <v>0.255</v>
      </c>
      <c r="AH1426" t="s">
        <v>4391</v>
      </c>
      <c r="AI1426" t="s">
        <v>4466</v>
      </c>
      <c r="AM1426" t="s">
        <v>4467</v>
      </c>
      <c r="AN1426" t="s">
        <v>132</v>
      </c>
      <c r="CC1426">
        <v>671.16</v>
      </c>
      <c r="CE142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26" s="19">
        <f>SUM(Table1[[#This Row],[Mid39]],Table1[[#This Row],[Mid36]],Table1[[#This Row],[Mid33]],Table1[[#This Row],[Mid30]],Table1[[#This Row],[Mid27]],Table1[[#This Row],[Mid24]],Table1[[#This Row],[Mid21]],Table1[[#This Row],[Mid18]],Table1[[#This Row],[Mid15]],Table1[[#This Row],[Mid12]],Table1[[#This Row],[Mid9]],Table1[[#This Row],[Mid6]],Table1[[#This Row],[Mid3]],Table1[[#This Row],[Mid]])</f>
        <v>671.16</v>
      </c>
      <c r="CG14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26" s="35" t="s">
        <v>176</v>
      </c>
      <c r="CJ1426" t="s">
        <v>158</v>
      </c>
      <c r="CL1426" s="19">
        <v>0</v>
      </c>
      <c r="CM1426" t="s">
        <v>158</v>
      </c>
      <c r="CN1426" s="19">
        <f>Table1[[#This Row],[Mid]]</f>
        <v>0</v>
      </c>
      <c r="CO1426" s="19">
        <f>Table1[[#This Row],[Mid3]]+Table1[[#This Row],[Mid6]]+Table1[[#This Row],[Mid9]]</f>
        <v>0</v>
      </c>
      <c r="CP1426" s="19">
        <f>Table1[[#This Row],[Mid12]]+Table1[[#This Row],[Mid15]]+Table1[[#This Row],[Mid18]]+Table1[[#This Row],[Mid21]]+Table1[[#This Row],[Mid24]]</f>
        <v>0</v>
      </c>
      <c r="CQ1426" s="19">
        <f>Table1[[#This Row],[Mid27]]+Table1[[#This Row],[Mid30]]+Table1[[#This Row],[Mid33]]+Table1[[#This Row],[Mid36]]+Table1[[#This Row],[Mid39]]</f>
        <v>671.16</v>
      </c>
      <c r="CR1426" t="s">
        <v>439</v>
      </c>
      <c r="CS1426" s="19" t="str">
        <f>IF(AND(Table1[[#This Row],[Low41]]=0, Table1[[#This Row],[High43]]=0),"N","Y")</f>
        <v>N</v>
      </c>
    </row>
    <row r="1427" spans="1:97" ht="19.5" customHeight="1" x14ac:dyDescent="0.25">
      <c r="A1427">
        <v>11429</v>
      </c>
      <c r="B1427" t="s">
        <v>4458</v>
      </c>
      <c r="C1427" t="s">
        <v>4476</v>
      </c>
      <c r="D1427">
        <v>43.756999999999998</v>
      </c>
      <c r="E1427">
        <v>59.66</v>
      </c>
      <c r="F1427" t="s">
        <v>4477</v>
      </c>
      <c r="G1427" t="s">
        <v>2281</v>
      </c>
      <c r="H1427" t="s">
        <v>167</v>
      </c>
      <c r="I1427" t="s">
        <v>118</v>
      </c>
      <c r="J1427" t="s">
        <v>119</v>
      </c>
      <c r="K1427" t="s">
        <v>190</v>
      </c>
      <c r="L1427" t="s">
        <v>18</v>
      </c>
      <c r="M1427" t="s">
        <v>2656</v>
      </c>
      <c r="N1427" s="6" t="s">
        <v>4463</v>
      </c>
      <c r="O1427" t="s">
        <v>3331</v>
      </c>
      <c r="P1427" t="s">
        <v>1150</v>
      </c>
      <c r="Q1427" t="s">
        <v>4464</v>
      </c>
      <c r="R1427" t="s">
        <v>4471</v>
      </c>
      <c r="S1427">
        <v>2024</v>
      </c>
      <c r="T1427" t="s">
        <v>3959</v>
      </c>
      <c r="U1427" t="s">
        <v>4374</v>
      </c>
      <c r="V1427"/>
      <c r="Z1427">
        <v>0.255</v>
      </c>
      <c r="AH1427" t="s">
        <v>4391</v>
      </c>
      <c r="AI1427" t="s">
        <v>4466</v>
      </c>
      <c r="AM1427" t="s">
        <v>4467</v>
      </c>
      <c r="AN1427" t="s">
        <v>132</v>
      </c>
      <c r="CC1427">
        <v>9588</v>
      </c>
      <c r="CE142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27" s="19">
        <f>SUM(Table1[[#This Row],[Mid39]],Table1[[#This Row],[Mid36]],Table1[[#This Row],[Mid33]],Table1[[#This Row],[Mid30]],Table1[[#This Row],[Mid27]],Table1[[#This Row],[Mid24]],Table1[[#This Row],[Mid21]],Table1[[#This Row],[Mid18]],Table1[[#This Row],[Mid15]],Table1[[#This Row],[Mid12]],Table1[[#This Row],[Mid9]],Table1[[#This Row],[Mid6]],Table1[[#This Row],[Mid3]],Table1[[#This Row],[Mid]])</f>
        <v>9588</v>
      </c>
      <c r="CG14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27" s="35" t="s">
        <v>189</v>
      </c>
      <c r="CJ1427" t="s">
        <v>158</v>
      </c>
      <c r="CL1427" s="19">
        <v>0</v>
      </c>
      <c r="CM1427" t="s">
        <v>158</v>
      </c>
      <c r="CN1427" s="19">
        <f>Table1[[#This Row],[Mid]]</f>
        <v>0</v>
      </c>
      <c r="CO1427" s="19">
        <f>Table1[[#This Row],[Mid3]]+Table1[[#This Row],[Mid6]]+Table1[[#This Row],[Mid9]]</f>
        <v>0</v>
      </c>
      <c r="CP1427" s="19">
        <f>Table1[[#This Row],[Mid12]]+Table1[[#This Row],[Mid15]]+Table1[[#This Row],[Mid18]]+Table1[[#This Row],[Mid21]]+Table1[[#This Row],[Mid24]]</f>
        <v>0</v>
      </c>
      <c r="CQ1427" s="19">
        <f>Table1[[#This Row],[Mid27]]+Table1[[#This Row],[Mid30]]+Table1[[#This Row],[Mid33]]+Table1[[#This Row],[Mid36]]+Table1[[#This Row],[Mid39]]</f>
        <v>9588</v>
      </c>
      <c r="CR1427" t="s">
        <v>439</v>
      </c>
      <c r="CS1427" s="19" t="str">
        <f>IF(AND(Table1[[#This Row],[Low41]]=0, Table1[[#This Row],[High43]]=0),"N","Y")</f>
        <v>N</v>
      </c>
    </row>
    <row r="1428" spans="1:97" ht="19.5" customHeight="1" x14ac:dyDescent="0.25">
      <c r="A1428">
        <v>11430</v>
      </c>
      <c r="B1428" t="s">
        <v>4458</v>
      </c>
      <c r="C1428" t="s">
        <v>4478</v>
      </c>
      <c r="D1428">
        <v>44.119</v>
      </c>
      <c r="E1428">
        <v>57.179000000000002</v>
      </c>
      <c r="F1428" t="s">
        <v>4479</v>
      </c>
      <c r="G1428" t="s">
        <v>2281</v>
      </c>
      <c r="H1428" t="s">
        <v>167</v>
      </c>
      <c r="I1428" t="s">
        <v>118</v>
      </c>
      <c r="J1428" t="s">
        <v>119</v>
      </c>
      <c r="K1428" t="s">
        <v>190</v>
      </c>
      <c r="L1428" t="s">
        <v>18</v>
      </c>
      <c r="M1428" t="s">
        <v>2656</v>
      </c>
      <c r="N1428" s="6" t="s">
        <v>4463</v>
      </c>
      <c r="O1428" t="s">
        <v>3331</v>
      </c>
      <c r="P1428" t="s">
        <v>1150</v>
      </c>
      <c r="Q1428" t="s">
        <v>4464</v>
      </c>
      <c r="R1428" t="s">
        <v>4471</v>
      </c>
      <c r="S1428">
        <v>2024</v>
      </c>
      <c r="T1428" t="s">
        <v>3959</v>
      </c>
      <c r="U1428" t="s">
        <v>4374</v>
      </c>
      <c r="V1428"/>
      <c r="Z1428">
        <v>0.11</v>
      </c>
      <c r="AH1428" t="s">
        <v>4391</v>
      </c>
      <c r="AI1428" t="s">
        <v>4466</v>
      </c>
      <c r="AM1428" t="s">
        <v>4467</v>
      </c>
      <c r="AN1428" t="s">
        <v>132</v>
      </c>
      <c r="CC1428">
        <v>14025</v>
      </c>
      <c r="CE142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28" s="19">
        <f>SUM(Table1[[#This Row],[Mid39]],Table1[[#This Row],[Mid36]],Table1[[#This Row],[Mid33]],Table1[[#This Row],[Mid30]],Table1[[#This Row],[Mid27]],Table1[[#This Row],[Mid24]],Table1[[#This Row],[Mid21]],Table1[[#This Row],[Mid18]],Table1[[#This Row],[Mid15]],Table1[[#This Row],[Mid12]],Table1[[#This Row],[Mid9]],Table1[[#This Row],[Mid6]],Table1[[#This Row],[Mid3]],Table1[[#This Row],[Mid]])</f>
        <v>14025</v>
      </c>
      <c r="CG14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28" s="35" t="s">
        <v>189</v>
      </c>
      <c r="CJ1428" t="s">
        <v>158</v>
      </c>
      <c r="CL1428" s="19">
        <v>0</v>
      </c>
      <c r="CM1428" t="s">
        <v>158</v>
      </c>
      <c r="CN1428" s="19">
        <f>Table1[[#This Row],[Mid]]</f>
        <v>0</v>
      </c>
      <c r="CO1428" s="19">
        <f>Table1[[#This Row],[Mid3]]+Table1[[#This Row],[Mid6]]+Table1[[#This Row],[Mid9]]</f>
        <v>0</v>
      </c>
      <c r="CP1428" s="19">
        <f>Table1[[#This Row],[Mid12]]+Table1[[#This Row],[Mid15]]+Table1[[#This Row],[Mid18]]+Table1[[#This Row],[Mid21]]+Table1[[#This Row],[Mid24]]</f>
        <v>0</v>
      </c>
      <c r="CQ1428" s="19">
        <f>Table1[[#This Row],[Mid27]]+Table1[[#This Row],[Mid30]]+Table1[[#This Row],[Mid33]]+Table1[[#This Row],[Mid36]]+Table1[[#This Row],[Mid39]]</f>
        <v>14025</v>
      </c>
      <c r="CR1428" t="s">
        <v>439</v>
      </c>
      <c r="CS1428" s="19" t="str">
        <f>IF(AND(Table1[[#This Row],[Low41]]=0, Table1[[#This Row],[High43]]=0),"N","Y")</f>
        <v>N</v>
      </c>
    </row>
    <row r="1429" spans="1:97" ht="19.5" customHeight="1" x14ac:dyDescent="0.25">
      <c r="A1429">
        <v>11431</v>
      </c>
      <c r="B1429" t="s">
        <v>4458</v>
      </c>
      <c r="C1429" t="s">
        <v>4480</v>
      </c>
      <c r="D1429">
        <v>42.357999999999997</v>
      </c>
      <c r="E1429">
        <v>56.613999999999997</v>
      </c>
      <c r="F1429" t="s">
        <v>4481</v>
      </c>
      <c r="G1429" t="s">
        <v>2270</v>
      </c>
      <c r="H1429" t="s">
        <v>167</v>
      </c>
      <c r="I1429" t="s">
        <v>118</v>
      </c>
      <c r="J1429" t="s">
        <v>119</v>
      </c>
      <c r="K1429" t="s">
        <v>190</v>
      </c>
      <c r="L1429" t="s">
        <v>18</v>
      </c>
      <c r="M1429" t="s">
        <v>392</v>
      </c>
      <c r="N1429" s="6" t="s">
        <v>4463</v>
      </c>
      <c r="O1429" t="s">
        <v>3331</v>
      </c>
      <c r="P1429" t="s">
        <v>1150</v>
      </c>
      <c r="Q1429" t="s">
        <v>4464</v>
      </c>
      <c r="R1429" t="s">
        <v>4471</v>
      </c>
      <c r="S1429">
        <v>2024</v>
      </c>
      <c r="T1429" t="s">
        <v>3959</v>
      </c>
      <c r="U1429" t="s">
        <v>4374</v>
      </c>
      <c r="V1429"/>
      <c r="Z1429">
        <v>0.11799999999999999</v>
      </c>
      <c r="AH1429" t="s">
        <v>4391</v>
      </c>
      <c r="AI1429" t="s">
        <v>4482</v>
      </c>
      <c r="AM1429" t="s">
        <v>4467</v>
      </c>
      <c r="AN1429" t="s">
        <v>132</v>
      </c>
      <c r="CC1429">
        <v>1963.52</v>
      </c>
      <c r="CE142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29" s="19">
        <f>SUM(Table1[[#This Row],[Mid39]],Table1[[#This Row],[Mid36]],Table1[[#This Row],[Mid33]],Table1[[#This Row],[Mid30]],Table1[[#This Row],[Mid27]],Table1[[#This Row],[Mid24]],Table1[[#This Row],[Mid21]],Table1[[#This Row],[Mid18]],Table1[[#This Row],[Mid15]],Table1[[#This Row],[Mid12]],Table1[[#This Row],[Mid9]],Table1[[#This Row],[Mid6]],Table1[[#This Row],[Mid3]],Table1[[#This Row],[Mid]])</f>
        <v>1963.52</v>
      </c>
      <c r="CG14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29" s="35" t="s">
        <v>189</v>
      </c>
      <c r="CJ1429" t="s">
        <v>158</v>
      </c>
      <c r="CL1429" s="19">
        <v>0</v>
      </c>
      <c r="CM1429" t="s">
        <v>158</v>
      </c>
      <c r="CN1429" s="19">
        <f>Table1[[#This Row],[Mid]]</f>
        <v>0</v>
      </c>
      <c r="CO1429" s="19">
        <f>Table1[[#This Row],[Mid3]]+Table1[[#This Row],[Mid6]]+Table1[[#This Row],[Mid9]]</f>
        <v>0</v>
      </c>
      <c r="CP1429" s="19">
        <f>Table1[[#This Row],[Mid12]]+Table1[[#This Row],[Mid15]]+Table1[[#This Row],[Mid18]]+Table1[[#This Row],[Mid21]]+Table1[[#This Row],[Mid24]]</f>
        <v>0</v>
      </c>
      <c r="CQ1429" s="19">
        <f>Table1[[#This Row],[Mid27]]+Table1[[#This Row],[Mid30]]+Table1[[#This Row],[Mid33]]+Table1[[#This Row],[Mid36]]+Table1[[#This Row],[Mid39]]</f>
        <v>1963.52</v>
      </c>
      <c r="CR1429" t="s">
        <v>439</v>
      </c>
      <c r="CS1429" s="19" t="str">
        <f>IF(AND(Table1[[#This Row],[Low41]]=0, Table1[[#This Row],[High43]]=0),"N","Y")</f>
        <v>N</v>
      </c>
    </row>
    <row r="1430" spans="1:97" ht="19.5" customHeight="1" x14ac:dyDescent="0.25">
      <c r="A1430">
        <v>11432</v>
      </c>
      <c r="B1430" t="s">
        <v>4483</v>
      </c>
      <c r="C1430" t="s">
        <v>4484</v>
      </c>
      <c r="D1430">
        <v>15.425000000000001</v>
      </c>
      <c r="E1430">
        <v>48.762999999999998</v>
      </c>
      <c r="F1430" t="s">
        <v>4485</v>
      </c>
      <c r="G1430" t="s">
        <v>4486</v>
      </c>
      <c r="H1430" t="s">
        <v>4487</v>
      </c>
      <c r="I1430" t="s">
        <v>582</v>
      </c>
      <c r="J1430" t="s">
        <v>202</v>
      </c>
      <c r="K1430" t="s">
        <v>203</v>
      </c>
      <c r="L1430" t="s">
        <v>121</v>
      </c>
      <c r="M1430" t="s">
        <v>4488</v>
      </c>
      <c r="N1430" s="6" t="s">
        <v>4489</v>
      </c>
      <c r="O1430" t="s">
        <v>3331</v>
      </c>
      <c r="P1430" t="s">
        <v>1150</v>
      </c>
      <c r="Q1430" t="s">
        <v>4490</v>
      </c>
      <c r="R1430" t="s">
        <v>4491</v>
      </c>
      <c r="S1430">
        <v>2021</v>
      </c>
      <c r="T1430" t="s">
        <v>3959</v>
      </c>
      <c r="U1430" t="s">
        <v>4374</v>
      </c>
      <c r="V1430"/>
      <c r="X1430">
        <v>6.9</v>
      </c>
      <c r="Z1430">
        <v>22</v>
      </c>
      <c r="AA1430">
        <v>800</v>
      </c>
      <c r="AD1430">
        <v>27</v>
      </c>
      <c r="AH1430" t="s">
        <v>4375</v>
      </c>
      <c r="AN1430" t="s">
        <v>132</v>
      </c>
      <c r="BM1430">
        <v>4.95</v>
      </c>
      <c r="BN1430">
        <v>15.64</v>
      </c>
      <c r="BO1430">
        <v>17.52</v>
      </c>
      <c r="CE1430" s="19">
        <f>SUM(Table1[[#This Row],[Low38]],Table1[[#This Row],[Low35]],Table1[[#This Row],[Low32]],Table1[[#This Row],[Low29]],Table1[[#This Row],[Low26]],Table1[[#This Row],[Low23]],Table1[[#This Row],[Low20]],Table1[[#This Row],[Low17]],Table1[[#This Row],[Low14]],Table1[[#This Row],[Low11]],Table1[[#This Row],[Low8]],Table1[[#This Row],[Low5]],Table1[[#This Row],[Low2]],Table1[[#This Row],[Low]])</f>
        <v>4.95</v>
      </c>
      <c r="CF1430" s="19">
        <f>SUM(Table1[[#This Row],[Mid39]],Table1[[#This Row],[Mid36]],Table1[[#This Row],[Mid33]],Table1[[#This Row],[Mid30]],Table1[[#This Row],[Mid27]],Table1[[#This Row],[Mid24]],Table1[[#This Row],[Mid21]],Table1[[#This Row],[Mid18]],Table1[[#This Row],[Mid15]],Table1[[#This Row],[Mid12]],Table1[[#This Row],[Mid9]],Table1[[#This Row],[Mid6]],Table1[[#This Row],[Mid3]],Table1[[#This Row],[Mid]])</f>
        <v>15.64</v>
      </c>
      <c r="CG14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17.52</v>
      </c>
      <c r="CI1430" s="35" t="s">
        <v>4492</v>
      </c>
      <c r="CJ1430" t="s">
        <v>158</v>
      </c>
      <c r="CL1430" s="19">
        <v>1</v>
      </c>
      <c r="CM1430" t="s">
        <v>158</v>
      </c>
      <c r="CN1430" s="19">
        <f>Table1[[#This Row],[Mid]]</f>
        <v>0</v>
      </c>
      <c r="CO1430" s="19">
        <f>Table1[[#This Row],[Mid3]]+Table1[[#This Row],[Mid6]]+Table1[[#This Row],[Mid9]]</f>
        <v>0</v>
      </c>
      <c r="CP1430" s="19">
        <f>Table1[[#This Row],[Mid12]]+Table1[[#This Row],[Mid15]]+Table1[[#This Row],[Mid18]]+Table1[[#This Row],[Mid21]]+Table1[[#This Row],[Mid24]]</f>
        <v>15.64</v>
      </c>
      <c r="CQ1430" s="19">
        <f>Table1[[#This Row],[Mid27]]+Table1[[#This Row],[Mid30]]+Table1[[#This Row],[Mid33]]+Table1[[#This Row],[Mid36]]+Table1[[#This Row],[Mid39]]</f>
        <v>0</v>
      </c>
      <c r="CR1430" t="s">
        <v>2308</v>
      </c>
      <c r="CS1430" s="19" t="str">
        <f>IF(AND(Table1[[#This Row],[Low41]]=0, Table1[[#This Row],[High43]]=0),"N","Y")</f>
        <v>Y</v>
      </c>
    </row>
    <row r="1431" spans="1:97" ht="19.5" customHeight="1" x14ac:dyDescent="0.25">
      <c r="A1431">
        <v>11433</v>
      </c>
      <c r="B1431" t="s">
        <v>4493</v>
      </c>
      <c r="C1431" t="s">
        <v>4494</v>
      </c>
      <c r="D1431">
        <v>-10.988899999999999</v>
      </c>
      <c r="E1431">
        <v>126.62860000000001</v>
      </c>
      <c r="F1431" t="s">
        <v>4495</v>
      </c>
      <c r="G1431" t="s">
        <v>116</v>
      </c>
      <c r="H1431" t="s">
        <v>167</v>
      </c>
      <c r="I1431" t="s">
        <v>1485</v>
      </c>
      <c r="J1431" t="s">
        <v>202</v>
      </c>
      <c r="K1431" t="s">
        <v>203</v>
      </c>
      <c r="L1431" t="s">
        <v>121</v>
      </c>
      <c r="M1431" t="s">
        <v>139</v>
      </c>
      <c r="N1431" s="6" t="s">
        <v>4496</v>
      </c>
      <c r="O1431" t="s">
        <v>1150</v>
      </c>
      <c r="P1431" t="s">
        <v>4497</v>
      </c>
      <c r="Q1431" t="s">
        <v>4498</v>
      </c>
      <c r="R1431" t="s">
        <v>4499</v>
      </c>
      <c r="S1431">
        <v>2021</v>
      </c>
      <c r="T1431" t="s">
        <v>3959</v>
      </c>
      <c r="U1431" t="s">
        <v>4374</v>
      </c>
      <c r="V1431"/>
      <c r="AD1431">
        <v>2</v>
      </c>
      <c r="AH1431" t="s">
        <v>4391</v>
      </c>
      <c r="AN1431" t="s">
        <v>132</v>
      </c>
      <c r="BH1431">
        <v>250</v>
      </c>
      <c r="CE14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31" s="19">
        <f>SUM(Table1[[#This Row],[Mid39]],Table1[[#This Row],[Mid36]],Table1[[#This Row],[Mid33]],Table1[[#This Row],[Mid30]],Table1[[#This Row],[Mid27]],Table1[[#This Row],[Mid24]],Table1[[#This Row],[Mid21]],Table1[[#This Row],[Mid18]],Table1[[#This Row],[Mid15]],Table1[[#This Row],[Mid12]],Table1[[#This Row],[Mid9]],Table1[[#This Row],[Mid6]],Table1[[#This Row],[Mid3]],Table1[[#This Row],[Mid]])</f>
        <v>250</v>
      </c>
      <c r="CG14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31" s="35" t="s">
        <v>4492</v>
      </c>
      <c r="CJ1431" t="s">
        <v>158</v>
      </c>
      <c r="CL1431" s="19">
        <v>1</v>
      </c>
      <c r="CM1431" t="s">
        <v>158</v>
      </c>
      <c r="CN1431" s="19">
        <v>0</v>
      </c>
      <c r="CO1431" s="19">
        <v>0</v>
      </c>
      <c r="CP1431" s="19">
        <v>250</v>
      </c>
      <c r="CQ1431" s="19">
        <v>0</v>
      </c>
      <c r="CR1431" t="s">
        <v>439</v>
      </c>
      <c r="CS1431" s="19" t="str">
        <f>IF(AND(Table1[[#This Row],[Low41]]=0, Table1[[#This Row],[High43]]=0),"N","Y")</f>
        <v>N</v>
      </c>
    </row>
    <row r="1432" spans="1:97" ht="19.5" customHeight="1" x14ac:dyDescent="0.25">
      <c r="A1432">
        <v>11434</v>
      </c>
      <c r="B1432" t="s">
        <v>4500</v>
      </c>
      <c r="D1432">
        <v>27.571990710000001</v>
      </c>
      <c r="E1432">
        <v>90.38562684</v>
      </c>
      <c r="Q1432"/>
      <c r="R1432" t="s">
        <v>4501</v>
      </c>
      <c r="T1432" t="s">
        <v>3959</v>
      </c>
      <c r="U1432" t="s">
        <v>4221</v>
      </c>
      <c r="V1432"/>
      <c r="AN1432" t="s">
        <v>132</v>
      </c>
      <c r="CE143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3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32" s="35"/>
      <c r="CL1432" s="19">
        <f>IF(Table1[[#This Row],[Type]]="Petroleum",1,IF(ISERROR(Table1[[#This Row],[Well Density]]*Table1[[#This Row],[Single Well Discovery Area]]),"",IF(Table1[[#This Row],[Well Density]]*Table1[[#This Row],[Single Well Discovery Area]]&gt;1,1,Table1[[#This Row],[Well Density]]*Table1[[#This Row],[Single Well Discovery Area]])))</f>
        <v>0</v>
      </c>
      <c r="CM1432" t="s">
        <v>158</v>
      </c>
      <c r="CN1432" s="19">
        <f>Table1[[#This Row],[Mid]]</f>
        <v>0</v>
      </c>
      <c r="CO1432" s="19">
        <f>Table1[[#This Row],[Mid3]]+Table1[[#This Row],[Mid6]]+Table1[[#This Row],[Mid9]]</f>
        <v>0</v>
      </c>
      <c r="CP1432" s="19">
        <f>Table1[[#This Row],[Mid12]]+Table1[[#This Row],[Mid15]]+Table1[[#This Row],[Mid18]]+Table1[[#This Row],[Mid21]]+Table1[[#This Row],[Mid24]]</f>
        <v>0</v>
      </c>
      <c r="CQ1432" s="19">
        <f>Table1[[#This Row],[Mid27]]+Table1[[#This Row],[Mid30]]+Table1[[#This Row],[Mid33]]+Table1[[#This Row],[Mid36]]+Table1[[#This Row],[Mid39]]</f>
        <v>0</v>
      </c>
      <c r="CR1432" t="s">
        <v>439</v>
      </c>
      <c r="CS1432" s="19" t="str">
        <f>IF(AND(Table1[[#This Row],[Low41]]=0, Table1[[#This Row],[High43]]=0),"N","Y")</f>
        <v>N</v>
      </c>
    </row>
    <row r="1433" spans="1:97" ht="19.5" customHeight="1" x14ac:dyDescent="0.25">
      <c r="A1433">
        <v>11435</v>
      </c>
      <c r="B1433" t="s">
        <v>4502</v>
      </c>
      <c r="D1433">
        <v>41.160100980000003</v>
      </c>
      <c r="E1433">
        <v>73.764866679999997</v>
      </c>
      <c r="Q1433"/>
      <c r="R1433" t="s">
        <v>4501</v>
      </c>
      <c r="T1433" t="s">
        <v>3959</v>
      </c>
      <c r="U1433" t="s">
        <v>4221</v>
      </c>
      <c r="V1433"/>
      <c r="AN1433" t="s">
        <v>132</v>
      </c>
      <c r="CE143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33"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33" s="35"/>
      <c r="CL1433" s="19">
        <f>IF(Table1[[#This Row],[Type]]="Petroleum",1,IF(ISERROR(Table1[[#This Row],[Well Density]]*Table1[[#This Row],[Single Well Discovery Area]]),"",IF(Table1[[#This Row],[Well Density]]*Table1[[#This Row],[Single Well Discovery Area]]&gt;1,1,Table1[[#This Row],[Well Density]]*Table1[[#This Row],[Single Well Discovery Area]])))</f>
        <v>0</v>
      </c>
      <c r="CM1433" t="s">
        <v>158</v>
      </c>
      <c r="CN1433" s="19">
        <f>Table1[[#This Row],[Mid]]</f>
        <v>0</v>
      </c>
      <c r="CO1433" s="19">
        <f>Table1[[#This Row],[Mid3]]+Table1[[#This Row],[Mid6]]+Table1[[#This Row],[Mid9]]</f>
        <v>0</v>
      </c>
      <c r="CP1433" s="19">
        <f>Table1[[#This Row],[Mid12]]+Table1[[#This Row],[Mid15]]+Table1[[#This Row],[Mid18]]+Table1[[#This Row],[Mid21]]+Table1[[#This Row],[Mid24]]</f>
        <v>0</v>
      </c>
      <c r="CQ1433" s="19">
        <f>Table1[[#This Row],[Mid27]]+Table1[[#This Row],[Mid30]]+Table1[[#This Row],[Mid33]]+Table1[[#This Row],[Mid36]]+Table1[[#This Row],[Mid39]]</f>
        <v>0</v>
      </c>
      <c r="CR1433" t="s">
        <v>439</v>
      </c>
      <c r="CS1433" s="19" t="str">
        <f>IF(AND(Table1[[#This Row],[Low41]]=0, Table1[[#This Row],[High43]]=0),"N","Y")</f>
        <v>N</v>
      </c>
    </row>
    <row r="1434" spans="1:97" ht="19.5" customHeight="1" x14ac:dyDescent="0.25">
      <c r="A1434">
        <v>11436</v>
      </c>
      <c r="B1434" t="s">
        <v>4503</v>
      </c>
      <c r="D1434">
        <v>18.297641290000001</v>
      </c>
      <c r="E1434">
        <v>103.77144490000001</v>
      </c>
      <c r="Q1434"/>
      <c r="R1434" t="s">
        <v>4501</v>
      </c>
      <c r="T1434" t="s">
        <v>3959</v>
      </c>
      <c r="U1434" t="s">
        <v>4221</v>
      </c>
      <c r="V1434"/>
      <c r="AN1434" t="s">
        <v>132</v>
      </c>
      <c r="CE143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3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34" s="35"/>
      <c r="CL1434" s="19">
        <f>IF(Table1[[#This Row],[Type]]="Petroleum",1,IF(ISERROR(Table1[[#This Row],[Well Density]]*Table1[[#This Row],[Single Well Discovery Area]]),"",IF(Table1[[#This Row],[Well Density]]*Table1[[#This Row],[Single Well Discovery Area]]&gt;1,1,Table1[[#This Row],[Well Density]]*Table1[[#This Row],[Single Well Discovery Area]])))</f>
        <v>0</v>
      </c>
      <c r="CM1434" t="s">
        <v>158</v>
      </c>
      <c r="CN1434" s="19">
        <f>Table1[[#This Row],[Mid]]</f>
        <v>0</v>
      </c>
      <c r="CO1434" s="19">
        <f>Table1[[#This Row],[Mid3]]+Table1[[#This Row],[Mid6]]+Table1[[#This Row],[Mid9]]</f>
        <v>0</v>
      </c>
      <c r="CP1434" s="19">
        <f>Table1[[#This Row],[Mid12]]+Table1[[#This Row],[Mid15]]+Table1[[#This Row],[Mid18]]+Table1[[#This Row],[Mid21]]+Table1[[#This Row],[Mid24]]</f>
        <v>0</v>
      </c>
      <c r="CQ1434" s="19">
        <f>Table1[[#This Row],[Mid27]]+Table1[[#This Row],[Mid30]]+Table1[[#This Row],[Mid33]]+Table1[[#This Row],[Mid36]]+Table1[[#This Row],[Mid39]]</f>
        <v>0</v>
      </c>
      <c r="CR1434" t="s">
        <v>439</v>
      </c>
      <c r="CS1434" s="19" t="str">
        <f>IF(AND(Table1[[#This Row],[Low41]]=0, Table1[[#This Row],[High43]]=0),"N","Y")</f>
        <v>N</v>
      </c>
    </row>
    <row r="1435" spans="1:97" ht="19.5" customHeight="1" x14ac:dyDescent="0.25">
      <c r="A1435">
        <v>11437</v>
      </c>
      <c r="B1435" t="s">
        <v>4504</v>
      </c>
      <c r="D1435">
        <v>38.601903440000001</v>
      </c>
      <c r="E1435">
        <v>70.995658550000002</v>
      </c>
      <c r="Q1435"/>
      <c r="R1435" t="s">
        <v>4501</v>
      </c>
      <c r="T1435" t="s">
        <v>3959</v>
      </c>
      <c r="U1435" t="s">
        <v>4221</v>
      </c>
      <c r="V1435"/>
      <c r="AN1435" t="s">
        <v>132</v>
      </c>
      <c r="CE143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3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35" s="35"/>
      <c r="CL1435" s="19">
        <f>IF(Table1[[#This Row],[Type]]="Petroleum",1,IF(ISERROR(Table1[[#This Row],[Well Density]]*Table1[[#This Row],[Single Well Discovery Area]]),"",IF(Table1[[#This Row],[Well Density]]*Table1[[#This Row],[Single Well Discovery Area]]&gt;1,1,Table1[[#This Row],[Well Density]]*Table1[[#This Row],[Single Well Discovery Area]])))</f>
        <v>0</v>
      </c>
      <c r="CM1435" t="s">
        <v>158</v>
      </c>
      <c r="CN1435" s="19">
        <f>Table1[[#This Row],[Mid]]</f>
        <v>0</v>
      </c>
      <c r="CO1435" s="19">
        <f>Table1[[#This Row],[Mid3]]+Table1[[#This Row],[Mid6]]+Table1[[#This Row],[Mid9]]</f>
        <v>0</v>
      </c>
      <c r="CP1435" s="19">
        <f>Table1[[#This Row],[Mid12]]+Table1[[#This Row],[Mid15]]+Table1[[#This Row],[Mid18]]+Table1[[#This Row],[Mid21]]+Table1[[#This Row],[Mid24]]</f>
        <v>0</v>
      </c>
      <c r="CQ1435" s="19">
        <f>Table1[[#This Row],[Mid27]]+Table1[[#This Row],[Mid30]]+Table1[[#This Row],[Mid33]]+Table1[[#This Row],[Mid36]]+Table1[[#This Row],[Mid39]]</f>
        <v>0</v>
      </c>
      <c r="CR1435" t="s">
        <v>439</v>
      </c>
      <c r="CS1435" s="19" t="str">
        <f>IF(AND(Table1[[#This Row],[Low41]]=0, Table1[[#This Row],[High43]]=0),"N","Y")</f>
        <v>N</v>
      </c>
    </row>
    <row r="1436" spans="1:97" ht="19.5" customHeight="1" x14ac:dyDescent="0.25">
      <c r="A1436">
        <v>11438</v>
      </c>
      <c r="B1436" t="s">
        <v>4505</v>
      </c>
      <c r="D1436">
        <v>39.488231560000003</v>
      </c>
      <c r="E1436">
        <v>56.294653539999999</v>
      </c>
      <c r="Q1436"/>
      <c r="R1436" t="s">
        <v>4501</v>
      </c>
      <c r="T1436" t="s">
        <v>3959</v>
      </c>
      <c r="U1436" t="s">
        <v>4221</v>
      </c>
      <c r="V1436"/>
      <c r="AN1436" t="s">
        <v>132</v>
      </c>
      <c r="CE14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3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36" s="35"/>
      <c r="CL1436" s="19">
        <f>IF(Table1[[#This Row],[Type]]="Petroleum",1,IF(ISERROR(Table1[[#This Row],[Well Density]]*Table1[[#This Row],[Single Well Discovery Area]]),"",IF(Table1[[#This Row],[Well Density]]*Table1[[#This Row],[Single Well Discovery Area]]&gt;1,1,Table1[[#This Row],[Well Density]]*Table1[[#This Row],[Single Well Discovery Area]])))</f>
        <v>0</v>
      </c>
      <c r="CM1436" t="s">
        <v>158</v>
      </c>
      <c r="CN1436" s="19">
        <f>Table1[[#This Row],[Mid]]</f>
        <v>0</v>
      </c>
      <c r="CO1436" s="19">
        <f>Table1[[#This Row],[Mid3]]+Table1[[#This Row],[Mid6]]+Table1[[#This Row],[Mid9]]</f>
        <v>0</v>
      </c>
      <c r="CP1436" s="19">
        <f>Table1[[#This Row],[Mid12]]+Table1[[#This Row],[Mid15]]+Table1[[#This Row],[Mid18]]+Table1[[#This Row],[Mid21]]+Table1[[#This Row],[Mid24]]</f>
        <v>0</v>
      </c>
      <c r="CQ1436" s="19">
        <f>Table1[[#This Row],[Mid27]]+Table1[[#This Row],[Mid30]]+Table1[[#This Row],[Mid33]]+Table1[[#This Row],[Mid36]]+Table1[[#This Row],[Mid39]]</f>
        <v>0</v>
      </c>
      <c r="CR1436" t="s">
        <v>439</v>
      </c>
      <c r="CS1436" s="19" t="str">
        <f>IF(AND(Table1[[#This Row],[Low41]]=0, Table1[[#This Row],[High43]]=0),"N","Y")</f>
        <v>N</v>
      </c>
    </row>
    <row r="1437" spans="1:97" ht="19.5" customHeight="1" x14ac:dyDescent="0.25">
      <c r="A1437">
        <v>11439</v>
      </c>
      <c r="B1437" t="s">
        <v>4506</v>
      </c>
      <c r="D1437">
        <v>-18.297000000000001</v>
      </c>
      <c r="E1437">
        <v>177.89500000000001</v>
      </c>
      <c r="Q1437"/>
      <c r="R1437" t="s">
        <v>4501</v>
      </c>
      <c r="T1437" t="s">
        <v>3959</v>
      </c>
      <c r="U1437" t="s">
        <v>4221</v>
      </c>
      <c r="V1437"/>
      <c r="AN1437" t="s">
        <v>132</v>
      </c>
      <c r="CE143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3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37" s="35"/>
      <c r="CL1437" s="19">
        <f>IF(Table1[[#This Row],[Type]]="Petroleum",1,IF(ISERROR(Table1[[#This Row],[Well Density]]*Table1[[#This Row],[Single Well Discovery Area]]),"",IF(Table1[[#This Row],[Well Density]]*Table1[[#This Row],[Single Well Discovery Area]]&gt;1,1,Table1[[#This Row],[Well Density]]*Table1[[#This Row],[Single Well Discovery Area]])))</f>
        <v>0</v>
      </c>
      <c r="CM1437" t="s">
        <v>158</v>
      </c>
      <c r="CN1437" s="19">
        <f>Table1[[#This Row],[Mid]]</f>
        <v>0</v>
      </c>
      <c r="CO1437" s="19">
        <f>Table1[[#This Row],[Mid3]]+Table1[[#This Row],[Mid6]]+Table1[[#This Row],[Mid9]]</f>
        <v>0</v>
      </c>
      <c r="CP1437" s="19">
        <f>Table1[[#This Row],[Mid12]]+Table1[[#This Row],[Mid15]]+Table1[[#This Row],[Mid18]]+Table1[[#This Row],[Mid21]]+Table1[[#This Row],[Mid24]]</f>
        <v>0</v>
      </c>
      <c r="CQ1437" s="19">
        <f>Table1[[#This Row],[Mid27]]+Table1[[#This Row],[Mid30]]+Table1[[#This Row],[Mid33]]+Table1[[#This Row],[Mid36]]+Table1[[#This Row],[Mid39]]</f>
        <v>0</v>
      </c>
      <c r="CR1437" t="s">
        <v>136</v>
      </c>
      <c r="CS1437" s="19" t="str">
        <f>IF(AND(Table1[[#This Row],[Low41]]=0, Table1[[#This Row],[High43]]=0),"N","Y")</f>
        <v>N</v>
      </c>
    </row>
    <row r="1438" spans="1:97" ht="19.5" customHeight="1" x14ac:dyDescent="0.25">
      <c r="A1438">
        <v>11440</v>
      </c>
      <c r="B1438" t="s">
        <v>4507</v>
      </c>
      <c r="D1438">
        <v>0.13500000000000001</v>
      </c>
      <c r="E1438">
        <v>173.858</v>
      </c>
      <c r="Q1438"/>
      <c r="R1438" t="s">
        <v>4501</v>
      </c>
      <c r="T1438" t="s">
        <v>3959</v>
      </c>
      <c r="U1438" t="s">
        <v>4221</v>
      </c>
      <c r="V1438"/>
      <c r="AN1438" t="s">
        <v>132</v>
      </c>
      <c r="CE143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38"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38" s="35"/>
      <c r="CL1438" s="19">
        <f>IF(Table1[[#This Row],[Type]]="Petroleum",1,IF(ISERROR(Table1[[#This Row],[Well Density]]*Table1[[#This Row],[Single Well Discovery Area]]),"",IF(Table1[[#This Row],[Well Density]]*Table1[[#This Row],[Single Well Discovery Area]]&gt;1,1,Table1[[#This Row],[Well Density]]*Table1[[#This Row],[Single Well Discovery Area]])))</f>
        <v>0</v>
      </c>
      <c r="CM1438" t="s">
        <v>158</v>
      </c>
      <c r="CN1438" s="19">
        <f>Table1[[#This Row],[Mid]]</f>
        <v>0</v>
      </c>
      <c r="CO1438" s="19">
        <f>Table1[[#This Row],[Mid3]]+Table1[[#This Row],[Mid6]]+Table1[[#This Row],[Mid9]]</f>
        <v>0</v>
      </c>
      <c r="CP1438" s="19">
        <f>Table1[[#This Row],[Mid12]]+Table1[[#This Row],[Mid15]]+Table1[[#This Row],[Mid18]]+Table1[[#This Row],[Mid21]]+Table1[[#This Row],[Mid24]]</f>
        <v>0</v>
      </c>
      <c r="CQ1438" s="19">
        <f>Table1[[#This Row],[Mid27]]+Table1[[#This Row],[Mid30]]+Table1[[#This Row],[Mid33]]+Table1[[#This Row],[Mid36]]+Table1[[#This Row],[Mid39]]</f>
        <v>0</v>
      </c>
      <c r="CR1438" t="s">
        <v>136</v>
      </c>
      <c r="CS1438" s="19" t="str">
        <f>IF(AND(Table1[[#This Row],[Low41]]=0, Table1[[#This Row],[High43]]=0),"N","Y")</f>
        <v>N</v>
      </c>
    </row>
    <row r="1439" spans="1:97" ht="19.5" customHeight="1" x14ac:dyDescent="0.25">
      <c r="A1439">
        <v>11441</v>
      </c>
      <c r="B1439" t="s">
        <v>4508</v>
      </c>
      <c r="D1439">
        <v>8.6429040120000007</v>
      </c>
      <c r="E1439">
        <v>168.8762509</v>
      </c>
      <c r="Q1439"/>
      <c r="R1439" t="s">
        <v>4501</v>
      </c>
      <c r="T1439" t="s">
        <v>3959</v>
      </c>
      <c r="U1439" t="s">
        <v>4221</v>
      </c>
      <c r="V1439"/>
      <c r="AN1439" t="s">
        <v>132</v>
      </c>
      <c r="CE143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3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39" s="35"/>
      <c r="CL1439" s="19">
        <f>IF(Table1[[#This Row],[Type]]="Petroleum",1,IF(ISERROR(Table1[[#This Row],[Well Density]]*Table1[[#This Row],[Single Well Discovery Area]]),"",IF(Table1[[#This Row],[Well Density]]*Table1[[#This Row],[Single Well Discovery Area]]&gt;1,1,Table1[[#This Row],[Well Density]]*Table1[[#This Row],[Single Well Discovery Area]])))</f>
        <v>0</v>
      </c>
      <c r="CM1439" t="s">
        <v>158</v>
      </c>
      <c r="CN1439" s="19">
        <f>Table1[[#This Row],[Mid]]</f>
        <v>0</v>
      </c>
      <c r="CO1439" s="19">
        <f>Table1[[#This Row],[Mid3]]+Table1[[#This Row],[Mid6]]+Table1[[#This Row],[Mid9]]</f>
        <v>0</v>
      </c>
      <c r="CP1439" s="19">
        <f>Table1[[#This Row],[Mid12]]+Table1[[#This Row],[Mid15]]+Table1[[#This Row],[Mid18]]+Table1[[#This Row],[Mid21]]+Table1[[#This Row],[Mid24]]</f>
        <v>0</v>
      </c>
      <c r="CQ1439" s="19">
        <f>Table1[[#This Row],[Mid27]]+Table1[[#This Row],[Mid30]]+Table1[[#This Row],[Mid33]]+Table1[[#This Row],[Mid36]]+Table1[[#This Row],[Mid39]]</f>
        <v>0</v>
      </c>
      <c r="CR1439" t="s">
        <v>136</v>
      </c>
      <c r="CS1439" s="19" t="str">
        <f>IF(AND(Table1[[#This Row],[Low41]]=0, Table1[[#This Row],[High43]]=0),"N","Y")</f>
        <v>N</v>
      </c>
    </row>
    <row r="1440" spans="1:97" ht="19.5" customHeight="1" x14ac:dyDescent="0.25">
      <c r="A1440">
        <v>11442</v>
      </c>
      <c r="B1440" t="s">
        <v>4509</v>
      </c>
      <c r="D1440">
        <v>-0.52782115500000004</v>
      </c>
      <c r="E1440">
        <v>166.93530559999999</v>
      </c>
      <c r="Q1440"/>
      <c r="R1440" t="s">
        <v>4501</v>
      </c>
      <c r="T1440" t="s">
        <v>3959</v>
      </c>
      <c r="U1440" t="s">
        <v>4221</v>
      </c>
      <c r="V1440"/>
      <c r="AN1440" t="s">
        <v>132</v>
      </c>
      <c r="CE144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4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40" s="35"/>
      <c r="CL1440" s="19">
        <f>IF(Table1[[#This Row],[Type]]="Petroleum",1,IF(ISERROR(Table1[[#This Row],[Well Density]]*Table1[[#This Row],[Single Well Discovery Area]]),"",IF(Table1[[#This Row],[Well Density]]*Table1[[#This Row],[Single Well Discovery Area]]&gt;1,1,Table1[[#This Row],[Well Density]]*Table1[[#This Row],[Single Well Discovery Area]])))</f>
        <v>0</v>
      </c>
      <c r="CM1440" t="s">
        <v>158</v>
      </c>
      <c r="CN1440" s="19">
        <f>Table1[[#This Row],[Mid]]</f>
        <v>0</v>
      </c>
      <c r="CO1440" s="19">
        <f>Table1[[#This Row],[Mid3]]+Table1[[#This Row],[Mid6]]+Table1[[#This Row],[Mid9]]</f>
        <v>0</v>
      </c>
      <c r="CP1440" s="19">
        <f>Table1[[#This Row],[Mid12]]+Table1[[#This Row],[Mid15]]+Table1[[#This Row],[Mid18]]+Table1[[#This Row],[Mid21]]+Table1[[#This Row],[Mid24]]</f>
        <v>0</v>
      </c>
      <c r="CQ1440" s="19">
        <f>Table1[[#This Row],[Mid27]]+Table1[[#This Row],[Mid30]]+Table1[[#This Row],[Mid33]]+Table1[[#This Row],[Mid36]]+Table1[[#This Row],[Mid39]]</f>
        <v>0</v>
      </c>
      <c r="CR1440" t="s">
        <v>136</v>
      </c>
      <c r="CS1440" s="19" t="str">
        <f>IF(AND(Table1[[#This Row],[Low41]]=0, Table1[[#This Row],[High43]]=0),"N","Y")</f>
        <v>N</v>
      </c>
    </row>
    <row r="1441" spans="1:97" ht="19.5" customHeight="1" x14ac:dyDescent="0.25">
      <c r="A1441">
        <v>11443</v>
      </c>
      <c r="B1441" t="s">
        <v>4510</v>
      </c>
      <c r="D1441">
        <v>7.208391357</v>
      </c>
      <c r="E1441">
        <v>134.34786489999999</v>
      </c>
      <c r="Q1441"/>
      <c r="R1441" t="s">
        <v>4501</v>
      </c>
      <c r="T1441" t="s">
        <v>3959</v>
      </c>
      <c r="U1441" t="s">
        <v>4221</v>
      </c>
      <c r="V1441"/>
      <c r="AN1441" t="s">
        <v>132</v>
      </c>
      <c r="CE144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4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41" s="35"/>
      <c r="CL1441" s="19">
        <f>IF(Table1[[#This Row],[Type]]="Petroleum",1,IF(ISERROR(Table1[[#This Row],[Well Density]]*Table1[[#This Row],[Single Well Discovery Area]]),"",IF(Table1[[#This Row],[Well Density]]*Table1[[#This Row],[Single Well Discovery Area]]&gt;1,1,Table1[[#This Row],[Well Density]]*Table1[[#This Row],[Single Well Discovery Area]])))</f>
        <v>0</v>
      </c>
      <c r="CM1441" t="s">
        <v>158</v>
      </c>
      <c r="CN1441" s="19">
        <f>Table1[[#This Row],[Mid]]</f>
        <v>0</v>
      </c>
      <c r="CO1441" s="19">
        <f>Table1[[#This Row],[Mid3]]+Table1[[#This Row],[Mid6]]+Table1[[#This Row],[Mid9]]</f>
        <v>0</v>
      </c>
      <c r="CP1441" s="19">
        <f>Table1[[#This Row],[Mid12]]+Table1[[#This Row],[Mid15]]+Table1[[#This Row],[Mid18]]+Table1[[#This Row],[Mid21]]+Table1[[#This Row],[Mid24]]</f>
        <v>0</v>
      </c>
      <c r="CQ1441" s="19">
        <f>Table1[[#This Row],[Mid27]]+Table1[[#This Row],[Mid30]]+Table1[[#This Row],[Mid33]]+Table1[[#This Row],[Mid36]]+Table1[[#This Row],[Mid39]]</f>
        <v>0</v>
      </c>
      <c r="CR1441" t="s">
        <v>136</v>
      </c>
      <c r="CS1441" s="19" t="str">
        <f>IF(AND(Table1[[#This Row],[Low41]]=0, Table1[[#This Row],[High43]]=0),"N","Y")</f>
        <v>N</v>
      </c>
    </row>
    <row r="1442" spans="1:97" ht="19.5" customHeight="1" x14ac:dyDescent="0.25">
      <c r="A1442">
        <v>11444</v>
      </c>
      <c r="B1442" t="s">
        <v>4511</v>
      </c>
      <c r="D1442">
        <v>-8.4779154800000001</v>
      </c>
      <c r="E1442">
        <v>159.03052260000001</v>
      </c>
      <c r="Q1442"/>
      <c r="R1442" t="s">
        <v>4501</v>
      </c>
      <c r="T1442" t="s">
        <v>3959</v>
      </c>
      <c r="U1442" t="s">
        <v>4221</v>
      </c>
      <c r="V1442"/>
      <c r="AN1442" t="s">
        <v>132</v>
      </c>
      <c r="CE14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4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42" s="35"/>
      <c r="CL1442" s="19">
        <f>IF(Table1[[#This Row],[Type]]="Petroleum",1,IF(ISERROR(Table1[[#This Row],[Well Density]]*Table1[[#This Row],[Single Well Discovery Area]]),"",IF(Table1[[#This Row],[Well Density]]*Table1[[#This Row],[Single Well Discovery Area]]&gt;1,1,Table1[[#This Row],[Well Density]]*Table1[[#This Row],[Single Well Discovery Area]])))</f>
        <v>0</v>
      </c>
      <c r="CM1442" t="s">
        <v>158</v>
      </c>
      <c r="CN1442" s="19">
        <f>Table1[[#This Row],[Mid]]</f>
        <v>0</v>
      </c>
      <c r="CO1442" s="19">
        <f>Table1[[#This Row],[Mid3]]+Table1[[#This Row],[Mid6]]+Table1[[#This Row],[Mid9]]</f>
        <v>0</v>
      </c>
      <c r="CP1442" s="19">
        <f>Table1[[#This Row],[Mid12]]+Table1[[#This Row],[Mid15]]+Table1[[#This Row],[Mid18]]+Table1[[#This Row],[Mid21]]+Table1[[#This Row],[Mid24]]</f>
        <v>0</v>
      </c>
      <c r="CQ1442" s="19">
        <f>Table1[[#This Row],[Mid27]]+Table1[[#This Row],[Mid30]]+Table1[[#This Row],[Mid33]]+Table1[[#This Row],[Mid36]]+Table1[[#This Row],[Mid39]]</f>
        <v>0</v>
      </c>
      <c r="CR1442" t="s">
        <v>136</v>
      </c>
      <c r="CS1442" s="19" t="str">
        <f>IF(AND(Table1[[#This Row],[Low41]]=0, Table1[[#This Row],[High43]]=0),"N","Y")</f>
        <v>N</v>
      </c>
    </row>
    <row r="1443" spans="1:97" ht="19.5" customHeight="1" x14ac:dyDescent="0.25">
      <c r="A1443">
        <v>11445</v>
      </c>
      <c r="B1443" t="s">
        <v>4512</v>
      </c>
      <c r="D1443">
        <v>-19.49688596</v>
      </c>
      <c r="E1443">
        <v>-174.48957809999999</v>
      </c>
      <c r="Q1443"/>
      <c r="R1443" t="s">
        <v>4501</v>
      </c>
      <c r="T1443" t="s">
        <v>3959</v>
      </c>
      <c r="U1443" t="s">
        <v>4221</v>
      </c>
      <c r="V1443"/>
      <c r="AN1443" t="s">
        <v>132</v>
      </c>
      <c r="CE144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43"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43" s="35"/>
      <c r="CL1443" s="19">
        <f>IF(Table1[[#This Row],[Type]]="Petroleum",1,IF(ISERROR(Table1[[#This Row],[Well Density]]*Table1[[#This Row],[Single Well Discovery Area]]),"",IF(Table1[[#This Row],[Well Density]]*Table1[[#This Row],[Single Well Discovery Area]]&gt;1,1,Table1[[#This Row],[Well Density]]*Table1[[#This Row],[Single Well Discovery Area]])))</f>
        <v>0</v>
      </c>
      <c r="CM1443" t="s">
        <v>158</v>
      </c>
      <c r="CN1443" s="19">
        <f>Table1[[#This Row],[Mid]]</f>
        <v>0</v>
      </c>
      <c r="CO1443" s="19">
        <f>Table1[[#This Row],[Mid3]]+Table1[[#This Row],[Mid6]]+Table1[[#This Row],[Mid9]]</f>
        <v>0</v>
      </c>
      <c r="CP1443" s="19">
        <f>Table1[[#This Row],[Mid12]]+Table1[[#This Row],[Mid15]]+Table1[[#This Row],[Mid18]]+Table1[[#This Row],[Mid21]]+Table1[[#This Row],[Mid24]]</f>
        <v>0</v>
      </c>
      <c r="CQ1443" s="19">
        <f>Table1[[#This Row],[Mid27]]+Table1[[#This Row],[Mid30]]+Table1[[#This Row],[Mid33]]+Table1[[#This Row],[Mid36]]+Table1[[#This Row],[Mid39]]</f>
        <v>0</v>
      </c>
      <c r="CR1443" t="s">
        <v>136</v>
      </c>
      <c r="CS1443" s="19" t="str">
        <f>IF(AND(Table1[[#This Row],[Low41]]=0, Table1[[#This Row],[High43]]=0),"N","Y")</f>
        <v>N</v>
      </c>
    </row>
    <row r="1444" spans="1:97" ht="19.5" customHeight="1" x14ac:dyDescent="0.25">
      <c r="A1444">
        <v>11446</v>
      </c>
      <c r="B1444" t="s">
        <v>4513</v>
      </c>
      <c r="D1444">
        <v>-8.1518892540000003</v>
      </c>
      <c r="E1444">
        <v>178.60269819999999</v>
      </c>
      <c r="Q1444"/>
      <c r="R1444" t="s">
        <v>4501</v>
      </c>
      <c r="T1444" t="s">
        <v>3959</v>
      </c>
      <c r="U1444" t="s">
        <v>4221</v>
      </c>
      <c r="V1444"/>
      <c r="AN1444" t="s">
        <v>132</v>
      </c>
      <c r="CE144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4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44" s="35"/>
      <c r="CL1444" s="19">
        <f>IF(Table1[[#This Row],[Type]]="Petroleum",1,IF(ISERROR(Table1[[#This Row],[Well Density]]*Table1[[#This Row],[Single Well Discovery Area]]),"",IF(Table1[[#This Row],[Well Density]]*Table1[[#This Row],[Single Well Discovery Area]]&gt;1,1,Table1[[#This Row],[Well Density]]*Table1[[#This Row],[Single Well Discovery Area]])))</f>
        <v>0</v>
      </c>
      <c r="CM1444" t="s">
        <v>158</v>
      </c>
      <c r="CN1444" s="19">
        <f>Table1[[#This Row],[Mid]]</f>
        <v>0</v>
      </c>
      <c r="CO1444" s="19">
        <f>Table1[[#This Row],[Mid3]]+Table1[[#This Row],[Mid6]]+Table1[[#This Row],[Mid9]]</f>
        <v>0</v>
      </c>
      <c r="CP1444" s="19">
        <f>Table1[[#This Row],[Mid12]]+Table1[[#This Row],[Mid15]]+Table1[[#This Row],[Mid18]]+Table1[[#This Row],[Mid21]]+Table1[[#This Row],[Mid24]]</f>
        <v>0</v>
      </c>
      <c r="CQ1444" s="19">
        <f>Table1[[#This Row],[Mid27]]+Table1[[#This Row],[Mid30]]+Table1[[#This Row],[Mid33]]+Table1[[#This Row],[Mid36]]+Table1[[#This Row],[Mid39]]</f>
        <v>0</v>
      </c>
      <c r="CR1444" t="s">
        <v>136</v>
      </c>
      <c r="CS1444" s="19" t="str">
        <f>IF(AND(Table1[[#This Row],[Low41]]=0, Table1[[#This Row],[High43]]=0),"N","Y")</f>
        <v>N</v>
      </c>
    </row>
    <row r="1445" spans="1:97" ht="19.5" customHeight="1" x14ac:dyDescent="0.25">
      <c r="A1445">
        <v>11447</v>
      </c>
      <c r="B1445" t="s">
        <v>4514</v>
      </c>
      <c r="D1445">
        <v>-16.201538930000002</v>
      </c>
      <c r="E1445">
        <v>167.90364779999999</v>
      </c>
      <c r="Q1445"/>
      <c r="R1445" t="s">
        <v>4501</v>
      </c>
      <c r="T1445" t="s">
        <v>3959</v>
      </c>
      <c r="U1445" t="s">
        <v>4221</v>
      </c>
      <c r="V1445"/>
      <c r="AN1445" t="s">
        <v>132</v>
      </c>
      <c r="CE144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4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45" s="35"/>
      <c r="CL1445" s="19">
        <f>IF(Table1[[#This Row],[Type]]="Petroleum",1,IF(ISERROR(Table1[[#This Row],[Well Density]]*Table1[[#This Row],[Single Well Discovery Area]]),"",IF(Table1[[#This Row],[Well Density]]*Table1[[#This Row],[Single Well Discovery Area]]&gt;1,1,Table1[[#This Row],[Well Density]]*Table1[[#This Row],[Single Well Discovery Area]])))</f>
        <v>0</v>
      </c>
      <c r="CM1445" t="s">
        <v>158</v>
      </c>
      <c r="CN1445" s="19">
        <f>Table1[[#This Row],[Mid]]</f>
        <v>0</v>
      </c>
      <c r="CO1445" s="19">
        <f>Table1[[#This Row],[Mid3]]+Table1[[#This Row],[Mid6]]+Table1[[#This Row],[Mid9]]</f>
        <v>0</v>
      </c>
      <c r="CP1445" s="19">
        <f>Table1[[#This Row],[Mid12]]+Table1[[#This Row],[Mid15]]+Table1[[#This Row],[Mid18]]+Table1[[#This Row],[Mid21]]+Table1[[#This Row],[Mid24]]</f>
        <v>0</v>
      </c>
      <c r="CQ1445" s="19">
        <f>Table1[[#This Row],[Mid27]]+Table1[[#This Row],[Mid30]]+Table1[[#This Row],[Mid33]]+Table1[[#This Row],[Mid36]]+Table1[[#This Row],[Mid39]]</f>
        <v>0</v>
      </c>
      <c r="CR1445" t="s">
        <v>136</v>
      </c>
      <c r="CS1445" s="19" t="str">
        <f>IF(AND(Table1[[#This Row],[Low41]]=0, Table1[[#This Row],[High43]]=0),"N","Y")</f>
        <v>N</v>
      </c>
    </row>
    <row r="1446" spans="1:97" ht="19.5" customHeight="1" x14ac:dyDescent="0.25">
      <c r="A1446">
        <v>11448</v>
      </c>
      <c r="B1446" t="s">
        <v>4515</v>
      </c>
      <c r="D1446">
        <v>3.6621814399999999</v>
      </c>
      <c r="E1446">
        <v>73.202735630000006</v>
      </c>
      <c r="Q1446"/>
      <c r="R1446" t="s">
        <v>4501</v>
      </c>
      <c r="T1446" t="s">
        <v>3959</v>
      </c>
      <c r="U1446" t="s">
        <v>4221</v>
      </c>
      <c r="V1446"/>
      <c r="AN1446" t="s">
        <v>132</v>
      </c>
      <c r="CE144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4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46" s="35"/>
      <c r="CL1446" s="19">
        <f>IF(Table1[[#This Row],[Type]]="Petroleum",1,IF(ISERROR(Table1[[#This Row],[Well Density]]*Table1[[#This Row],[Single Well Discovery Area]]),"",IF(Table1[[#This Row],[Well Density]]*Table1[[#This Row],[Single Well Discovery Area]]&gt;1,1,Table1[[#This Row],[Well Density]]*Table1[[#This Row],[Single Well Discovery Area]])))</f>
        <v>0</v>
      </c>
      <c r="CM1446" t="s">
        <v>158</v>
      </c>
      <c r="CN1446" s="19">
        <f>Table1[[#This Row],[Mid]]</f>
        <v>0</v>
      </c>
      <c r="CO1446" s="19">
        <f>Table1[[#This Row],[Mid3]]+Table1[[#This Row],[Mid6]]+Table1[[#This Row],[Mid9]]</f>
        <v>0</v>
      </c>
      <c r="CP1446" s="19">
        <f>Table1[[#This Row],[Mid12]]+Table1[[#This Row],[Mid15]]+Table1[[#This Row],[Mid18]]+Table1[[#This Row],[Mid21]]+Table1[[#This Row],[Mid24]]</f>
        <v>0</v>
      </c>
      <c r="CQ1446" s="19">
        <f>Table1[[#This Row],[Mid27]]+Table1[[#This Row],[Mid30]]+Table1[[#This Row],[Mid33]]+Table1[[#This Row],[Mid36]]+Table1[[#This Row],[Mid39]]</f>
        <v>0</v>
      </c>
      <c r="CR1446" t="s">
        <v>439</v>
      </c>
      <c r="CS1446" s="19" t="str">
        <f>IF(AND(Table1[[#This Row],[Low41]]=0, Table1[[#This Row],[High43]]=0),"N","Y")</f>
        <v>N</v>
      </c>
    </row>
    <row r="1447" spans="1:97" ht="19.5" customHeight="1" x14ac:dyDescent="0.25">
      <c r="A1447">
        <v>11449</v>
      </c>
      <c r="B1447" t="s">
        <v>4516</v>
      </c>
      <c r="D1447">
        <v>15.882417670000001</v>
      </c>
      <c r="E1447">
        <v>96.667543030000004</v>
      </c>
      <c r="Q1447"/>
      <c r="R1447" t="s">
        <v>4501</v>
      </c>
      <c r="T1447" t="s">
        <v>3959</v>
      </c>
      <c r="U1447" t="s">
        <v>4221</v>
      </c>
      <c r="V1447"/>
      <c r="AN1447" t="s">
        <v>132</v>
      </c>
      <c r="CE144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4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47" s="35"/>
      <c r="CL1447" s="19">
        <f>IF(Table1[[#This Row],[Type]]="Petroleum",1,IF(ISERROR(Table1[[#This Row],[Well Density]]*Table1[[#This Row],[Single Well Discovery Area]]),"",IF(Table1[[#This Row],[Well Density]]*Table1[[#This Row],[Single Well Discovery Area]]&gt;1,1,Table1[[#This Row],[Well Density]]*Table1[[#This Row],[Single Well Discovery Area]])))</f>
        <v>0</v>
      </c>
      <c r="CM1447" t="s">
        <v>158</v>
      </c>
      <c r="CN1447" s="19">
        <f>Table1[[#This Row],[Mid]]</f>
        <v>0</v>
      </c>
      <c r="CO1447" s="19">
        <f>Table1[[#This Row],[Mid3]]+Table1[[#This Row],[Mid6]]+Table1[[#This Row],[Mid9]]</f>
        <v>0</v>
      </c>
      <c r="CP1447" s="19">
        <f>Table1[[#This Row],[Mid12]]+Table1[[#This Row],[Mid15]]+Table1[[#This Row],[Mid18]]+Table1[[#This Row],[Mid21]]+Table1[[#This Row],[Mid24]]</f>
        <v>0</v>
      </c>
      <c r="CQ1447" s="19">
        <f>Table1[[#This Row],[Mid27]]+Table1[[#This Row],[Mid30]]+Table1[[#This Row],[Mid33]]+Table1[[#This Row],[Mid36]]+Table1[[#This Row],[Mid39]]</f>
        <v>0</v>
      </c>
      <c r="CR1447" t="s">
        <v>439</v>
      </c>
      <c r="CS1447" s="19" t="str">
        <f>IF(AND(Table1[[#This Row],[Low41]]=0, Table1[[#This Row],[High43]]=0),"N","Y")</f>
        <v>N</v>
      </c>
    </row>
    <row r="1448" spans="1:97" ht="19.5" customHeight="1" x14ac:dyDescent="0.25">
      <c r="A1448">
        <v>11450</v>
      </c>
      <c r="B1448" t="s">
        <v>4517</v>
      </c>
      <c r="D1448">
        <v>28.28433768</v>
      </c>
      <c r="E1448">
        <v>84.114590359999994</v>
      </c>
      <c r="Q1448"/>
      <c r="R1448" t="s">
        <v>4501</v>
      </c>
      <c r="T1448" t="s">
        <v>3959</v>
      </c>
      <c r="U1448" t="s">
        <v>4221</v>
      </c>
      <c r="V1448"/>
      <c r="AN1448" t="s">
        <v>132</v>
      </c>
      <c r="CE144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48"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4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48" s="35"/>
      <c r="CL1448" s="19">
        <f>IF(Table1[[#This Row],[Type]]="Petroleum",1,IF(ISERROR(Table1[[#This Row],[Well Density]]*Table1[[#This Row],[Single Well Discovery Area]]),"",IF(Table1[[#This Row],[Well Density]]*Table1[[#This Row],[Single Well Discovery Area]]&gt;1,1,Table1[[#This Row],[Well Density]]*Table1[[#This Row],[Single Well Discovery Area]])))</f>
        <v>0</v>
      </c>
      <c r="CM1448" t="s">
        <v>158</v>
      </c>
      <c r="CN1448" s="19">
        <f>Table1[[#This Row],[Mid]]</f>
        <v>0</v>
      </c>
      <c r="CO1448" s="19">
        <f>Table1[[#This Row],[Mid3]]+Table1[[#This Row],[Mid6]]+Table1[[#This Row],[Mid9]]</f>
        <v>0</v>
      </c>
      <c r="CP1448" s="19">
        <f>Table1[[#This Row],[Mid12]]+Table1[[#This Row],[Mid15]]+Table1[[#This Row],[Mid18]]+Table1[[#This Row],[Mid21]]+Table1[[#This Row],[Mid24]]</f>
        <v>0</v>
      </c>
      <c r="CQ1448" s="19">
        <f>Table1[[#This Row],[Mid27]]+Table1[[#This Row],[Mid30]]+Table1[[#This Row],[Mid33]]+Table1[[#This Row],[Mid36]]+Table1[[#This Row],[Mid39]]</f>
        <v>0</v>
      </c>
      <c r="CR1448" t="s">
        <v>439</v>
      </c>
      <c r="CS1448" s="19" t="str">
        <f>IF(AND(Table1[[#This Row],[Low41]]=0, Table1[[#This Row],[High43]]=0),"N","Y")</f>
        <v>N</v>
      </c>
    </row>
    <row r="1449" spans="1:97" ht="19.5" customHeight="1" x14ac:dyDescent="0.25">
      <c r="A1449">
        <v>11451</v>
      </c>
      <c r="B1449" t="s">
        <v>1977</v>
      </c>
      <c r="D1449">
        <v>42.092180200000001</v>
      </c>
      <c r="E1449">
        <v>43.730491190000002</v>
      </c>
      <c r="Q1449"/>
      <c r="R1449" t="s">
        <v>4501</v>
      </c>
      <c r="T1449" t="s">
        <v>3959</v>
      </c>
      <c r="U1449" t="s">
        <v>4221</v>
      </c>
      <c r="V1449"/>
      <c r="AN1449" t="s">
        <v>132</v>
      </c>
      <c r="CE144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4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49" s="35"/>
      <c r="CL1449" s="19">
        <f>IF(Table1[[#This Row],[Type]]="Petroleum",1,IF(ISERROR(Table1[[#This Row],[Well Density]]*Table1[[#This Row],[Single Well Discovery Area]]),"",IF(Table1[[#This Row],[Well Density]]*Table1[[#This Row],[Single Well Discovery Area]]&gt;1,1,Table1[[#This Row],[Well Density]]*Table1[[#This Row],[Single Well Discovery Area]])))</f>
        <v>0</v>
      </c>
      <c r="CM1449" t="s">
        <v>158</v>
      </c>
      <c r="CN1449" s="19">
        <f>Table1[[#This Row],[Mid]]</f>
        <v>0</v>
      </c>
      <c r="CO1449" s="19">
        <f>Table1[[#This Row],[Mid3]]+Table1[[#This Row],[Mid6]]+Table1[[#This Row],[Mid9]]</f>
        <v>0</v>
      </c>
      <c r="CP1449" s="19">
        <f>Table1[[#This Row],[Mid12]]+Table1[[#This Row],[Mid15]]+Table1[[#This Row],[Mid18]]+Table1[[#This Row],[Mid21]]+Table1[[#This Row],[Mid24]]</f>
        <v>0</v>
      </c>
      <c r="CQ1449" s="19">
        <f>Table1[[#This Row],[Mid27]]+Table1[[#This Row],[Mid30]]+Table1[[#This Row],[Mid33]]+Table1[[#This Row],[Mid36]]+Table1[[#This Row],[Mid39]]</f>
        <v>0</v>
      </c>
      <c r="CR1449" t="s">
        <v>415</v>
      </c>
      <c r="CS1449" s="19" t="str">
        <f>IF(AND(Table1[[#This Row],[Low41]]=0, Table1[[#This Row],[High43]]=0),"N","Y")</f>
        <v>N</v>
      </c>
    </row>
    <row r="1450" spans="1:97" ht="19.5" customHeight="1" x14ac:dyDescent="0.25">
      <c r="A1450">
        <v>11452</v>
      </c>
      <c r="B1450" t="s">
        <v>4518</v>
      </c>
      <c r="D1450">
        <v>48.81682928</v>
      </c>
      <c r="E1450">
        <v>102.0759302</v>
      </c>
      <c r="Q1450"/>
      <c r="R1450" t="s">
        <v>4501</v>
      </c>
      <c r="T1450" t="s">
        <v>3959</v>
      </c>
      <c r="U1450" t="s">
        <v>4221</v>
      </c>
      <c r="V1450"/>
      <c r="AN1450" t="s">
        <v>132</v>
      </c>
      <c r="CE145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5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50" s="35"/>
      <c r="CL1450" s="19">
        <f>IF(Table1[[#This Row],[Type]]="Petroleum",1,IF(ISERROR(Table1[[#This Row],[Well Density]]*Table1[[#This Row],[Single Well Discovery Area]]),"",IF(Table1[[#This Row],[Well Density]]*Table1[[#This Row],[Single Well Discovery Area]]&gt;1,1,Table1[[#This Row],[Well Density]]*Table1[[#This Row],[Single Well Discovery Area]])))</f>
        <v>0</v>
      </c>
      <c r="CM1450" t="s">
        <v>158</v>
      </c>
      <c r="CN1450" s="19">
        <f>Table1[[#This Row],[Mid]]</f>
        <v>0</v>
      </c>
      <c r="CO1450" s="19">
        <f>Table1[[#This Row],[Mid3]]+Table1[[#This Row],[Mid6]]+Table1[[#This Row],[Mid9]]</f>
        <v>0</v>
      </c>
      <c r="CP1450" s="19">
        <f>Table1[[#This Row],[Mid12]]+Table1[[#This Row],[Mid15]]+Table1[[#This Row],[Mid18]]+Table1[[#This Row],[Mid21]]+Table1[[#This Row],[Mid24]]</f>
        <v>0</v>
      </c>
      <c r="CQ1450" s="19">
        <f>Table1[[#This Row],[Mid27]]+Table1[[#This Row],[Mid30]]+Table1[[#This Row],[Mid33]]+Table1[[#This Row],[Mid36]]+Table1[[#This Row],[Mid39]]</f>
        <v>0</v>
      </c>
      <c r="CR1450" t="s">
        <v>439</v>
      </c>
      <c r="CS1450" s="19" t="str">
        <f>IF(AND(Table1[[#This Row],[Low41]]=0, Table1[[#This Row],[High43]]=0),"N","Y")</f>
        <v>N</v>
      </c>
    </row>
    <row r="1451" spans="1:97" ht="19.5" customHeight="1" x14ac:dyDescent="0.25">
      <c r="A1451">
        <v>11453</v>
      </c>
      <c r="B1451" t="s">
        <v>4519</v>
      </c>
      <c r="D1451">
        <v>42.665066330000002</v>
      </c>
      <c r="E1451">
        <v>19.222504430000001</v>
      </c>
      <c r="Q1451"/>
      <c r="R1451" t="s">
        <v>4501</v>
      </c>
      <c r="T1451" t="s">
        <v>3959</v>
      </c>
      <c r="U1451" t="s">
        <v>4221</v>
      </c>
      <c r="V1451"/>
      <c r="AN1451" t="s">
        <v>132</v>
      </c>
      <c r="CE14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5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51" s="35"/>
      <c r="CL1451" s="19">
        <f>IF(Table1[[#This Row],[Type]]="Petroleum",1,IF(ISERROR(Table1[[#This Row],[Well Density]]*Table1[[#This Row],[Single Well Discovery Area]]),"",IF(Table1[[#This Row],[Well Density]]*Table1[[#This Row],[Single Well Discovery Area]]&gt;1,1,Table1[[#This Row],[Well Density]]*Table1[[#This Row],[Single Well Discovery Area]])))</f>
        <v>0</v>
      </c>
      <c r="CM1451" t="s">
        <v>158</v>
      </c>
      <c r="CN1451" s="19">
        <f>Table1[[#This Row],[Mid]]</f>
        <v>0</v>
      </c>
      <c r="CO1451" s="19">
        <f>Table1[[#This Row],[Mid3]]+Table1[[#This Row],[Mid6]]+Table1[[#This Row],[Mid9]]</f>
        <v>0</v>
      </c>
      <c r="CP1451" s="19">
        <f>Table1[[#This Row],[Mid12]]+Table1[[#This Row],[Mid15]]+Table1[[#This Row],[Mid18]]+Table1[[#This Row],[Mid21]]+Table1[[#This Row],[Mid24]]</f>
        <v>0</v>
      </c>
      <c r="CQ1451" s="19">
        <f>Table1[[#This Row],[Mid27]]+Table1[[#This Row],[Mid30]]+Table1[[#This Row],[Mid33]]+Table1[[#This Row],[Mid36]]+Table1[[#This Row],[Mid39]]</f>
        <v>0</v>
      </c>
      <c r="CR1451" t="s">
        <v>415</v>
      </c>
      <c r="CS1451" s="19" t="str">
        <f>IF(AND(Table1[[#This Row],[Low41]]=0, Table1[[#This Row],[High43]]=0),"N","Y")</f>
        <v>N</v>
      </c>
    </row>
    <row r="1452" spans="1:97" ht="19.5" customHeight="1" x14ac:dyDescent="0.25">
      <c r="A1452">
        <v>11454</v>
      </c>
      <c r="B1452" t="s">
        <v>4520</v>
      </c>
      <c r="D1452">
        <v>35.937954429999998</v>
      </c>
      <c r="E1452">
        <v>14.39712291</v>
      </c>
      <c r="Q1452"/>
      <c r="R1452" t="s">
        <v>4501</v>
      </c>
      <c r="T1452" t="s">
        <v>3959</v>
      </c>
      <c r="U1452" t="s">
        <v>4221</v>
      </c>
      <c r="V1452"/>
      <c r="AN1452" t="s">
        <v>132</v>
      </c>
      <c r="CE14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5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52" s="35"/>
      <c r="CL1452" s="19">
        <f>IF(Table1[[#This Row],[Type]]="Petroleum",1,IF(ISERROR(Table1[[#This Row],[Well Density]]*Table1[[#This Row],[Single Well Discovery Area]]),"",IF(Table1[[#This Row],[Well Density]]*Table1[[#This Row],[Single Well Discovery Area]]&gt;1,1,Table1[[#This Row],[Well Density]]*Table1[[#This Row],[Single Well Discovery Area]])))</f>
        <v>0</v>
      </c>
      <c r="CM1452" t="s">
        <v>158</v>
      </c>
      <c r="CN1452" s="19">
        <f>Table1[[#This Row],[Mid]]</f>
        <v>0</v>
      </c>
      <c r="CO1452" s="19">
        <f>Table1[[#This Row],[Mid3]]+Table1[[#This Row],[Mid6]]+Table1[[#This Row],[Mid9]]</f>
        <v>0</v>
      </c>
      <c r="CP1452" s="19">
        <f>Table1[[#This Row],[Mid12]]+Table1[[#This Row],[Mid15]]+Table1[[#This Row],[Mid18]]+Table1[[#This Row],[Mid21]]+Table1[[#This Row],[Mid24]]</f>
        <v>0</v>
      </c>
      <c r="CQ1452" s="19">
        <f>Table1[[#This Row],[Mid27]]+Table1[[#This Row],[Mid30]]+Table1[[#This Row],[Mid33]]+Table1[[#This Row],[Mid36]]+Table1[[#This Row],[Mid39]]</f>
        <v>0</v>
      </c>
      <c r="CR1452" t="s">
        <v>415</v>
      </c>
      <c r="CS1452" s="19" t="str">
        <f>IF(AND(Table1[[#This Row],[Low41]]=0, Table1[[#This Row],[High43]]=0),"N","Y")</f>
        <v>N</v>
      </c>
    </row>
    <row r="1453" spans="1:97" ht="19.5" customHeight="1" x14ac:dyDescent="0.25">
      <c r="A1453">
        <v>11455</v>
      </c>
      <c r="B1453" t="s">
        <v>4521</v>
      </c>
      <c r="D1453">
        <v>49.755917150000002</v>
      </c>
      <c r="E1453">
        <v>6.0582947970000003</v>
      </c>
      <c r="Q1453"/>
      <c r="R1453" t="s">
        <v>4501</v>
      </c>
      <c r="T1453" t="s">
        <v>3959</v>
      </c>
      <c r="U1453" t="s">
        <v>4221</v>
      </c>
      <c r="V1453"/>
      <c r="AN1453" t="s">
        <v>132</v>
      </c>
      <c r="CE14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53"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53" s="35"/>
      <c r="CL1453" s="19">
        <f>IF(Table1[[#This Row],[Type]]="Petroleum",1,IF(ISERROR(Table1[[#This Row],[Well Density]]*Table1[[#This Row],[Single Well Discovery Area]]),"",IF(Table1[[#This Row],[Well Density]]*Table1[[#This Row],[Single Well Discovery Area]]&gt;1,1,Table1[[#This Row],[Well Density]]*Table1[[#This Row],[Single Well Discovery Area]])))</f>
        <v>0</v>
      </c>
      <c r="CM1453" t="s">
        <v>158</v>
      </c>
      <c r="CN1453" s="19">
        <f>Table1[[#This Row],[Mid]]</f>
        <v>0</v>
      </c>
      <c r="CO1453" s="19">
        <f>Table1[[#This Row],[Mid3]]+Table1[[#This Row],[Mid6]]+Table1[[#This Row],[Mid9]]</f>
        <v>0</v>
      </c>
      <c r="CP1453" s="19">
        <f>Table1[[#This Row],[Mid12]]+Table1[[#This Row],[Mid15]]+Table1[[#This Row],[Mid18]]+Table1[[#This Row],[Mid21]]+Table1[[#This Row],[Mid24]]</f>
        <v>0</v>
      </c>
      <c r="CQ1453" s="19">
        <f>Table1[[#This Row],[Mid27]]+Table1[[#This Row],[Mid30]]+Table1[[#This Row],[Mid33]]+Table1[[#This Row],[Mid36]]+Table1[[#This Row],[Mid39]]</f>
        <v>0</v>
      </c>
      <c r="CR1453" t="s">
        <v>415</v>
      </c>
      <c r="CS1453" s="19" t="str">
        <f>IF(AND(Table1[[#This Row],[Low41]]=0, Table1[[#This Row],[High43]]=0),"N","Y")</f>
        <v>N</v>
      </c>
    </row>
    <row r="1454" spans="1:97" ht="19.5" customHeight="1" x14ac:dyDescent="0.25">
      <c r="A1454">
        <v>11456</v>
      </c>
      <c r="B1454" t="s">
        <v>4522</v>
      </c>
      <c r="D1454">
        <v>42.5536715</v>
      </c>
      <c r="E1454">
        <v>1.5700500120000001</v>
      </c>
      <c r="Q1454"/>
      <c r="R1454" t="s">
        <v>4501</v>
      </c>
      <c r="T1454" t="s">
        <v>3959</v>
      </c>
      <c r="U1454" t="s">
        <v>4221</v>
      </c>
      <c r="V1454"/>
      <c r="AN1454" t="s">
        <v>132</v>
      </c>
      <c r="CE145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5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5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54" s="35"/>
      <c r="CL1454" s="19">
        <f>IF(Table1[[#This Row],[Type]]="Petroleum",1,IF(ISERROR(Table1[[#This Row],[Well Density]]*Table1[[#This Row],[Single Well Discovery Area]]),"",IF(Table1[[#This Row],[Well Density]]*Table1[[#This Row],[Single Well Discovery Area]]&gt;1,1,Table1[[#This Row],[Well Density]]*Table1[[#This Row],[Single Well Discovery Area]])))</f>
        <v>0</v>
      </c>
      <c r="CM1454" t="s">
        <v>158</v>
      </c>
      <c r="CN1454" s="19">
        <f>Table1[[#This Row],[Mid]]</f>
        <v>0</v>
      </c>
      <c r="CO1454" s="19">
        <f>Table1[[#This Row],[Mid3]]+Table1[[#This Row],[Mid6]]+Table1[[#This Row],[Mid9]]</f>
        <v>0</v>
      </c>
      <c r="CP1454" s="19">
        <f>Table1[[#This Row],[Mid12]]+Table1[[#This Row],[Mid15]]+Table1[[#This Row],[Mid18]]+Table1[[#This Row],[Mid21]]+Table1[[#This Row],[Mid24]]</f>
        <v>0</v>
      </c>
      <c r="CQ1454" s="19">
        <f>Table1[[#This Row],[Mid27]]+Table1[[#This Row],[Mid30]]+Table1[[#This Row],[Mid33]]+Table1[[#This Row],[Mid36]]+Table1[[#This Row],[Mid39]]</f>
        <v>0</v>
      </c>
      <c r="CR1454" t="s">
        <v>415</v>
      </c>
      <c r="CS1454" s="19" t="str">
        <f>IF(AND(Table1[[#This Row],[Low41]]=0, Table1[[#This Row],[High43]]=0),"N","Y")</f>
        <v>N</v>
      </c>
    </row>
    <row r="1455" spans="1:97" ht="19.5" customHeight="1" x14ac:dyDescent="0.25">
      <c r="A1455">
        <v>11457</v>
      </c>
      <c r="B1455" t="s">
        <v>4523</v>
      </c>
      <c r="D1455">
        <v>43.942396240000001</v>
      </c>
      <c r="E1455">
        <v>12.46324237</v>
      </c>
      <c r="Q1455"/>
      <c r="R1455" t="s">
        <v>4501</v>
      </c>
      <c r="T1455" t="s">
        <v>3959</v>
      </c>
      <c r="U1455" t="s">
        <v>4221</v>
      </c>
      <c r="V1455"/>
      <c r="AN1455" t="s">
        <v>132</v>
      </c>
      <c r="CE145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5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5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55" s="35"/>
      <c r="CL1455" s="19">
        <f>IF(Table1[[#This Row],[Type]]="Petroleum",1,IF(ISERROR(Table1[[#This Row],[Well Density]]*Table1[[#This Row],[Single Well Discovery Area]]),"",IF(Table1[[#This Row],[Well Density]]*Table1[[#This Row],[Single Well Discovery Area]]&gt;1,1,Table1[[#This Row],[Well Density]]*Table1[[#This Row],[Single Well Discovery Area]])))</f>
        <v>0</v>
      </c>
      <c r="CM1455" t="s">
        <v>158</v>
      </c>
      <c r="CN1455" s="19">
        <f>Table1[[#This Row],[Mid]]</f>
        <v>0</v>
      </c>
      <c r="CO1455" s="19">
        <f>Table1[[#This Row],[Mid3]]+Table1[[#This Row],[Mid6]]+Table1[[#This Row],[Mid9]]</f>
        <v>0</v>
      </c>
      <c r="CP1455" s="19">
        <f>Table1[[#This Row],[Mid12]]+Table1[[#This Row],[Mid15]]+Table1[[#This Row],[Mid18]]+Table1[[#This Row],[Mid21]]+Table1[[#This Row],[Mid24]]</f>
        <v>0</v>
      </c>
      <c r="CQ1455" s="19">
        <f>Table1[[#This Row],[Mid27]]+Table1[[#This Row],[Mid30]]+Table1[[#This Row],[Mid33]]+Table1[[#This Row],[Mid36]]+Table1[[#This Row],[Mid39]]</f>
        <v>0</v>
      </c>
      <c r="CR1455" t="s">
        <v>415</v>
      </c>
      <c r="CS1455" s="19" t="str">
        <f>IF(AND(Table1[[#This Row],[Low41]]=0, Table1[[#This Row],[High43]]=0),"N","Y")</f>
        <v>N</v>
      </c>
    </row>
    <row r="1456" spans="1:97" ht="19.5" customHeight="1" x14ac:dyDescent="0.25">
      <c r="A1456">
        <v>11458</v>
      </c>
      <c r="B1456" t="s">
        <v>4524</v>
      </c>
      <c r="D1456">
        <v>42.590200000000003</v>
      </c>
      <c r="E1456">
        <v>20.843299999999999</v>
      </c>
      <c r="Q1456"/>
      <c r="R1456" t="s">
        <v>4501</v>
      </c>
      <c r="T1456" t="s">
        <v>3959</v>
      </c>
      <c r="U1456" t="s">
        <v>4221</v>
      </c>
      <c r="V1456"/>
      <c r="AN1456" t="s">
        <v>132</v>
      </c>
      <c r="CE145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5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5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56" s="35"/>
      <c r="CL1456" s="19">
        <f>IF(Table1[[#This Row],[Type]]="Petroleum",1,IF(ISERROR(Table1[[#This Row],[Well Density]]*Table1[[#This Row],[Single Well Discovery Area]]),"",IF(Table1[[#This Row],[Well Density]]*Table1[[#This Row],[Single Well Discovery Area]]&gt;1,1,Table1[[#This Row],[Well Density]]*Table1[[#This Row],[Single Well Discovery Area]])))</f>
        <v>0</v>
      </c>
      <c r="CM1456" t="s">
        <v>158</v>
      </c>
      <c r="CN1456" s="19">
        <f>Table1[[#This Row],[Mid]]</f>
        <v>0</v>
      </c>
      <c r="CO1456" s="19">
        <f>Table1[[#This Row],[Mid3]]+Table1[[#This Row],[Mid6]]+Table1[[#This Row],[Mid9]]</f>
        <v>0</v>
      </c>
      <c r="CP1456" s="19">
        <f>Table1[[#This Row],[Mid12]]+Table1[[#This Row],[Mid15]]+Table1[[#This Row],[Mid18]]+Table1[[#This Row],[Mid21]]+Table1[[#This Row],[Mid24]]</f>
        <v>0</v>
      </c>
      <c r="CQ1456" s="19">
        <f>Table1[[#This Row],[Mid27]]+Table1[[#This Row],[Mid30]]+Table1[[#This Row],[Mid33]]+Table1[[#This Row],[Mid36]]+Table1[[#This Row],[Mid39]]</f>
        <v>0</v>
      </c>
      <c r="CR1456" t="s">
        <v>415</v>
      </c>
      <c r="CS1456" s="19" t="str">
        <f>IF(AND(Table1[[#This Row],[Low41]]=0, Table1[[#This Row],[High43]]=0),"N","Y")</f>
        <v>N</v>
      </c>
    </row>
    <row r="1457" spans="1:97" ht="19.5" customHeight="1" x14ac:dyDescent="0.25">
      <c r="A1457">
        <v>11459</v>
      </c>
      <c r="B1457" t="s">
        <v>4525</v>
      </c>
      <c r="D1457">
        <v>47.139772200000003</v>
      </c>
      <c r="E1457">
        <v>9.5539489799999995</v>
      </c>
      <c r="Q1457"/>
      <c r="R1457" t="s">
        <v>4501</v>
      </c>
      <c r="T1457" t="s">
        <v>3959</v>
      </c>
      <c r="U1457" t="s">
        <v>4221</v>
      </c>
      <c r="V1457"/>
      <c r="AN1457" t="s">
        <v>132</v>
      </c>
      <c r="CE145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5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5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57" s="35"/>
      <c r="CL1457" s="19">
        <f>IF(Table1[[#This Row],[Type]]="Petroleum",1,IF(ISERROR(Table1[[#This Row],[Well Density]]*Table1[[#This Row],[Single Well Discovery Area]]),"",IF(Table1[[#This Row],[Well Density]]*Table1[[#This Row],[Single Well Discovery Area]]&gt;1,1,Table1[[#This Row],[Well Density]]*Table1[[#This Row],[Single Well Discovery Area]])))</f>
        <v>0</v>
      </c>
      <c r="CM1457" t="s">
        <v>158</v>
      </c>
      <c r="CN1457" s="19">
        <f>Table1[[#This Row],[Mid]]</f>
        <v>0</v>
      </c>
      <c r="CO1457" s="19">
        <f>Table1[[#This Row],[Mid3]]+Table1[[#This Row],[Mid6]]+Table1[[#This Row],[Mid9]]</f>
        <v>0</v>
      </c>
      <c r="CP1457" s="19">
        <f>Table1[[#This Row],[Mid12]]+Table1[[#This Row],[Mid15]]+Table1[[#This Row],[Mid18]]+Table1[[#This Row],[Mid21]]+Table1[[#This Row],[Mid24]]</f>
        <v>0</v>
      </c>
      <c r="CQ1457" s="19">
        <f>Table1[[#This Row],[Mid27]]+Table1[[#This Row],[Mid30]]+Table1[[#This Row],[Mid33]]+Table1[[#This Row],[Mid36]]+Table1[[#This Row],[Mid39]]</f>
        <v>0</v>
      </c>
      <c r="CR1457" t="s">
        <v>415</v>
      </c>
      <c r="CS1457" s="19" t="str">
        <f>IF(AND(Table1[[#This Row],[Low41]]=0, Table1[[#This Row],[High43]]=0),"N","Y")</f>
        <v>N</v>
      </c>
    </row>
    <row r="1458" spans="1:97" ht="19.5" customHeight="1" x14ac:dyDescent="0.25">
      <c r="A1458">
        <v>11460</v>
      </c>
      <c r="B1458" t="s">
        <v>4526</v>
      </c>
      <c r="D1458">
        <v>53.67021355</v>
      </c>
      <c r="E1458">
        <v>28.011075479999999</v>
      </c>
      <c r="Q1458"/>
      <c r="R1458" t="s">
        <v>4501</v>
      </c>
      <c r="T1458" t="s">
        <v>3959</v>
      </c>
      <c r="U1458" t="s">
        <v>4221</v>
      </c>
      <c r="V1458"/>
      <c r="AN1458" t="s">
        <v>132</v>
      </c>
      <c r="CE145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58"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5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58" s="35"/>
      <c r="CL1458" s="19">
        <f>IF(Table1[[#This Row],[Type]]="Petroleum",1,IF(ISERROR(Table1[[#This Row],[Well Density]]*Table1[[#This Row],[Single Well Discovery Area]]),"",IF(Table1[[#This Row],[Well Density]]*Table1[[#This Row],[Single Well Discovery Area]]&gt;1,1,Table1[[#This Row],[Well Density]]*Table1[[#This Row],[Single Well Discovery Area]])))</f>
        <v>0</v>
      </c>
      <c r="CM1458" t="s">
        <v>158</v>
      </c>
      <c r="CN1458" s="19">
        <f>Table1[[#This Row],[Mid]]</f>
        <v>0</v>
      </c>
      <c r="CO1458" s="19">
        <f>Table1[[#This Row],[Mid3]]+Table1[[#This Row],[Mid6]]+Table1[[#This Row],[Mid9]]</f>
        <v>0</v>
      </c>
      <c r="CP1458" s="19">
        <f>Table1[[#This Row],[Mid12]]+Table1[[#This Row],[Mid15]]+Table1[[#This Row],[Mid18]]+Table1[[#This Row],[Mid21]]+Table1[[#This Row],[Mid24]]</f>
        <v>0</v>
      </c>
      <c r="CQ1458" s="19">
        <f>Table1[[#This Row],[Mid27]]+Table1[[#This Row],[Mid30]]+Table1[[#This Row],[Mid33]]+Table1[[#This Row],[Mid36]]+Table1[[#This Row],[Mid39]]</f>
        <v>0</v>
      </c>
      <c r="CR1458" t="s">
        <v>415</v>
      </c>
      <c r="CS1458" s="19" t="str">
        <f>IF(AND(Table1[[#This Row],[Low41]]=0, Table1[[#This Row],[High43]]=0),"N","Y")</f>
        <v>N</v>
      </c>
    </row>
    <row r="1459" spans="1:97" ht="19.5" customHeight="1" x14ac:dyDescent="0.25">
      <c r="A1459">
        <v>11461</v>
      </c>
      <c r="B1459" t="s">
        <v>4527</v>
      </c>
      <c r="D1459">
        <v>47.085387840000003</v>
      </c>
      <c r="E1459">
        <v>28.19943327</v>
      </c>
      <c r="Q1459"/>
      <c r="R1459" t="s">
        <v>4501</v>
      </c>
      <c r="T1459" t="s">
        <v>3959</v>
      </c>
      <c r="U1459" t="s">
        <v>4221</v>
      </c>
      <c r="V1459"/>
      <c r="AN1459" t="s">
        <v>132</v>
      </c>
      <c r="CE145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5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5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59" s="35"/>
      <c r="CL1459" s="19">
        <f>IF(Table1[[#This Row],[Type]]="Petroleum",1,IF(ISERROR(Table1[[#This Row],[Well Density]]*Table1[[#This Row],[Single Well Discovery Area]]),"",IF(Table1[[#This Row],[Well Density]]*Table1[[#This Row],[Single Well Discovery Area]]&gt;1,1,Table1[[#This Row],[Well Density]]*Table1[[#This Row],[Single Well Discovery Area]])))</f>
        <v>0</v>
      </c>
      <c r="CM1459" t="s">
        <v>158</v>
      </c>
      <c r="CN1459" s="19">
        <f>Table1[[#This Row],[Mid]]</f>
        <v>0</v>
      </c>
      <c r="CO1459" s="19">
        <f>Table1[[#This Row],[Mid3]]+Table1[[#This Row],[Mid6]]+Table1[[#This Row],[Mid9]]</f>
        <v>0</v>
      </c>
      <c r="CP1459" s="19">
        <f>Table1[[#This Row],[Mid12]]+Table1[[#This Row],[Mid15]]+Table1[[#This Row],[Mid18]]+Table1[[#This Row],[Mid21]]+Table1[[#This Row],[Mid24]]</f>
        <v>0</v>
      </c>
      <c r="CQ1459" s="19">
        <f>Table1[[#This Row],[Mid27]]+Table1[[#This Row],[Mid30]]+Table1[[#This Row],[Mid33]]+Table1[[#This Row],[Mid36]]+Table1[[#This Row],[Mid39]]</f>
        <v>0</v>
      </c>
      <c r="CR1459" t="s">
        <v>415</v>
      </c>
      <c r="CS1459" s="19" t="str">
        <f>IF(AND(Table1[[#This Row],[Low41]]=0, Table1[[#This Row],[High43]]=0),"N","Y")</f>
        <v>N</v>
      </c>
    </row>
    <row r="1460" spans="1:97" ht="19.5" customHeight="1" x14ac:dyDescent="0.25">
      <c r="A1460">
        <v>11462</v>
      </c>
      <c r="B1460" t="s">
        <v>4528</v>
      </c>
      <c r="D1460">
        <v>58.684186560000001</v>
      </c>
      <c r="E1460">
        <v>23.92285708</v>
      </c>
      <c r="Q1460"/>
      <c r="R1460" t="s">
        <v>4501</v>
      </c>
      <c r="T1460" t="s">
        <v>3959</v>
      </c>
      <c r="U1460" t="s">
        <v>4221</v>
      </c>
      <c r="V1460"/>
      <c r="AN1460" t="s">
        <v>132</v>
      </c>
      <c r="CE146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6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6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60" s="35"/>
      <c r="CL1460" s="19">
        <f>IF(Table1[[#This Row],[Type]]="Petroleum",1,IF(ISERROR(Table1[[#This Row],[Well Density]]*Table1[[#This Row],[Single Well Discovery Area]]),"",IF(Table1[[#This Row],[Well Density]]*Table1[[#This Row],[Single Well Discovery Area]]&gt;1,1,Table1[[#This Row],[Well Density]]*Table1[[#This Row],[Single Well Discovery Area]])))</f>
        <v>0</v>
      </c>
      <c r="CM1460" t="s">
        <v>158</v>
      </c>
      <c r="CN1460" s="19">
        <f>Table1[[#This Row],[Mid]]</f>
        <v>0</v>
      </c>
      <c r="CO1460" s="19">
        <f>Table1[[#This Row],[Mid3]]+Table1[[#This Row],[Mid6]]+Table1[[#This Row],[Mid9]]</f>
        <v>0</v>
      </c>
      <c r="CP1460" s="19">
        <f>Table1[[#This Row],[Mid12]]+Table1[[#This Row],[Mid15]]+Table1[[#This Row],[Mid18]]+Table1[[#This Row],[Mid21]]+Table1[[#This Row],[Mid24]]</f>
        <v>0</v>
      </c>
      <c r="CQ1460" s="19">
        <f>Table1[[#This Row],[Mid27]]+Table1[[#This Row],[Mid30]]+Table1[[#This Row],[Mid33]]+Table1[[#This Row],[Mid36]]+Table1[[#This Row],[Mid39]]</f>
        <v>0</v>
      </c>
      <c r="CR1460" t="s">
        <v>415</v>
      </c>
      <c r="CS1460" s="19" t="str">
        <f>IF(AND(Table1[[#This Row],[Low41]]=0, Table1[[#This Row],[High43]]=0),"N","Y")</f>
        <v>N</v>
      </c>
    </row>
    <row r="1461" spans="1:97" ht="19.5" customHeight="1" x14ac:dyDescent="0.25">
      <c r="A1461">
        <v>11463</v>
      </c>
      <c r="B1461" t="s">
        <v>4529</v>
      </c>
      <c r="D1461">
        <v>17.231120700000002</v>
      </c>
      <c r="E1461">
        <v>-88.21139565</v>
      </c>
      <c r="Q1461"/>
      <c r="R1461" t="s">
        <v>4501</v>
      </c>
      <c r="T1461" t="s">
        <v>3959</v>
      </c>
      <c r="U1461" t="s">
        <v>4221</v>
      </c>
      <c r="V1461"/>
      <c r="AN1461" t="s">
        <v>132</v>
      </c>
      <c r="CE146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6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6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61" s="35"/>
      <c r="CL1461" s="19">
        <f>IF(Table1[[#This Row],[Type]]="Petroleum",1,IF(ISERROR(Table1[[#This Row],[Well Density]]*Table1[[#This Row],[Single Well Discovery Area]]),"",IF(Table1[[#This Row],[Well Density]]*Table1[[#This Row],[Single Well Discovery Area]]&gt;1,1,Table1[[#This Row],[Well Density]]*Table1[[#This Row],[Single Well Discovery Area]])))</f>
        <v>0</v>
      </c>
      <c r="CM1461" t="s">
        <v>158</v>
      </c>
      <c r="CN1461" s="19">
        <f>Table1[[#This Row],[Mid]]</f>
        <v>0</v>
      </c>
      <c r="CO1461" s="19">
        <f>Table1[[#This Row],[Mid3]]+Table1[[#This Row],[Mid6]]+Table1[[#This Row],[Mid9]]</f>
        <v>0</v>
      </c>
      <c r="CP1461" s="19">
        <f>Table1[[#This Row],[Mid12]]+Table1[[#This Row],[Mid15]]+Table1[[#This Row],[Mid18]]+Table1[[#This Row],[Mid21]]+Table1[[#This Row],[Mid24]]</f>
        <v>0</v>
      </c>
      <c r="CQ1461" s="19">
        <f>Table1[[#This Row],[Mid27]]+Table1[[#This Row],[Mid30]]+Table1[[#This Row],[Mid33]]+Table1[[#This Row],[Mid36]]+Table1[[#This Row],[Mid39]]</f>
        <v>0</v>
      </c>
      <c r="CR1461" t="s">
        <v>471</v>
      </c>
      <c r="CS1461" s="19" t="str">
        <f>IF(AND(Table1[[#This Row],[Low41]]=0, Table1[[#This Row],[High43]]=0),"N","Y")</f>
        <v>N</v>
      </c>
    </row>
    <row r="1462" spans="1:97" ht="19.5" customHeight="1" x14ac:dyDescent="0.25">
      <c r="A1462">
        <v>11464</v>
      </c>
      <c r="B1462" t="s">
        <v>4530</v>
      </c>
      <c r="D1462">
        <v>-15.08431057</v>
      </c>
      <c r="E1462">
        <v>-65.419585229999996</v>
      </c>
      <c r="Q1462"/>
      <c r="R1462" t="s">
        <v>4501</v>
      </c>
      <c r="T1462" t="s">
        <v>3959</v>
      </c>
      <c r="U1462" t="s">
        <v>4221</v>
      </c>
      <c r="V1462"/>
      <c r="AN1462" t="s">
        <v>132</v>
      </c>
      <c r="CE146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6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6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62" s="35"/>
      <c r="CL1462" s="19">
        <f>IF(Table1[[#This Row],[Type]]="Petroleum",1,IF(ISERROR(Table1[[#This Row],[Well Density]]*Table1[[#This Row],[Single Well Discovery Area]]),"",IF(Table1[[#This Row],[Well Density]]*Table1[[#This Row],[Single Well Discovery Area]]&gt;1,1,Table1[[#This Row],[Well Density]]*Table1[[#This Row],[Single Well Discovery Area]])))</f>
        <v>0</v>
      </c>
      <c r="CM1462" t="s">
        <v>158</v>
      </c>
      <c r="CN1462" s="19">
        <f>Table1[[#This Row],[Mid]]</f>
        <v>0</v>
      </c>
      <c r="CO1462" s="19">
        <f>Table1[[#This Row],[Mid3]]+Table1[[#This Row],[Mid6]]+Table1[[#This Row],[Mid9]]</f>
        <v>0</v>
      </c>
      <c r="CP1462" s="19">
        <f>Table1[[#This Row],[Mid12]]+Table1[[#This Row],[Mid15]]+Table1[[#This Row],[Mid18]]+Table1[[#This Row],[Mid21]]+Table1[[#This Row],[Mid24]]</f>
        <v>0</v>
      </c>
      <c r="CQ1462" s="19">
        <f>Table1[[#This Row],[Mid27]]+Table1[[#This Row],[Mid30]]+Table1[[#This Row],[Mid33]]+Table1[[#This Row],[Mid36]]+Table1[[#This Row],[Mid39]]</f>
        <v>0</v>
      </c>
      <c r="CR1462" t="s">
        <v>471</v>
      </c>
      <c r="CS1462" s="19" t="str">
        <f>IF(AND(Table1[[#This Row],[Low41]]=0, Table1[[#This Row],[High43]]=0),"N","Y")</f>
        <v>N</v>
      </c>
    </row>
    <row r="1463" spans="1:97" ht="19.5" customHeight="1" x14ac:dyDescent="0.25">
      <c r="A1463">
        <v>11465</v>
      </c>
      <c r="B1463" t="s">
        <v>4531</v>
      </c>
      <c r="D1463">
        <v>9.7484623670000001</v>
      </c>
      <c r="E1463">
        <v>-84.439603309999995</v>
      </c>
      <c r="Q1463"/>
      <c r="R1463" t="s">
        <v>4501</v>
      </c>
      <c r="T1463" t="s">
        <v>3959</v>
      </c>
      <c r="U1463" t="s">
        <v>4221</v>
      </c>
      <c r="V1463"/>
      <c r="AN1463" t="s">
        <v>132</v>
      </c>
      <c r="CE146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63"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6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63" s="35"/>
      <c r="CL1463" s="19">
        <f>IF(Table1[[#This Row],[Type]]="Petroleum",1,IF(ISERROR(Table1[[#This Row],[Well Density]]*Table1[[#This Row],[Single Well Discovery Area]]),"",IF(Table1[[#This Row],[Well Density]]*Table1[[#This Row],[Single Well Discovery Area]]&gt;1,1,Table1[[#This Row],[Well Density]]*Table1[[#This Row],[Single Well Discovery Area]])))</f>
        <v>0</v>
      </c>
      <c r="CM1463" t="s">
        <v>158</v>
      </c>
      <c r="CN1463" s="19">
        <f>Table1[[#This Row],[Mid]]</f>
        <v>0</v>
      </c>
      <c r="CO1463" s="19">
        <f>Table1[[#This Row],[Mid3]]+Table1[[#This Row],[Mid6]]+Table1[[#This Row],[Mid9]]</f>
        <v>0</v>
      </c>
      <c r="CP1463" s="19">
        <f>Table1[[#This Row],[Mid12]]+Table1[[#This Row],[Mid15]]+Table1[[#This Row],[Mid18]]+Table1[[#This Row],[Mid21]]+Table1[[#This Row],[Mid24]]</f>
        <v>0</v>
      </c>
      <c r="CQ1463" s="19">
        <f>Table1[[#This Row],[Mid27]]+Table1[[#This Row],[Mid30]]+Table1[[#This Row],[Mid33]]+Table1[[#This Row],[Mid36]]+Table1[[#This Row],[Mid39]]</f>
        <v>0</v>
      </c>
      <c r="CR1463" t="s">
        <v>471</v>
      </c>
      <c r="CS1463" s="19" t="str">
        <f>IF(AND(Table1[[#This Row],[Low41]]=0, Table1[[#This Row],[High43]]=0),"N","Y")</f>
        <v>N</v>
      </c>
    </row>
    <row r="1464" spans="1:97" ht="19.5" customHeight="1" x14ac:dyDescent="0.25">
      <c r="A1464">
        <v>11466</v>
      </c>
      <c r="B1464" t="s">
        <v>4532</v>
      </c>
      <c r="D1464">
        <v>21.927768230000002</v>
      </c>
      <c r="E1464">
        <v>-79.562735050000001</v>
      </c>
      <c r="Q1464"/>
      <c r="R1464" t="s">
        <v>4501</v>
      </c>
      <c r="T1464" t="s">
        <v>3959</v>
      </c>
      <c r="U1464" t="s">
        <v>4221</v>
      </c>
      <c r="V1464"/>
      <c r="AN1464" t="s">
        <v>132</v>
      </c>
      <c r="CE146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6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6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64" s="35"/>
      <c r="CL1464" s="19">
        <f>IF(Table1[[#This Row],[Type]]="Petroleum",1,IF(ISERROR(Table1[[#This Row],[Well Density]]*Table1[[#This Row],[Single Well Discovery Area]]),"",IF(Table1[[#This Row],[Well Density]]*Table1[[#This Row],[Single Well Discovery Area]]&gt;1,1,Table1[[#This Row],[Well Density]]*Table1[[#This Row],[Single Well Discovery Area]])))</f>
        <v>0</v>
      </c>
      <c r="CM1464" t="s">
        <v>158</v>
      </c>
      <c r="CN1464" s="19">
        <f>Table1[[#This Row],[Mid]]</f>
        <v>0</v>
      </c>
      <c r="CO1464" s="19">
        <f>Table1[[#This Row],[Mid3]]+Table1[[#This Row],[Mid6]]+Table1[[#This Row],[Mid9]]</f>
        <v>0</v>
      </c>
      <c r="CP1464" s="19">
        <f>Table1[[#This Row],[Mid12]]+Table1[[#This Row],[Mid15]]+Table1[[#This Row],[Mid18]]+Table1[[#This Row],[Mid21]]+Table1[[#This Row],[Mid24]]</f>
        <v>0</v>
      </c>
      <c r="CQ1464" s="19">
        <f>Table1[[#This Row],[Mid27]]+Table1[[#This Row],[Mid30]]+Table1[[#This Row],[Mid33]]+Table1[[#This Row],[Mid36]]+Table1[[#This Row],[Mid39]]</f>
        <v>0</v>
      </c>
      <c r="CR1464" t="s">
        <v>471</v>
      </c>
      <c r="CS1464" s="19" t="str">
        <f>IF(AND(Table1[[#This Row],[Low41]]=0, Table1[[#This Row],[High43]]=0),"N","Y")</f>
        <v>N</v>
      </c>
    </row>
    <row r="1465" spans="1:97" ht="19.5" customHeight="1" x14ac:dyDescent="0.25">
      <c r="A1465">
        <v>11467</v>
      </c>
      <c r="B1465" t="s">
        <v>4533</v>
      </c>
      <c r="D1465">
        <v>18.810324139999999</v>
      </c>
      <c r="E1465">
        <v>-70.127993610000004</v>
      </c>
      <c r="Q1465"/>
      <c r="R1465" t="s">
        <v>4501</v>
      </c>
      <c r="T1465" t="s">
        <v>3959</v>
      </c>
      <c r="U1465" t="s">
        <v>4221</v>
      </c>
      <c r="V1465"/>
      <c r="AN1465" t="s">
        <v>132</v>
      </c>
      <c r="CE146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6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6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65" s="35"/>
      <c r="CL1465" s="19">
        <f>IF(Table1[[#This Row],[Type]]="Petroleum",1,IF(ISERROR(Table1[[#This Row],[Well Density]]*Table1[[#This Row],[Single Well Discovery Area]]),"",IF(Table1[[#This Row],[Well Density]]*Table1[[#This Row],[Single Well Discovery Area]]&gt;1,1,Table1[[#This Row],[Well Density]]*Table1[[#This Row],[Single Well Discovery Area]])))</f>
        <v>0</v>
      </c>
      <c r="CM1465" t="s">
        <v>158</v>
      </c>
      <c r="CN1465" s="19">
        <f>Table1[[#This Row],[Mid]]</f>
        <v>0</v>
      </c>
      <c r="CO1465" s="19">
        <f>Table1[[#This Row],[Mid3]]+Table1[[#This Row],[Mid6]]+Table1[[#This Row],[Mid9]]</f>
        <v>0</v>
      </c>
      <c r="CP1465" s="19">
        <f>Table1[[#This Row],[Mid12]]+Table1[[#This Row],[Mid15]]+Table1[[#This Row],[Mid18]]+Table1[[#This Row],[Mid21]]+Table1[[#This Row],[Mid24]]</f>
        <v>0</v>
      </c>
      <c r="CQ1465" s="19">
        <f>Table1[[#This Row],[Mid27]]+Table1[[#This Row],[Mid30]]+Table1[[#This Row],[Mid33]]+Table1[[#This Row],[Mid36]]+Table1[[#This Row],[Mid39]]</f>
        <v>0</v>
      </c>
      <c r="CR1465" t="s">
        <v>471</v>
      </c>
      <c r="CS1465" s="19" t="str">
        <f>IF(AND(Table1[[#This Row],[Low41]]=0, Table1[[#This Row],[High43]]=0),"N","Y")</f>
        <v>N</v>
      </c>
    </row>
    <row r="1466" spans="1:97" ht="19.5" customHeight="1" x14ac:dyDescent="0.25">
      <c r="A1466">
        <v>11468</v>
      </c>
      <c r="B1466" t="s">
        <v>4534</v>
      </c>
      <c r="D1466">
        <v>-1.3345352319999999</v>
      </c>
      <c r="E1466">
        <v>-82.549874189999997</v>
      </c>
      <c r="Q1466"/>
      <c r="R1466" t="s">
        <v>4501</v>
      </c>
      <c r="T1466" t="s">
        <v>3959</v>
      </c>
      <c r="U1466" t="s">
        <v>4221</v>
      </c>
      <c r="V1466"/>
      <c r="AN1466" t="s">
        <v>132</v>
      </c>
      <c r="CE146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6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6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66" s="35"/>
      <c r="CL1466" s="19">
        <f>IF(Table1[[#This Row],[Type]]="Petroleum",1,IF(ISERROR(Table1[[#This Row],[Well Density]]*Table1[[#This Row],[Single Well Discovery Area]]),"",IF(Table1[[#This Row],[Well Density]]*Table1[[#This Row],[Single Well Discovery Area]]&gt;1,1,Table1[[#This Row],[Well Density]]*Table1[[#This Row],[Single Well Discovery Area]])))</f>
        <v>0</v>
      </c>
      <c r="CM1466" t="s">
        <v>158</v>
      </c>
      <c r="CN1466" s="19">
        <f>Table1[[#This Row],[Mid]]</f>
        <v>0</v>
      </c>
      <c r="CO1466" s="19">
        <f>Table1[[#This Row],[Mid3]]+Table1[[#This Row],[Mid6]]+Table1[[#This Row],[Mid9]]</f>
        <v>0</v>
      </c>
      <c r="CP1466" s="19">
        <f>Table1[[#This Row],[Mid12]]+Table1[[#This Row],[Mid15]]+Table1[[#This Row],[Mid18]]+Table1[[#This Row],[Mid21]]+Table1[[#This Row],[Mid24]]</f>
        <v>0</v>
      </c>
      <c r="CQ1466" s="19">
        <f>Table1[[#This Row],[Mid27]]+Table1[[#This Row],[Mid30]]+Table1[[#This Row],[Mid33]]+Table1[[#This Row],[Mid36]]+Table1[[#This Row],[Mid39]]</f>
        <v>0</v>
      </c>
      <c r="CR1466" t="s">
        <v>471</v>
      </c>
      <c r="CS1466" s="19" t="str">
        <f>IF(AND(Table1[[#This Row],[Low41]]=0, Table1[[#This Row],[High43]]=0),"N","Y")</f>
        <v>N</v>
      </c>
    </row>
    <row r="1467" spans="1:97" ht="19.5" customHeight="1" x14ac:dyDescent="0.25">
      <c r="A1467">
        <v>11469</v>
      </c>
      <c r="B1467" t="s">
        <v>4535</v>
      </c>
      <c r="D1467">
        <v>13.57838931</v>
      </c>
      <c r="E1467">
        <v>-88.652030789999998</v>
      </c>
      <c r="Q1467"/>
      <c r="R1467" t="s">
        <v>4501</v>
      </c>
      <c r="T1467" t="s">
        <v>3959</v>
      </c>
      <c r="U1467" t="s">
        <v>4221</v>
      </c>
      <c r="V1467"/>
      <c r="AN1467" t="s">
        <v>132</v>
      </c>
      <c r="CE146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6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6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67" s="35"/>
      <c r="CL1467" s="19">
        <f>IF(Table1[[#This Row],[Type]]="Petroleum",1,IF(ISERROR(Table1[[#This Row],[Well Density]]*Table1[[#This Row],[Single Well Discovery Area]]),"",IF(Table1[[#This Row],[Well Density]]*Table1[[#This Row],[Single Well Discovery Area]]&gt;1,1,Table1[[#This Row],[Well Density]]*Table1[[#This Row],[Single Well Discovery Area]])))</f>
        <v>0</v>
      </c>
      <c r="CM1467" t="s">
        <v>158</v>
      </c>
      <c r="CN1467" s="19">
        <f>Table1[[#This Row],[Mid]]</f>
        <v>0</v>
      </c>
      <c r="CO1467" s="19">
        <f>Table1[[#This Row],[Mid3]]+Table1[[#This Row],[Mid6]]+Table1[[#This Row],[Mid9]]</f>
        <v>0</v>
      </c>
      <c r="CP1467" s="19">
        <f>Table1[[#This Row],[Mid12]]+Table1[[#This Row],[Mid15]]+Table1[[#This Row],[Mid18]]+Table1[[#This Row],[Mid21]]+Table1[[#This Row],[Mid24]]</f>
        <v>0</v>
      </c>
      <c r="CQ1467" s="19">
        <f>Table1[[#This Row],[Mid27]]+Table1[[#This Row],[Mid30]]+Table1[[#This Row],[Mid33]]+Table1[[#This Row],[Mid36]]+Table1[[#This Row],[Mid39]]</f>
        <v>0</v>
      </c>
      <c r="CR1467" t="s">
        <v>471</v>
      </c>
      <c r="CS1467" s="19" t="str">
        <f>IF(AND(Table1[[#This Row],[Low41]]=0, Table1[[#This Row],[High43]]=0),"N","Y")</f>
        <v>N</v>
      </c>
    </row>
    <row r="1468" spans="1:97" ht="19.5" customHeight="1" x14ac:dyDescent="0.25">
      <c r="A1468">
        <v>11470</v>
      </c>
      <c r="B1468" t="s">
        <v>4536</v>
      </c>
      <c r="D1468">
        <v>15.220009940000001</v>
      </c>
      <c r="E1468">
        <v>-90.185465829999998</v>
      </c>
      <c r="Q1468"/>
      <c r="R1468" t="s">
        <v>4501</v>
      </c>
      <c r="T1468" t="s">
        <v>3959</v>
      </c>
      <c r="U1468" t="s">
        <v>4221</v>
      </c>
      <c r="V1468"/>
      <c r="AN1468" t="s">
        <v>132</v>
      </c>
      <c r="CE146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68"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6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68" s="35"/>
      <c r="CL1468" s="19">
        <f>IF(Table1[[#This Row],[Type]]="Petroleum",1,IF(ISERROR(Table1[[#This Row],[Well Density]]*Table1[[#This Row],[Single Well Discovery Area]]),"",IF(Table1[[#This Row],[Well Density]]*Table1[[#This Row],[Single Well Discovery Area]]&gt;1,1,Table1[[#This Row],[Well Density]]*Table1[[#This Row],[Single Well Discovery Area]])))</f>
        <v>0</v>
      </c>
      <c r="CM1468" t="s">
        <v>158</v>
      </c>
      <c r="CN1468" s="19">
        <f>Table1[[#This Row],[Mid]]</f>
        <v>0</v>
      </c>
      <c r="CO1468" s="19">
        <f>Table1[[#This Row],[Mid3]]+Table1[[#This Row],[Mid6]]+Table1[[#This Row],[Mid9]]</f>
        <v>0</v>
      </c>
      <c r="CP1468" s="19">
        <f>Table1[[#This Row],[Mid12]]+Table1[[#This Row],[Mid15]]+Table1[[#This Row],[Mid18]]+Table1[[#This Row],[Mid21]]+Table1[[#This Row],[Mid24]]</f>
        <v>0</v>
      </c>
      <c r="CQ1468" s="19">
        <f>Table1[[#This Row],[Mid27]]+Table1[[#This Row],[Mid30]]+Table1[[#This Row],[Mid33]]+Table1[[#This Row],[Mid36]]+Table1[[#This Row],[Mid39]]</f>
        <v>0</v>
      </c>
      <c r="CR1468" t="s">
        <v>471</v>
      </c>
      <c r="CS1468" s="19" t="str">
        <f>IF(AND(Table1[[#This Row],[Low41]]=0, Table1[[#This Row],[High43]]=0),"N","Y")</f>
        <v>N</v>
      </c>
    </row>
    <row r="1469" spans="1:97" ht="19.5" customHeight="1" x14ac:dyDescent="0.25">
      <c r="A1469">
        <v>11471</v>
      </c>
      <c r="B1469" t="s">
        <v>4537</v>
      </c>
      <c r="D1469">
        <v>5.3733350839999998</v>
      </c>
      <c r="E1469">
        <v>-59.057490719999997</v>
      </c>
      <c r="Q1469"/>
      <c r="R1469" t="s">
        <v>4501</v>
      </c>
      <c r="T1469" t="s">
        <v>3959</v>
      </c>
      <c r="U1469" t="s">
        <v>4221</v>
      </c>
      <c r="V1469"/>
      <c r="AN1469" t="s">
        <v>132</v>
      </c>
      <c r="CE146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6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6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69" s="35"/>
      <c r="CL1469" s="19">
        <f>IF(Table1[[#This Row],[Type]]="Petroleum",1,IF(ISERROR(Table1[[#This Row],[Well Density]]*Table1[[#This Row],[Single Well Discovery Area]]),"",IF(Table1[[#This Row],[Well Density]]*Table1[[#This Row],[Single Well Discovery Area]]&gt;1,1,Table1[[#This Row],[Well Density]]*Table1[[#This Row],[Single Well Discovery Area]])))</f>
        <v>0</v>
      </c>
      <c r="CM1469" t="s">
        <v>158</v>
      </c>
      <c r="CN1469" s="19">
        <f>Table1[[#This Row],[Mid]]</f>
        <v>0</v>
      </c>
      <c r="CO1469" s="19">
        <f>Table1[[#This Row],[Mid3]]+Table1[[#This Row],[Mid6]]+Table1[[#This Row],[Mid9]]</f>
        <v>0</v>
      </c>
      <c r="CP1469" s="19">
        <f>Table1[[#This Row],[Mid12]]+Table1[[#This Row],[Mid15]]+Table1[[#This Row],[Mid18]]+Table1[[#This Row],[Mid21]]+Table1[[#This Row],[Mid24]]</f>
        <v>0</v>
      </c>
      <c r="CQ1469" s="19">
        <f>Table1[[#This Row],[Mid27]]+Table1[[#This Row],[Mid30]]+Table1[[#This Row],[Mid33]]+Table1[[#This Row],[Mid36]]+Table1[[#This Row],[Mid39]]</f>
        <v>0</v>
      </c>
      <c r="CR1469" t="s">
        <v>471</v>
      </c>
      <c r="CS1469" s="19" t="str">
        <f>IF(AND(Table1[[#This Row],[Low41]]=0, Table1[[#This Row],[High43]]=0),"N","Y")</f>
        <v>N</v>
      </c>
    </row>
    <row r="1470" spans="1:97" ht="19.5" customHeight="1" x14ac:dyDescent="0.25">
      <c r="A1470">
        <v>11472</v>
      </c>
      <c r="B1470" t="s">
        <v>4538</v>
      </c>
      <c r="D1470">
        <v>18.89614456</v>
      </c>
      <c r="E1470">
        <v>-72.691462470000005</v>
      </c>
      <c r="Q1470"/>
      <c r="R1470" t="s">
        <v>4501</v>
      </c>
      <c r="T1470" t="s">
        <v>3959</v>
      </c>
      <c r="U1470" t="s">
        <v>4221</v>
      </c>
      <c r="V1470"/>
      <c r="AN1470" t="s">
        <v>132</v>
      </c>
      <c r="CE147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7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7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70" s="35"/>
      <c r="CL1470" s="19">
        <f>IF(Table1[[#This Row],[Type]]="Petroleum",1,IF(ISERROR(Table1[[#This Row],[Well Density]]*Table1[[#This Row],[Single Well Discovery Area]]),"",IF(Table1[[#This Row],[Well Density]]*Table1[[#This Row],[Single Well Discovery Area]]&gt;1,1,Table1[[#This Row],[Well Density]]*Table1[[#This Row],[Single Well Discovery Area]])))</f>
        <v>0</v>
      </c>
      <c r="CM1470" t="s">
        <v>158</v>
      </c>
      <c r="CN1470" s="19">
        <f>Table1[[#This Row],[Mid]]</f>
        <v>0</v>
      </c>
      <c r="CO1470" s="19">
        <f>Table1[[#This Row],[Mid3]]+Table1[[#This Row],[Mid6]]+Table1[[#This Row],[Mid9]]</f>
        <v>0</v>
      </c>
      <c r="CP1470" s="19">
        <f>Table1[[#This Row],[Mid12]]+Table1[[#This Row],[Mid15]]+Table1[[#This Row],[Mid18]]+Table1[[#This Row],[Mid21]]+Table1[[#This Row],[Mid24]]</f>
        <v>0</v>
      </c>
      <c r="CQ1470" s="19">
        <f>Table1[[#This Row],[Mid27]]+Table1[[#This Row],[Mid30]]+Table1[[#This Row],[Mid33]]+Table1[[#This Row],[Mid36]]+Table1[[#This Row],[Mid39]]</f>
        <v>0</v>
      </c>
      <c r="CR1470" t="s">
        <v>471</v>
      </c>
      <c r="CS1470" s="19" t="str">
        <f>IF(AND(Table1[[#This Row],[Low41]]=0, Table1[[#This Row],[High43]]=0),"N","Y")</f>
        <v>N</v>
      </c>
    </row>
    <row r="1471" spans="1:97" ht="19.5" customHeight="1" x14ac:dyDescent="0.25">
      <c r="A1471">
        <v>11473</v>
      </c>
      <c r="B1471" t="s">
        <v>4539</v>
      </c>
      <c r="D1471">
        <v>14.875251069999999</v>
      </c>
      <c r="E1471">
        <v>-86.09911563</v>
      </c>
      <c r="Q1471"/>
      <c r="R1471" t="s">
        <v>4501</v>
      </c>
      <c r="T1471" t="s">
        <v>3959</v>
      </c>
      <c r="U1471" t="s">
        <v>4221</v>
      </c>
      <c r="V1471"/>
      <c r="AN1471" t="s">
        <v>132</v>
      </c>
      <c r="CE147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7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7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71" s="35"/>
      <c r="CL1471" s="19">
        <f>IF(Table1[[#This Row],[Type]]="Petroleum",1,IF(ISERROR(Table1[[#This Row],[Well Density]]*Table1[[#This Row],[Single Well Discovery Area]]),"",IF(Table1[[#This Row],[Well Density]]*Table1[[#This Row],[Single Well Discovery Area]]&gt;1,1,Table1[[#This Row],[Well Density]]*Table1[[#This Row],[Single Well Discovery Area]])))</f>
        <v>0</v>
      </c>
      <c r="CM1471" t="s">
        <v>158</v>
      </c>
      <c r="CN1471" s="19">
        <f>Table1[[#This Row],[Mid]]</f>
        <v>0</v>
      </c>
      <c r="CO1471" s="19">
        <f>Table1[[#This Row],[Mid3]]+Table1[[#This Row],[Mid6]]+Table1[[#This Row],[Mid9]]</f>
        <v>0</v>
      </c>
      <c r="CP1471" s="19">
        <f>Table1[[#This Row],[Mid12]]+Table1[[#This Row],[Mid15]]+Table1[[#This Row],[Mid18]]+Table1[[#This Row],[Mid21]]+Table1[[#This Row],[Mid24]]</f>
        <v>0</v>
      </c>
      <c r="CQ1471" s="19">
        <f>Table1[[#This Row],[Mid27]]+Table1[[#This Row],[Mid30]]+Table1[[#This Row],[Mid33]]+Table1[[#This Row],[Mid36]]+Table1[[#This Row],[Mid39]]</f>
        <v>0</v>
      </c>
      <c r="CR1471" t="s">
        <v>471</v>
      </c>
      <c r="CS1471" s="19" t="str">
        <f>IF(AND(Table1[[#This Row],[Low41]]=0, Table1[[#This Row],[High43]]=0),"N","Y")</f>
        <v>N</v>
      </c>
    </row>
    <row r="1472" spans="1:97" ht="19.5" customHeight="1" x14ac:dyDescent="0.25">
      <c r="A1472">
        <v>11474</v>
      </c>
      <c r="B1472" t="s">
        <v>4540</v>
      </c>
      <c r="D1472">
        <v>18.119760410000001</v>
      </c>
      <c r="E1472">
        <v>-77.208388499999998</v>
      </c>
      <c r="Q1472"/>
      <c r="R1472" t="s">
        <v>4501</v>
      </c>
      <c r="T1472" t="s">
        <v>3959</v>
      </c>
      <c r="U1472" t="s">
        <v>4221</v>
      </c>
      <c r="V1472"/>
      <c r="AN1472" t="s">
        <v>132</v>
      </c>
      <c r="CE147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7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7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72" s="35"/>
      <c r="CL1472" s="19">
        <f>IF(Table1[[#This Row],[Type]]="Petroleum",1,IF(ISERROR(Table1[[#This Row],[Well Density]]*Table1[[#This Row],[Single Well Discovery Area]]),"",IF(Table1[[#This Row],[Well Density]]*Table1[[#This Row],[Single Well Discovery Area]]&gt;1,1,Table1[[#This Row],[Well Density]]*Table1[[#This Row],[Single Well Discovery Area]])))</f>
        <v>0</v>
      </c>
      <c r="CM1472" t="s">
        <v>158</v>
      </c>
      <c r="CN1472" s="19">
        <f>Table1[[#This Row],[Mid]]</f>
        <v>0</v>
      </c>
      <c r="CO1472" s="19">
        <f>Table1[[#This Row],[Mid3]]+Table1[[#This Row],[Mid6]]+Table1[[#This Row],[Mid9]]</f>
        <v>0</v>
      </c>
      <c r="CP1472" s="19">
        <f>Table1[[#This Row],[Mid12]]+Table1[[#This Row],[Mid15]]+Table1[[#This Row],[Mid18]]+Table1[[#This Row],[Mid21]]+Table1[[#This Row],[Mid24]]</f>
        <v>0</v>
      </c>
      <c r="CQ1472" s="19">
        <f>Table1[[#This Row],[Mid27]]+Table1[[#This Row],[Mid30]]+Table1[[#This Row],[Mid33]]+Table1[[#This Row],[Mid36]]+Table1[[#This Row],[Mid39]]</f>
        <v>0</v>
      </c>
      <c r="CR1472" t="s">
        <v>471</v>
      </c>
      <c r="CS1472" s="19" t="str">
        <f>IF(AND(Table1[[#This Row],[Low41]]=0, Table1[[#This Row],[High43]]=0),"N","Y")</f>
        <v>N</v>
      </c>
    </row>
    <row r="1473" spans="1:97" ht="19.5" customHeight="1" x14ac:dyDescent="0.25">
      <c r="A1473">
        <v>11475</v>
      </c>
      <c r="B1473" t="s">
        <v>4541</v>
      </c>
      <c r="D1473">
        <v>13.073877169999999</v>
      </c>
      <c r="E1473">
        <v>-84.670469729999994</v>
      </c>
      <c r="Q1473"/>
      <c r="R1473" t="s">
        <v>4501</v>
      </c>
      <c r="T1473" t="s">
        <v>3959</v>
      </c>
      <c r="U1473" t="s">
        <v>4221</v>
      </c>
      <c r="V1473"/>
      <c r="AN1473" t="s">
        <v>132</v>
      </c>
      <c r="CE147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73"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7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73" s="35"/>
      <c r="CL1473" s="19">
        <f>IF(Table1[[#This Row],[Type]]="Petroleum",1,IF(ISERROR(Table1[[#This Row],[Well Density]]*Table1[[#This Row],[Single Well Discovery Area]]),"",IF(Table1[[#This Row],[Well Density]]*Table1[[#This Row],[Single Well Discovery Area]]&gt;1,1,Table1[[#This Row],[Well Density]]*Table1[[#This Row],[Single Well Discovery Area]])))</f>
        <v>0</v>
      </c>
      <c r="CM1473" t="s">
        <v>158</v>
      </c>
      <c r="CN1473" s="19">
        <f>Table1[[#This Row],[Mid]]</f>
        <v>0</v>
      </c>
      <c r="CO1473" s="19">
        <f>Table1[[#This Row],[Mid3]]+Table1[[#This Row],[Mid6]]+Table1[[#This Row],[Mid9]]</f>
        <v>0</v>
      </c>
      <c r="CP1473" s="19">
        <f>Table1[[#This Row],[Mid12]]+Table1[[#This Row],[Mid15]]+Table1[[#This Row],[Mid18]]+Table1[[#This Row],[Mid21]]+Table1[[#This Row],[Mid24]]</f>
        <v>0</v>
      </c>
      <c r="CQ1473" s="19">
        <f>Table1[[#This Row],[Mid27]]+Table1[[#This Row],[Mid30]]+Table1[[#This Row],[Mid33]]+Table1[[#This Row],[Mid36]]+Table1[[#This Row],[Mid39]]</f>
        <v>0</v>
      </c>
      <c r="CR1473" t="s">
        <v>471</v>
      </c>
      <c r="CS1473" s="19" t="str">
        <f>IF(AND(Table1[[#This Row],[Low41]]=0, Table1[[#This Row],[High43]]=0),"N","Y")</f>
        <v>N</v>
      </c>
    </row>
    <row r="1474" spans="1:97" ht="19.5" customHeight="1" x14ac:dyDescent="0.25">
      <c r="A1474">
        <v>11476</v>
      </c>
      <c r="B1474" t="s">
        <v>4542</v>
      </c>
      <c r="D1474">
        <v>8.6321262460000003</v>
      </c>
      <c r="E1474">
        <v>-80.277025010000003</v>
      </c>
      <c r="Q1474"/>
      <c r="R1474" t="s">
        <v>4501</v>
      </c>
      <c r="T1474" t="s">
        <v>3959</v>
      </c>
      <c r="U1474" t="s">
        <v>4221</v>
      </c>
      <c r="V1474"/>
      <c r="AN1474" t="s">
        <v>132</v>
      </c>
      <c r="CE147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7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7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74" s="35"/>
      <c r="CL1474" s="19">
        <f>IF(Table1[[#This Row],[Type]]="Petroleum",1,IF(ISERROR(Table1[[#This Row],[Well Density]]*Table1[[#This Row],[Single Well Discovery Area]]),"",IF(Table1[[#This Row],[Well Density]]*Table1[[#This Row],[Single Well Discovery Area]]&gt;1,1,Table1[[#This Row],[Well Density]]*Table1[[#This Row],[Single Well Discovery Area]])))</f>
        <v>0</v>
      </c>
      <c r="CM1474" t="s">
        <v>158</v>
      </c>
      <c r="CN1474" s="19">
        <f>Table1[[#This Row],[Mid]]</f>
        <v>0</v>
      </c>
      <c r="CO1474" s="19">
        <f>Table1[[#This Row],[Mid3]]+Table1[[#This Row],[Mid6]]+Table1[[#This Row],[Mid9]]</f>
        <v>0</v>
      </c>
      <c r="CP1474" s="19">
        <f>Table1[[#This Row],[Mid12]]+Table1[[#This Row],[Mid15]]+Table1[[#This Row],[Mid18]]+Table1[[#This Row],[Mid21]]+Table1[[#This Row],[Mid24]]</f>
        <v>0</v>
      </c>
      <c r="CQ1474" s="19">
        <f>Table1[[#This Row],[Mid27]]+Table1[[#This Row],[Mid30]]+Table1[[#This Row],[Mid33]]+Table1[[#This Row],[Mid36]]+Table1[[#This Row],[Mid39]]</f>
        <v>0</v>
      </c>
      <c r="CR1474" t="s">
        <v>471</v>
      </c>
      <c r="CS1474" s="19" t="str">
        <f>IF(AND(Table1[[#This Row],[Low41]]=0, Table1[[#This Row],[High43]]=0),"N","Y")</f>
        <v>N</v>
      </c>
    </row>
    <row r="1475" spans="1:97" ht="19.5" customHeight="1" x14ac:dyDescent="0.25">
      <c r="A1475">
        <v>11477</v>
      </c>
      <c r="B1475" t="s">
        <v>4543</v>
      </c>
      <c r="D1475">
        <v>4.23192112</v>
      </c>
      <c r="E1475">
        <v>-55.85533101</v>
      </c>
      <c r="Q1475"/>
      <c r="R1475" t="s">
        <v>4501</v>
      </c>
      <c r="T1475" t="s">
        <v>3959</v>
      </c>
      <c r="U1475" t="s">
        <v>4221</v>
      </c>
      <c r="V1475"/>
      <c r="AN1475" t="s">
        <v>132</v>
      </c>
      <c r="CE147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7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7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75" s="35"/>
      <c r="CL1475" s="19">
        <f>IF(Table1[[#This Row],[Type]]="Petroleum",1,IF(ISERROR(Table1[[#This Row],[Well Density]]*Table1[[#This Row],[Single Well Discovery Area]]),"",IF(Table1[[#This Row],[Well Density]]*Table1[[#This Row],[Single Well Discovery Area]]&gt;1,1,Table1[[#This Row],[Well Density]]*Table1[[#This Row],[Single Well Discovery Area]])))</f>
        <v>0</v>
      </c>
      <c r="CM1475" t="s">
        <v>158</v>
      </c>
      <c r="CN1475" s="19">
        <f>Table1[[#This Row],[Mid]]</f>
        <v>0</v>
      </c>
      <c r="CO1475" s="19">
        <f>Table1[[#This Row],[Mid3]]+Table1[[#This Row],[Mid6]]+Table1[[#This Row],[Mid9]]</f>
        <v>0</v>
      </c>
      <c r="CP1475" s="19">
        <f>Table1[[#This Row],[Mid12]]+Table1[[#This Row],[Mid15]]+Table1[[#This Row],[Mid18]]+Table1[[#This Row],[Mid21]]+Table1[[#This Row],[Mid24]]</f>
        <v>0</v>
      </c>
      <c r="CQ1475" s="19">
        <f>Table1[[#This Row],[Mid27]]+Table1[[#This Row],[Mid30]]+Table1[[#This Row],[Mid33]]+Table1[[#This Row],[Mid36]]+Table1[[#This Row],[Mid39]]</f>
        <v>0</v>
      </c>
      <c r="CR1475" t="s">
        <v>471</v>
      </c>
      <c r="CS1475" s="19" t="str">
        <f>IF(AND(Table1[[#This Row],[Low41]]=0, Table1[[#This Row],[High43]]=0),"N","Y")</f>
        <v>N</v>
      </c>
    </row>
    <row r="1476" spans="1:97" ht="19.5" customHeight="1" x14ac:dyDescent="0.25">
      <c r="A1476">
        <v>11478</v>
      </c>
      <c r="B1476" t="s">
        <v>4544</v>
      </c>
      <c r="D1476">
        <v>-33.007847939999998</v>
      </c>
      <c r="E1476">
        <v>-56.302935509999998</v>
      </c>
      <c r="Q1476"/>
      <c r="R1476" t="s">
        <v>4501</v>
      </c>
      <c r="T1476" t="s">
        <v>3959</v>
      </c>
      <c r="U1476" t="s">
        <v>4221</v>
      </c>
      <c r="V1476"/>
      <c r="AN1476" t="s">
        <v>132</v>
      </c>
      <c r="CE147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7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7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76" s="35"/>
      <c r="CL1476" s="19">
        <f>IF(Table1[[#This Row],[Type]]="Petroleum",1,IF(ISERROR(Table1[[#This Row],[Well Density]]*Table1[[#This Row],[Single Well Discovery Area]]),"",IF(Table1[[#This Row],[Well Density]]*Table1[[#This Row],[Single Well Discovery Area]]&gt;1,1,Table1[[#This Row],[Well Density]]*Table1[[#This Row],[Single Well Discovery Area]])))</f>
        <v>0</v>
      </c>
      <c r="CM1476" t="s">
        <v>158</v>
      </c>
      <c r="CN1476" s="19">
        <f>Table1[[#This Row],[Mid]]</f>
        <v>0</v>
      </c>
      <c r="CO1476" s="19">
        <f>Table1[[#This Row],[Mid3]]+Table1[[#This Row],[Mid6]]+Table1[[#This Row],[Mid9]]</f>
        <v>0</v>
      </c>
      <c r="CP1476" s="19">
        <f>Table1[[#This Row],[Mid12]]+Table1[[#This Row],[Mid15]]+Table1[[#This Row],[Mid18]]+Table1[[#This Row],[Mid21]]+Table1[[#This Row],[Mid24]]</f>
        <v>0</v>
      </c>
      <c r="CQ1476" s="19">
        <f>Table1[[#This Row],[Mid27]]+Table1[[#This Row],[Mid30]]+Table1[[#This Row],[Mid33]]+Table1[[#This Row],[Mid36]]+Table1[[#This Row],[Mid39]]</f>
        <v>0</v>
      </c>
      <c r="CR1476" t="s">
        <v>471</v>
      </c>
      <c r="CS1476" s="19" t="str">
        <f>IF(AND(Table1[[#This Row],[Low41]]=0, Table1[[#This Row],[High43]]=0),"N","Y")</f>
        <v>N</v>
      </c>
    </row>
    <row r="1477" spans="1:97" ht="19.5" customHeight="1" x14ac:dyDescent="0.25">
      <c r="A1477">
        <v>11479</v>
      </c>
      <c r="B1477" t="s">
        <v>4545</v>
      </c>
      <c r="D1477">
        <v>-23.689973869999999</v>
      </c>
      <c r="E1477">
        <v>-57.889164049999998</v>
      </c>
      <c r="Q1477"/>
      <c r="R1477" t="s">
        <v>4501</v>
      </c>
      <c r="T1477" t="s">
        <v>3959</v>
      </c>
      <c r="U1477" t="s">
        <v>4221</v>
      </c>
      <c r="V1477"/>
      <c r="AN1477" t="s">
        <v>132</v>
      </c>
      <c r="CE147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7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7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77" s="35"/>
      <c r="CL1477" s="19">
        <f>IF(Table1[[#This Row],[Type]]="Petroleum",1,IF(ISERROR(Table1[[#This Row],[Well Density]]*Table1[[#This Row],[Single Well Discovery Area]]),"",IF(Table1[[#This Row],[Well Density]]*Table1[[#This Row],[Single Well Discovery Area]]&gt;1,1,Table1[[#This Row],[Well Density]]*Table1[[#This Row],[Single Well Discovery Area]])))</f>
        <v>0</v>
      </c>
      <c r="CM1477" t="s">
        <v>158</v>
      </c>
      <c r="CN1477" s="19">
        <f>Table1[[#This Row],[Mid]]</f>
        <v>0</v>
      </c>
      <c r="CO1477" s="19">
        <f>Table1[[#This Row],[Mid3]]+Table1[[#This Row],[Mid6]]+Table1[[#This Row],[Mid9]]</f>
        <v>0</v>
      </c>
      <c r="CP1477" s="19">
        <f>Table1[[#This Row],[Mid12]]+Table1[[#This Row],[Mid15]]+Table1[[#This Row],[Mid18]]+Table1[[#This Row],[Mid21]]+Table1[[#This Row],[Mid24]]</f>
        <v>0</v>
      </c>
      <c r="CQ1477" s="19">
        <f>Table1[[#This Row],[Mid27]]+Table1[[#This Row],[Mid30]]+Table1[[#This Row],[Mid33]]+Table1[[#This Row],[Mid36]]+Table1[[#This Row],[Mid39]]</f>
        <v>0</v>
      </c>
      <c r="CR1477" t="s">
        <v>471</v>
      </c>
      <c r="CS1477" s="19" t="str">
        <f>IF(AND(Table1[[#This Row],[Low41]]=0, Table1[[#This Row],[High43]]=0),"N","Y")</f>
        <v>N</v>
      </c>
    </row>
    <row r="1478" spans="1:97" ht="19.5" customHeight="1" x14ac:dyDescent="0.25">
      <c r="A1478">
        <v>11480</v>
      </c>
      <c r="B1478" t="s">
        <v>4546</v>
      </c>
      <c r="D1478">
        <v>9.7319999999999993</v>
      </c>
      <c r="E1478">
        <v>-71.515000000000001</v>
      </c>
      <c r="F1478" t="s">
        <v>4624</v>
      </c>
      <c r="G1478" t="s">
        <v>4625</v>
      </c>
      <c r="H1478" t="s">
        <v>167</v>
      </c>
      <c r="I1478" t="s">
        <v>4626</v>
      </c>
      <c r="J1478" t="s">
        <v>202</v>
      </c>
      <c r="K1478" t="s">
        <v>203</v>
      </c>
      <c r="L1478" t="s">
        <v>121</v>
      </c>
      <c r="N1478" s="42" t="s">
        <v>4627</v>
      </c>
      <c r="O1478" t="s">
        <v>1150</v>
      </c>
      <c r="P1478" t="s">
        <v>1150</v>
      </c>
      <c r="Q1478" t="s">
        <v>2652</v>
      </c>
      <c r="R1478" t="s">
        <v>4628</v>
      </c>
      <c r="T1478" t="s">
        <v>3959</v>
      </c>
      <c r="U1478" t="s">
        <v>1479</v>
      </c>
      <c r="V1478"/>
      <c r="AN1478" t="s">
        <v>132</v>
      </c>
      <c r="BN1478">
        <v>2700</v>
      </c>
      <c r="CE147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78" s="19">
        <f>SUM(Table1[[#This Row],[Mid39]],Table1[[#This Row],[Mid36]],Table1[[#This Row],[Mid33]],Table1[[#This Row],[Mid30]],Table1[[#This Row],[Mid27]],Table1[[#This Row],[Mid24]],Table1[[#This Row],[Mid21]],Table1[[#This Row],[Mid18]],Table1[[#This Row],[Mid15]],Table1[[#This Row],[Mid12]],Table1[[#This Row],[Mid9]],Table1[[#This Row],[Mid6]],Table1[[#This Row],[Mid3]],Table1[[#This Row],[Mid]])</f>
        <v>2700</v>
      </c>
      <c r="CG147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78" s="35"/>
      <c r="CJ1478" t="s">
        <v>157</v>
      </c>
      <c r="CL1478" s="19">
        <f>IF(Table1[[#This Row],[Type]]="Petroleum",1,IF(ISERROR(Table1[[#This Row],[Well Density]]*Table1[[#This Row],[Single Well Discovery Area]]),"",IF(Table1[[#This Row],[Well Density]]*Table1[[#This Row],[Single Well Discovery Area]]&gt;1,1,Table1[[#This Row],[Well Density]]*Table1[[#This Row],[Single Well Discovery Area]])))</f>
        <v>1</v>
      </c>
      <c r="CM1478" t="s">
        <v>158</v>
      </c>
      <c r="CN1478" s="19">
        <f>Table1[[#This Row],[Mid]]</f>
        <v>0</v>
      </c>
      <c r="CO1478" s="19">
        <f>Table1[[#This Row],[Mid3]]+Table1[[#This Row],[Mid6]]+Table1[[#This Row],[Mid9]]</f>
        <v>0</v>
      </c>
      <c r="CP1478" s="19">
        <f>Table1[[#This Row],[Mid12]]+Table1[[#This Row],[Mid15]]+Table1[[#This Row],[Mid18]]+Table1[[#This Row],[Mid21]]+Table1[[#This Row],[Mid24]]</f>
        <v>2700</v>
      </c>
      <c r="CQ1478" s="19">
        <f>Table1[[#This Row],[Mid27]]+Table1[[#This Row],[Mid30]]+Table1[[#This Row],[Mid33]]+Table1[[#This Row],[Mid36]]+Table1[[#This Row],[Mid39]]</f>
        <v>0</v>
      </c>
      <c r="CR1478" t="s">
        <v>471</v>
      </c>
      <c r="CS1478" s="19" t="str">
        <f>IF(AND([3]!Table1[[#This Row],[455]]=0, [3]!Table1[[#This Row],[483]]=0),"N","Y")</f>
        <v>N</v>
      </c>
    </row>
    <row r="1479" spans="1:97" ht="19.5" customHeight="1" x14ac:dyDescent="0.25">
      <c r="A1479">
        <v>11481</v>
      </c>
      <c r="B1479" t="s">
        <v>4547</v>
      </c>
      <c r="D1479">
        <v>26.0427964</v>
      </c>
      <c r="E1479">
        <v>50.613743720000002</v>
      </c>
      <c r="Q1479"/>
      <c r="R1479" t="s">
        <v>4501</v>
      </c>
      <c r="T1479" t="s">
        <v>3959</v>
      </c>
      <c r="U1479" t="s">
        <v>4221</v>
      </c>
      <c r="V1479"/>
      <c r="AN1479" t="s">
        <v>132</v>
      </c>
      <c r="CE147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7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7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79" s="35"/>
      <c r="CL1479" s="19">
        <f>IF(Table1[[#This Row],[Type]]="Petroleum",1,IF(ISERROR(Table1[[#This Row],[Well Density]]*Table1[[#This Row],[Single Well Discovery Area]]),"",IF(Table1[[#This Row],[Well Density]]*Table1[[#This Row],[Single Well Discovery Area]]&gt;1,1,Table1[[#This Row],[Well Density]]*Table1[[#This Row],[Single Well Discovery Area]])))</f>
        <v>0</v>
      </c>
      <c r="CM1479" t="s">
        <v>158</v>
      </c>
      <c r="CN1479" s="19">
        <f>Table1[[#This Row],[Mid]]</f>
        <v>0</v>
      </c>
      <c r="CO1479" s="19">
        <f>Table1[[#This Row],[Mid3]]+Table1[[#This Row],[Mid6]]+Table1[[#This Row],[Mid9]]</f>
        <v>0</v>
      </c>
      <c r="CP1479" s="19">
        <f>Table1[[#This Row],[Mid12]]+Table1[[#This Row],[Mid15]]+Table1[[#This Row],[Mid18]]+Table1[[#This Row],[Mid21]]+Table1[[#This Row],[Mid24]]</f>
        <v>0</v>
      </c>
      <c r="CQ1479" s="19">
        <f>Table1[[#This Row],[Mid27]]+Table1[[#This Row],[Mid30]]+Table1[[#This Row],[Mid33]]+Table1[[#This Row],[Mid36]]+Table1[[#This Row],[Mid39]]</f>
        <v>0</v>
      </c>
      <c r="CR1479" t="s">
        <v>2308</v>
      </c>
      <c r="CS1479" s="19" t="str">
        <f>IF(AND(Table1[[#This Row],[Low41]]=0, Table1[[#This Row],[High43]]=0),"N","Y")</f>
        <v>N</v>
      </c>
    </row>
    <row r="1480" spans="1:97" ht="19.5" customHeight="1" x14ac:dyDescent="0.25">
      <c r="A1480">
        <v>11482</v>
      </c>
      <c r="B1480" t="s">
        <v>4548</v>
      </c>
      <c r="D1480">
        <v>67.400420479999994</v>
      </c>
      <c r="E1480">
        <v>89.558526090000001</v>
      </c>
      <c r="Q1480"/>
      <c r="R1480" t="s">
        <v>4501</v>
      </c>
      <c r="T1480" t="s">
        <v>3959</v>
      </c>
      <c r="U1480" t="s">
        <v>4221</v>
      </c>
      <c r="V1480"/>
      <c r="AN1480" t="s">
        <v>132</v>
      </c>
      <c r="CE148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8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8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80" s="35"/>
      <c r="CL1480" s="19">
        <f>IF(Table1[[#This Row],[Type]]="Petroleum",1,IF(ISERROR(Table1[[#This Row],[Well Density]]*Table1[[#This Row],[Single Well Discovery Area]]),"",IF(Table1[[#This Row],[Well Density]]*Table1[[#This Row],[Single Well Discovery Area]]&gt;1,1,Table1[[#This Row],[Well Density]]*Table1[[#This Row],[Single Well Discovery Area]])))</f>
        <v>0</v>
      </c>
      <c r="CM1480" t="s">
        <v>158</v>
      </c>
      <c r="CN1480" s="19">
        <f>Table1[[#This Row],[Mid]]</f>
        <v>0</v>
      </c>
      <c r="CO1480" s="19">
        <f>Table1[[#This Row],[Mid3]]+Table1[[#This Row],[Mid6]]+Table1[[#This Row],[Mid9]]</f>
        <v>0</v>
      </c>
      <c r="CP1480" s="19">
        <f>Table1[[#This Row],[Mid12]]+Table1[[#This Row],[Mid15]]+Table1[[#This Row],[Mid18]]+Table1[[#This Row],[Mid21]]+Table1[[#This Row],[Mid24]]</f>
        <v>0</v>
      </c>
      <c r="CQ1480" s="19">
        <f>Table1[[#This Row],[Mid27]]+Table1[[#This Row],[Mid30]]+Table1[[#This Row],[Mid33]]+Table1[[#This Row],[Mid36]]+Table1[[#This Row],[Mid39]]</f>
        <v>0</v>
      </c>
      <c r="CR1480" t="s">
        <v>415</v>
      </c>
      <c r="CS1480" s="19" t="str">
        <f>IF(AND(Table1[[#This Row],[Low41]]=0, Table1[[#This Row],[High43]]=0),"N","Y")</f>
        <v>N</v>
      </c>
    </row>
    <row r="1481" spans="1:97" ht="19.5" customHeight="1" x14ac:dyDescent="0.25">
      <c r="A1481">
        <v>11483</v>
      </c>
      <c r="B1481" t="s">
        <v>4549</v>
      </c>
      <c r="D1481">
        <v>-10.211404699999999</v>
      </c>
      <c r="E1481">
        <v>15.87168014</v>
      </c>
      <c r="Q1481"/>
      <c r="R1481" t="s">
        <v>4501</v>
      </c>
      <c r="T1481" t="s">
        <v>3959</v>
      </c>
      <c r="U1481" t="s">
        <v>4221</v>
      </c>
      <c r="V1481"/>
      <c r="AN1481" t="s">
        <v>132</v>
      </c>
      <c r="CE148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8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8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81" s="35"/>
      <c r="CL1481" s="19">
        <f>IF(Table1[[#This Row],[Type]]="Petroleum",1,IF(ISERROR(Table1[[#This Row],[Well Density]]*Table1[[#This Row],[Single Well Discovery Area]]),"",IF(Table1[[#This Row],[Well Density]]*Table1[[#This Row],[Single Well Discovery Area]]&gt;1,1,Table1[[#This Row],[Well Density]]*Table1[[#This Row],[Single Well Discovery Area]])))</f>
        <v>0</v>
      </c>
      <c r="CM1481" t="s">
        <v>158</v>
      </c>
      <c r="CN1481" s="19">
        <f>Table1[[#This Row],[Mid]]</f>
        <v>0</v>
      </c>
      <c r="CO1481" s="19">
        <f>Table1[[#This Row],[Mid3]]+Table1[[#This Row],[Mid6]]+Table1[[#This Row],[Mid9]]</f>
        <v>0</v>
      </c>
      <c r="CP1481" s="19">
        <f>Table1[[#This Row],[Mid12]]+Table1[[#This Row],[Mid15]]+Table1[[#This Row],[Mid18]]+Table1[[#This Row],[Mid21]]+Table1[[#This Row],[Mid24]]</f>
        <v>0</v>
      </c>
      <c r="CQ1481" s="19">
        <f>Table1[[#This Row],[Mid27]]+Table1[[#This Row],[Mid30]]+Table1[[#This Row],[Mid33]]+Table1[[#This Row],[Mid36]]+Table1[[#This Row],[Mid39]]</f>
        <v>0</v>
      </c>
      <c r="CR1481" t="s">
        <v>2317</v>
      </c>
      <c r="CS1481" s="19" t="str">
        <f>IF(AND(Table1[[#This Row],[Low41]]=0, Table1[[#This Row],[High43]]=0),"N","Y")</f>
        <v>N</v>
      </c>
    </row>
    <row r="1482" spans="1:97" ht="19.5" customHeight="1" x14ac:dyDescent="0.25">
      <c r="A1482">
        <v>11484</v>
      </c>
      <c r="B1482" t="s">
        <v>4550</v>
      </c>
      <c r="D1482">
        <v>9.5711738670000006</v>
      </c>
      <c r="E1482">
        <v>2.0293896899999999</v>
      </c>
      <c r="Q1482"/>
      <c r="R1482" t="s">
        <v>4501</v>
      </c>
      <c r="T1482" t="s">
        <v>3959</v>
      </c>
      <c r="U1482" t="s">
        <v>4221</v>
      </c>
      <c r="V1482"/>
      <c r="AN1482" t="s">
        <v>132</v>
      </c>
      <c r="CE148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8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8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82" s="35"/>
      <c r="CL1482" s="19">
        <f>IF(Table1[[#This Row],[Type]]="Petroleum",1,IF(ISERROR(Table1[[#This Row],[Well Density]]*Table1[[#This Row],[Single Well Discovery Area]]),"",IF(Table1[[#This Row],[Well Density]]*Table1[[#This Row],[Single Well Discovery Area]]&gt;1,1,Table1[[#This Row],[Well Density]]*Table1[[#This Row],[Single Well Discovery Area]])))</f>
        <v>0</v>
      </c>
      <c r="CM1482" t="s">
        <v>158</v>
      </c>
      <c r="CN1482" s="19">
        <f>Table1[[#This Row],[Mid]]</f>
        <v>0</v>
      </c>
      <c r="CO1482" s="19">
        <f>Table1[[#This Row],[Mid3]]+Table1[[#This Row],[Mid6]]+Table1[[#This Row],[Mid9]]</f>
        <v>0</v>
      </c>
      <c r="CP1482" s="19">
        <f>Table1[[#This Row],[Mid12]]+Table1[[#This Row],[Mid15]]+Table1[[#This Row],[Mid18]]+Table1[[#This Row],[Mid21]]+Table1[[#This Row],[Mid24]]</f>
        <v>0</v>
      </c>
      <c r="CQ1482" s="19">
        <f>Table1[[#This Row],[Mid27]]+Table1[[#This Row],[Mid30]]+Table1[[#This Row],[Mid33]]+Table1[[#This Row],[Mid36]]+Table1[[#This Row],[Mid39]]</f>
        <v>0</v>
      </c>
      <c r="CR1482" t="s">
        <v>2317</v>
      </c>
      <c r="CS1482" s="19" t="str">
        <f>IF(AND(Table1[[#This Row],[Low41]]=0, Table1[[#This Row],[High43]]=0),"N","Y")</f>
        <v>N</v>
      </c>
    </row>
    <row r="1483" spans="1:97" ht="19.5" customHeight="1" x14ac:dyDescent="0.25">
      <c r="A1483">
        <v>11485</v>
      </c>
      <c r="B1483" t="s">
        <v>4551</v>
      </c>
      <c r="D1483">
        <v>11.24705436</v>
      </c>
      <c r="E1483">
        <v>-2.7274171620000001</v>
      </c>
      <c r="Q1483"/>
      <c r="R1483" t="s">
        <v>4501</v>
      </c>
      <c r="T1483" t="s">
        <v>3959</v>
      </c>
      <c r="U1483" t="s">
        <v>4221</v>
      </c>
      <c r="V1483"/>
      <c r="AN1483" t="s">
        <v>132</v>
      </c>
      <c r="CE148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83"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8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83" s="35"/>
      <c r="CL1483" s="19">
        <f>IF(Table1[[#This Row],[Type]]="Petroleum",1,IF(ISERROR(Table1[[#This Row],[Well Density]]*Table1[[#This Row],[Single Well Discovery Area]]),"",IF(Table1[[#This Row],[Well Density]]*Table1[[#This Row],[Single Well Discovery Area]]&gt;1,1,Table1[[#This Row],[Well Density]]*Table1[[#This Row],[Single Well Discovery Area]])))</f>
        <v>0</v>
      </c>
      <c r="CM1483" t="s">
        <v>158</v>
      </c>
      <c r="CN1483" s="19">
        <f>Table1[[#This Row],[Mid]]</f>
        <v>0</v>
      </c>
      <c r="CO1483" s="19">
        <f>Table1[[#This Row],[Mid3]]+Table1[[#This Row],[Mid6]]+Table1[[#This Row],[Mid9]]</f>
        <v>0</v>
      </c>
      <c r="CP1483" s="19">
        <f>Table1[[#This Row],[Mid12]]+Table1[[#This Row],[Mid15]]+Table1[[#This Row],[Mid18]]+Table1[[#This Row],[Mid21]]+Table1[[#This Row],[Mid24]]</f>
        <v>0</v>
      </c>
      <c r="CQ1483" s="19">
        <f>Table1[[#This Row],[Mid27]]+Table1[[#This Row],[Mid30]]+Table1[[#This Row],[Mid33]]+Table1[[#This Row],[Mid36]]+Table1[[#This Row],[Mid39]]</f>
        <v>0</v>
      </c>
      <c r="CR1483" t="s">
        <v>2317</v>
      </c>
      <c r="CS1483" s="19" t="str">
        <f>IF(AND(Table1[[#This Row],[Low41]]=0, Table1[[#This Row],[High43]]=0),"N","Y")</f>
        <v>N</v>
      </c>
    </row>
    <row r="1484" spans="1:97" ht="19.5" customHeight="1" x14ac:dyDescent="0.25">
      <c r="A1484">
        <v>11486</v>
      </c>
      <c r="B1484" t="s">
        <v>4552</v>
      </c>
      <c r="D1484">
        <v>-3.18549601</v>
      </c>
      <c r="E1484">
        <v>29.936711890000002</v>
      </c>
      <c r="Q1484"/>
      <c r="R1484" t="s">
        <v>4501</v>
      </c>
      <c r="T1484" t="s">
        <v>3959</v>
      </c>
      <c r="U1484" t="s">
        <v>4221</v>
      </c>
      <c r="V1484"/>
      <c r="AN1484" t="s">
        <v>132</v>
      </c>
      <c r="CE148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8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8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84" s="35"/>
      <c r="CL1484" s="19">
        <f>IF(Table1[[#This Row],[Type]]="Petroleum",1,IF(ISERROR(Table1[[#This Row],[Well Density]]*Table1[[#This Row],[Single Well Discovery Area]]),"",IF(Table1[[#This Row],[Well Density]]*Table1[[#This Row],[Single Well Discovery Area]]&gt;1,1,Table1[[#This Row],[Well Density]]*Table1[[#This Row],[Single Well Discovery Area]])))</f>
        <v>0</v>
      </c>
      <c r="CM1484" t="s">
        <v>158</v>
      </c>
      <c r="CN1484" s="19">
        <f>Table1[[#This Row],[Mid]]</f>
        <v>0</v>
      </c>
      <c r="CO1484" s="19">
        <f>Table1[[#This Row],[Mid3]]+Table1[[#This Row],[Mid6]]+Table1[[#This Row],[Mid9]]</f>
        <v>0</v>
      </c>
      <c r="CP1484" s="19">
        <f>Table1[[#This Row],[Mid12]]+Table1[[#This Row],[Mid15]]+Table1[[#This Row],[Mid18]]+Table1[[#This Row],[Mid21]]+Table1[[#This Row],[Mid24]]</f>
        <v>0</v>
      </c>
      <c r="CQ1484" s="19">
        <f>Table1[[#This Row],[Mid27]]+Table1[[#This Row],[Mid30]]+Table1[[#This Row],[Mid33]]+Table1[[#This Row],[Mid36]]+Table1[[#This Row],[Mid39]]</f>
        <v>0</v>
      </c>
      <c r="CR1484" t="s">
        <v>2317</v>
      </c>
      <c r="CS1484" s="19" t="str">
        <f>IF(AND(Table1[[#This Row],[Low41]]=0, Table1[[#This Row],[High43]]=0),"N","Y")</f>
        <v>N</v>
      </c>
    </row>
    <row r="1485" spans="1:97" ht="19.5" customHeight="1" x14ac:dyDescent="0.25">
      <c r="A1485">
        <v>11487</v>
      </c>
      <c r="B1485" t="s">
        <v>4553</v>
      </c>
      <c r="D1485">
        <v>15.978098040000001</v>
      </c>
      <c r="E1485">
        <v>-24.024229089999999</v>
      </c>
      <c r="Q1485"/>
      <c r="R1485" t="s">
        <v>4501</v>
      </c>
      <c r="T1485" t="s">
        <v>3959</v>
      </c>
      <c r="U1485" t="s">
        <v>4221</v>
      </c>
      <c r="V1485"/>
      <c r="AN1485" t="s">
        <v>132</v>
      </c>
      <c r="CE148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8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8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85" s="35"/>
      <c r="CL1485" s="19">
        <f>IF(Table1[[#This Row],[Type]]="Petroleum",1,IF(ISERROR(Table1[[#This Row],[Well Density]]*Table1[[#This Row],[Single Well Discovery Area]]),"",IF(Table1[[#This Row],[Well Density]]*Table1[[#This Row],[Single Well Discovery Area]]&gt;1,1,Table1[[#This Row],[Well Density]]*Table1[[#This Row],[Single Well Discovery Area]])))</f>
        <v>0</v>
      </c>
      <c r="CM1485" t="s">
        <v>158</v>
      </c>
      <c r="CN1485" s="19">
        <f>Table1[[#This Row],[Mid]]</f>
        <v>0</v>
      </c>
      <c r="CO1485" s="19">
        <f>Table1[[#This Row],[Mid3]]+Table1[[#This Row],[Mid6]]+Table1[[#This Row],[Mid9]]</f>
        <v>0</v>
      </c>
      <c r="CP1485" s="19">
        <f>Table1[[#This Row],[Mid12]]+Table1[[#This Row],[Mid15]]+Table1[[#This Row],[Mid18]]+Table1[[#This Row],[Mid21]]+Table1[[#This Row],[Mid24]]</f>
        <v>0</v>
      </c>
      <c r="CQ1485" s="19">
        <f>Table1[[#This Row],[Mid27]]+Table1[[#This Row],[Mid30]]+Table1[[#This Row],[Mid33]]+Table1[[#This Row],[Mid36]]+Table1[[#This Row],[Mid39]]</f>
        <v>0</v>
      </c>
      <c r="CR1485" t="s">
        <v>2317</v>
      </c>
      <c r="CS1485" s="19" t="str">
        <f>IF(AND(Table1[[#This Row],[Low41]]=0, Table1[[#This Row],[High43]]=0),"N","Y")</f>
        <v>N</v>
      </c>
    </row>
    <row r="1486" spans="1:97" ht="19.5" customHeight="1" x14ac:dyDescent="0.25">
      <c r="A1486">
        <v>11488</v>
      </c>
      <c r="B1486" t="s">
        <v>4554</v>
      </c>
      <c r="D1486">
        <v>5.4181944590000004</v>
      </c>
      <c r="E1486">
        <v>11.426757179999999</v>
      </c>
      <c r="Q1486"/>
      <c r="R1486" t="s">
        <v>4501</v>
      </c>
      <c r="T1486" t="s">
        <v>3959</v>
      </c>
      <c r="U1486" t="s">
        <v>4221</v>
      </c>
      <c r="V1486"/>
      <c r="AN1486" t="s">
        <v>132</v>
      </c>
      <c r="CE148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8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8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86" s="35"/>
      <c r="CL1486" s="19">
        <f>IF(Table1[[#This Row],[Type]]="Petroleum",1,IF(ISERROR(Table1[[#This Row],[Well Density]]*Table1[[#This Row],[Single Well Discovery Area]]),"",IF(Table1[[#This Row],[Well Density]]*Table1[[#This Row],[Single Well Discovery Area]]&gt;1,1,Table1[[#This Row],[Well Density]]*Table1[[#This Row],[Single Well Discovery Area]])))</f>
        <v>0</v>
      </c>
      <c r="CM1486" t="s">
        <v>158</v>
      </c>
      <c r="CN1486" s="19">
        <f>Table1[[#This Row],[Mid]]</f>
        <v>0</v>
      </c>
      <c r="CO1486" s="19">
        <f>Table1[[#This Row],[Mid3]]+Table1[[#This Row],[Mid6]]+Table1[[#This Row],[Mid9]]</f>
        <v>0</v>
      </c>
      <c r="CP1486" s="19">
        <f>Table1[[#This Row],[Mid12]]+Table1[[#This Row],[Mid15]]+Table1[[#This Row],[Mid18]]+Table1[[#This Row],[Mid21]]+Table1[[#This Row],[Mid24]]</f>
        <v>0</v>
      </c>
      <c r="CQ1486" s="19">
        <f>Table1[[#This Row],[Mid27]]+Table1[[#This Row],[Mid30]]+Table1[[#This Row],[Mid33]]+Table1[[#This Row],[Mid36]]+Table1[[#This Row],[Mid39]]</f>
        <v>0</v>
      </c>
      <c r="CR1486" t="s">
        <v>2317</v>
      </c>
      <c r="CS1486" s="19" t="str">
        <f>IF(AND(Table1[[#This Row],[Low41]]=0, Table1[[#This Row],[High43]]=0),"N","Y")</f>
        <v>N</v>
      </c>
    </row>
    <row r="1487" spans="1:97" ht="19.5" customHeight="1" x14ac:dyDescent="0.25">
      <c r="A1487">
        <v>11489</v>
      </c>
      <c r="B1487" t="s">
        <v>4555</v>
      </c>
      <c r="D1487">
        <v>7.0714934830000002</v>
      </c>
      <c r="E1487">
        <v>21.206021320000001</v>
      </c>
      <c r="Q1487"/>
      <c r="R1487" t="s">
        <v>4501</v>
      </c>
      <c r="T1487" t="s">
        <v>3959</v>
      </c>
      <c r="U1487" t="s">
        <v>4221</v>
      </c>
      <c r="V1487"/>
      <c r="AN1487" t="s">
        <v>132</v>
      </c>
      <c r="CE148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8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8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87" s="35"/>
      <c r="CL1487" s="19">
        <f>IF(Table1[[#This Row],[Type]]="Petroleum",1,IF(ISERROR(Table1[[#This Row],[Well Density]]*Table1[[#This Row],[Single Well Discovery Area]]),"",IF(Table1[[#This Row],[Well Density]]*Table1[[#This Row],[Single Well Discovery Area]]&gt;1,1,Table1[[#This Row],[Well Density]]*Table1[[#This Row],[Single Well Discovery Area]])))</f>
        <v>0</v>
      </c>
      <c r="CM1487" t="s">
        <v>158</v>
      </c>
      <c r="CN1487" s="19">
        <f>Table1[[#This Row],[Mid]]</f>
        <v>0</v>
      </c>
      <c r="CO1487" s="19">
        <f>Table1[[#This Row],[Mid3]]+Table1[[#This Row],[Mid6]]+Table1[[#This Row],[Mid9]]</f>
        <v>0</v>
      </c>
      <c r="CP1487" s="19">
        <f>Table1[[#This Row],[Mid12]]+Table1[[#This Row],[Mid15]]+Table1[[#This Row],[Mid18]]+Table1[[#This Row],[Mid21]]+Table1[[#This Row],[Mid24]]</f>
        <v>0</v>
      </c>
      <c r="CQ1487" s="19">
        <f>Table1[[#This Row],[Mid27]]+Table1[[#This Row],[Mid30]]+Table1[[#This Row],[Mid33]]+Table1[[#This Row],[Mid36]]+Table1[[#This Row],[Mid39]]</f>
        <v>0</v>
      </c>
      <c r="CR1487" t="s">
        <v>2317</v>
      </c>
      <c r="CS1487" s="19" t="str">
        <f>IF(AND(Table1[[#This Row],[Low41]]=0, Table1[[#This Row],[High43]]=0),"N","Y")</f>
        <v>N</v>
      </c>
    </row>
    <row r="1488" spans="1:97" ht="19.5" customHeight="1" x14ac:dyDescent="0.25">
      <c r="A1488">
        <v>11490</v>
      </c>
      <c r="B1488" t="s">
        <v>4556</v>
      </c>
      <c r="D1488">
        <v>10.69109512</v>
      </c>
      <c r="E1488">
        <v>19.17293922</v>
      </c>
      <c r="Q1488"/>
      <c r="R1488" t="s">
        <v>4501</v>
      </c>
      <c r="T1488" t="s">
        <v>3959</v>
      </c>
      <c r="U1488" t="s">
        <v>4221</v>
      </c>
      <c r="V1488"/>
      <c r="AN1488" t="s">
        <v>132</v>
      </c>
      <c r="CE148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88"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8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88" s="35"/>
      <c r="CL1488" s="19">
        <f>IF(Table1[[#This Row],[Type]]="Petroleum",1,IF(ISERROR(Table1[[#This Row],[Well Density]]*Table1[[#This Row],[Single Well Discovery Area]]),"",IF(Table1[[#This Row],[Well Density]]*Table1[[#This Row],[Single Well Discovery Area]]&gt;1,1,Table1[[#This Row],[Well Density]]*Table1[[#This Row],[Single Well Discovery Area]])))</f>
        <v>0</v>
      </c>
      <c r="CM1488" t="s">
        <v>158</v>
      </c>
      <c r="CN1488" s="19">
        <f>Table1[[#This Row],[Mid]]</f>
        <v>0</v>
      </c>
      <c r="CO1488" s="19">
        <f>Table1[[#This Row],[Mid3]]+Table1[[#This Row],[Mid6]]+Table1[[#This Row],[Mid9]]</f>
        <v>0</v>
      </c>
      <c r="CP1488" s="19">
        <f>Table1[[#This Row],[Mid12]]+Table1[[#This Row],[Mid15]]+Table1[[#This Row],[Mid18]]+Table1[[#This Row],[Mid21]]+Table1[[#This Row],[Mid24]]</f>
        <v>0</v>
      </c>
      <c r="CQ1488" s="19">
        <f>Table1[[#This Row],[Mid27]]+Table1[[#This Row],[Mid30]]+Table1[[#This Row],[Mid33]]+Table1[[#This Row],[Mid36]]+Table1[[#This Row],[Mid39]]</f>
        <v>0</v>
      </c>
      <c r="CR1488" t="s">
        <v>2317</v>
      </c>
      <c r="CS1488" s="19" t="str">
        <f>IF(AND(Table1[[#This Row],[Low41]]=0, Table1[[#This Row],[High43]]=0),"N","Y")</f>
        <v>N</v>
      </c>
    </row>
    <row r="1489" spans="1:97" ht="19.5" customHeight="1" x14ac:dyDescent="0.25">
      <c r="A1489">
        <v>11491</v>
      </c>
      <c r="B1489" t="s">
        <v>4557</v>
      </c>
      <c r="D1489">
        <v>-12.06303261</v>
      </c>
      <c r="E1489">
        <v>43.80544544</v>
      </c>
      <c r="Q1489"/>
      <c r="R1489" t="s">
        <v>4501</v>
      </c>
      <c r="T1489" t="s">
        <v>3959</v>
      </c>
      <c r="U1489" t="s">
        <v>4221</v>
      </c>
      <c r="V1489"/>
      <c r="AN1489" t="s">
        <v>132</v>
      </c>
      <c r="CE148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8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8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89" s="35"/>
      <c r="CL1489" s="19">
        <f>IF(Table1[[#This Row],[Type]]="Petroleum",1,IF(ISERROR(Table1[[#This Row],[Well Density]]*Table1[[#This Row],[Single Well Discovery Area]]),"",IF(Table1[[#This Row],[Well Density]]*Table1[[#This Row],[Single Well Discovery Area]]&gt;1,1,Table1[[#This Row],[Well Density]]*Table1[[#This Row],[Single Well Discovery Area]])))</f>
        <v>0</v>
      </c>
      <c r="CM1489" t="s">
        <v>158</v>
      </c>
      <c r="CN1489" s="19">
        <f>Table1[[#This Row],[Mid]]</f>
        <v>0</v>
      </c>
      <c r="CO1489" s="19">
        <f>Table1[[#This Row],[Mid3]]+Table1[[#This Row],[Mid6]]+Table1[[#This Row],[Mid9]]</f>
        <v>0</v>
      </c>
      <c r="CP1489" s="19">
        <f>Table1[[#This Row],[Mid12]]+Table1[[#This Row],[Mid15]]+Table1[[#This Row],[Mid18]]+Table1[[#This Row],[Mid21]]+Table1[[#This Row],[Mid24]]</f>
        <v>0</v>
      </c>
      <c r="CQ1489" s="19">
        <f>Table1[[#This Row],[Mid27]]+Table1[[#This Row],[Mid30]]+Table1[[#This Row],[Mid33]]+Table1[[#This Row],[Mid36]]+Table1[[#This Row],[Mid39]]</f>
        <v>0</v>
      </c>
      <c r="CR1489" t="s">
        <v>2317</v>
      </c>
      <c r="CS1489" s="19" t="str">
        <f>IF(AND(Table1[[#This Row],[Low41]]=0, Table1[[#This Row],[High43]]=0),"N","Y")</f>
        <v>N</v>
      </c>
    </row>
    <row r="1490" spans="1:97" ht="19.5" customHeight="1" x14ac:dyDescent="0.25">
      <c r="A1490">
        <v>11492</v>
      </c>
      <c r="B1490" t="s">
        <v>4558</v>
      </c>
      <c r="D1490">
        <v>-3.621538374</v>
      </c>
      <c r="E1490">
        <v>22.534780189999999</v>
      </c>
      <c r="Q1490"/>
      <c r="R1490" t="s">
        <v>4501</v>
      </c>
      <c r="T1490" t="s">
        <v>3959</v>
      </c>
      <c r="U1490" t="s">
        <v>4221</v>
      </c>
      <c r="V1490"/>
      <c r="AN1490" t="s">
        <v>132</v>
      </c>
      <c r="CE149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9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9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90" s="35"/>
      <c r="CL1490" s="19">
        <f>IF(Table1[[#This Row],[Type]]="Petroleum",1,IF(ISERROR(Table1[[#This Row],[Well Density]]*Table1[[#This Row],[Single Well Discovery Area]]),"",IF(Table1[[#This Row],[Well Density]]*Table1[[#This Row],[Single Well Discovery Area]]&gt;1,1,Table1[[#This Row],[Well Density]]*Table1[[#This Row],[Single Well Discovery Area]])))</f>
        <v>0</v>
      </c>
      <c r="CM1490" t="s">
        <v>158</v>
      </c>
      <c r="CN1490" s="19">
        <f>Table1[[#This Row],[Mid]]</f>
        <v>0</v>
      </c>
      <c r="CO1490" s="19">
        <f>Table1[[#This Row],[Mid3]]+Table1[[#This Row],[Mid6]]+Table1[[#This Row],[Mid9]]</f>
        <v>0</v>
      </c>
      <c r="CP1490" s="19">
        <f>Table1[[#This Row],[Mid12]]+Table1[[#This Row],[Mid15]]+Table1[[#This Row],[Mid18]]+Table1[[#This Row],[Mid21]]+Table1[[#This Row],[Mid24]]</f>
        <v>0</v>
      </c>
      <c r="CQ1490" s="19">
        <f>Table1[[#This Row],[Mid27]]+Table1[[#This Row],[Mid30]]+Table1[[#This Row],[Mid33]]+Table1[[#This Row],[Mid36]]+Table1[[#This Row],[Mid39]]</f>
        <v>0</v>
      </c>
      <c r="CR1490" t="s">
        <v>2317</v>
      </c>
      <c r="CS1490" s="19" t="str">
        <f>IF(AND(Table1[[#This Row],[Low41]]=0, Table1[[#This Row],[High43]]=0),"N","Y")</f>
        <v>N</v>
      </c>
    </row>
    <row r="1491" spans="1:97" ht="19.5" customHeight="1" x14ac:dyDescent="0.25">
      <c r="A1491">
        <v>11493</v>
      </c>
      <c r="B1491" t="s">
        <v>4559</v>
      </c>
      <c r="D1491">
        <v>-1.1861734159999999</v>
      </c>
      <c r="E1491">
        <v>13.76252744</v>
      </c>
      <c r="Q1491"/>
      <c r="R1491" t="s">
        <v>4501</v>
      </c>
      <c r="T1491" t="s">
        <v>3959</v>
      </c>
      <c r="U1491" t="s">
        <v>4221</v>
      </c>
      <c r="V1491"/>
      <c r="AN1491" t="s">
        <v>132</v>
      </c>
      <c r="CE149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9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9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91" s="35"/>
      <c r="CL1491" s="19">
        <f>IF(Table1[[#This Row],[Type]]="Petroleum",1,IF(ISERROR(Table1[[#This Row],[Well Density]]*Table1[[#This Row],[Single Well Discovery Area]]),"",IF(Table1[[#This Row],[Well Density]]*Table1[[#This Row],[Single Well Discovery Area]]&gt;1,1,Table1[[#This Row],[Well Density]]*Table1[[#This Row],[Single Well Discovery Area]])))</f>
        <v>0</v>
      </c>
      <c r="CM1491" t="s">
        <v>158</v>
      </c>
      <c r="CN1491" s="19">
        <f>Table1[[#This Row],[Mid]]</f>
        <v>0</v>
      </c>
      <c r="CO1491" s="19">
        <f>Table1[[#This Row],[Mid3]]+Table1[[#This Row],[Mid6]]+Table1[[#This Row],[Mid9]]</f>
        <v>0</v>
      </c>
      <c r="CP1491" s="19">
        <f>Table1[[#This Row],[Mid12]]+Table1[[#This Row],[Mid15]]+Table1[[#This Row],[Mid18]]+Table1[[#This Row],[Mid21]]+Table1[[#This Row],[Mid24]]</f>
        <v>0</v>
      </c>
      <c r="CQ1491" s="19">
        <f>Table1[[#This Row],[Mid27]]+Table1[[#This Row],[Mid30]]+Table1[[#This Row],[Mid33]]+Table1[[#This Row],[Mid36]]+Table1[[#This Row],[Mid39]]</f>
        <v>0</v>
      </c>
      <c r="CR1491" t="s">
        <v>2317</v>
      </c>
      <c r="CS1491" s="19" t="str">
        <f>IF(AND(Table1[[#This Row],[Low41]]=0, Table1[[#This Row],[High43]]=0),"N","Y")</f>
        <v>N</v>
      </c>
    </row>
    <row r="1492" spans="1:97" ht="19.5" customHeight="1" x14ac:dyDescent="0.25">
      <c r="A1492">
        <v>11494</v>
      </c>
      <c r="B1492" t="s">
        <v>4560</v>
      </c>
      <c r="D1492">
        <v>11.76502234</v>
      </c>
      <c r="E1492">
        <v>42.851567060000001</v>
      </c>
      <c r="Q1492"/>
      <c r="R1492" t="s">
        <v>4501</v>
      </c>
      <c r="T1492" t="s">
        <v>3959</v>
      </c>
      <c r="U1492" t="s">
        <v>4221</v>
      </c>
      <c r="V1492"/>
      <c r="AN1492" t="s">
        <v>132</v>
      </c>
      <c r="CE149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9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9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92" s="35"/>
      <c r="CL1492" s="19">
        <f>IF(Table1[[#This Row],[Type]]="Petroleum",1,IF(ISERROR(Table1[[#This Row],[Well Density]]*Table1[[#This Row],[Single Well Discovery Area]]),"",IF(Table1[[#This Row],[Well Density]]*Table1[[#This Row],[Single Well Discovery Area]]&gt;1,1,Table1[[#This Row],[Well Density]]*Table1[[#This Row],[Single Well Discovery Area]])))</f>
        <v>0</v>
      </c>
      <c r="CM1492" t="s">
        <v>158</v>
      </c>
      <c r="CN1492" s="19">
        <f>Table1[[#This Row],[Mid]]</f>
        <v>0</v>
      </c>
      <c r="CO1492" s="19">
        <f>Table1[[#This Row],[Mid3]]+Table1[[#This Row],[Mid6]]+Table1[[#This Row],[Mid9]]</f>
        <v>0</v>
      </c>
      <c r="CP1492" s="19">
        <f>Table1[[#This Row],[Mid12]]+Table1[[#This Row],[Mid15]]+Table1[[#This Row],[Mid18]]+Table1[[#This Row],[Mid21]]+Table1[[#This Row],[Mid24]]</f>
        <v>0</v>
      </c>
      <c r="CQ1492" s="19">
        <f>Table1[[#This Row],[Mid27]]+Table1[[#This Row],[Mid30]]+Table1[[#This Row],[Mid33]]+Table1[[#This Row],[Mid36]]+Table1[[#This Row],[Mid39]]</f>
        <v>0</v>
      </c>
      <c r="CR1492" t="s">
        <v>2317</v>
      </c>
      <c r="CS1492" s="19" t="str">
        <f>IF(AND(Table1[[#This Row],[Low41]]=0, Table1[[#This Row],[High43]]=0),"N","Y")</f>
        <v>N</v>
      </c>
    </row>
    <row r="1493" spans="1:97" ht="19.5" customHeight="1" x14ac:dyDescent="0.25">
      <c r="A1493">
        <v>11495</v>
      </c>
      <c r="B1493" t="s">
        <v>4561</v>
      </c>
      <c r="D1493">
        <v>1.912857845</v>
      </c>
      <c r="E1493">
        <v>9.3150861939999992</v>
      </c>
      <c r="Q1493"/>
      <c r="R1493" t="s">
        <v>4501</v>
      </c>
      <c r="T1493" t="s">
        <v>3959</v>
      </c>
      <c r="U1493" t="s">
        <v>4221</v>
      </c>
      <c r="V1493"/>
      <c r="AN1493" t="s">
        <v>132</v>
      </c>
      <c r="CE149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93"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9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93" s="35"/>
      <c r="CL1493" s="19">
        <f>IF(Table1[[#This Row],[Type]]="Petroleum",1,IF(ISERROR(Table1[[#This Row],[Well Density]]*Table1[[#This Row],[Single Well Discovery Area]]),"",IF(Table1[[#This Row],[Well Density]]*Table1[[#This Row],[Single Well Discovery Area]]&gt;1,1,Table1[[#This Row],[Well Density]]*Table1[[#This Row],[Single Well Discovery Area]])))</f>
        <v>0</v>
      </c>
      <c r="CM1493" t="s">
        <v>158</v>
      </c>
      <c r="CN1493" s="19">
        <f>Table1[[#This Row],[Mid]]</f>
        <v>0</v>
      </c>
      <c r="CO1493" s="19">
        <f>Table1[[#This Row],[Mid3]]+Table1[[#This Row],[Mid6]]+Table1[[#This Row],[Mid9]]</f>
        <v>0</v>
      </c>
      <c r="CP1493" s="19">
        <f>Table1[[#This Row],[Mid12]]+Table1[[#This Row],[Mid15]]+Table1[[#This Row],[Mid18]]+Table1[[#This Row],[Mid21]]+Table1[[#This Row],[Mid24]]</f>
        <v>0</v>
      </c>
      <c r="CQ1493" s="19">
        <f>Table1[[#This Row],[Mid27]]+Table1[[#This Row],[Mid30]]+Table1[[#This Row],[Mid33]]+Table1[[#This Row],[Mid36]]+Table1[[#This Row],[Mid39]]</f>
        <v>0</v>
      </c>
      <c r="CR1493" t="s">
        <v>2317</v>
      </c>
      <c r="CS1493" s="19" t="str">
        <f>IF(AND(Table1[[#This Row],[Low41]]=0, Table1[[#This Row],[High43]]=0),"N","Y")</f>
        <v>N</v>
      </c>
    </row>
    <row r="1494" spans="1:97" ht="19.5" customHeight="1" x14ac:dyDescent="0.25">
      <c r="A1494">
        <v>11496</v>
      </c>
      <c r="B1494" t="s">
        <v>4562</v>
      </c>
      <c r="D1494">
        <v>15.01906393</v>
      </c>
      <c r="E1494">
        <v>40.366474359999998</v>
      </c>
      <c r="Q1494"/>
      <c r="R1494" t="s">
        <v>4501</v>
      </c>
      <c r="T1494" t="s">
        <v>3959</v>
      </c>
      <c r="U1494" t="s">
        <v>4221</v>
      </c>
      <c r="V1494"/>
      <c r="AN1494" t="s">
        <v>132</v>
      </c>
      <c r="CE149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9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9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94" s="35"/>
      <c r="CL1494" s="19">
        <f>IF(Table1[[#This Row],[Type]]="Petroleum",1,IF(ISERROR(Table1[[#This Row],[Well Density]]*Table1[[#This Row],[Single Well Discovery Area]]),"",IF(Table1[[#This Row],[Well Density]]*Table1[[#This Row],[Single Well Discovery Area]]&gt;1,1,Table1[[#This Row],[Well Density]]*Table1[[#This Row],[Single Well Discovery Area]])))</f>
        <v>0</v>
      </c>
      <c r="CM1494" t="s">
        <v>158</v>
      </c>
      <c r="CN1494" s="19">
        <f>Table1[[#This Row],[Mid]]</f>
        <v>0</v>
      </c>
      <c r="CO1494" s="19">
        <f>Table1[[#This Row],[Mid3]]+Table1[[#This Row],[Mid6]]+Table1[[#This Row],[Mid9]]</f>
        <v>0</v>
      </c>
      <c r="CP1494" s="19">
        <f>Table1[[#This Row],[Mid12]]+Table1[[#This Row],[Mid15]]+Table1[[#This Row],[Mid18]]+Table1[[#This Row],[Mid21]]+Table1[[#This Row],[Mid24]]</f>
        <v>0</v>
      </c>
      <c r="CQ1494" s="19">
        <f>Table1[[#This Row],[Mid27]]+Table1[[#This Row],[Mid30]]+Table1[[#This Row],[Mid33]]+Table1[[#This Row],[Mid36]]+Table1[[#This Row],[Mid39]]</f>
        <v>0</v>
      </c>
      <c r="CR1494" t="s">
        <v>2317</v>
      </c>
      <c r="CS1494" s="19" t="str">
        <f>IF(AND(Table1[[#This Row],[Low41]]=0, Table1[[#This Row],[High43]]=0),"N","Y")</f>
        <v>N</v>
      </c>
    </row>
    <row r="1495" spans="1:97" ht="19.5" customHeight="1" x14ac:dyDescent="0.25">
      <c r="A1495">
        <v>11497</v>
      </c>
      <c r="B1495" t="s">
        <v>4563</v>
      </c>
      <c r="D1495">
        <v>-26.721684870000001</v>
      </c>
      <c r="E1495">
        <v>31.44812056</v>
      </c>
      <c r="Q1495"/>
      <c r="R1495" t="s">
        <v>4501</v>
      </c>
      <c r="T1495" t="s">
        <v>3959</v>
      </c>
      <c r="U1495" t="s">
        <v>4221</v>
      </c>
      <c r="V1495"/>
      <c r="AN1495" t="s">
        <v>132</v>
      </c>
      <c r="CE149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9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9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95" s="35"/>
      <c r="CL1495" s="19">
        <f>IF(Table1[[#This Row],[Type]]="Petroleum",1,IF(ISERROR(Table1[[#This Row],[Well Density]]*Table1[[#This Row],[Single Well Discovery Area]]),"",IF(Table1[[#This Row],[Well Density]]*Table1[[#This Row],[Single Well Discovery Area]]&gt;1,1,Table1[[#This Row],[Well Density]]*Table1[[#This Row],[Single Well Discovery Area]])))</f>
        <v>0</v>
      </c>
      <c r="CM1495" t="s">
        <v>158</v>
      </c>
      <c r="CN1495" s="19">
        <f>Table1[[#This Row],[Mid]]</f>
        <v>0</v>
      </c>
      <c r="CO1495" s="19">
        <f>Table1[[#This Row],[Mid3]]+Table1[[#This Row],[Mid6]]+Table1[[#This Row],[Mid9]]</f>
        <v>0</v>
      </c>
      <c r="CP1495" s="19">
        <f>Table1[[#This Row],[Mid12]]+Table1[[#This Row],[Mid15]]+Table1[[#This Row],[Mid18]]+Table1[[#This Row],[Mid21]]+Table1[[#This Row],[Mid24]]</f>
        <v>0</v>
      </c>
      <c r="CQ1495" s="19">
        <f>Table1[[#This Row],[Mid27]]+Table1[[#This Row],[Mid30]]+Table1[[#This Row],[Mid33]]+Table1[[#This Row],[Mid36]]+Table1[[#This Row],[Mid39]]</f>
        <v>0</v>
      </c>
      <c r="CR1495" t="s">
        <v>2317</v>
      </c>
      <c r="CS1495" s="19" t="str">
        <f>IF(AND(Table1[[#This Row],[Low41]]=0, Table1[[#This Row],[High43]]=0),"N","Y")</f>
        <v>N</v>
      </c>
    </row>
    <row r="1496" spans="1:97" ht="19.5" customHeight="1" x14ac:dyDescent="0.25">
      <c r="A1496">
        <v>11498</v>
      </c>
      <c r="B1496" t="s">
        <v>4564</v>
      </c>
      <c r="D1496">
        <v>8.8972457939999998</v>
      </c>
      <c r="E1496">
        <v>37.118815300000001</v>
      </c>
      <c r="Q1496"/>
      <c r="R1496" t="s">
        <v>4501</v>
      </c>
      <c r="T1496" t="s">
        <v>3959</v>
      </c>
      <c r="U1496" t="s">
        <v>4221</v>
      </c>
      <c r="V1496"/>
      <c r="AN1496" t="s">
        <v>132</v>
      </c>
      <c r="CE149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9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9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96" s="35"/>
      <c r="CL1496" s="19">
        <f>IF(Table1[[#This Row],[Type]]="Petroleum",1,IF(ISERROR(Table1[[#This Row],[Well Density]]*Table1[[#This Row],[Single Well Discovery Area]]),"",IF(Table1[[#This Row],[Well Density]]*Table1[[#This Row],[Single Well Discovery Area]]&gt;1,1,Table1[[#This Row],[Well Density]]*Table1[[#This Row],[Single Well Discovery Area]])))</f>
        <v>0</v>
      </c>
      <c r="CM1496" t="s">
        <v>158</v>
      </c>
      <c r="CN1496" s="19">
        <f>Table1[[#This Row],[Mid]]</f>
        <v>0</v>
      </c>
      <c r="CO1496" s="19">
        <f>Table1[[#This Row],[Mid3]]+Table1[[#This Row],[Mid6]]+Table1[[#This Row],[Mid9]]</f>
        <v>0</v>
      </c>
      <c r="CP1496" s="19">
        <f>Table1[[#This Row],[Mid12]]+Table1[[#This Row],[Mid15]]+Table1[[#This Row],[Mid18]]+Table1[[#This Row],[Mid21]]+Table1[[#This Row],[Mid24]]</f>
        <v>0</v>
      </c>
      <c r="CQ1496" s="19">
        <f>Table1[[#This Row],[Mid27]]+Table1[[#This Row],[Mid30]]+Table1[[#This Row],[Mid33]]+Table1[[#This Row],[Mid36]]+Table1[[#This Row],[Mid39]]</f>
        <v>0</v>
      </c>
      <c r="CR1496" t="s">
        <v>2317</v>
      </c>
      <c r="CS1496" s="19" t="str">
        <f>IF(AND(Table1[[#This Row],[Low41]]=0, Table1[[#This Row],[High43]]=0),"N","Y")</f>
        <v>N</v>
      </c>
    </row>
    <row r="1497" spans="1:97" ht="19.5" customHeight="1" x14ac:dyDescent="0.25">
      <c r="A1497">
        <v>11499</v>
      </c>
      <c r="B1497" t="s">
        <v>4565</v>
      </c>
      <c r="D1497">
        <v>13.40017432</v>
      </c>
      <c r="E1497">
        <v>-15.994724720000001</v>
      </c>
      <c r="Q1497"/>
      <c r="R1497" t="s">
        <v>4501</v>
      </c>
      <c r="T1497" t="s">
        <v>3959</v>
      </c>
      <c r="U1497" t="s">
        <v>4221</v>
      </c>
      <c r="V1497"/>
      <c r="AN1497" t="s">
        <v>132</v>
      </c>
      <c r="CE149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9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9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97" s="35"/>
      <c r="CL1497" s="19">
        <f>IF(Table1[[#This Row],[Type]]="Petroleum",1,IF(ISERROR(Table1[[#This Row],[Well Density]]*Table1[[#This Row],[Single Well Discovery Area]]),"",IF(Table1[[#This Row],[Well Density]]*Table1[[#This Row],[Single Well Discovery Area]]&gt;1,1,Table1[[#This Row],[Well Density]]*Table1[[#This Row],[Single Well Discovery Area]])))</f>
        <v>0</v>
      </c>
      <c r="CM1497" t="s">
        <v>158</v>
      </c>
      <c r="CN1497" s="19">
        <f>Table1[[#This Row],[Mid]]</f>
        <v>0</v>
      </c>
      <c r="CO1497" s="19">
        <f>Table1[[#This Row],[Mid3]]+Table1[[#This Row],[Mid6]]+Table1[[#This Row],[Mid9]]</f>
        <v>0</v>
      </c>
      <c r="CP1497" s="19">
        <f>Table1[[#This Row],[Mid12]]+Table1[[#This Row],[Mid15]]+Table1[[#This Row],[Mid18]]+Table1[[#This Row],[Mid21]]+Table1[[#This Row],[Mid24]]</f>
        <v>0</v>
      </c>
      <c r="CQ1497" s="19">
        <f>Table1[[#This Row],[Mid27]]+Table1[[#This Row],[Mid30]]+Table1[[#This Row],[Mid33]]+Table1[[#This Row],[Mid36]]+Table1[[#This Row],[Mid39]]</f>
        <v>0</v>
      </c>
      <c r="CR1497" t="s">
        <v>2317</v>
      </c>
      <c r="CS1497" s="19" t="str">
        <f>IF(AND(Table1[[#This Row],[Low41]]=0, Table1[[#This Row],[High43]]=0),"N","Y")</f>
        <v>N</v>
      </c>
    </row>
    <row r="1498" spans="1:97" ht="19.5" customHeight="1" x14ac:dyDescent="0.25">
      <c r="A1498">
        <v>11500</v>
      </c>
      <c r="B1498" t="s">
        <v>4566</v>
      </c>
      <c r="D1498">
        <v>7.4739316330000003</v>
      </c>
      <c r="E1498">
        <v>-0.743033795</v>
      </c>
      <c r="Q1498"/>
      <c r="R1498" t="s">
        <v>4501</v>
      </c>
      <c r="T1498" t="s">
        <v>3959</v>
      </c>
      <c r="U1498" t="s">
        <v>4221</v>
      </c>
      <c r="V1498"/>
      <c r="AN1498" t="s">
        <v>132</v>
      </c>
      <c r="CE149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98"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9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98" s="35"/>
      <c r="CL1498" s="19">
        <f>IF(Table1[[#This Row],[Type]]="Petroleum",1,IF(ISERROR(Table1[[#This Row],[Well Density]]*Table1[[#This Row],[Single Well Discovery Area]]),"",IF(Table1[[#This Row],[Well Density]]*Table1[[#This Row],[Single Well Discovery Area]]&gt;1,1,Table1[[#This Row],[Well Density]]*Table1[[#This Row],[Single Well Discovery Area]])))</f>
        <v>0</v>
      </c>
      <c r="CM1498" t="s">
        <v>158</v>
      </c>
      <c r="CN1498" s="19">
        <f>Table1[[#This Row],[Mid]]</f>
        <v>0</v>
      </c>
      <c r="CO1498" s="19">
        <f>Table1[[#This Row],[Mid3]]+Table1[[#This Row],[Mid6]]+Table1[[#This Row],[Mid9]]</f>
        <v>0</v>
      </c>
      <c r="CP1498" s="19">
        <f>Table1[[#This Row],[Mid12]]+Table1[[#This Row],[Mid15]]+Table1[[#This Row],[Mid18]]+Table1[[#This Row],[Mid21]]+Table1[[#This Row],[Mid24]]</f>
        <v>0</v>
      </c>
      <c r="CQ1498" s="19">
        <f>Table1[[#This Row],[Mid27]]+Table1[[#This Row],[Mid30]]+Table1[[#This Row],[Mid33]]+Table1[[#This Row],[Mid36]]+Table1[[#This Row],[Mid39]]</f>
        <v>0</v>
      </c>
      <c r="CR1498" t="s">
        <v>2317</v>
      </c>
      <c r="CS1498" s="19" t="str">
        <f>IF(AND(Table1[[#This Row],[Low41]]=0, Table1[[#This Row],[High43]]=0),"N","Y")</f>
        <v>N</v>
      </c>
    </row>
    <row r="1499" spans="1:97" ht="19.5" customHeight="1" x14ac:dyDescent="0.25">
      <c r="A1499">
        <v>11501</v>
      </c>
      <c r="B1499" t="s">
        <v>4567</v>
      </c>
      <c r="D1499">
        <v>10.26282149</v>
      </c>
      <c r="E1499">
        <v>-13.1969051</v>
      </c>
      <c r="Q1499"/>
      <c r="R1499" t="s">
        <v>4501</v>
      </c>
      <c r="T1499" t="s">
        <v>3959</v>
      </c>
      <c r="U1499" t="s">
        <v>4221</v>
      </c>
      <c r="V1499"/>
      <c r="AN1499" t="s">
        <v>132</v>
      </c>
      <c r="CE149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49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49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499" s="35"/>
      <c r="CL1499" s="19">
        <f>IF(Table1[[#This Row],[Type]]="Petroleum",1,IF(ISERROR(Table1[[#This Row],[Well Density]]*Table1[[#This Row],[Single Well Discovery Area]]),"",IF(Table1[[#This Row],[Well Density]]*Table1[[#This Row],[Single Well Discovery Area]]&gt;1,1,Table1[[#This Row],[Well Density]]*Table1[[#This Row],[Single Well Discovery Area]])))</f>
        <v>0</v>
      </c>
      <c r="CM1499" t="s">
        <v>158</v>
      </c>
      <c r="CN1499" s="19">
        <f>Table1[[#This Row],[Mid]]</f>
        <v>0</v>
      </c>
      <c r="CO1499" s="19">
        <f>Table1[[#This Row],[Mid3]]+Table1[[#This Row],[Mid6]]+Table1[[#This Row],[Mid9]]</f>
        <v>0</v>
      </c>
      <c r="CP1499" s="19">
        <f>Table1[[#This Row],[Mid12]]+Table1[[#This Row],[Mid15]]+Table1[[#This Row],[Mid18]]+Table1[[#This Row],[Mid21]]+Table1[[#This Row],[Mid24]]</f>
        <v>0</v>
      </c>
      <c r="CQ1499" s="19">
        <f>Table1[[#This Row],[Mid27]]+Table1[[#This Row],[Mid30]]+Table1[[#This Row],[Mid33]]+Table1[[#This Row],[Mid36]]+Table1[[#This Row],[Mid39]]</f>
        <v>0</v>
      </c>
      <c r="CR1499" t="s">
        <v>2317</v>
      </c>
      <c r="CS1499" s="19" t="str">
        <f>IF(AND(Table1[[#This Row],[Low41]]=0, Table1[[#This Row],[High43]]=0),"N","Y")</f>
        <v>N</v>
      </c>
    </row>
    <row r="1500" spans="1:97" ht="19.5" customHeight="1" x14ac:dyDescent="0.25">
      <c r="A1500">
        <v>11502</v>
      </c>
      <c r="B1500" t="s">
        <v>4568</v>
      </c>
      <c r="D1500">
        <v>11.629294209999999</v>
      </c>
      <c r="E1500">
        <v>-15.61843369</v>
      </c>
      <c r="Q1500"/>
      <c r="R1500" t="s">
        <v>4501</v>
      </c>
      <c r="T1500" t="s">
        <v>3959</v>
      </c>
      <c r="U1500" t="s">
        <v>4221</v>
      </c>
      <c r="V1500"/>
      <c r="AN1500" t="s">
        <v>132</v>
      </c>
      <c r="CE150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0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0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00" s="35"/>
      <c r="CL1500" s="19">
        <f>IF(Table1[[#This Row],[Type]]="Petroleum",1,IF(ISERROR(Table1[[#This Row],[Well Density]]*Table1[[#This Row],[Single Well Discovery Area]]),"",IF(Table1[[#This Row],[Well Density]]*Table1[[#This Row],[Single Well Discovery Area]]&gt;1,1,Table1[[#This Row],[Well Density]]*Table1[[#This Row],[Single Well Discovery Area]])))</f>
        <v>0</v>
      </c>
      <c r="CM1500" t="s">
        <v>158</v>
      </c>
      <c r="CN1500" s="19">
        <f>Table1[[#This Row],[Mid]]</f>
        <v>0</v>
      </c>
      <c r="CO1500" s="19">
        <f>Table1[[#This Row],[Mid3]]+Table1[[#This Row],[Mid6]]+Table1[[#This Row],[Mid9]]</f>
        <v>0</v>
      </c>
      <c r="CP1500" s="19">
        <f>Table1[[#This Row],[Mid12]]+Table1[[#This Row],[Mid15]]+Table1[[#This Row],[Mid18]]+Table1[[#This Row],[Mid21]]+Table1[[#This Row],[Mid24]]</f>
        <v>0</v>
      </c>
      <c r="CQ1500" s="19">
        <f>Table1[[#This Row],[Mid27]]+Table1[[#This Row],[Mid30]]+Table1[[#This Row],[Mid33]]+Table1[[#This Row],[Mid36]]+Table1[[#This Row],[Mid39]]</f>
        <v>0</v>
      </c>
      <c r="CR1500" t="s">
        <v>2317</v>
      </c>
      <c r="CS1500" s="19" t="str">
        <f>IF(AND(Table1[[#This Row],[Low41]]=0, Table1[[#This Row],[High43]]=0),"N","Y")</f>
        <v>N</v>
      </c>
    </row>
    <row r="1501" spans="1:97" ht="19.5" customHeight="1" x14ac:dyDescent="0.25">
      <c r="A1501">
        <v>11503</v>
      </c>
      <c r="B1501" t="s">
        <v>4569</v>
      </c>
      <c r="D1501">
        <v>7.8759777089999998</v>
      </c>
      <c r="E1501">
        <v>-6.1305891289999996</v>
      </c>
      <c r="Q1501"/>
      <c r="R1501" t="s">
        <v>4501</v>
      </c>
      <c r="T1501" t="s">
        <v>3959</v>
      </c>
      <c r="U1501" t="s">
        <v>4221</v>
      </c>
      <c r="V1501"/>
      <c r="AN1501" t="s">
        <v>132</v>
      </c>
      <c r="CE150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0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0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01" s="35"/>
      <c r="CL1501" s="19">
        <f>IF(Table1[[#This Row],[Type]]="Petroleum",1,IF(ISERROR(Table1[[#This Row],[Well Density]]*Table1[[#This Row],[Single Well Discovery Area]]),"",IF(Table1[[#This Row],[Well Density]]*Table1[[#This Row],[Single Well Discovery Area]]&gt;1,1,Table1[[#This Row],[Well Density]]*Table1[[#This Row],[Single Well Discovery Area]])))</f>
        <v>0</v>
      </c>
      <c r="CM1501" t="s">
        <v>158</v>
      </c>
      <c r="CN1501" s="19">
        <f>Table1[[#This Row],[Mid]]</f>
        <v>0</v>
      </c>
      <c r="CO1501" s="19">
        <f>Table1[[#This Row],[Mid3]]+Table1[[#This Row],[Mid6]]+Table1[[#This Row],[Mid9]]</f>
        <v>0</v>
      </c>
      <c r="CP1501" s="19">
        <f>Table1[[#This Row],[Mid12]]+Table1[[#This Row],[Mid15]]+Table1[[#This Row],[Mid18]]+Table1[[#This Row],[Mid21]]+Table1[[#This Row],[Mid24]]</f>
        <v>0</v>
      </c>
      <c r="CQ1501" s="19">
        <f>Table1[[#This Row],[Mid27]]+Table1[[#This Row],[Mid30]]+Table1[[#This Row],[Mid33]]+Table1[[#This Row],[Mid36]]+Table1[[#This Row],[Mid39]]</f>
        <v>0</v>
      </c>
      <c r="CR1501" t="s">
        <v>2317</v>
      </c>
      <c r="CS1501" s="19" t="str">
        <f>IF(AND(Table1[[#This Row],[Low41]]=0, Table1[[#This Row],[High43]]=0),"N","Y")</f>
        <v>N</v>
      </c>
    </row>
    <row r="1502" spans="1:97" ht="19.5" customHeight="1" x14ac:dyDescent="0.25">
      <c r="A1502">
        <v>11504</v>
      </c>
      <c r="B1502" t="s">
        <v>4570</v>
      </c>
      <c r="D1502">
        <v>-0.91059110300000001</v>
      </c>
      <c r="E1502">
        <v>38.702145270000003</v>
      </c>
      <c r="Q1502"/>
      <c r="R1502" t="s">
        <v>4501</v>
      </c>
      <c r="T1502" t="s">
        <v>3959</v>
      </c>
      <c r="U1502" t="s">
        <v>4221</v>
      </c>
      <c r="V1502"/>
      <c r="AN1502" t="s">
        <v>132</v>
      </c>
      <c r="CE150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0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0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02" s="35"/>
      <c r="CL1502" s="19">
        <f>IF(Table1[[#This Row],[Type]]="Petroleum",1,IF(ISERROR(Table1[[#This Row],[Well Density]]*Table1[[#This Row],[Single Well Discovery Area]]),"",IF(Table1[[#This Row],[Well Density]]*Table1[[#This Row],[Single Well Discovery Area]]&gt;1,1,Table1[[#This Row],[Well Density]]*Table1[[#This Row],[Single Well Discovery Area]])))</f>
        <v>0</v>
      </c>
      <c r="CM1502" t="s">
        <v>158</v>
      </c>
      <c r="CN1502" s="19">
        <f>Table1[[#This Row],[Mid]]</f>
        <v>0</v>
      </c>
      <c r="CO1502" s="19">
        <f>Table1[[#This Row],[Mid3]]+Table1[[#This Row],[Mid6]]+Table1[[#This Row],[Mid9]]</f>
        <v>0</v>
      </c>
      <c r="CP1502" s="19">
        <f>Table1[[#This Row],[Mid12]]+Table1[[#This Row],[Mid15]]+Table1[[#This Row],[Mid18]]+Table1[[#This Row],[Mid21]]+Table1[[#This Row],[Mid24]]</f>
        <v>0</v>
      </c>
      <c r="CQ1502" s="19">
        <f>Table1[[#This Row],[Mid27]]+Table1[[#This Row],[Mid30]]+Table1[[#This Row],[Mid33]]+Table1[[#This Row],[Mid36]]+Table1[[#This Row],[Mid39]]</f>
        <v>0</v>
      </c>
      <c r="CR1502" t="s">
        <v>2317</v>
      </c>
      <c r="CS1502" s="19" t="str">
        <f>IF(AND(Table1[[#This Row],[Low41]]=0, Table1[[#This Row],[High43]]=0),"N","Y")</f>
        <v>N</v>
      </c>
    </row>
    <row r="1503" spans="1:97" ht="19.5" customHeight="1" x14ac:dyDescent="0.25">
      <c r="A1503">
        <v>11505</v>
      </c>
      <c r="B1503" t="s">
        <v>4571</v>
      </c>
      <c r="D1503">
        <v>-29.431589850000002</v>
      </c>
      <c r="E1503">
        <v>28.354101010000001</v>
      </c>
      <c r="Q1503"/>
      <c r="R1503" t="s">
        <v>4501</v>
      </c>
      <c r="T1503" t="s">
        <v>3959</v>
      </c>
      <c r="U1503" t="s">
        <v>4221</v>
      </c>
      <c r="V1503"/>
      <c r="AN1503" t="s">
        <v>132</v>
      </c>
      <c r="CE150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03"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0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03" s="35"/>
      <c r="CL1503" s="19">
        <f>IF(Table1[[#This Row],[Type]]="Petroleum",1,IF(ISERROR(Table1[[#This Row],[Well Density]]*Table1[[#This Row],[Single Well Discovery Area]]),"",IF(Table1[[#This Row],[Well Density]]*Table1[[#This Row],[Single Well Discovery Area]]&gt;1,1,Table1[[#This Row],[Well Density]]*Table1[[#This Row],[Single Well Discovery Area]])))</f>
        <v>0</v>
      </c>
      <c r="CM1503" t="s">
        <v>158</v>
      </c>
      <c r="CN1503" s="19">
        <f>Table1[[#This Row],[Mid]]</f>
        <v>0</v>
      </c>
      <c r="CO1503" s="19">
        <f>Table1[[#This Row],[Mid3]]+Table1[[#This Row],[Mid6]]+Table1[[#This Row],[Mid9]]</f>
        <v>0</v>
      </c>
      <c r="CP1503" s="19">
        <f>Table1[[#This Row],[Mid12]]+Table1[[#This Row],[Mid15]]+Table1[[#This Row],[Mid18]]+Table1[[#This Row],[Mid21]]+Table1[[#This Row],[Mid24]]</f>
        <v>0</v>
      </c>
      <c r="CQ1503" s="19">
        <f>Table1[[#This Row],[Mid27]]+Table1[[#This Row],[Mid30]]+Table1[[#This Row],[Mid33]]+Table1[[#This Row],[Mid36]]+Table1[[#This Row],[Mid39]]</f>
        <v>0</v>
      </c>
      <c r="CR1503" t="s">
        <v>2317</v>
      </c>
      <c r="CS1503" s="19" t="str">
        <f>IF(AND(Table1[[#This Row],[Low41]]=0, Table1[[#This Row],[High43]]=0),"N","Y")</f>
        <v>N</v>
      </c>
    </row>
    <row r="1504" spans="1:97" ht="19.5" customHeight="1" x14ac:dyDescent="0.25">
      <c r="A1504">
        <v>11506</v>
      </c>
      <c r="B1504" t="s">
        <v>4572</v>
      </c>
      <c r="D1504">
        <v>6.6076140749999999</v>
      </c>
      <c r="E1504">
        <v>-9.3573316359999996</v>
      </c>
      <c r="Q1504"/>
      <c r="R1504" t="s">
        <v>4501</v>
      </c>
      <c r="T1504" t="s">
        <v>3959</v>
      </c>
      <c r="U1504" t="s">
        <v>4221</v>
      </c>
      <c r="V1504"/>
      <c r="AN1504" t="s">
        <v>132</v>
      </c>
      <c r="CE150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0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0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04" s="35"/>
      <c r="CL1504" s="19">
        <f>IF(Table1[[#This Row],[Type]]="Petroleum",1,IF(ISERROR(Table1[[#This Row],[Well Density]]*Table1[[#This Row],[Single Well Discovery Area]]),"",IF(Table1[[#This Row],[Well Density]]*Table1[[#This Row],[Single Well Discovery Area]]&gt;1,1,Table1[[#This Row],[Well Density]]*Table1[[#This Row],[Single Well Discovery Area]])))</f>
        <v>0</v>
      </c>
      <c r="CM1504" t="s">
        <v>158</v>
      </c>
      <c r="CN1504" s="19">
        <f>Table1[[#This Row],[Mid]]</f>
        <v>0</v>
      </c>
      <c r="CO1504" s="19">
        <f>Table1[[#This Row],[Mid3]]+Table1[[#This Row],[Mid6]]+Table1[[#This Row],[Mid9]]</f>
        <v>0</v>
      </c>
      <c r="CP1504" s="19">
        <f>Table1[[#This Row],[Mid12]]+Table1[[#This Row],[Mid15]]+Table1[[#This Row],[Mid18]]+Table1[[#This Row],[Mid21]]+Table1[[#This Row],[Mid24]]</f>
        <v>0</v>
      </c>
      <c r="CQ1504" s="19">
        <f>Table1[[#This Row],[Mid27]]+Table1[[#This Row],[Mid30]]+Table1[[#This Row],[Mid33]]+Table1[[#This Row],[Mid36]]+Table1[[#This Row],[Mid39]]</f>
        <v>0</v>
      </c>
      <c r="CR1504" t="s">
        <v>2317</v>
      </c>
      <c r="CS1504" s="19" t="str">
        <f>IF(AND(Table1[[#This Row],[Low41]]=0, Table1[[#This Row],[High43]]=0),"N","Y")</f>
        <v>N</v>
      </c>
    </row>
    <row r="1505" spans="1:97" ht="19.5" customHeight="1" x14ac:dyDescent="0.25">
      <c r="A1505">
        <v>11507</v>
      </c>
      <c r="B1505" t="s">
        <v>4573</v>
      </c>
      <c r="D1505">
        <v>-17.509965739999998</v>
      </c>
      <c r="E1505">
        <v>46.905754090000002</v>
      </c>
      <c r="Q1505"/>
      <c r="R1505" t="s">
        <v>4501</v>
      </c>
      <c r="T1505" t="s">
        <v>3959</v>
      </c>
      <c r="U1505" t="s">
        <v>4221</v>
      </c>
      <c r="V1505"/>
      <c r="AN1505" t="s">
        <v>132</v>
      </c>
      <c r="CE150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0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0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05" s="35"/>
      <c r="CL1505" s="19">
        <f>IF(Table1[[#This Row],[Type]]="Petroleum",1,IF(ISERROR(Table1[[#This Row],[Well Density]]*Table1[[#This Row],[Single Well Discovery Area]]),"",IF(Table1[[#This Row],[Well Density]]*Table1[[#This Row],[Single Well Discovery Area]]&gt;1,1,Table1[[#This Row],[Well Density]]*Table1[[#This Row],[Single Well Discovery Area]])))</f>
        <v>0</v>
      </c>
      <c r="CM1505" t="s">
        <v>158</v>
      </c>
      <c r="CN1505" s="19">
        <f>Table1[[#This Row],[Mid]]</f>
        <v>0</v>
      </c>
      <c r="CO1505" s="19">
        <f>Table1[[#This Row],[Mid3]]+Table1[[#This Row],[Mid6]]+Table1[[#This Row],[Mid9]]</f>
        <v>0</v>
      </c>
      <c r="CP1505" s="19">
        <f>Table1[[#This Row],[Mid12]]+Table1[[#This Row],[Mid15]]+Table1[[#This Row],[Mid18]]+Table1[[#This Row],[Mid21]]+Table1[[#This Row],[Mid24]]</f>
        <v>0</v>
      </c>
      <c r="CQ1505" s="19">
        <f>Table1[[#This Row],[Mid27]]+Table1[[#This Row],[Mid30]]+Table1[[#This Row],[Mid33]]+Table1[[#This Row],[Mid36]]+Table1[[#This Row],[Mid39]]</f>
        <v>0</v>
      </c>
      <c r="CR1505" t="s">
        <v>2317</v>
      </c>
      <c r="CS1505" s="19" t="str">
        <f>IF(AND(Table1[[#This Row],[Low41]]=0, Table1[[#This Row],[High43]]=0),"N","Y")</f>
        <v>N</v>
      </c>
    </row>
    <row r="1506" spans="1:97" ht="19.5" customHeight="1" x14ac:dyDescent="0.25">
      <c r="A1506">
        <v>11508</v>
      </c>
      <c r="B1506" t="s">
        <v>4574</v>
      </c>
      <c r="D1506">
        <v>-11.718783459999999</v>
      </c>
      <c r="E1506">
        <v>34.371781929999997</v>
      </c>
      <c r="Q1506"/>
      <c r="R1506" t="s">
        <v>4501</v>
      </c>
      <c r="T1506" t="s">
        <v>3959</v>
      </c>
      <c r="U1506" t="s">
        <v>4221</v>
      </c>
      <c r="V1506"/>
      <c r="AN1506" t="s">
        <v>132</v>
      </c>
      <c r="CE150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0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0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06" s="35"/>
      <c r="CL1506" s="19">
        <f>IF(Table1[[#This Row],[Type]]="Petroleum",1,IF(ISERROR(Table1[[#This Row],[Well Density]]*Table1[[#This Row],[Single Well Discovery Area]]),"",IF(Table1[[#This Row],[Well Density]]*Table1[[#This Row],[Single Well Discovery Area]]&gt;1,1,Table1[[#This Row],[Well Density]]*Table1[[#This Row],[Single Well Discovery Area]])))</f>
        <v>0</v>
      </c>
      <c r="CM1506" t="s">
        <v>158</v>
      </c>
      <c r="CN1506" s="19">
        <f>Table1[[#This Row],[Mid]]</f>
        <v>0</v>
      </c>
      <c r="CO1506" s="19">
        <f>Table1[[#This Row],[Mid3]]+Table1[[#This Row],[Mid6]]+Table1[[#This Row],[Mid9]]</f>
        <v>0</v>
      </c>
      <c r="CP1506" s="19">
        <f>Table1[[#This Row],[Mid12]]+Table1[[#This Row],[Mid15]]+Table1[[#This Row],[Mid18]]+Table1[[#This Row],[Mid21]]+Table1[[#This Row],[Mid24]]</f>
        <v>0</v>
      </c>
      <c r="CQ1506" s="19">
        <f>Table1[[#This Row],[Mid27]]+Table1[[#This Row],[Mid30]]+Table1[[#This Row],[Mid33]]+Table1[[#This Row],[Mid36]]+Table1[[#This Row],[Mid39]]</f>
        <v>0</v>
      </c>
      <c r="CR1506" t="s">
        <v>2317</v>
      </c>
      <c r="CS1506" s="19" t="str">
        <f>IF(AND(Table1[[#This Row],[Low41]]=0, Table1[[#This Row],[High43]]=0),"N","Y")</f>
        <v>N</v>
      </c>
    </row>
    <row r="1507" spans="1:97" ht="19.5" customHeight="1" x14ac:dyDescent="0.25">
      <c r="A1507">
        <v>11509</v>
      </c>
      <c r="B1507" t="s">
        <v>4575</v>
      </c>
      <c r="D1507">
        <v>12.77266781</v>
      </c>
      <c r="E1507">
        <v>-7.6025036740000003</v>
      </c>
      <c r="Q1507"/>
      <c r="R1507" t="s">
        <v>4501</v>
      </c>
      <c r="T1507" t="s">
        <v>3959</v>
      </c>
      <c r="U1507" t="s">
        <v>4221</v>
      </c>
      <c r="V1507"/>
      <c r="AN1507" t="s">
        <v>132</v>
      </c>
      <c r="CE150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0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0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07" s="35"/>
      <c r="CL1507" s="19">
        <f>IF(Table1[[#This Row],[Type]]="Petroleum",1,IF(ISERROR(Table1[[#This Row],[Well Density]]*Table1[[#This Row],[Single Well Discovery Area]]),"",IF(Table1[[#This Row],[Well Density]]*Table1[[#This Row],[Single Well Discovery Area]]&gt;1,1,Table1[[#This Row],[Well Density]]*Table1[[#This Row],[Single Well Discovery Area]])))</f>
        <v>0</v>
      </c>
      <c r="CM1507" t="s">
        <v>158</v>
      </c>
      <c r="CN1507" s="19">
        <f>Table1[[#This Row],[Mid]]</f>
        <v>0</v>
      </c>
      <c r="CO1507" s="19">
        <f>Table1[[#This Row],[Mid3]]+Table1[[#This Row],[Mid6]]+Table1[[#This Row],[Mid9]]</f>
        <v>0</v>
      </c>
      <c r="CP1507" s="19">
        <f>Table1[[#This Row],[Mid12]]+Table1[[#This Row],[Mid15]]+Table1[[#This Row],[Mid18]]+Table1[[#This Row],[Mid21]]+Table1[[#This Row],[Mid24]]</f>
        <v>0</v>
      </c>
      <c r="CQ1507" s="19">
        <f>Table1[[#This Row],[Mid27]]+Table1[[#This Row],[Mid30]]+Table1[[#This Row],[Mid33]]+Table1[[#This Row],[Mid36]]+Table1[[#This Row],[Mid39]]</f>
        <v>0</v>
      </c>
      <c r="CR1507" t="s">
        <v>2317</v>
      </c>
      <c r="CS1507" s="19" t="str">
        <f>IF(AND(Table1[[#This Row],[Low41]]=0, Table1[[#This Row],[High43]]=0),"N","Y")</f>
        <v>N</v>
      </c>
    </row>
    <row r="1508" spans="1:97" ht="19.5" customHeight="1" x14ac:dyDescent="0.25">
      <c r="A1508">
        <v>11510</v>
      </c>
      <c r="B1508" t="s">
        <v>4576</v>
      </c>
      <c r="D1508">
        <v>18.204820389999998</v>
      </c>
      <c r="E1508">
        <v>-14.382500609999999</v>
      </c>
      <c r="Q1508"/>
      <c r="R1508" t="s">
        <v>4501</v>
      </c>
      <c r="T1508" t="s">
        <v>3959</v>
      </c>
      <c r="U1508" t="s">
        <v>4221</v>
      </c>
      <c r="V1508"/>
      <c r="AN1508" t="s">
        <v>132</v>
      </c>
      <c r="CE150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08"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0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08" s="35"/>
      <c r="CL1508" s="19">
        <f>IF(Table1[[#This Row],[Type]]="Petroleum",1,IF(ISERROR(Table1[[#This Row],[Well Density]]*Table1[[#This Row],[Single Well Discovery Area]]),"",IF(Table1[[#This Row],[Well Density]]*Table1[[#This Row],[Single Well Discovery Area]]&gt;1,1,Table1[[#This Row],[Well Density]]*Table1[[#This Row],[Single Well Discovery Area]])))</f>
        <v>0</v>
      </c>
      <c r="CM1508" t="s">
        <v>158</v>
      </c>
      <c r="CN1508" s="19">
        <f>Table1[[#This Row],[Mid]]</f>
        <v>0</v>
      </c>
      <c r="CO1508" s="19">
        <f>Table1[[#This Row],[Mid3]]+Table1[[#This Row],[Mid6]]+Table1[[#This Row],[Mid9]]</f>
        <v>0</v>
      </c>
      <c r="CP1508" s="19">
        <f>Table1[[#This Row],[Mid12]]+Table1[[#This Row],[Mid15]]+Table1[[#This Row],[Mid18]]+Table1[[#This Row],[Mid21]]+Table1[[#This Row],[Mid24]]</f>
        <v>0</v>
      </c>
      <c r="CQ1508" s="19">
        <f>Table1[[#This Row],[Mid27]]+Table1[[#This Row],[Mid30]]+Table1[[#This Row],[Mid33]]+Table1[[#This Row],[Mid36]]+Table1[[#This Row],[Mid39]]</f>
        <v>0</v>
      </c>
      <c r="CR1508" t="s">
        <v>2317</v>
      </c>
      <c r="CS1508" s="19" t="str">
        <f>IF(AND(Table1[[#This Row],[Low41]]=0, Table1[[#This Row],[High43]]=0),"N","Y")</f>
        <v>N</v>
      </c>
    </row>
    <row r="1509" spans="1:97" ht="19.5" customHeight="1" x14ac:dyDescent="0.25">
      <c r="A1509">
        <v>11511</v>
      </c>
      <c r="B1509" t="s">
        <v>4577</v>
      </c>
      <c r="D1509">
        <v>-19.0853672</v>
      </c>
      <c r="E1509">
        <v>59.004908129999997</v>
      </c>
      <c r="Q1509"/>
      <c r="R1509" t="s">
        <v>4501</v>
      </c>
      <c r="T1509" t="s">
        <v>3959</v>
      </c>
      <c r="U1509" t="s">
        <v>4221</v>
      </c>
      <c r="V1509"/>
      <c r="AN1509" t="s">
        <v>132</v>
      </c>
      <c r="CE150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0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0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09" s="35"/>
      <c r="CL1509" s="19">
        <f>IF(Table1[[#This Row],[Type]]="Petroleum",1,IF(ISERROR(Table1[[#This Row],[Well Density]]*Table1[[#This Row],[Single Well Discovery Area]]),"",IF(Table1[[#This Row],[Well Density]]*Table1[[#This Row],[Single Well Discovery Area]]&gt;1,1,Table1[[#This Row],[Well Density]]*Table1[[#This Row],[Single Well Discovery Area]])))</f>
        <v>0</v>
      </c>
      <c r="CM1509" t="s">
        <v>158</v>
      </c>
      <c r="CN1509" s="19">
        <f>Table1[[#This Row],[Mid]]</f>
        <v>0</v>
      </c>
      <c r="CO1509" s="19">
        <f>Table1[[#This Row],[Mid3]]+Table1[[#This Row],[Mid6]]+Table1[[#This Row],[Mid9]]</f>
        <v>0</v>
      </c>
      <c r="CP1509" s="19">
        <f>Table1[[#This Row],[Mid12]]+Table1[[#This Row],[Mid15]]+Table1[[#This Row],[Mid18]]+Table1[[#This Row],[Mid21]]+Table1[[#This Row],[Mid24]]</f>
        <v>0</v>
      </c>
      <c r="CQ1509" s="19">
        <f>Table1[[#This Row],[Mid27]]+Table1[[#This Row],[Mid30]]+Table1[[#This Row],[Mid33]]+Table1[[#This Row],[Mid36]]+Table1[[#This Row],[Mid39]]</f>
        <v>0</v>
      </c>
      <c r="CR1509" t="s">
        <v>2317</v>
      </c>
      <c r="CS1509" s="19" t="str">
        <f>IF(AND(Table1[[#This Row],[Low41]]=0, Table1[[#This Row],[High43]]=0),"N","Y")</f>
        <v>N</v>
      </c>
    </row>
    <row r="1510" spans="1:97" ht="19.5" customHeight="1" x14ac:dyDescent="0.25">
      <c r="A1510">
        <v>11512</v>
      </c>
      <c r="B1510" t="s">
        <v>4578</v>
      </c>
      <c r="D1510">
        <v>-21.91482851</v>
      </c>
      <c r="E1510">
        <v>17.425807890000002</v>
      </c>
      <c r="Q1510"/>
      <c r="R1510" t="s">
        <v>4501</v>
      </c>
      <c r="T1510" t="s">
        <v>3959</v>
      </c>
      <c r="U1510" t="s">
        <v>4221</v>
      </c>
      <c r="V1510"/>
      <c r="AN1510" t="s">
        <v>132</v>
      </c>
      <c r="CE151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1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1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10" s="35"/>
      <c r="CL1510" s="19">
        <f>IF(Table1[[#This Row],[Type]]="Petroleum",1,IF(ISERROR(Table1[[#This Row],[Well Density]]*Table1[[#This Row],[Single Well Discovery Area]]),"",IF(Table1[[#This Row],[Well Density]]*Table1[[#This Row],[Single Well Discovery Area]]&gt;1,1,Table1[[#This Row],[Well Density]]*Table1[[#This Row],[Single Well Discovery Area]])))</f>
        <v>0</v>
      </c>
      <c r="CM1510" t="s">
        <v>158</v>
      </c>
      <c r="CN1510" s="19">
        <f>Table1[[#This Row],[Mid]]</f>
        <v>0</v>
      </c>
      <c r="CO1510" s="19">
        <f>Table1[[#This Row],[Mid3]]+Table1[[#This Row],[Mid6]]+Table1[[#This Row],[Mid9]]</f>
        <v>0</v>
      </c>
      <c r="CP1510" s="19">
        <f>Table1[[#This Row],[Mid12]]+Table1[[#This Row],[Mid15]]+Table1[[#This Row],[Mid18]]+Table1[[#This Row],[Mid21]]+Table1[[#This Row],[Mid24]]</f>
        <v>0</v>
      </c>
      <c r="CQ1510" s="19">
        <f>Table1[[#This Row],[Mid27]]+Table1[[#This Row],[Mid30]]+Table1[[#This Row],[Mid33]]+Table1[[#This Row],[Mid36]]+Table1[[#This Row],[Mid39]]</f>
        <v>0</v>
      </c>
      <c r="CR1510" t="s">
        <v>2317</v>
      </c>
      <c r="CS1510" s="19" t="str">
        <f>IF(AND(Table1[[#This Row],[Low41]]=0, Table1[[#This Row],[High43]]=0),"N","Y")</f>
        <v>N</v>
      </c>
    </row>
    <row r="1511" spans="1:97" ht="19.5" customHeight="1" x14ac:dyDescent="0.25">
      <c r="A1511">
        <v>11513</v>
      </c>
      <c r="B1511" t="s">
        <v>4579</v>
      </c>
      <c r="D1511">
        <v>14.14601929</v>
      </c>
      <c r="E1511">
        <v>7.0349255959999999</v>
      </c>
      <c r="Q1511"/>
      <c r="R1511" t="s">
        <v>4501</v>
      </c>
      <c r="T1511" t="s">
        <v>3959</v>
      </c>
      <c r="U1511" t="s">
        <v>4221</v>
      </c>
      <c r="V1511"/>
      <c r="AN1511" t="s">
        <v>132</v>
      </c>
      <c r="CE151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1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1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11" s="35"/>
      <c r="CL1511" s="19">
        <f>IF(Table1[[#This Row],[Type]]="Petroleum",1,IF(ISERROR(Table1[[#This Row],[Well Density]]*Table1[[#This Row],[Single Well Discovery Area]]),"",IF(Table1[[#This Row],[Well Density]]*Table1[[#This Row],[Single Well Discovery Area]]&gt;1,1,Table1[[#This Row],[Well Density]]*Table1[[#This Row],[Single Well Discovery Area]])))</f>
        <v>0</v>
      </c>
      <c r="CM1511" t="s">
        <v>158</v>
      </c>
      <c r="CN1511" s="19">
        <f>Table1[[#This Row],[Mid]]</f>
        <v>0</v>
      </c>
      <c r="CO1511" s="19">
        <f>Table1[[#This Row],[Mid3]]+Table1[[#This Row],[Mid6]]+Table1[[#This Row],[Mid9]]</f>
        <v>0</v>
      </c>
      <c r="CP1511" s="19">
        <f>Table1[[#This Row],[Mid12]]+Table1[[#This Row],[Mid15]]+Table1[[#This Row],[Mid18]]+Table1[[#This Row],[Mid21]]+Table1[[#This Row],[Mid24]]</f>
        <v>0</v>
      </c>
      <c r="CQ1511" s="19">
        <f>Table1[[#This Row],[Mid27]]+Table1[[#This Row],[Mid30]]+Table1[[#This Row],[Mid33]]+Table1[[#This Row],[Mid36]]+Table1[[#This Row],[Mid39]]</f>
        <v>0</v>
      </c>
      <c r="CR1511" t="s">
        <v>2317</v>
      </c>
      <c r="CS1511" s="19" t="str">
        <f>IF(AND(Table1[[#This Row],[Low41]]=0, Table1[[#This Row],[High43]]=0),"N","Y")</f>
        <v>N</v>
      </c>
    </row>
    <row r="1512" spans="1:97" ht="19.5" customHeight="1" x14ac:dyDescent="0.25">
      <c r="A1512">
        <v>11514</v>
      </c>
      <c r="B1512" t="s">
        <v>4580</v>
      </c>
      <c r="D1512">
        <v>-1.8382327389999999</v>
      </c>
      <c r="E1512">
        <v>30.080472879999999</v>
      </c>
      <c r="Q1512"/>
      <c r="R1512" t="s">
        <v>4501</v>
      </c>
      <c r="T1512" t="s">
        <v>3959</v>
      </c>
      <c r="U1512" t="s">
        <v>4221</v>
      </c>
      <c r="V1512"/>
      <c r="AN1512" t="s">
        <v>132</v>
      </c>
      <c r="CE151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1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1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12" s="35"/>
      <c r="CL1512" s="19">
        <f>IF(Table1[[#This Row],[Type]]="Petroleum",1,IF(ISERROR(Table1[[#This Row],[Well Density]]*Table1[[#This Row],[Single Well Discovery Area]]),"",IF(Table1[[#This Row],[Well Density]]*Table1[[#This Row],[Single Well Discovery Area]]&gt;1,1,Table1[[#This Row],[Well Density]]*Table1[[#This Row],[Single Well Discovery Area]])))</f>
        <v>0</v>
      </c>
      <c r="CM1512" t="s">
        <v>158</v>
      </c>
      <c r="CN1512" s="19">
        <f>Table1[[#This Row],[Mid]]</f>
        <v>0</v>
      </c>
      <c r="CO1512" s="19">
        <f>Table1[[#This Row],[Mid3]]+Table1[[#This Row],[Mid6]]+Table1[[#This Row],[Mid9]]</f>
        <v>0</v>
      </c>
      <c r="CP1512" s="19">
        <f>Table1[[#This Row],[Mid12]]+Table1[[#This Row],[Mid15]]+Table1[[#This Row],[Mid18]]+Table1[[#This Row],[Mid21]]+Table1[[#This Row],[Mid24]]</f>
        <v>0</v>
      </c>
      <c r="CQ1512" s="19">
        <f>Table1[[#This Row],[Mid27]]+Table1[[#This Row],[Mid30]]+Table1[[#This Row],[Mid33]]+Table1[[#This Row],[Mid36]]+Table1[[#This Row],[Mid39]]</f>
        <v>0</v>
      </c>
      <c r="CR1512" t="s">
        <v>2317</v>
      </c>
      <c r="CS1512" s="19" t="str">
        <f>IF(AND(Table1[[#This Row],[Low41]]=0, Table1[[#This Row],[High43]]=0),"N","Y")</f>
        <v>N</v>
      </c>
    </row>
    <row r="1513" spans="1:97" ht="19.5" customHeight="1" x14ac:dyDescent="0.25">
      <c r="A1513">
        <v>11515</v>
      </c>
      <c r="B1513" t="s">
        <v>4581</v>
      </c>
      <c r="D1513">
        <v>0.66497515600000001</v>
      </c>
      <c r="E1513">
        <v>6.86959841</v>
      </c>
      <c r="Q1513"/>
      <c r="R1513" t="s">
        <v>4501</v>
      </c>
      <c r="T1513" t="s">
        <v>3959</v>
      </c>
      <c r="U1513" t="s">
        <v>4221</v>
      </c>
      <c r="V1513"/>
      <c r="AN1513" t="s">
        <v>132</v>
      </c>
      <c r="CE151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13"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1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13" s="35"/>
      <c r="CL1513" s="19">
        <f>IF(Table1[[#This Row],[Type]]="Petroleum",1,IF(ISERROR(Table1[[#This Row],[Well Density]]*Table1[[#This Row],[Single Well Discovery Area]]),"",IF(Table1[[#This Row],[Well Density]]*Table1[[#This Row],[Single Well Discovery Area]]&gt;1,1,Table1[[#This Row],[Well Density]]*Table1[[#This Row],[Single Well Discovery Area]])))</f>
        <v>0</v>
      </c>
      <c r="CM1513" t="s">
        <v>158</v>
      </c>
      <c r="CN1513" s="19">
        <f>Table1[[#This Row],[Mid]]</f>
        <v>0</v>
      </c>
      <c r="CO1513" s="19">
        <f>Table1[[#This Row],[Mid3]]+Table1[[#This Row],[Mid6]]+Table1[[#This Row],[Mid9]]</f>
        <v>0</v>
      </c>
      <c r="CP1513" s="19">
        <f>Table1[[#This Row],[Mid12]]+Table1[[#This Row],[Mid15]]+Table1[[#This Row],[Mid18]]+Table1[[#This Row],[Mid21]]+Table1[[#This Row],[Mid24]]</f>
        <v>0</v>
      </c>
      <c r="CQ1513" s="19">
        <f>Table1[[#This Row],[Mid27]]+Table1[[#This Row],[Mid30]]+Table1[[#This Row],[Mid33]]+Table1[[#This Row],[Mid36]]+Table1[[#This Row],[Mid39]]</f>
        <v>0</v>
      </c>
      <c r="CR1513" t="s">
        <v>2317</v>
      </c>
      <c r="CS1513" s="19" t="str">
        <f>IF(AND(Table1[[#This Row],[Low41]]=0, Table1[[#This Row],[High43]]=0),"N","Y")</f>
        <v>N</v>
      </c>
    </row>
    <row r="1514" spans="1:97" ht="19.5" customHeight="1" x14ac:dyDescent="0.25">
      <c r="A1514">
        <v>11516</v>
      </c>
      <c r="B1514" t="s">
        <v>4582</v>
      </c>
      <c r="D1514">
        <v>13.58866759</v>
      </c>
      <c r="E1514">
        <v>-15.1937845</v>
      </c>
      <c r="Q1514"/>
      <c r="R1514" t="s">
        <v>4501</v>
      </c>
      <c r="T1514" t="s">
        <v>3959</v>
      </c>
      <c r="U1514" t="s">
        <v>4221</v>
      </c>
      <c r="V1514"/>
      <c r="AN1514" t="s">
        <v>132</v>
      </c>
      <c r="CE151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1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1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14" s="35"/>
      <c r="CL1514" s="19">
        <f>IF(Table1[[#This Row],[Type]]="Petroleum",1,IF(ISERROR(Table1[[#This Row],[Well Density]]*Table1[[#This Row],[Single Well Discovery Area]]),"",IF(Table1[[#This Row],[Well Density]]*Table1[[#This Row],[Single Well Discovery Area]]&gt;1,1,Table1[[#This Row],[Well Density]]*Table1[[#This Row],[Single Well Discovery Area]])))</f>
        <v>0</v>
      </c>
      <c r="CM1514" t="s">
        <v>158</v>
      </c>
      <c r="CN1514" s="19">
        <f>Table1[[#This Row],[Mid]]</f>
        <v>0</v>
      </c>
      <c r="CO1514" s="19">
        <f>Table1[[#This Row],[Mid3]]+Table1[[#This Row],[Mid6]]+Table1[[#This Row],[Mid9]]</f>
        <v>0</v>
      </c>
      <c r="CP1514" s="19">
        <f>Table1[[#This Row],[Mid12]]+Table1[[#This Row],[Mid15]]+Table1[[#This Row],[Mid18]]+Table1[[#This Row],[Mid21]]+Table1[[#This Row],[Mid24]]</f>
        <v>0</v>
      </c>
      <c r="CQ1514" s="19">
        <f>Table1[[#This Row],[Mid27]]+Table1[[#This Row],[Mid30]]+Table1[[#This Row],[Mid33]]+Table1[[#This Row],[Mid36]]+Table1[[#This Row],[Mid39]]</f>
        <v>0</v>
      </c>
      <c r="CR1514" t="s">
        <v>2317</v>
      </c>
      <c r="CS1514" s="19" t="str">
        <f>IF(AND(Table1[[#This Row],[Low41]]=0, Table1[[#This Row],[High43]]=0),"N","Y")</f>
        <v>N</v>
      </c>
    </row>
    <row r="1515" spans="1:97" ht="19.5" customHeight="1" x14ac:dyDescent="0.25">
      <c r="A1515">
        <v>11517</v>
      </c>
      <c r="B1515" t="s">
        <v>4583</v>
      </c>
      <c r="D1515">
        <v>-6.8323275910000003</v>
      </c>
      <c r="E1515">
        <v>51.942420689999999</v>
      </c>
      <c r="Q1515"/>
      <c r="R1515" t="s">
        <v>4501</v>
      </c>
      <c r="T1515" t="s">
        <v>3959</v>
      </c>
      <c r="U1515" t="s">
        <v>4221</v>
      </c>
      <c r="V1515"/>
      <c r="AN1515" t="s">
        <v>132</v>
      </c>
      <c r="CE151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1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1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15" s="35"/>
      <c r="CL1515" s="19">
        <f>IF(Table1[[#This Row],[Type]]="Petroleum",1,IF(ISERROR(Table1[[#This Row],[Well Density]]*Table1[[#This Row],[Single Well Discovery Area]]),"",IF(Table1[[#This Row],[Well Density]]*Table1[[#This Row],[Single Well Discovery Area]]&gt;1,1,Table1[[#This Row],[Well Density]]*Table1[[#This Row],[Single Well Discovery Area]])))</f>
        <v>0</v>
      </c>
      <c r="CM1515" t="s">
        <v>158</v>
      </c>
      <c r="CN1515" s="19">
        <f>Table1[[#This Row],[Mid]]</f>
        <v>0</v>
      </c>
      <c r="CO1515" s="19">
        <f>Table1[[#This Row],[Mid3]]+Table1[[#This Row],[Mid6]]+Table1[[#This Row],[Mid9]]</f>
        <v>0</v>
      </c>
      <c r="CP1515" s="19">
        <f>Table1[[#This Row],[Mid12]]+Table1[[#This Row],[Mid15]]+Table1[[#This Row],[Mid18]]+Table1[[#This Row],[Mid21]]+Table1[[#This Row],[Mid24]]</f>
        <v>0</v>
      </c>
      <c r="CQ1515" s="19">
        <f>Table1[[#This Row],[Mid27]]+Table1[[#This Row],[Mid30]]+Table1[[#This Row],[Mid33]]+Table1[[#This Row],[Mid36]]+Table1[[#This Row],[Mid39]]</f>
        <v>0</v>
      </c>
      <c r="CR1515" t="s">
        <v>2317</v>
      </c>
      <c r="CS1515" s="19" t="str">
        <f>IF(AND(Table1[[#This Row],[Low41]]=0, Table1[[#This Row],[High43]]=0),"N","Y")</f>
        <v>N</v>
      </c>
    </row>
    <row r="1516" spans="1:97" ht="19.5" customHeight="1" x14ac:dyDescent="0.25">
      <c r="A1516">
        <v>11518</v>
      </c>
      <c r="B1516" t="s">
        <v>4584</v>
      </c>
      <c r="D1516">
        <v>8.3454096609999997</v>
      </c>
      <c r="E1516">
        <v>-12.2350273</v>
      </c>
      <c r="Q1516"/>
      <c r="R1516" t="s">
        <v>4501</v>
      </c>
      <c r="T1516" t="s">
        <v>3959</v>
      </c>
      <c r="U1516" t="s">
        <v>4221</v>
      </c>
      <c r="V1516"/>
      <c r="AN1516" t="s">
        <v>132</v>
      </c>
      <c r="CE151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1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1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16" s="35"/>
      <c r="CL1516" s="19">
        <f>IF(Table1[[#This Row],[Type]]="Petroleum",1,IF(ISERROR(Table1[[#This Row],[Well Density]]*Table1[[#This Row],[Single Well Discovery Area]]),"",IF(Table1[[#This Row],[Well Density]]*Table1[[#This Row],[Single Well Discovery Area]]&gt;1,1,Table1[[#This Row],[Well Density]]*Table1[[#This Row],[Single Well Discovery Area]])))</f>
        <v>0</v>
      </c>
      <c r="CM1516" t="s">
        <v>158</v>
      </c>
      <c r="CN1516" s="19">
        <f>Table1[[#This Row],[Mid]]</f>
        <v>0</v>
      </c>
      <c r="CO1516" s="19">
        <f>Table1[[#This Row],[Mid3]]+Table1[[#This Row],[Mid6]]+Table1[[#This Row],[Mid9]]</f>
        <v>0</v>
      </c>
      <c r="CP1516" s="19">
        <f>Table1[[#This Row],[Mid12]]+Table1[[#This Row],[Mid15]]+Table1[[#This Row],[Mid18]]+Table1[[#This Row],[Mid21]]+Table1[[#This Row],[Mid24]]</f>
        <v>0</v>
      </c>
      <c r="CQ1516" s="19">
        <f>Table1[[#This Row],[Mid27]]+Table1[[#This Row],[Mid30]]+Table1[[#This Row],[Mid33]]+Table1[[#This Row],[Mid36]]+Table1[[#This Row],[Mid39]]</f>
        <v>0</v>
      </c>
      <c r="CR1516" t="s">
        <v>2317</v>
      </c>
      <c r="CS1516" s="19" t="str">
        <f>IF(AND(Table1[[#This Row],[Low41]]=0, Table1[[#This Row],[High43]]=0),"N","Y")</f>
        <v>N</v>
      </c>
    </row>
    <row r="1517" spans="1:97" ht="19.5" customHeight="1" x14ac:dyDescent="0.25">
      <c r="A1517">
        <v>11519</v>
      </c>
      <c r="B1517" t="s">
        <v>4585</v>
      </c>
      <c r="D1517">
        <v>6.0515362890000004</v>
      </c>
      <c r="E1517">
        <v>46.130387849999998</v>
      </c>
      <c r="Q1517"/>
      <c r="R1517" t="s">
        <v>4501</v>
      </c>
      <c r="T1517" t="s">
        <v>3959</v>
      </c>
      <c r="U1517" t="s">
        <v>4221</v>
      </c>
      <c r="V1517"/>
      <c r="AN1517" t="s">
        <v>132</v>
      </c>
      <c r="CE151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1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1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17" s="35"/>
      <c r="CL1517" s="19">
        <f>IF(Table1[[#This Row],[Type]]="Petroleum",1,IF(ISERROR(Table1[[#This Row],[Well Density]]*Table1[[#This Row],[Single Well Discovery Area]]),"",IF(Table1[[#This Row],[Well Density]]*Table1[[#This Row],[Single Well Discovery Area]]&gt;1,1,Table1[[#This Row],[Well Density]]*Table1[[#This Row],[Single Well Discovery Area]])))</f>
        <v>0</v>
      </c>
      <c r="CM1517" t="s">
        <v>158</v>
      </c>
      <c r="CN1517" s="19">
        <f>Table1[[#This Row],[Mid]]</f>
        <v>0</v>
      </c>
      <c r="CO1517" s="19">
        <f>Table1[[#This Row],[Mid3]]+Table1[[#This Row],[Mid6]]+Table1[[#This Row],[Mid9]]</f>
        <v>0</v>
      </c>
      <c r="CP1517" s="19">
        <f>Table1[[#This Row],[Mid12]]+Table1[[#This Row],[Mid15]]+Table1[[#This Row],[Mid18]]+Table1[[#This Row],[Mid21]]+Table1[[#This Row],[Mid24]]</f>
        <v>0</v>
      </c>
      <c r="CQ1517" s="19">
        <f>Table1[[#This Row],[Mid27]]+Table1[[#This Row],[Mid30]]+Table1[[#This Row],[Mid33]]+Table1[[#This Row],[Mid36]]+Table1[[#This Row],[Mid39]]</f>
        <v>0</v>
      </c>
      <c r="CR1517" t="s">
        <v>2317</v>
      </c>
      <c r="CS1517" s="19" t="str">
        <f>IF(AND(Table1[[#This Row],[Low41]]=0, Table1[[#This Row],[High43]]=0),"N","Y")</f>
        <v>N</v>
      </c>
    </row>
    <row r="1518" spans="1:97" ht="19.5" customHeight="1" x14ac:dyDescent="0.25">
      <c r="A1518">
        <v>11520</v>
      </c>
      <c r="B1518" t="s">
        <v>4586</v>
      </c>
      <c r="D1518">
        <v>6.944134354</v>
      </c>
      <c r="E1518">
        <v>30.24125905</v>
      </c>
      <c r="Q1518"/>
      <c r="R1518" t="s">
        <v>4501</v>
      </c>
      <c r="T1518" t="s">
        <v>3959</v>
      </c>
      <c r="U1518" t="s">
        <v>4221</v>
      </c>
      <c r="V1518"/>
      <c r="AN1518" t="s">
        <v>132</v>
      </c>
      <c r="CE151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18"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1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18" s="35"/>
      <c r="CL1518" s="19">
        <f>IF(Table1[[#This Row],[Type]]="Petroleum",1,IF(ISERROR(Table1[[#This Row],[Well Density]]*Table1[[#This Row],[Single Well Discovery Area]]),"",IF(Table1[[#This Row],[Well Density]]*Table1[[#This Row],[Single Well Discovery Area]]&gt;1,1,Table1[[#This Row],[Well Density]]*Table1[[#This Row],[Single Well Discovery Area]])))</f>
        <v>0</v>
      </c>
      <c r="CM1518" t="s">
        <v>158</v>
      </c>
      <c r="CN1518" s="19">
        <f>Table1[[#This Row],[Mid]]</f>
        <v>0</v>
      </c>
      <c r="CO1518" s="19">
        <f>Table1[[#This Row],[Mid3]]+Table1[[#This Row],[Mid6]]+Table1[[#This Row],[Mid9]]</f>
        <v>0</v>
      </c>
      <c r="CP1518" s="19">
        <f>Table1[[#This Row],[Mid12]]+Table1[[#This Row],[Mid15]]+Table1[[#This Row],[Mid18]]+Table1[[#This Row],[Mid21]]+Table1[[#This Row],[Mid24]]</f>
        <v>0</v>
      </c>
      <c r="CQ1518" s="19">
        <f>Table1[[#This Row],[Mid27]]+Table1[[#This Row],[Mid30]]+Table1[[#This Row],[Mid33]]+Table1[[#This Row],[Mid36]]+Table1[[#This Row],[Mid39]]</f>
        <v>0</v>
      </c>
      <c r="CR1518" t="s">
        <v>2317</v>
      </c>
      <c r="CS1518" s="19" t="str">
        <f>IF(AND(Table1[[#This Row],[Low41]]=0, Table1[[#This Row],[High43]]=0),"N","Y")</f>
        <v>N</v>
      </c>
    </row>
    <row r="1519" spans="1:97" ht="19.5" customHeight="1" x14ac:dyDescent="0.25">
      <c r="A1519">
        <v>11521</v>
      </c>
      <c r="B1519" t="s">
        <v>4587</v>
      </c>
      <c r="D1519">
        <v>16.728014040000001</v>
      </c>
      <c r="E1519">
        <v>33.124693790000002</v>
      </c>
      <c r="Q1519"/>
      <c r="R1519" t="s">
        <v>4501</v>
      </c>
      <c r="T1519" t="s">
        <v>3959</v>
      </c>
      <c r="U1519" t="s">
        <v>4221</v>
      </c>
      <c r="V1519"/>
      <c r="AN1519" t="s">
        <v>132</v>
      </c>
      <c r="CE151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1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1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19" s="35"/>
      <c r="CL1519" s="19">
        <f>IF(Table1[[#This Row],[Type]]="Petroleum",1,IF(ISERROR(Table1[[#This Row],[Well Density]]*Table1[[#This Row],[Single Well Discovery Area]]),"",IF(Table1[[#This Row],[Well Density]]*Table1[[#This Row],[Single Well Discovery Area]]&gt;1,1,Table1[[#This Row],[Well Density]]*Table1[[#This Row],[Single Well Discovery Area]])))</f>
        <v>0</v>
      </c>
      <c r="CM1519" t="s">
        <v>158</v>
      </c>
      <c r="CN1519" s="19">
        <f>Table1[[#This Row],[Mid]]</f>
        <v>0</v>
      </c>
      <c r="CO1519" s="19">
        <f>Table1[[#This Row],[Mid3]]+Table1[[#This Row],[Mid6]]+Table1[[#This Row],[Mid9]]</f>
        <v>0</v>
      </c>
      <c r="CP1519" s="19">
        <f>Table1[[#This Row],[Mid12]]+Table1[[#This Row],[Mid15]]+Table1[[#This Row],[Mid18]]+Table1[[#This Row],[Mid21]]+Table1[[#This Row],[Mid24]]</f>
        <v>0</v>
      </c>
      <c r="CQ1519" s="19">
        <f>Table1[[#This Row],[Mid27]]+Table1[[#This Row],[Mid30]]+Table1[[#This Row],[Mid33]]+Table1[[#This Row],[Mid36]]+Table1[[#This Row],[Mid39]]</f>
        <v>0</v>
      </c>
      <c r="CR1519" t="s">
        <v>2317</v>
      </c>
      <c r="CS1519" s="19" t="str">
        <f>IF(AND(Table1[[#This Row],[Low41]]=0, Table1[[#This Row],[High43]]=0),"N","Y")</f>
        <v>N</v>
      </c>
    </row>
    <row r="1520" spans="1:97" ht="19.5" customHeight="1" x14ac:dyDescent="0.25">
      <c r="A1520">
        <v>11522</v>
      </c>
      <c r="B1520" t="s">
        <v>4588</v>
      </c>
      <c r="D1520">
        <v>-8.3413116449999993</v>
      </c>
      <c r="E1520">
        <v>36.45186606</v>
      </c>
      <c r="Q1520"/>
      <c r="R1520" t="s">
        <v>4501</v>
      </c>
      <c r="T1520" t="s">
        <v>3959</v>
      </c>
      <c r="U1520" t="s">
        <v>4221</v>
      </c>
      <c r="V1520"/>
      <c r="AN1520" t="s">
        <v>132</v>
      </c>
      <c r="CE152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2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2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20" s="35"/>
      <c r="CL1520" s="19">
        <f>IF(Table1[[#This Row],[Type]]="Petroleum",1,IF(ISERROR(Table1[[#This Row],[Well Density]]*Table1[[#This Row],[Single Well Discovery Area]]),"",IF(Table1[[#This Row],[Well Density]]*Table1[[#This Row],[Single Well Discovery Area]]&gt;1,1,Table1[[#This Row],[Well Density]]*Table1[[#This Row],[Single Well Discovery Area]])))</f>
        <v>0</v>
      </c>
      <c r="CM1520" t="s">
        <v>158</v>
      </c>
      <c r="CN1520" s="19">
        <f>Table1[[#This Row],[Mid]]</f>
        <v>0</v>
      </c>
      <c r="CO1520" s="19">
        <f>Table1[[#This Row],[Mid3]]+Table1[[#This Row],[Mid6]]+Table1[[#This Row],[Mid9]]</f>
        <v>0</v>
      </c>
      <c r="CP1520" s="19">
        <f>Table1[[#This Row],[Mid12]]+Table1[[#This Row],[Mid15]]+Table1[[#This Row],[Mid18]]+Table1[[#This Row],[Mid21]]+Table1[[#This Row],[Mid24]]</f>
        <v>0</v>
      </c>
      <c r="CQ1520" s="19">
        <f>Table1[[#This Row],[Mid27]]+Table1[[#This Row],[Mid30]]+Table1[[#This Row],[Mid33]]+Table1[[#This Row],[Mid36]]+Table1[[#This Row],[Mid39]]</f>
        <v>0</v>
      </c>
      <c r="CR1520" t="s">
        <v>2317</v>
      </c>
      <c r="CS1520" s="19" t="str">
        <f>IF(AND(Table1[[#This Row],[Low41]]=0, Table1[[#This Row],[High43]]=0),"N","Y")</f>
        <v>N</v>
      </c>
    </row>
    <row r="1521" spans="1:97" ht="19.5" customHeight="1" x14ac:dyDescent="0.25">
      <c r="A1521">
        <v>11523</v>
      </c>
      <c r="B1521" t="s">
        <v>4589</v>
      </c>
      <c r="D1521">
        <v>8.5761119479999994</v>
      </c>
      <c r="E1521">
        <v>0.78409672100000005</v>
      </c>
      <c r="Q1521"/>
      <c r="R1521" t="s">
        <v>4501</v>
      </c>
      <c r="T1521" t="s">
        <v>3959</v>
      </c>
      <c r="U1521" t="s">
        <v>4221</v>
      </c>
      <c r="V1521"/>
      <c r="AN1521" t="s">
        <v>132</v>
      </c>
      <c r="CE152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2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2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21" s="35"/>
      <c r="CL1521" s="19">
        <f>IF(Table1[[#This Row],[Type]]="Petroleum",1,IF(ISERROR(Table1[[#This Row],[Well Density]]*Table1[[#This Row],[Single Well Discovery Area]]),"",IF(Table1[[#This Row],[Well Density]]*Table1[[#This Row],[Single Well Discovery Area]]&gt;1,1,Table1[[#This Row],[Well Density]]*Table1[[#This Row],[Single Well Discovery Area]])))</f>
        <v>0</v>
      </c>
      <c r="CM1521" t="s">
        <v>158</v>
      </c>
      <c r="CN1521" s="19">
        <f>Table1[[#This Row],[Mid]]</f>
        <v>0</v>
      </c>
      <c r="CO1521" s="19">
        <f>Table1[[#This Row],[Mid3]]+Table1[[#This Row],[Mid6]]+Table1[[#This Row],[Mid9]]</f>
        <v>0</v>
      </c>
      <c r="CP1521" s="19">
        <f>Table1[[#This Row],[Mid12]]+Table1[[#This Row],[Mid15]]+Table1[[#This Row],[Mid18]]+Table1[[#This Row],[Mid21]]+Table1[[#This Row],[Mid24]]</f>
        <v>0</v>
      </c>
      <c r="CQ1521" s="19">
        <f>Table1[[#This Row],[Mid27]]+Table1[[#This Row],[Mid30]]+Table1[[#This Row],[Mid33]]+Table1[[#This Row],[Mid36]]+Table1[[#This Row],[Mid39]]</f>
        <v>0</v>
      </c>
      <c r="CR1521" t="s">
        <v>2317</v>
      </c>
      <c r="CS1521" s="19" t="str">
        <f>IF(AND(Table1[[#This Row],[Low41]]=0, Table1[[#This Row],[High43]]=0),"N","Y")</f>
        <v>N</v>
      </c>
    </row>
    <row r="1522" spans="1:97" ht="19.5" customHeight="1" x14ac:dyDescent="0.25">
      <c r="A1522">
        <v>11524</v>
      </c>
      <c r="B1522" t="s">
        <v>4590</v>
      </c>
      <c r="D1522">
        <v>0.9601151</v>
      </c>
      <c r="E1522">
        <v>31.787051689999998</v>
      </c>
      <c r="Q1522"/>
      <c r="R1522" t="s">
        <v>4501</v>
      </c>
      <c r="T1522" t="s">
        <v>3959</v>
      </c>
      <c r="U1522" t="s">
        <v>4221</v>
      </c>
      <c r="V1522"/>
      <c r="AN1522" t="s">
        <v>132</v>
      </c>
      <c r="CE152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2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2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22" s="35"/>
      <c r="CL1522" s="19">
        <f>IF(Table1[[#This Row],[Type]]="Petroleum",1,IF(ISERROR(Table1[[#This Row],[Well Density]]*Table1[[#This Row],[Single Well Discovery Area]]),"",IF(Table1[[#This Row],[Well Density]]*Table1[[#This Row],[Single Well Discovery Area]]&gt;1,1,Table1[[#This Row],[Well Density]]*Table1[[#This Row],[Single Well Discovery Area]])))</f>
        <v>0</v>
      </c>
      <c r="CM1522" t="s">
        <v>158</v>
      </c>
      <c r="CN1522" s="19">
        <f>Table1[[#This Row],[Mid]]</f>
        <v>0</v>
      </c>
      <c r="CO1522" s="19">
        <f>Table1[[#This Row],[Mid3]]+Table1[[#This Row],[Mid6]]+Table1[[#This Row],[Mid9]]</f>
        <v>0</v>
      </c>
      <c r="CP1522" s="19">
        <f>Table1[[#This Row],[Mid12]]+Table1[[#This Row],[Mid15]]+Table1[[#This Row],[Mid18]]+Table1[[#This Row],[Mid21]]+Table1[[#This Row],[Mid24]]</f>
        <v>0</v>
      </c>
      <c r="CQ1522" s="19">
        <f>Table1[[#This Row],[Mid27]]+Table1[[#This Row],[Mid30]]+Table1[[#This Row],[Mid33]]+Table1[[#This Row],[Mid36]]+Table1[[#This Row],[Mid39]]</f>
        <v>0</v>
      </c>
      <c r="CR1522" t="s">
        <v>2317</v>
      </c>
      <c r="CS1522" s="19" t="str">
        <f>IF(AND(Table1[[#This Row],[Low41]]=0, Table1[[#This Row],[High43]]=0),"N","Y")</f>
        <v>N</v>
      </c>
    </row>
    <row r="1523" spans="1:97" ht="19.5" customHeight="1" x14ac:dyDescent="0.25">
      <c r="A1523">
        <v>11525</v>
      </c>
      <c r="B1523" t="s">
        <v>4591</v>
      </c>
      <c r="D1523">
        <v>-12.77149376</v>
      </c>
      <c r="E1523">
        <v>28.880491469999999</v>
      </c>
      <c r="Q1523"/>
      <c r="R1523" t="s">
        <v>4501</v>
      </c>
      <c r="T1523" t="s">
        <v>3959</v>
      </c>
      <c r="U1523" t="s">
        <v>4221</v>
      </c>
      <c r="V1523"/>
      <c r="AN1523" t="s">
        <v>132</v>
      </c>
      <c r="CE152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23"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2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23" s="35"/>
      <c r="CL1523" s="19">
        <f>IF(Table1[[#This Row],[Type]]="Petroleum",1,IF(ISERROR(Table1[[#This Row],[Well Density]]*Table1[[#This Row],[Single Well Discovery Area]]),"",IF(Table1[[#This Row],[Well Density]]*Table1[[#This Row],[Single Well Discovery Area]]&gt;1,1,Table1[[#This Row],[Well Density]]*Table1[[#This Row],[Single Well Discovery Area]])))</f>
        <v>0</v>
      </c>
      <c r="CM1523" t="s">
        <v>158</v>
      </c>
      <c r="CN1523" s="19">
        <f>Table1[[#This Row],[Mid]]</f>
        <v>0</v>
      </c>
      <c r="CO1523" s="19">
        <f>Table1[[#This Row],[Mid3]]+Table1[[#This Row],[Mid6]]+Table1[[#This Row],[Mid9]]</f>
        <v>0</v>
      </c>
      <c r="CP1523" s="19">
        <f>Table1[[#This Row],[Mid12]]+Table1[[#This Row],[Mid15]]+Table1[[#This Row],[Mid18]]+Table1[[#This Row],[Mid21]]+Table1[[#This Row],[Mid24]]</f>
        <v>0</v>
      </c>
      <c r="CQ1523" s="19">
        <f>Table1[[#This Row],[Mid27]]+Table1[[#This Row],[Mid30]]+Table1[[#This Row],[Mid33]]+Table1[[#This Row],[Mid36]]+Table1[[#This Row],[Mid39]]</f>
        <v>0</v>
      </c>
      <c r="CR1523" t="s">
        <v>2317</v>
      </c>
      <c r="CS1523" s="19" t="str">
        <f>IF(AND(Table1[[#This Row],[Low41]]=0, Table1[[#This Row],[High43]]=0),"N","Y")</f>
        <v>N</v>
      </c>
    </row>
    <row r="1524" spans="1:97" ht="19.5" customHeight="1" x14ac:dyDescent="0.25">
      <c r="A1524">
        <v>11526</v>
      </c>
      <c r="B1524" t="s">
        <v>4592</v>
      </c>
      <c r="D1524">
        <v>-18.80183559</v>
      </c>
      <c r="E1524">
        <v>29.906427860000001</v>
      </c>
      <c r="Q1524"/>
      <c r="R1524" t="s">
        <v>4501</v>
      </c>
      <c r="T1524" t="s">
        <v>3959</v>
      </c>
      <c r="U1524" t="s">
        <v>4221</v>
      </c>
      <c r="V1524"/>
      <c r="AN1524" t="s">
        <v>132</v>
      </c>
      <c r="CE152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2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2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24" s="35"/>
      <c r="CL1524" s="19">
        <f>IF(Table1[[#This Row],[Type]]="Petroleum",1,IF(ISERROR(Table1[[#This Row],[Well Density]]*Table1[[#This Row],[Single Well Discovery Area]]),"",IF(Table1[[#This Row],[Well Density]]*Table1[[#This Row],[Single Well Discovery Area]]&gt;1,1,Table1[[#This Row],[Well Density]]*Table1[[#This Row],[Single Well Discovery Area]])))</f>
        <v>0</v>
      </c>
      <c r="CM1524" t="s">
        <v>158</v>
      </c>
      <c r="CN1524" s="19">
        <f>Table1[[#This Row],[Mid]]</f>
        <v>0</v>
      </c>
      <c r="CO1524" s="19">
        <f>Table1[[#This Row],[Mid3]]+Table1[[#This Row],[Mid6]]+Table1[[#This Row],[Mid9]]</f>
        <v>0</v>
      </c>
      <c r="CP1524" s="19">
        <f>Table1[[#This Row],[Mid12]]+Table1[[#This Row],[Mid15]]+Table1[[#This Row],[Mid18]]+Table1[[#This Row],[Mid21]]+Table1[[#This Row],[Mid24]]</f>
        <v>0</v>
      </c>
      <c r="CQ1524" s="19">
        <f>Table1[[#This Row],[Mid27]]+Table1[[#This Row],[Mid30]]+Table1[[#This Row],[Mid33]]+Table1[[#This Row],[Mid36]]+Table1[[#This Row],[Mid39]]</f>
        <v>0</v>
      </c>
      <c r="CR1524" t="s">
        <v>2317</v>
      </c>
      <c r="CS1524" s="19" t="str">
        <f>IF(AND(Table1[[#This Row],[Low41]]=0, Table1[[#This Row],[High43]]=0),"N","Y")</f>
        <v>N</v>
      </c>
    </row>
    <row r="1525" spans="1:97" ht="19.5" customHeight="1" x14ac:dyDescent="0.25">
      <c r="A1525">
        <v>11527</v>
      </c>
      <c r="B1525" t="s">
        <v>4593</v>
      </c>
      <c r="D1525">
        <v>61.214556270000003</v>
      </c>
      <c r="E1525">
        <v>22.29712791</v>
      </c>
      <c r="Q1525"/>
      <c r="R1525" t="s">
        <v>4501</v>
      </c>
      <c r="T1525" t="s">
        <v>3959</v>
      </c>
      <c r="U1525" t="s">
        <v>4221</v>
      </c>
      <c r="V1525"/>
      <c r="AN1525" t="s">
        <v>132</v>
      </c>
      <c r="CE152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25"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2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25" s="35"/>
      <c r="CL1525" s="19">
        <f>IF(Table1[[#This Row],[Type]]="Petroleum",1,IF(ISERROR(Table1[[#This Row],[Well Density]]*Table1[[#This Row],[Single Well Discovery Area]]),"",IF(Table1[[#This Row],[Well Density]]*Table1[[#This Row],[Single Well Discovery Area]]&gt;1,1,Table1[[#This Row],[Well Density]]*Table1[[#This Row],[Single Well Discovery Area]])))</f>
        <v>0</v>
      </c>
      <c r="CM1525" t="s">
        <v>158</v>
      </c>
      <c r="CN1525" s="19">
        <f>Table1[[#This Row],[Mid]]</f>
        <v>0</v>
      </c>
      <c r="CO1525" s="19">
        <f>Table1[[#This Row],[Mid3]]+Table1[[#This Row],[Mid6]]+Table1[[#This Row],[Mid9]]</f>
        <v>0</v>
      </c>
      <c r="CP1525" s="19">
        <f>Table1[[#This Row],[Mid12]]+Table1[[#This Row],[Mid15]]+Table1[[#This Row],[Mid18]]+Table1[[#This Row],[Mid21]]+Table1[[#This Row],[Mid24]]</f>
        <v>0</v>
      </c>
      <c r="CQ1525" s="19">
        <f>Table1[[#This Row],[Mid27]]+Table1[[#This Row],[Mid30]]+Table1[[#This Row],[Mid33]]+Table1[[#This Row],[Mid36]]+Table1[[#This Row],[Mid39]]</f>
        <v>0</v>
      </c>
      <c r="CR1525" t="s">
        <v>415</v>
      </c>
      <c r="CS1525" s="19" t="str">
        <f>IF(AND(Table1[[#This Row],[Low41]]=0, Table1[[#This Row],[High43]]=0),"N","Y")</f>
        <v>N</v>
      </c>
    </row>
    <row r="1526" spans="1:97" ht="19.5" customHeight="1" x14ac:dyDescent="0.25">
      <c r="A1526">
        <v>11528</v>
      </c>
      <c r="B1526" t="s">
        <v>4594</v>
      </c>
      <c r="D1526">
        <v>35.161260419999998</v>
      </c>
      <c r="E1526">
        <v>33.462268790000003</v>
      </c>
      <c r="Q1526"/>
      <c r="R1526" t="s">
        <v>4501</v>
      </c>
      <c r="T1526" t="s">
        <v>3959</v>
      </c>
      <c r="U1526" t="s">
        <v>4221</v>
      </c>
      <c r="V1526"/>
      <c r="AN1526" t="s">
        <v>132</v>
      </c>
      <c r="CE152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26"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2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26" s="35"/>
      <c r="CL1526" s="19">
        <f>IF(Table1[[#This Row],[Type]]="Petroleum",1,IF(ISERROR(Table1[[#This Row],[Well Density]]*Table1[[#This Row],[Single Well Discovery Area]]),"",IF(Table1[[#This Row],[Well Density]]*Table1[[#This Row],[Single Well Discovery Area]]&gt;1,1,Table1[[#This Row],[Well Density]]*Table1[[#This Row],[Single Well Discovery Area]])))</f>
        <v>0</v>
      </c>
      <c r="CM1526" t="s">
        <v>158</v>
      </c>
      <c r="CN1526" s="19">
        <f>Table1[[#This Row],[Mid]]</f>
        <v>0</v>
      </c>
      <c r="CO1526" s="19">
        <f>Table1[[#This Row],[Mid3]]+Table1[[#This Row],[Mid6]]+Table1[[#This Row],[Mid9]]</f>
        <v>0</v>
      </c>
      <c r="CP1526" s="19">
        <f>Table1[[#This Row],[Mid12]]+Table1[[#This Row],[Mid15]]+Table1[[#This Row],[Mid18]]+Table1[[#This Row],[Mid21]]+Table1[[#This Row],[Mid24]]</f>
        <v>0</v>
      </c>
      <c r="CQ1526" s="19">
        <f>Table1[[#This Row],[Mid27]]+Table1[[#This Row],[Mid30]]+Table1[[#This Row],[Mid33]]+Table1[[#This Row],[Mid36]]+Table1[[#This Row],[Mid39]]</f>
        <v>0</v>
      </c>
      <c r="CR1526" t="s">
        <v>415</v>
      </c>
      <c r="CS1526" s="19" t="str">
        <f>IF(AND(Table1[[#This Row],[Low41]]=0, Table1[[#This Row],[High43]]=0),"N","Y")</f>
        <v>N</v>
      </c>
    </row>
    <row r="1527" spans="1:97" ht="19.5" customHeight="1" x14ac:dyDescent="0.25">
      <c r="A1527">
        <v>11529</v>
      </c>
      <c r="B1527" t="s">
        <v>4595</v>
      </c>
      <c r="D1527">
        <v>5.795635044</v>
      </c>
      <c r="E1527">
        <v>6.9031175510000002</v>
      </c>
      <c r="Q1527"/>
      <c r="R1527" t="s">
        <v>4501</v>
      </c>
      <c r="T1527" t="s">
        <v>3959</v>
      </c>
      <c r="U1527" t="s">
        <v>4221</v>
      </c>
      <c r="V1527"/>
      <c r="AN1527" t="s">
        <v>132</v>
      </c>
      <c r="CE152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27"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2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27" s="35"/>
      <c r="CL1527" s="19">
        <f>IF(Table1[[#This Row],[Type]]="Petroleum",1,IF(ISERROR(Table1[[#This Row],[Well Density]]*Table1[[#This Row],[Single Well Discovery Area]]),"",IF(Table1[[#This Row],[Well Density]]*Table1[[#This Row],[Single Well Discovery Area]]&gt;1,1,Table1[[#This Row],[Well Density]]*Table1[[#This Row],[Single Well Discovery Area]])))</f>
        <v>0</v>
      </c>
      <c r="CM1527" t="s">
        <v>158</v>
      </c>
      <c r="CN1527" s="19">
        <f>Table1[[#This Row],[Mid]]</f>
        <v>0</v>
      </c>
      <c r="CO1527" s="19">
        <f>Table1[[#This Row],[Mid3]]+Table1[[#This Row],[Mid6]]+Table1[[#This Row],[Mid9]]</f>
        <v>0</v>
      </c>
      <c r="CP1527" s="19">
        <f>Table1[[#This Row],[Mid12]]+Table1[[#This Row],[Mid15]]+Table1[[#This Row],[Mid18]]+Table1[[#This Row],[Mid21]]+Table1[[#This Row],[Mid24]]</f>
        <v>0</v>
      </c>
      <c r="CQ1527" s="19">
        <f>Table1[[#This Row],[Mid27]]+Table1[[#This Row],[Mid30]]+Table1[[#This Row],[Mid33]]+Table1[[#This Row],[Mid36]]+Table1[[#This Row],[Mid39]]</f>
        <v>0</v>
      </c>
      <c r="CR1527" t="s">
        <v>471</v>
      </c>
      <c r="CS1527" s="19" t="str">
        <f>IF(AND(Table1[[#This Row],[Low41]]=0, Table1[[#This Row],[High43]]=0),"N","Y")</f>
        <v>N</v>
      </c>
    </row>
    <row r="1528" spans="1:97" ht="19.5" customHeight="1" x14ac:dyDescent="0.25">
      <c r="A1528">
        <v>11530</v>
      </c>
      <c r="B1528" t="s">
        <v>4596</v>
      </c>
      <c r="D1528">
        <v>28.826296679999999</v>
      </c>
      <c r="E1528">
        <v>32.460266060000002</v>
      </c>
      <c r="Q1528"/>
      <c r="R1528" t="s">
        <v>4501</v>
      </c>
      <c r="T1528" t="s">
        <v>771</v>
      </c>
      <c r="U1528" t="s">
        <v>3764</v>
      </c>
      <c r="V1528"/>
      <c r="AN1528" t="s">
        <v>132</v>
      </c>
      <c r="CE152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28"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2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28" s="35"/>
      <c r="CL1528" s="19">
        <f>IF(Table1[[#This Row],[Type]]="Petroleum",1,IF(ISERROR(Table1[[#This Row],[Well Density]]*Table1[[#This Row],[Single Well Discovery Area]]),"",IF(Table1[[#This Row],[Well Density]]*Table1[[#This Row],[Single Well Discovery Area]]&gt;1,1,Table1[[#This Row],[Well Density]]*Table1[[#This Row],[Single Well Discovery Area]])))</f>
        <v>0</v>
      </c>
      <c r="CM1528" t="s">
        <v>158</v>
      </c>
      <c r="CN1528" s="19">
        <f>Table1[[#This Row],[Mid]]</f>
        <v>0</v>
      </c>
      <c r="CO1528" s="19">
        <f>Table1[[#This Row],[Mid3]]+Table1[[#This Row],[Mid6]]+Table1[[#This Row],[Mid9]]</f>
        <v>0</v>
      </c>
      <c r="CP1528" s="19">
        <f>Table1[[#This Row],[Mid12]]+Table1[[#This Row],[Mid15]]+Table1[[#This Row],[Mid18]]+Table1[[#This Row],[Mid21]]+Table1[[#This Row],[Mid24]]</f>
        <v>0</v>
      </c>
      <c r="CQ1528" s="19">
        <f>Table1[[#This Row],[Mid27]]+Table1[[#This Row],[Mid30]]+Table1[[#This Row],[Mid33]]+Table1[[#This Row],[Mid36]]+Table1[[#This Row],[Mid39]]</f>
        <v>0</v>
      </c>
      <c r="CR1528" t="s">
        <v>471</v>
      </c>
      <c r="CS1528" s="19" t="str">
        <f>IF(AND(Table1[[#This Row],[Low41]]=0, Table1[[#This Row],[High43]]=0),"N","Y")</f>
        <v>N</v>
      </c>
    </row>
    <row r="1529" spans="1:97" ht="19.5" customHeight="1" x14ac:dyDescent="0.25">
      <c r="A1529">
        <v>11531</v>
      </c>
      <c r="B1529" t="s">
        <v>4597</v>
      </c>
      <c r="D1529">
        <v>33.889267449999998</v>
      </c>
      <c r="E1529">
        <v>35.787615170000002</v>
      </c>
      <c r="Q1529"/>
      <c r="R1529" t="s">
        <v>4501</v>
      </c>
      <c r="T1529" t="s">
        <v>3959</v>
      </c>
      <c r="U1529" t="s">
        <v>4221</v>
      </c>
      <c r="V1529"/>
      <c r="AN1529" t="s">
        <v>132</v>
      </c>
      <c r="CE152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29"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2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29" s="35"/>
      <c r="CL1529" s="19">
        <f>IF(Table1[[#This Row],[Type]]="Petroleum",1,IF(ISERROR(Table1[[#This Row],[Well Density]]*Table1[[#This Row],[Single Well Discovery Area]]),"",IF(Table1[[#This Row],[Well Density]]*Table1[[#This Row],[Single Well Discovery Area]]&gt;1,1,Table1[[#This Row],[Well Density]]*Table1[[#This Row],[Single Well Discovery Area]])))</f>
        <v>0</v>
      </c>
      <c r="CM1529" t="s">
        <v>158</v>
      </c>
      <c r="CN1529" s="19">
        <f>Table1[[#This Row],[Mid]]</f>
        <v>0</v>
      </c>
      <c r="CO1529" s="19">
        <f>Table1[[#This Row],[Mid3]]+Table1[[#This Row],[Mid6]]+Table1[[#This Row],[Mid9]]</f>
        <v>0</v>
      </c>
      <c r="CP1529" s="19">
        <f>Table1[[#This Row],[Mid12]]+Table1[[#This Row],[Mid15]]+Table1[[#This Row],[Mid18]]+Table1[[#This Row],[Mid21]]+Table1[[#This Row],[Mid24]]</f>
        <v>0</v>
      </c>
      <c r="CQ1529" s="19">
        <f>Table1[[#This Row],[Mid27]]+Table1[[#This Row],[Mid30]]+Table1[[#This Row],[Mid33]]+Table1[[#This Row],[Mid36]]+Table1[[#This Row],[Mid39]]</f>
        <v>0</v>
      </c>
      <c r="CR1529" t="s">
        <v>2308</v>
      </c>
      <c r="CS1529" s="19" t="str">
        <f>IF(AND(Table1[[#This Row],[Low41]]=0, Table1[[#This Row],[High43]]=0),"N","Y")</f>
        <v>N</v>
      </c>
    </row>
    <row r="1530" spans="1:97" ht="19.5" customHeight="1" x14ac:dyDescent="0.25">
      <c r="A1530">
        <v>11532</v>
      </c>
      <c r="B1530" t="s">
        <v>4598</v>
      </c>
      <c r="D1530">
        <v>35.191866330000003</v>
      </c>
      <c r="E1530">
        <v>36.958931309999997</v>
      </c>
      <c r="Q1530"/>
      <c r="R1530" t="s">
        <v>4501</v>
      </c>
      <c r="T1530" t="s">
        <v>3959</v>
      </c>
      <c r="U1530" t="s">
        <v>4221</v>
      </c>
      <c r="V1530"/>
      <c r="AN1530" t="s">
        <v>132</v>
      </c>
      <c r="CE153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30"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3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30" s="35"/>
      <c r="CL1530" s="19">
        <f>IF(Table1[[#This Row],[Type]]="Petroleum",1,IF(ISERROR(Table1[[#This Row],[Well Density]]*Table1[[#This Row],[Single Well Discovery Area]]),"",IF(Table1[[#This Row],[Well Density]]*Table1[[#This Row],[Single Well Discovery Area]]&gt;1,1,Table1[[#This Row],[Well Density]]*Table1[[#This Row],[Single Well Discovery Area]])))</f>
        <v>0</v>
      </c>
      <c r="CM1530" t="s">
        <v>158</v>
      </c>
      <c r="CN1530" s="19">
        <f>Table1[[#This Row],[Mid]]</f>
        <v>0</v>
      </c>
      <c r="CO1530" s="19">
        <f>Table1[[#This Row],[Mid3]]+Table1[[#This Row],[Mid6]]+Table1[[#This Row],[Mid9]]</f>
        <v>0</v>
      </c>
      <c r="CP1530" s="19">
        <f>Table1[[#This Row],[Mid12]]+Table1[[#This Row],[Mid15]]+Table1[[#This Row],[Mid18]]+Table1[[#This Row],[Mid21]]+Table1[[#This Row],[Mid24]]</f>
        <v>0</v>
      </c>
      <c r="CQ1530" s="19">
        <f>Table1[[#This Row],[Mid27]]+Table1[[#This Row],[Mid30]]+Table1[[#This Row],[Mid33]]+Table1[[#This Row],[Mid36]]+Table1[[#This Row],[Mid39]]</f>
        <v>0</v>
      </c>
      <c r="CR1530" t="s">
        <v>2308</v>
      </c>
      <c r="CS1530" s="19" t="str">
        <f>IF(AND(Table1[[#This Row],[Low41]]=0, Table1[[#This Row],[High43]]=0),"N","Y")</f>
        <v>N</v>
      </c>
    </row>
    <row r="1531" spans="1:97" ht="19.5" customHeight="1" x14ac:dyDescent="0.25">
      <c r="A1531">
        <v>11533</v>
      </c>
      <c r="B1531" t="s">
        <v>4599</v>
      </c>
      <c r="D1531">
        <v>6.7560000000000002</v>
      </c>
      <c r="E1531">
        <v>153.02699999999999</v>
      </c>
      <c r="Q1531"/>
      <c r="R1531" t="s">
        <v>4501</v>
      </c>
      <c r="T1531" t="s">
        <v>3959</v>
      </c>
      <c r="U1531" t="s">
        <v>4221</v>
      </c>
      <c r="V1531"/>
      <c r="AN1531" t="s">
        <v>132</v>
      </c>
      <c r="CE153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31"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3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31" s="35"/>
      <c r="CL1531" s="19">
        <f>IF(Table1[[#This Row],[Type]]="Petroleum",1,IF(ISERROR(Table1[[#This Row],[Well Density]]*Table1[[#This Row],[Single Well Discovery Area]]),"",IF(Table1[[#This Row],[Well Density]]*Table1[[#This Row],[Single Well Discovery Area]]&gt;1,1,Table1[[#This Row],[Well Density]]*Table1[[#This Row],[Single Well Discovery Area]])))</f>
        <v>0</v>
      </c>
      <c r="CM1531" t="s">
        <v>158</v>
      </c>
      <c r="CN1531" s="19">
        <f>Table1[[#This Row],[Mid]]</f>
        <v>0</v>
      </c>
      <c r="CO1531" s="19">
        <f>Table1[[#This Row],[Mid3]]+Table1[[#This Row],[Mid6]]+Table1[[#This Row],[Mid9]]</f>
        <v>0</v>
      </c>
      <c r="CP1531" s="19">
        <f>Table1[[#This Row],[Mid12]]+Table1[[#This Row],[Mid15]]+Table1[[#This Row],[Mid18]]+Table1[[#This Row],[Mid21]]+Table1[[#This Row],[Mid24]]</f>
        <v>0</v>
      </c>
      <c r="CQ1531" s="19">
        <f>Table1[[#This Row],[Mid27]]+Table1[[#This Row],[Mid30]]+Table1[[#This Row],[Mid33]]+Table1[[#This Row],[Mid36]]+Table1[[#This Row],[Mid39]]</f>
        <v>0</v>
      </c>
      <c r="CR1531" t="s">
        <v>136</v>
      </c>
      <c r="CS1531" s="19"/>
    </row>
    <row r="1532" spans="1:97" ht="19.5" customHeight="1" x14ac:dyDescent="0.25">
      <c r="A1532">
        <v>11534</v>
      </c>
      <c r="B1532" t="s">
        <v>4600</v>
      </c>
      <c r="D1532">
        <v>-5.8860000000000001</v>
      </c>
      <c r="E1532">
        <v>144.6</v>
      </c>
      <c r="Q1532"/>
      <c r="R1532" t="s">
        <v>4501</v>
      </c>
      <c r="T1532" t="s">
        <v>3959</v>
      </c>
      <c r="U1532" t="s">
        <v>4221</v>
      </c>
      <c r="V1532"/>
      <c r="AN1532" t="s">
        <v>132</v>
      </c>
      <c r="CE153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32"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3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32" s="35"/>
      <c r="CL1532" s="19">
        <f>IF(Table1[[#This Row],[Type]]="Petroleum",1,IF(ISERROR(Table1[[#This Row],[Well Density]]*Table1[[#This Row],[Single Well Discovery Area]]),"",IF(Table1[[#This Row],[Well Density]]*Table1[[#This Row],[Single Well Discovery Area]]&gt;1,1,Table1[[#This Row],[Well Density]]*Table1[[#This Row],[Single Well Discovery Area]])))</f>
        <v>0</v>
      </c>
      <c r="CM1532" t="s">
        <v>158</v>
      </c>
      <c r="CN1532" s="19">
        <f>Table1[[#This Row],[Mid]]</f>
        <v>0</v>
      </c>
      <c r="CO1532" s="19">
        <f>Table1[[#This Row],[Mid3]]+Table1[[#This Row],[Mid6]]+Table1[[#This Row],[Mid9]]</f>
        <v>0</v>
      </c>
      <c r="CP1532" s="19">
        <f>Table1[[#This Row],[Mid12]]+Table1[[#This Row],[Mid15]]+Table1[[#This Row],[Mid18]]+Table1[[#This Row],[Mid21]]+Table1[[#This Row],[Mid24]]</f>
        <v>0</v>
      </c>
      <c r="CQ1532" s="19">
        <f>Table1[[#This Row],[Mid27]]+Table1[[#This Row],[Mid30]]+Table1[[#This Row],[Mid33]]+Table1[[#This Row],[Mid36]]+Table1[[#This Row],[Mid39]]</f>
        <v>0</v>
      </c>
      <c r="CR1532" t="s">
        <v>136</v>
      </c>
      <c r="CS1532" s="19"/>
    </row>
    <row r="1533" spans="1:97" ht="19.5" customHeight="1" x14ac:dyDescent="0.25">
      <c r="A1533">
        <v>11535</v>
      </c>
      <c r="B1533" t="s">
        <v>4601</v>
      </c>
      <c r="D1533">
        <v>35.097014119999997</v>
      </c>
      <c r="E1533">
        <v>10.348890239999999</v>
      </c>
      <c r="Q1533"/>
      <c r="R1533" t="s">
        <v>4501</v>
      </c>
      <c r="T1533" t="s">
        <v>3959</v>
      </c>
      <c r="U1533" t="s">
        <v>4221</v>
      </c>
      <c r="V1533"/>
      <c r="AN1533" t="s">
        <v>132</v>
      </c>
      <c r="CE153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33"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3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33" s="35"/>
      <c r="CL1533" s="19">
        <f>IF(Table1[[#This Row],[Type]]="Petroleum",1,IF(ISERROR(Table1[[#This Row],[Well Density]]*Table1[[#This Row],[Single Well Discovery Area]]),"",IF(Table1[[#This Row],[Well Density]]*Table1[[#This Row],[Single Well Discovery Area]]&gt;1,1,Table1[[#This Row],[Well Density]]*Table1[[#This Row],[Single Well Discovery Area]])))</f>
        <v>0</v>
      </c>
      <c r="CM1533" t="s">
        <v>158</v>
      </c>
      <c r="CN1533" s="19">
        <f>Table1[[#This Row],[Mid]]</f>
        <v>0</v>
      </c>
      <c r="CO1533" s="19">
        <f>Table1[[#This Row],[Mid3]]+Table1[[#This Row],[Mid6]]+Table1[[#This Row],[Mid9]]</f>
        <v>0</v>
      </c>
      <c r="CP1533" s="19">
        <f>Table1[[#This Row],[Mid12]]+Table1[[#This Row],[Mid15]]+Table1[[#This Row],[Mid18]]+Table1[[#This Row],[Mid21]]+Table1[[#This Row],[Mid24]]</f>
        <v>0</v>
      </c>
      <c r="CQ1533" s="19">
        <f>Table1[[#This Row],[Mid27]]+Table1[[#This Row],[Mid30]]+Table1[[#This Row],[Mid33]]+Table1[[#This Row],[Mid36]]+Table1[[#This Row],[Mid39]]</f>
        <v>0</v>
      </c>
      <c r="CR1533" t="s">
        <v>2308</v>
      </c>
      <c r="CS1533" s="19" t="str">
        <f>IF(AND(Table1[[#This Row],[Low41]]=0, Table1[[#This Row],[High43]]=0),"N","Y")</f>
        <v>N</v>
      </c>
    </row>
    <row r="1534" spans="1:97" ht="19.5" customHeight="1" x14ac:dyDescent="0.25">
      <c r="A1534">
        <v>11536</v>
      </c>
      <c r="B1534" t="s">
        <v>4602</v>
      </c>
      <c r="D1534">
        <v>33.000999999999998</v>
      </c>
      <c r="E1534">
        <v>43.796999999999997</v>
      </c>
      <c r="Q1534"/>
      <c r="R1534" t="s">
        <v>4501</v>
      </c>
      <c r="T1534" t="s">
        <v>3959</v>
      </c>
      <c r="U1534" t="s">
        <v>4221</v>
      </c>
      <c r="V1534"/>
      <c r="AN1534" t="s">
        <v>132</v>
      </c>
      <c r="CE153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34" s="19">
        <f>SUM(Table1[[#This Row],[Mid39]],Table1[[#This Row],[Mid36]],Table1[[#This Row],[Mid33]],Table1[[#This Row],[Mid30]],Table1[[#This Row],[Mid27]],Table1[[#This Row],[Mid24]],Table1[[#This Row],[Mid21]],Table1[[#This Row],[Mid18]],Table1[[#This Row],[Mid15]],Table1[[#This Row],[Mid12]],Table1[[#This Row],[Mid9]],Table1[[#This Row],[Mid6]],Table1[[#This Row],[Mid3]],Table1[[#This Row],[Mid]])</f>
        <v>0</v>
      </c>
      <c r="CG153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34" s="35"/>
      <c r="CL1534" s="19">
        <f>IF(Table1[[#This Row],[Type]]="Petroleum",1,IF(ISERROR(Table1[[#This Row],[Well Density]]*Table1[[#This Row],[Single Well Discovery Area]]),"",IF(Table1[[#This Row],[Well Density]]*Table1[[#This Row],[Single Well Discovery Area]]&gt;1,1,Table1[[#This Row],[Well Density]]*Table1[[#This Row],[Single Well Discovery Area]])))</f>
        <v>0</v>
      </c>
      <c r="CM1534" t="s">
        <v>158</v>
      </c>
      <c r="CN1534" s="19">
        <f>Table1[[#This Row],[Mid]]</f>
        <v>0</v>
      </c>
      <c r="CO1534" s="19">
        <f>Table1[[#This Row],[Mid3]]+Table1[[#This Row],[Mid6]]+Table1[[#This Row],[Mid9]]</f>
        <v>0</v>
      </c>
      <c r="CP1534" s="19">
        <f>Table1[[#This Row],[Mid12]]+Table1[[#This Row],[Mid15]]+Table1[[#This Row],[Mid18]]+Table1[[#This Row],[Mid21]]+Table1[[#This Row],[Mid24]]</f>
        <v>0</v>
      </c>
      <c r="CQ1534" s="19">
        <f>Table1[[#This Row],[Mid27]]+Table1[[#This Row],[Mid30]]+Table1[[#This Row],[Mid33]]+Table1[[#This Row],[Mid36]]+Table1[[#This Row],[Mid39]]</f>
        <v>0</v>
      </c>
      <c r="CR1534" t="s">
        <v>2308</v>
      </c>
      <c r="CS1534" s="19" t="str">
        <f>IF(AND(Table1[[#This Row],[Low41]]=0, Table1[[#This Row],[High43]]=0),"N","Y")</f>
        <v>N</v>
      </c>
    </row>
    <row r="1535" spans="1:97" ht="19.5" customHeight="1" x14ac:dyDescent="0.25">
      <c r="A1535">
        <v>11537</v>
      </c>
      <c r="B1535" t="s">
        <v>4603</v>
      </c>
      <c r="D1535">
        <v>33.417000000000002</v>
      </c>
      <c r="E1535">
        <v>65.960999999999999</v>
      </c>
      <c r="Q1535"/>
      <c r="R1535" t="s">
        <v>4501</v>
      </c>
      <c r="T1535" t="s">
        <v>3959</v>
      </c>
      <c r="U1535" t="s">
        <v>4221</v>
      </c>
      <c r="V1535"/>
      <c r="AN1535" t="s">
        <v>132</v>
      </c>
      <c r="CE153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3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3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35" s="35"/>
      <c r="CL1535" s="19">
        <f>IF(Table1[[#This Row],[Type]]="Petroleum",1,IF(ISERROR(Table1[[#This Row],[Well Density]]*Table1[[#This Row],[Single Well Discovery Area]]),"",IF(Table1[[#This Row],[Well Density]]*Table1[[#This Row],[Single Well Discovery Area]]&gt;1,1,Table1[[#This Row],[Well Density]]*Table1[[#This Row],[Single Well Discovery Area]])))</f>
        <v>0</v>
      </c>
      <c r="CM1535" t="s">
        <v>158</v>
      </c>
      <c r="CN1535" s="19">
        <f>Table1[[#This Row],[Mid]]</f>
        <v>0</v>
      </c>
      <c r="CO1535" s="19">
        <f>Table1[[#This Row],[Mid3]]+Table1[[#This Row],[Mid6]]+Table1[[#This Row],[Mid9]]</f>
        <v>0</v>
      </c>
      <c r="CP1535" s="19">
        <f>Table1[[#This Row],[Mid12]]+Table1[[#This Row],[Mid15]]+Table1[[#This Row],[Mid18]]+Table1[[#This Row],[Mid21]]+Table1[[#This Row],[Mid24]]</f>
        <v>0</v>
      </c>
      <c r="CQ1535" s="19">
        <f>Table1[[#This Row],[Mid27]]+Table1[[#This Row],[Mid30]]+Table1[[#This Row],[Mid33]]+Table1[[#This Row],[Mid36]]+Table1[[#This Row],[Mid39]]</f>
        <v>0</v>
      </c>
      <c r="CR1535" t="s">
        <v>439</v>
      </c>
      <c r="CS1535" s="19" t="str">
        <f>IF(AND(Table1[[#This Row],[Low41]]=0, Table1[[#This Row],[High43]]=0),"N","Y")</f>
        <v>N</v>
      </c>
    </row>
    <row r="1536" spans="1:97" ht="19.5" customHeight="1" x14ac:dyDescent="0.25">
      <c r="A1536">
        <v>11538</v>
      </c>
      <c r="B1536" t="s">
        <v>4604</v>
      </c>
      <c r="D1536">
        <v>21.516860999999999</v>
      </c>
      <c r="E1536">
        <v>55.859290989999998</v>
      </c>
      <c r="F1536" s="32"/>
      <c r="I1536" s="32"/>
      <c r="J1536" s="32"/>
      <c r="K1536" s="32"/>
      <c r="L1536" s="32"/>
      <c r="R1536" t="s">
        <v>4501</v>
      </c>
      <c r="T1536" t="s">
        <v>2257</v>
      </c>
      <c r="U1536" t="s">
        <v>129</v>
      </c>
      <c r="W1536" s="7"/>
      <c r="AC1536" s="7"/>
      <c r="AD1536" s="7"/>
      <c r="AI1536" s="34"/>
      <c r="AN1536" t="s">
        <v>132</v>
      </c>
      <c r="AO1536" s="19"/>
      <c r="AP1536" s="19"/>
      <c r="AQ1536" s="19"/>
      <c r="AR1536" s="19"/>
      <c r="AS1536" s="19"/>
      <c r="AT1536" s="19"/>
      <c r="AU1536" s="19"/>
      <c r="AV1536" s="19"/>
      <c r="AW1536" s="19"/>
      <c r="AX1536" s="19"/>
      <c r="AY1536" s="19"/>
      <c r="AZ1536" s="19"/>
      <c r="BA1536" s="19"/>
      <c r="BB1536" s="19"/>
      <c r="BC1536" s="19"/>
      <c r="BD1536" s="19"/>
      <c r="BE1536" s="19"/>
      <c r="BF1536" s="19"/>
      <c r="BG1536" s="19"/>
      <c r="BH1536" s="19"/>
      <c r="BI1536" s="19"/>
      <c r="BJ1536" s="19"/>
      <c r="BK1536" s="19"/>
      <c r="BL1536" s="19"/>
      <c r="BM1536" s="19"/>
      <c r="BN1536" s="19"/>
      <c r="BO1536" s="19"/>
      <c r="BP1536" s="19"/>
      <c r="BQ1536" s="19"/>
      <c r="BR1536" s="19"/>
      <c r="BS1536" s="19"/>
      <c r="BT1536" s="19"/>
      <c r="BU1536" s="19"/>
      <c r="BV1536" s="19"/>
      <c r="BW1536" s="19"/>
      <c r="BX1536" s="19"/>
      <c r="BY1536" s="19"/>
      <c r="BZ1536" s="19"/>
      <c r="CA1536" s="19"/>
      <c r="CB1536" s="19"/>
      <c r="CC1536" s="19"/>
      <c r="CD1536" s="19"/>
      <c r="CE15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3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3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36" s="35"/>
      <c r="CL1536" s="19">
        <f>IF(Table1[[#This Row],[Type]]="Petroleum",1,IF(ISERROR(Table1[[#This Row],[Well Density]]*Table1[[#This Row],[Single Well Discovery Area]]),"",IF(Table1[[#This Row],[Well Density]]*Table1[[#This Row],[Single Well Discovery Area]]&gt;1,1,Table1[[#This Row],[Well Density]]*Table1[[#This Row],[Single Well Discovery Area]])))</f>
        <v>0</v>
      </c>
      <c r="CM1536" t="s">
        <v>158</v>
      </c>
      <c r="CN1536" s="19">
        <f>Table1[[#This Row],[Mid]]</f>
        <v>0</v>
      </c>
      <c r="CO1536" s="19">
        <f>Table1[[#This Row],[Mid3]]+Table1[[#This Row],[Mid6]]+Table1[[#This Row],[Mid9]]</f>
        <v>0</v>
      </c>
      <c r="CP1536" s="19">
        <f>Table1[[#This Row],[Mid12]]+Table1[[#This Row],[Mid15]]+Table1[[#This Row],[Mid18]]+Table1[[#This Row],[Mid21]]+Table1[[#This Row],[Mid24]]</f>
        <v>0</v>
      </c>
      <c r="CQ1536" s="19">
        <f>Table1[[#This Row],[Mid27]]+Table1[[#This Row],[Mid30]]+Table1[[#This Row],[Mid33]]+Table1[[#This Row],[Mid36]]+Table1[[#This Row],[Mid39]]</f>
        <v>0</v>
      </c>
      <c r="CR1536" s="19" t="s">
        <v>2308</v>
      </c>
      <c r="CS1536" s="19" t="str">
        <f>IF(AND(Table1[[#This Row],[Low41]]=0, Table1[[#This Row],[High43]]=0),"N","Y")</f>
        <v>N</v>
      </c>
    </row>
    <row r="1537" spans="1:97" ht="19.5" customHeight="1" x14ac:dyDescent="0.25">
      <c r="A1537">
        <v>11539</v>
      </c>
      <c r="B1537" t="s">
        <v>4605</v>
      </c>
      <c r="D1537">
        <v>17.690000000000001</v>
      </c>
      <c r="E1537">
        <v>-61.393000000000001</v>
      </c>
      <c r="F1537" s="32"/>
      <c r="I1537" s="32"/>
      <c r="J1537" s="32"/>
      <c r="K1537" s="32"/>
      <c r="L1537" s="32"/>
      <c r="R1537" t="s">
        <v>4501</v>
      </c>
      <c r="T1537" t="s">
        <v>3959</v>
      </c>
      <c r="U1537" t="s">
        <v>1479</v>
      </c>
      <c r="W1537" s="7"/>
      <c r="AC1537" s="7"/>
      <c r="AD1537" s="7"/>
      <c r="AI1537" s="34"/>
      <c r="AN1537" t="s">
        <v>132</v>
      </c>
      <c r="AO1537" s="19"/>
      <c r="AP1537" s="19"/>
      <c r="AQ1537" s="19"/>
      <c r="AR1537" s="19"/>
      <c r="AS1537" s="19"/>
      <c r="AT1537" s="19"/>
      <c r="AU1537" s="19"/>
      <c r="AV1537" s="19"/>
      <c r="AW1537" s="19"/>
      <c r="AX1537" s="19"/>
      <c r="AY1537" s="19"/>
      <c r="AZ1537" s="19"/>
      <c r="BA1537" s="19"/>
      <c r="BB1537" s="19"/>
      <c r="BC1537" s="19"/>
      <c r="BD1537" s="19"/>
      <c r="BE1537" s="19"/>
      <c r="BF1537" s="19"/>
      <c r="BG1537" s="19"/>
      <c r="BH1537" s="19"/>
      <c r="BI1537" s="19"/>
      <c r="BJ1537" s="19"/>
      <c r="BK1537" s="19"/>
      <c r="BL1537" s="19"/>
      <c r="BM1537" s="19"/>
      <c r="BN1537" s="19"/>
      <c r="BO1537" s="19"/>
      <c r="BP1537" s="19"/>
      <c r="BQ1537" s="19"/>
      <c r="BR1537" s="19"/>
      <c r="BS1537" s="19"/>
      <c r="BT1537" s="19"/>
      <c r="BU1537" s="19"/>
      <c r="BV1537" s="19"/>
      <c r="BW1537" s="19"/>
      <c r="BX1537" s="19"/>
      <c r="BY1537" s="19"/>
      <c r="BZ1537" s="19"/>
      <c r="CA1537" s="19"/>
      <c r="CB1537" s="19"/>
      <c r="CC1537" s="19"/>
      <c r="CD1537" s="19"/>
      <c r="CE153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3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3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37" s="35"/>
      <c r="CL1537" s="19">
        <f>IF(Table1[[#This Row],[Type]]="Petroleum",1,IF(ISERROR(Table1[[#This Row],[Well Density]]*Table1[[#This Row],[Single Well Discovery Area]]),"",IF(Table1[[#This Row],[Well Density]]*Table1[[#This Row],[Single Well Discovery Area]]&gt;1,1,Table1[[#This Row],[Well Density]]*Table1[[#This Row],[Single Well Discovery Area]])))</f>
        <v>0</v>
      </c>
      <c r="CM1537" t="s">
        <v>158</v>
      </c>
      <c r="CN1537" s="19">
        <f>Table1[[#This Row],[Mid]]</f>
        <v>0</v>
      </c>
      <c r="CO1537" s="19">
        <f>Table1[[#This Row],[Mid3]]+Table1[[#This Row],[Mid6]]+Table1[[#This Row],[Mid9]]</f>
        <v>0</v>
      </c>
      <c r="CP1537" s="19">
        <f>Table1[[#This Row],[Mid12]]+Table1[[#This Row],[Mid15]]+Table1[[#This Row],[Mid18]]+Table1[[#This Row],[Mid21]]+Table1[[#This Row],[Mid24]]</f>
        <v>0</v>
      </c>
      <c r="CQ1537" s="19">
        <f>Table1[[#This Row],[Mid27]]+Table1[[#This Row],[Mid30]]+Table1[[#This Row],[Mid33]]+Table1[[#This Row],[Mid36]]+Table1[[#This Row],[Mid39]]</f>
        <v>0</v>
      </c>
      <c r="CR1537" s="19" t="s">
        <v>471</v>
      </c>
      <c r="CS1537" s="19" t="str">
        <f>IF(AND(Table1[[#This Row],[Low41]]=0, Table1[[#This Row],[High43]]=0),"N","Y")</f>
        <v>N</v>
      </c>
    </row>
    <row r="1538" spans="1:97" ht="19.5" customHeight="1" x14ac:dyDescent="0.25">
      <c r="A1538">
        <v>11540</v>
      </c>
      <c r="B1538" t="s">
        <v>4606</v>
      </c>
      <c r="D1538">
        <v>40.320900000000002</v>
      </c>
      <c r="E1538">
        <v>45.005800000000001</v>
      </c>
      <c r="F1538" s="32"/>
      <c r="I1538" s="32"/>
      <c r="J1538" s="32"/>
      <c r="K1538" s="32"/>
      <c r="L1538" s="32"/>
      <c r="R1538" t="s">
        <v>4501</v>
      </c>
      <c r="T1538" t="s">
        <v>3959</v>
      </c>
      <c r="U1538" t="s">
        <v>1479</v>
      </c>
      <c r="W1538" s="7"/>
      <c r="AC1538" s="7"/>
      <c r="AD1538" s="7"/>
      <c r="AI1538" s="34"/>
      <c r="AN1538" t="s">
        <v>132</v>
      </c>
      <c r="AO1538" s="19"/>
      <c r="AP1538" s="19"/>
      <c r="AQ1538" s="19"/>
      <c r="AR1538" s="19"/>
      <c r="AS1538" s="19"/>
      <c r="AT1538" s="19"/>
      <c r="AU1538" s="19"/>
      <c r="AV1538" s="19"/>
      <c r="AW1538" s="19"/>
      <c r="AX1538" s="19"/>
      <c r="AY1538" s="19"/>
      <c r="AZ1538" s="19"/>
      <c r="BA1538" s="19"/>
      <c r="BB1538" s="19"/>
      <c r="BC1538" s="19"/>
      <c r="BD1538" s="19"/>
      <c r="BE1538" s="19"/>
      <c r="BF1538" s="19"/>
      <c r="BG1538" s="19"/>
      <c r="BH1538" s="19"/>
      <c r="BI1538" s="19"/>
      <c r="BJ1538" s="19"/>
      <c r="BK1538" s="19"/>
      <c r="BL1538" s="19"/>
      <c r="BM1538" s="19"/>
      <c r="BN1538" s="19"/>
      <c r="BO1538" s="19"/>
      <c r="BP1538" s="19"/>
      <c r="BQ1538" s="19"/>
      <c r="BR1538" s="19"/>
      <c r="BS1538" s="19"/>
      <c r="BT1538" s="19"/>
      <c r="BU1538" s="19"/>
      <c r="BV1538" s="19"/>
      <c r="BW1538" s="19"/>
      <c r="BX1538" s="19"/>
      <c r="BY1538" s="19"/>
      <c r="BZ1538" s="19"/>
      <c r="CA1538" s="19"/>
      <c r="CB1538" s="19"/>
      <c r="CC1538" s="19"/>
      <c r="CD1538" s="19"/>
      <c r="CE153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3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3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38" s="35"/>
      <c r="CL1538" s="19">
        <f>IF(Table1[[#This Row],[Type]]="Petroleum",1,IF(ISERROR(Table1[[#This Row],[Well Density]]*Table1[[#This Row],[Single Well Discovery Area]]),"",IF(Table1[[#This Row],[Well Density]]*Table1[[#This Row],[Single Well Discovery Area]]&gt;1,1,Table1[[#This Row],[Well Density]]*Table1[[#This Row],[Single Well Discovery Area]])))</f>
        <v>0</v>
      </c>
      <c r="CM1538" t="s">
        <v>158</v>
      </c>
      <c r="CN1538" s="19">
        <f>Table1[[#This Row],[Mid]]</f>
        <v>0</v>
      </c>
      <c r="CO1538" s="19">
        <f>Table1[[#This Row],[Mid3]]+Table1[[#This Row],[Mid6]]+Table1[[#This Row],[Mid9]]</f>
        <v>0</v>
      </c>
      <c r="CP1538" s="19">
        <f>Table1[[#This Row],[Mid12]]+Table1[[#This Row],[Mid15]]+Table1[[#This Row],[Mid18]]+Table1[[#This Row],[Mid21]]+Table1[[#This Row],[Mid24]]</f>
        <v>0</v>
      </c>
      <c r="CQ1538" s="19">
        <f>Table1[[#This Row],[Mid27]]+Table1[[#This Row],[Mid30]]+Table1[[#This Row],[Mid33]]+Table1[[#This Row],[Mid36]]+Table1[[#This Row],[Mid39]]</f>
        <v>0</v>
      </c>
      <c r="CR1538" s="19" t="s">
        <v>439</v>
      </c>
      <c r="CS1538" s="19" t="str">
        <f>IF(AND(Table1[[#This Row],[Low41]]=0, Table1[[#This Row],[High43]]=0),"N","Y")</f>
        <v>N</v>
      </c>
    </row>
    <row r="1539" spans="1:97" ht="19.5" customHeight="1" x14ac:dyDescent="0.25">
      <c r="A1539">
        <v>11541</v>
      </c>
      <c r="B1539" t="s">
        <v>4607</v>
      </c>
      <c r="D1539">
        <v>40.402000000000001</v>
      </c>
      <c r="E1539">
        <v>47.953000000000003</v>
      </c>
      <c r="F1539" s="32"/>
      <c r="I1539" s="32"/>
      <c r="J1539" s="32"/>
      <c r="K1539" s="32"/>
      <c r="L1539" s="32"/>
      <c r="R1539" t="s">
        <v>4501</v>
      </c>
      <c r="T1539" t="s">
        <v>3959</v>
      </c>
      <c r="U1539" t="s">
        <v>1479</v>
      </c>
      <c r="W1539" s="7"/>
      <c r="AC1539" s="7"/>
      <c r="AD1539" s="7"/>
      <c r="AI1539" s="34"/>
      <c r="AN1539" t="s">
        <v>132</v>
      </c>
      <c r="AO1539" s="19"/>
      <c r="AP1539" s="19"/>
      <c r="AQ1539" s="19"/>
      <c r="AR1539" s="19"/>
      <c r="AS1539" s="19"/>
      <c r="AT1539" s="19"/>
      <c r="AU1539" s="19"/>
      <c r="AV1539" s="19"/>
      <c r="AW1539" s="19"/>
      <c r="AX1539" s="19"/>
      <c r="AY1539" s="19"/>
      <c r="AZ1539" s="19"/>
      <c r="BA1539" s="19"/>
      <c r="BB1539" s="19"/>
      <c r="BC1539" s="19"/>
      <c r="BD1539" s="19"/>
      <c r="BE1539" s="19"/>
      <c r="BF1539" s="19"/>
      <c r="BG1539" s="19"/>
      <c r="BH1539" s="19"/>
      <c r="BI1539" s="19"/>
      <c r="BJ1539" s="19"/>
      <c r="BK1539" s="19"/>
      <c r="BL1539" s="19"/>
      <c r="BM1539" s="19"/>
      <c r="BN1539" s="19"/>
      <c r="BO1539" s="19"/>
      <c r="BP1539" s="19"/>
      <c r="BQ1539" s="19"/>
      <c r="BR1539" s="19"/>
      <c r="BS1539" s="19"/>
      <c r="BT1539" s="19"/>
      <c r="BU1539" s="19"/>
      <c r="BV1539" s="19"/>
      <c r="BW1539" s="19"/>
      <c r="BX1539" s="19"/>
      <c r="BY1539" s="19"/>
      <c r="BZ1539" s="19"/>
      <c r="CA1539" s="19"/>
      <c r="CB1539" s="19"/>
      <c r="CC1539" s="19"/>
      <c r="CD1539" s="19"/>
      <c r="CE153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3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3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39" s="35"/>
      <c r="CL1539" s="19">
        <f>IF(Table1[[#This Row],[Type]]="Petroleum",1,IF(ISERROR(Table1[[#This Row],[Well Density]]*Table1[[#This Row],[Single Well Discovery Area]]),"",IF(Table1[[#This Row],[Well Density]]*Table1[[#This Row],[Single Well Discovery Area]]&gt;1,1,Table1[[#This Row],[Well Density]]*Table1[[#This Row],[Single Well Discovery Area]])))</f>
        <v>0</v>
      </c>
      <c r="CM1539" t="s">
        <v>158</v>
      </c>
      <c r="CN1539" s="19">
        <f>Table1[[#This Row],[Mid]]</f>
        <v>0</v>
      </c>
      <c r="CO1539" s="19">
        <f>Table1[[#This Row],[Mid3]]+Table1[[#This Row],[Mid6]]+Table1[[#This Row],[Mid9]]</f>
        <v>0</v>
      </c>
      <c r="CP1539" s="19">
        <f>Table1[[#This Row],[Mid12]]+Table1[[#This Row],[Mid15]]+Table1[[#This Row],[Mid18]]+Table1[[#This Row],[Mid21]]+Table1[[#This Row],[Mid24]]</f>
        <v>0</v>
      </c>
      <c r="CQ1539" s="19">
        <f>Table1[[#This Row],[Mid27]]+Table1[[#This Row],[Mid30]]+Table1[[#This Row],[Mid33]]+Table1[[#This Row],[Mid36]]+Table1[[#This Row],[Mid39]]</f>
        <v>0</v>
      </c>
      <c r="CR1539" s="19" t="s">
        <v>439</v>
      </c>
      <c r="CS1539" s="19" t="str">
        <f>IF(AND(Table1[[#This Row],[Low41]]=0, Table1[[#This Row],[High43]]=0),"N","Y")</f>
        <v>N</v>
      </c>
    </row>
    <row r="1540" spans="1:97" ht="19.5" customHeight="1" x14ac:dyDescent="0.25">
      <c r="A1540">
        <v>11542</v>
      </c>
      <c r="B1540" t="s">
        <v>4608</v>
      </c>
      <c r="D1540">
        <v>22.494</v>
      </c>
      <c r="E1540">
        <v>-73.668999999999997</v>
      </c>
      <c r="F1540" s="32"/>
      <c r="I1540" s="32"/>
      <c r="J1540" s="32"/>
      <c r="K1540" s="32"/>
      <c r="L1540" s="32"/>
      <c r="R1540" t="s">
        <v>4501</v>
      </c>
      <c r="T1540" t="s">
        <v>3959</v>
      </c>
      <c r="U1540" t="s">
        <v>1479</v>
      </c>
      <c r="W1540" s="7"/>
      <c r="AC1540" s="7"/>
      <c r="AD1540" s="7"/>
      <c r="AI1540" s="34"/>
      <c r="AN1540" t="s">
        <v>132</v>
      </c>
      <c r="AO1540" s="19"/>
      <c r="AP1540" s="19"/>
      <c r="AQ1540" s="19"/>
      <c r="AR1540" s="19"/>
      <c r="AS1540" s="19"/>
      <c r="AT1540" s="19"/>
      <c r="AU1540" s="19"/>
      <c r="AV1540" s="19"/>
      <c r="AW1540" s="19"/>
      <c r="AX1540" s="19"/>
      <c r="AY1540" s="19"/>
      <c r="AZ1540" s="19"/>
      <c r="BA1540" s="19"/>
      <c r="BB1540" s="19"/>
      <c r="BC1540" s="19"/>
      <c r="BD1540" s="19"/>
      <c r="BE1540" s="19"/>
      <c r="BF1540" s="19"/>
      <c r="BG1540" s="19"/>
      <c r="BH1540" s="19"/>
      <c r="BI1540" s="19"/>
      <c r="BJ1540" s="19"/>
      <c r="BK1540" s="19"/>
      <c r="BL1540" s="19"/>
      <c r="BM1540" s="19"/>
      <c r="BN1540" s="19"/>
      <c r="BO1540" s="19"/>
      <c r="BP1540" s="19"/>
      <c r="BQ1540" s="19"/>
      <c r="BR1540" s="19"/>
      <c r="BS1540" s="19"/>
      <c r="BT1540" s="19"/>
      <c r="BU1540" s="19"/>
      <c r="BV1540" s="19"/>
      <c r="BW1540" s="19"/>
      <c r="BX1540" s="19"/>
      <c r="BY1540" s="19"/>
      <c r="BZ1540" s="19"/>
      <c r="CA1540" s="19"/>
      <c r="CB1540" s="19"/>
      <c r="CC1540" s="19"/>
      <c r="CD1540" s="19"/>
      <c r="CE154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4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4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40" s="35"/>
      <c r="CL1540" s="19">
        <f>IF(Table1[[#This Row],[Type]]="Petroleum",1,IF(ISERROR(Table1[[#This Row],[Well Density]]*Table1[[#This Row],[Single Well Discovery Area]]),"",IF(Table1[[#This Row],[Well Density]]*Table1[[#This Row],[Single Well Discovery Area]]&gt;1,1,Table1[[#This Row],[Well Density]]*Table1[[#This Row],[Single Well Discovery Area]])))</f>
        <v>0</v>
      </c>
      <c r="CM1540" t="s">
        <v>158</v>
      </c>
      <c r="CN1540" s="19">
        <f>Table1[[#This Row],[Mid]]</f>
        <v>0</v>
      </c>
      <c r="CO1540" s="19">
        <f>Table1[[#This Row],[Mid3]]+Table1[[#This Row],[Mid6]]+Table1[[#This Row],[Mid9]]</f>
        <v>0</v>
      </c>
      <c r="CP1540" s="19">
        <f>Table1[[#This Row],[Mid12]]+Table1[[#This Row],[Mid15]]+Table1[[#This Row],[Mid18]]+Table1[[#This Row],[Mid21]]+Table1[[#This Row],[Mid24]]</f>
        <v>0</v>
      </c>
      <c r="CQ1540" s="19">
        <f>Table1[[#This Row],[Mid27]]+Table1[[#This Row],[Mid30]]+Table1[[#This Row],[Mid33]]+Table1[[#This Row],[Mid36]]+Table1[[#This Row],[Mid39]]</f>
        <v>0</v>
      </c>
      <c r="CR1540" s="19" t="s">
        <v>471</v>
      </c>
      <c r="CS1540" s="19" t="str">
        <f>IF(AND(Table1[[#This Row],[Low41]]=0, Table1[[#This Row],[High43]]=0),"N","Y")</f>
        <v>N</v>
      </c>
    </row>
    <row r="1541" spans="1:97" ht="19.5" customHeight="1" x14ac:dyDescent="0.25">
      <c r="A1541">
        <v>11543</v>
      </c>
      <c r="B1541" t="s">
        <v>4609</v>
      </c>
      <c r="D1541">
        <v>13.115</v>
      </c>
      <c r="E1541">
        <v>-59.618000000000002</v>
      </c>
      <c r="F1541" s="32"/>
      <c r="I1541" s="32"/>
      <c r="J1541" s="32"/>
      <c r="K1541" s="32"/>
      <c r="L1541" s="32"/>
      <c r="R1541" t="s">
        <v>4501</v>
      </c>
      <c r="T1541" t="s">
        <v>3959</v>
      </c>
      <c r="U1541" t="s">
        <v>1479</v>
      </c>
      <c r="W1541" s="7"/>
      <c r="AC1541" s="7"/>
      <c r="AD1541" s="7"/>
      <c r="AI1541" s="34"/>
      <c r="AN1541" t="s">
        <v>132</v>
      </c>
      <c r="AO1541" s="19"/>
      <c r="AP1541" s="19"/>
      <c r="AQ1541" s="19"/>
      <c r="AR1541" s="19"/>
      <c r="AS1541" s="19"/>
      <c r="AT1541" s="19"/>
      <c r="AU1541" s="19"/>
      <c r="AV1541" s="19"/>
      <c r="AW1541" s="19"/>
      <c r="AX1541" s="19"/>
      <c r="AY1541" s="19"/>
      <c r="AZ1541" s="19"/>
      <c r="BA1541" s="19"/>
      <c r="BB1541" s="19"/>
      <c r="BC1541" s="19"/>
      <c r="BD1541" s="19"/>
      <c r="BE1541" s="19"/>
      <c r="BF1541" s="19"/>
      <c r="BG1541" s="19"/>
      <c r="BH1541" s="19"/>
      <c r="BI1541" s="19"/>
      <c r="BJ1541" s="19"/>
      <c r="BK1541" s="19"/>
      <c r="BL1541" s="19"/>
      <c r="BM1541" s="19"/>
      <c r="BN1541" s="19"/>
      <c r="BO1541" s="19"/>
      <c r="BP1541" s="19"/>
      <c r="BQ1541" s="19"/>
      <c r="BR1541" s="19"/>
      <c r="BS1541" s="19"/>
      <c r="BT1541" s="19"/>
      <c r="BU1541" s="19"/>
      <c r="BV1541" s="19"/>
      <c r="BW1541" s="19"/>
      <c r="BX1541" s="19"/>
      <c r="BY1541" s="19"/>
      <c r="BZ1541" s="19"/>
      <c r="CA1541" s="19"/>
      <c r="CB1541" s="19"/>
      <c r="CC1541" s="19"/>
      <c r="CD1541" s="19"/>
      <c r="CE154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4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4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41" s="35"/>
      <c r="CL1541" s="19">
        <f>IF(Table1[[#This Row],[Type]]="Petroleum",1,IF(ISERROR(Table1[[#This Row],[Well Density]]*Table1[[#This Row],[Single Well Discovery Area]]),"",IF(Table1[[#This Row],[Well Density]]*Table1[[#This Row],[Single Well Discovery Area]]&gt;1,1,Table1[[#This Row],[Well Density]]*Table1[[#This Row],[Single Well Discovery Area]])))</f>
        <v>0</v>
      </c>
      <c r="CM1541" t="s">
        <v>158</v>
      </c>
      <c r="CN1541" s="19">
        <f>Table1[[#This Row],[Mid]]</f>
        <v>0</v>
      </c>
      <c r="CO1541" s="19">
        <f>Table1[[#This Row],[Mid3]]+Table1[[#This Row],[Mid6]]+Table1[[#This Row],[Mid9]]</f>
        <v>0</v>
      </c>
      <c r="CP1541" s="19">
        <f>Table1[[#This Row],[Mid12]]+Table1[[#This Row],[Mid15]]+Table1[[#This Row],[Mid18]]+Table1[[#This Row],[Mid21]]+Table1[[#This Row],[Mid24]]</f>
        <v>0</v>
      </c>
      <c r="CQ1541" s="19">
        <f>Table1[[#This Row],[Mid27]]+Table1[[#This Row],[Mid30]]+Table1[[#This Row],[Mid33]]+Table1[[#This Row],[Mid36]]+Table1[[#This Row],[Mid39]]</f>
        <v>0</v>
      </c>
      <c r="CR1541" s="19" t="s">
        <v>471</v>
      </c>
      <c r="CS1541" s="19" t="str">
        <f>IF(AND(Table1[[#This Row],[Low41]]=0, Table1[[#This Row],[High43]]=0),"N","Y")</f>
        <v>N</v>
      </c>
    </row>
    <row r="1542" spans="1:97" ht="19.5" customHeight="1" x14ac:dyDescent="0.25">
      <c r="A1542">
        <v>11544</v>
      </c>
      <c r="B1542" t="s">
        <v>4610</v>
      </c>
      <c r="D1542">
        <v>15.443</v>
      </c>
      <c r="E1542">
        <v>-61.344000000000001</v>
      </c>
      <c r="F1542" s="32"/>
      <c r="I1542" s="32"/>
      <c r="J1542" s="32"/>
      <c r="K1542" s="32"/>
      <c r="L1542" s="32"/>
      <c r="R1542" t="s">
        <v>4501</v>
      </c>
      <c r="T1542" t="s">
        <v>2257</v>
      </c>
      <c r="U1542" t="s">
        <v>1479</v>
      </c>
      <c r="W1542" s="7"/>
      <c r="AC1542" s="7"/>
      <c r="AD1542" s="7"/>
      <c r="AI1542" s="34"/>
      <c r="AN1542" t="s">
        <v>132</v>
      </c>
      <c r="AO1542" s="19"/>
      <c r="AP1542" s="19"/>
      <c r="AQ1542" s="19"/>
      <c r="AR1542" s="19"/>
      <c r="AS1542" s="19"/>
      <c r="AT1542" s="19"/>
      <c r="AU1542" s="19"/>
      <c r="AV1542" s="19"/>
      <c r="AW1542" s="19"/>
      <c r="AX1542" s="19"/>
      <c r="AY1542" s="19"/>
      <c r="AZ1542" s="19"/>
      <c r="BA1542" s="19"/>
      <c r="BB1542" s="19"/>
      <c r="BC1542" s="19"/>
      <c r="BD1542" s="19"/>
      <c r="BE1542" s="19"/>
      <c r="BF1542" s="19"/>
      <c r="BG1542" s="19"/>
      <c r="BH1542" s="19"/>
      <c r="BI1542" s="19"/>
      <c r="BJ1542" s="19"/>
      <c r="BK1542" s="19"/>
      <c r="BL1542" s="19"/>
      <c r="BM1542" s="19"/>
      <c r="BN1542" s="19"/>
      <c r="BO1542" s="19"/>
      <c r="BP1542" s="19"/>
      <c r="BQ1542" s="19"/>
      <c r="BR1542" s="19"/>
      <c r="BS1542" s="19"/>
      <c r="BT1542" s="19"/>
      <c r="BU1542" s="19"/>
      <c r="BV1542" s="19"/>
      <c r="BW1542" s="19"/>
      <c r="BX1542" s="19"/>
      <c r="BY1542" s="19"/>
      <c r="BZ1542" s="19"/>
      <c r="CA1542" s="19"/>
      <c r="CB1542" s="19"/>
      <c r="CC1542" s="19"/>
      <c r="CD1542" s="19"/>
      <c r="CE15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4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4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42" s="35"/>
      <c r="CL1542" s="19">
        <f>IF(Table1[[#This Row],[Type]]="Petroleum",1,IF(ISERROR(Table1[[#This Row],[Well Density]]*Table1[[#This Row],[Single Well Discovery Area]]),"",IF(Table1[[#This Row],[Well Density]]*Table1[[#This Row],[Single Well Discovery Area]]&gt;1,1,Table1[[#This Row],[Well Density]]*Table1[[#This Row],[Single Well Discovery Area]])))</f>
        <v>0</v>
      </c>
      <c r="CM1542" t="s">
        <v>158</v>
      </c>
      <c r="CN1542" s="19">
        <f>Table1[[#This Row],[Mid]]</f>
        <v>0</v>
      </c>
      <c r="CO1542" s="19">
        <f>Table1[[#This Row],[Mid3]]+Table1[[#This Row],[Mid6]]+Table1[[#This Row],[Mid9]]</f>
        <v>0</v>
      </c>
      <c r="CP1542" s="19">
        <f>Table1[[#This Row],[Mid12]]+Table1[[#This Row],[Mid15]]+Table1[[#This Row],[Mid18]]+Table1[[#This Row],[Mid21]]+Table1[[#This Row],[Mid24]]</f>
        <v>0</v>
      </c>
      <c r="CQ1542" s="19">
        <f>Table1[[#This Row],[Mid27]]+Table1[[#This Row],[Mid30]]+Table1[[#This Row],[Mid33]]+Table1[[#This Row],[Mid36]]+Table1[[#This Row],[Mid39]]</f>
        <v>0</v>
      </c>
      <c r="CR1542" s="19" t="s">
        <v>471</v>
      </c>
      <c r="CS1542" s="19" t="str">
        <f>IF(AND(Table1[[#This Row],[Low41]]=0, Table1[[#This Row],[High43]]=0),"N","Y")</f>
        <v>N</v>
      </c>
    </row>
    <row r="1543" spans="1:97" ht="19.5" customHeight="1" x14ac:dyDescent="0.25">
      <c r="A1543">
        <v>11545</v>
      </c>
      <c r="B1543" t="s">
        <v>4611</v>
      </c>
      <c r="D1543">
        <v>12.089</v>
      </c>
      <c r="E1543">
        <v>-61.652999999999999</v>
      </c>
      <c r="F1543" s="32"/>
      <c r="I1543" s="32"/>
      <c r="J1543" s="32"/>
      <c r="K1543" s="32"/>
      <c r="L1543" s="32"/>
      <c r="R1543" t="s">
        <v>4501</v>
      </c>
      <c r="T1543" t="s">
        <v>3959</v>
      </c>
      <c r="U1543" t="s">
        <v>1479</v>
      </c>
      <c r="W1543" s="7"/>
      <c r="AC1543" s="7"/>
      <c r="AD1543" s="7"/>
      <c r="AI1543" s="34"/>
      <c r="AN1543" t="s">
        <v>132</v>
      </c>
      <c r="AO1543" s="19"/>
      <c r="AP1543" s="19"/>
      <c r="AQ1543" s="19"/>
      <c r="AR1543" s="19"/>
      <c r="AS1543" s="19"/>
      <c r="AT1543" s="19"/>
      <c r="AU1543" s="19"/>
      <c r="AV1543" s="19"/>
      <c r="AW1543" s="19"/>
      <c r="AX1543" s="19"/>
      <c r="AY1543" s="19"/>
      <c r="AZ1543" s="19"/>
      <c r="BA1543" s="19"/>
      <c r="BB1543" s="19"/>
      <c r="BC1543" s="19"/>
      <c r="BD1543" s="19"/>
      <c r="BE1543" s="19"/>
      <c r="BF1543" s="19"/>
      <c r="BG1543" s="19"/>
      <c r="BH1543" s="19"/>
      <c r="BI1543" s="19"/>
      <c r="BJ1543" s="19"/>
      <c r="BK1543" s="19"/>
      <c r="BL1543" s="19"/>
      <c r="BM1543" s="19"/>
      <c r="BN1543" s="19"/>
      <c r="BO1543" s="19"/>
      <c r="BP1543" s="19"/>
      <c r="BQ1543" s="19"/>
      <c r="BR1543" s="19"/>
      <c r="BS1543" s="19"/>
      <c r="BT1543" s="19"/>
      <c r="BU1543" s="19"/>
      <c r="BV1543" s="19"/>
      <c r="BW1543" s="19"/>
      <c r="BX1543" s="19"/>
      <c r="BY1543" s="19"/>
      <c r="BZ1543" s="19"/>
      <c r="CA1543" s="19"/>
      <c r="CB1543" s="19"/>
      <c r="CC1543" s="19"/>
      <c r="CD1543" s="19"/>
      <c r="CE154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4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4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43" s="35"/>
      <c r="CL1543" s="19">
        <f>IF(Table1[[#This Row],[Type]]="Petroleum",1,IF(ISERROR(Table1[[#This Row],[Well Density]]*Table1[[#This Row],[Single Well Discovery Area]]),"",IF(Table1[[#This Row],[Well Density]]*Table1[[#This Row],[Single Well Discovery Area]]&gt;1,1,Table1[[#This Row],[Well Density]]*Table1[[#This Row],[Single Well Discovery Area]])))</f>
        <v>0</v>
      </c>
      <c r="CM1543" t="s">
        <v>158</v>
      </c>
      <c r="CN1543" s="19">
        <f>Table1[[#This Row],[Mid]]</f>
        <v>0</v>
      </c>
      <c r="CO1543" s="19">
        <f>Table1[[#This Row],[Mid3]]+Table1[[#This Row],[Mid6]]+Table1[[#This Row],[Mid9]]</f>
        <v>0</v>
      </c>
      <c r="CP1543" s="19">
        <f>Table1[[#This Row],[Mid12]]+Table1[[#This Row],[Mid15]]+Table1[[#This Row],[Mid18]]+Table1[[#This Row],[Mid21]]+Table1[[#This Row],[Mid24]]</f>
        <v>0</v>
      </c>
      <c r="CQ1543" s="19">
        <f>Table1[[#This Row],[Mid27]]+Table1[[#This Row],[Mid30]]+Table1[[#This Row],[Mid33]]+Table1[[#This Row],[Mid36]]+Table1[[#This Row],[Mid39]]</f>
        <v>0</v>
      </c>
      <c r="CR1543" s="19" t="s">
        <v>471</v>
      </c>
      <c r="CS1543" s="19" t="str">
        <f>IF(AND(Table1[[#This Row],[Low41]]=0, Table1[[#This Row],[High43]]=0),"N","Y")</f>
        <v>N</v>
      </c>
    </row>
    <row r="1544" spans="1:97" ht="19.5" customHeight="1" x14ac:dyDescent="0.25">
      <c r="A1544">
        <v>11546</v>
      </c>
      <c r="B1544" t="s">
        <v>4612</v>
      </c>
      <c r="D1544">
        <v>64.52</v>
      </c>
      <c r="E1544">
        <v>-18.690000000000001</v>
      </c>
      <c r="F1544" s="32"/>
      <c r="I1544" s="32"/>
      <c r="J1544" s="32"/>
      <c r="K1544" s="32"/>
      <c r="L1544" s="32"/>
      <c r="R1544" t="s">
        <v>4501</v>
      </c>
      <c r="T1544" t="s">
        <v>3959</v>
      </c>
      <c r="U1544" t="s">
        <v>1479</v>
      </c>
      <c r="W1544" s="7"/>
      <c r="AC1544" s="7"/>
      <c r="AD1544" s="7"/>
      <c r="AI1544" s="34"/>
      <c r="AN1544" t="s">
        <v>132</v>
      </c>
      <c r="AO1544" s="19"/>
      <c r="AP1544" s="19"/>
      <c r="AQ1544" s="19"/>
      <c r="AR1544" s="19"/>
      <c r="AS1544" s="19"/>
      <c r="AT1544" s="19"/>
      <c r="AU1544" s="19"/>
      <c r="AV1544" s="19"/>
      <c r="AW1544" s="19"/>
      <c r="AX1544" s="19"/>
      <c r="AY1544" s="19"/>
      <c r="AZ1544" s="19"/>
      <c r="BA1544" s="19"/>
      <c r="BB1544" s="19"/>
      <c r="BC1544" s="19"/>
      <c r="BD1544" s="19"/>
      <c r="BE1544" s="19"/>
      <c r="BF1544" s="19"/>
      <c r="BG1544" s="19"/>
      <c r="BH1544" s="19"/>
      <c r="BI1544" s="19"/>
      <c r="BJ1544" s="19"/>
      <c r="BK1544" s="19"/>
      <c r="BL1544" s="19"/>
      <c r="BM1544" s="19"/>
      <c r="BN1544" s="19"/>
      <c r="BO1544" s="19"/>
      <c r="BP1544" s="19"/>
      <c r="BQ1544" s="19"/>
      <c r="BR1544" s="19"/>
      <c r="BS1544" s="19"/>
      <c r="BT1544" s="19"/>
      <c r="BU1544" s="19"/>
      <c r="BV1544" s="19"/>
      <c r="BW1544" s="19"/>
      <c r="BX1544" s="19"/>
      <c r="BY1544" s="19"/>
      <c r="BZ1544" s="19"/>
      <c r="CA1544" s="19"/>
      <c r="CB1544" s="19"/>
      <c r="CC1544" s="19"/>
      <c r="CD1544" s="19"/>
      <c r="CE154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44"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44"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44" s="35"/>
      <c r="CL1544" s="19">
        <f>IF(Table1[[#This Row],[Type]]="Petroleum",1,IF(ISERROR(Table1[[#This Row],[Well Density]]*Table1[[#This Row],[Single Well Discovery Area]]),"",IF(Table1[[#This Row],[Well Density]]*Table1[[#This Row],[Single Well Discovery Area]]&gt;1,1,Table1[[#This Row],[Well Density]]*Table1[[#This Row],[Single Well Discovery Area]])))</f>
        <v>0</v>
      </c>
      <c r="CM1544" t="s">
        <v>158</v>
      </c>
      <c r="CN1544" s="19">
        <f>Table1[[#This Row],[Mid]]</f>
        <v>0</v>
      </c>
      <c r="CO1544" s="19">
        <f>Table1[[#This Row],[Mid3]]+Table1[[#This Row],[Mid6]]+Table1[[#This Row],[Mid9]]</f>
        <v>0</v>
      </c>
      <c r="CP1544" s="19">
        <f>Table1[[#This Row],[Mid12]]+Table1[[#This Row],[Mid15]]+Table1[[#This Row],[Mid18]]+Table1[[#This Row],[Mid21]]+Table1[[#This Row],[Mid24]]</f>
        <v>0</v>
      </c>
      <c r="CQ1544" s="19">
        <f>Table1[[#This Row],[Mid27]]+Table1[[#This Row],[Mid30]]+Table1[[#This Row],[Mid33]]+Table1[[#This Row],[Mid36]]+Table1[[#This Row],[Mid39]]</f>
        <v>0</v>
      </c>
      <c r="CR1544" s="19" t="s">
        <v>415</v>
      </c>
      <c r="CS1544" s="19" t="str">
        <f>IF(AND(Table1[[#This Row],[Low41]]=0, Table1[[#This Row],[High43]]=0),"N","Y")</f>
        <v>N</v>
      </c>
    </row>
    <row r="1545" spans="1:97" ht="19.5" customHeight="1" x14ac:dyDescent="0.25">
      <c r="A1545">
        <v>11547</v>
      </c>
      <c r="B1545" t="s">
        <v>4613</v>
      </c>
      <c r="D1545">
        <v>28.238</v>
      </c>
      <c r="E1545">
        <v>15.874000000000001</v>
      </c>
      <c r="F1545" s="32"/>
      <c r="I1545" s="32"/>
      <c r="J1545" s="32"/>
      <c r="K1545" s="32"/>
      <c r="L1545" s="32"/>
      <c r="R1545" t="s">
        <v>4501</v>
      </c>
      <c r="T1545" t="s">
        <v>771</v>
      </c>
      <c r="U1545" t="s">
        <v>1479</v>
      </c>
      <c r="W1545" s="7"/>
      <c r="AC1545" s="7"/>
      <c r="AD1545" s="7"/>
      <c r="AI1545" s="34"/>
      <c r="AN1545" t="s">
        <v>132</v>
      </c>
      <c r="AO1545" s="19"/>
      <c r="AP1545" s="19"/>
      <c r="AQ1545" s="19"/>
      <c r="AR1545" s="19"/>
      <c r="AS1545" s="19"/>
      <c r="AT1545" s="19"/>
      <c r="AU1545" s="19"/>
      <c r="AV1545" s="19"/>
      <c r="AW1545" s="19"/>
      <c r="AX1545" s="19"/>
      <c r="AY1545" s="19"/>
      <c r="AZ1545" s="19"/>
      <c r="BA1545" s="19"/>
      <c r="BB1545" s="19"/>
      <c r="BC1545" s="19"/>
      <c r="BD1545" s="19"/>
      <c r="BE1545" s="19"/>
      <c r="BF1545" s="19"/>
      <c r="BG1545" s="19"/>
      <c r="BH1545" s="19"/>
      <c r="BI1545" s="19"/>
      <c r="BJ1545" s="19"/>
      <c r="BK1545" s="19"/>
      <c r="BL1545" s="19"/>
      <c r="BM1545" s="19"/>
      <c r="BN1545" s="19"/>
      <c r="BO1545" s="19"/>
      <c r="BP1545" s="19"/>
      <c r="BQ1545" s="19"/>
      <c r="BR1545" s="19"/>
      <c r="BS1545" s="19"/>
      <c r="BT1545" s="19"/>
      <c r="BU1545" s="19"/>
      <c r="BV1545" s="19"/>
      <c r="BW1545" s="19"/>
      <c r="BX1545" s="19"/>
      <c r="BY1545" s="19"/>
      <c r="BZ1545" s="19"/>
      <c r="CA1545" s="19"/>
      <c r="CB1545" s="19"/>
      <c r="CC1545" s="19"/>
      <c r="CD1545" s="19"/>
      <c r="CE154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45"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45"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45" s="35"/>
      <c r="CL1545" s="19">
        <f>IF(Table1[[#This Row],[Type]]="Petroleum",1,IF(ISERROR(Table1[[#This Row],[Well Density]]*Table1[[#This Row],[Single Well Discovery Area]]),"",IF(Table1[[#This Row],[Well Density]]*Table1[[#This Row],[Single Well Discovery Area]]&gt;1,1,Table1[[#This Row],[Well Density]]*Table1[[#This Row],[Single Well Discovery Area]])))</f>
        <v>0</v>
      </c>
      <c r="CM1545" t="s">
        <v>158</v>
      </c>
      <c r="CN1545" s="19">
        <f>Table1[[#This Row],[Mid]]</f>
        <v>0</v>
      </c>
      <c r="CO1545" s="19">
        <f>Table1[[#This Row],[Mid3]]+Table1[[#This Row],[Mid6]]+Table1[[#This Row],[Mid9]]</f>
        <v>0</v>
      </c>
      <c r="CP1545" s="19">
        <f>Table1[[#This Row],[Mid12]]+Table1[[#This Row],[Mid15]]+Table1[[#This Row],[Mid18]]+Table1[[#This Row],[Mid21]]+Table1[[#This Row],[Mid24]]</f>
        <v>0</v>
      </c>
      <c r="CQ1545" s="19">
        <f>Table1[[#This Row],[Mid27]]+Table1[[#This Row],[Mid30]]+Table1[[#This Row],[Mid33]]+Table1[[#This Row],[Mid36]]+Table1[[#This Row],[Mid39]]</f>
        <v>0</v>
      </c>
      <c r="CR1545" s="19" t="s">
        <v>2308</v>
      </c>
      <c r="CS1545" s="19" t="str">
        <f>IF(AND(Table1[[#This Row],[Low41]]=0, Table1[[#This Row],[High43]]=0),"N","Y")</f>
        <v>N</v>
      </c>
    </row>
    <row r="1546" spans="1:97" ht="19.5" customHeight="1" x14ac:dyDescent="0.25">
      <c r="A1546">
        <v>11548</v>
      </c>
      <c r="B1546" t="s">
        <v>4614</v>
      </c>
      <c r="D1546">
        <v>43.73554</v>
      </c>
      <c r="E1546">
        <v>7.4207400000000003</v>
      </c>
      <c r="F1546" s="32"/>
      <c r="I1546" s="32"/>
      <c r="J1546" s="32"/>
      <c r="K1546" s="32"/>
      <c r="L1546" s="32"/>
      <c r="R1546" t="s">
        <v>4615</v>
      </c>
      <c r="T1546" t="s">
        <v>3959</v>
      </c>
      <c r="U1546" t="s">
        <v>3764</v>
      </c>
      <c r="W1546" s="7"/>
      <c r="AC1546" s="7"/>
      <c r="AD1546" s="7"/>
      <c r="AI1546" s="34"/>
      <c r="AN1546" t="s">
        <v>132</v>
      </c>
      <c r="AO1546" s="19"/>
      <c r="AP1546" s="19"/>
      <c r="AQ1546" s="19"/>
      <c r="AR1546" s="19"/>
      <c r="AS1546" s="19"/>
      <c r="AT1546" s="19"/>
      <c r="AU1546" s="19"/>
      <c r="AV1546" s="19"/>
      <c r="AW1546" s="19"/>
      <c r="AX1546" s="19"/>
      <c r="AY1546" s="19"/>
      <c r="AZ1546" s="19"/>
      <c r="BA1546" s="19"/>
      <c r="BB1546" s="19"/>
      <c r="BC1546" s="19"/>
      <c r="BD1546" s="19"/>
      <c r="BE1546" s="19"/>
      <c r="BF1546" s="19"/>
      <c r="BG1546" s="19"/>
      <c r="BH1546" s="19"/>
      <c r="BI1546" s="19"/>
      <c r="BJ1546" s="19"/>
      <c r="BK1546" s="19"/>
      <c r="BL1546" s="19"/>
      <c r="BM1546" s="19"/>
      <c r="BN1546" s="19"/>
      <c r="BO1546" s="19"/>
      <c r="BP1546" s="19"/>
      <c r="BQ1546" s="19"/>
      <c r="BR1546" s="19"/>
      <c r="BS1546" s="19"/>
      <c r="BT1546" s="19"/>
      <c r="BU1546" s="19"/>
      <c r="BV1546" s="19"/>
      <c r="BW1546" s="19"/>
      <c r="BX1546" s="19"/>
      <c r="BY1546" s="19"/>
      <c r="BZ1546" s="19"/>
      <c r="CA1546" s="19"/>
      <c r="CB1546" s="19"/>
      <c r="CC1546" s="19"/>
      <c r="CD1546" s="19"/>
      <c r="CE154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46"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46"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46" s="35"/>
      <c r="CL1546" s="19">
        <f>IF(Table1[[#This Row],[Type]]="Petroleum",1,IF(ISERROR(Table1[[#This Row],[Well Density]]*Table1[[#This Row],[Single Well Discovery Area]]),"",IF(Table1[[#This Row],[Well Density]]*Table1[[#This Row],[Single Well Discovery Area]]&gt;1,1,Table1[[#This Row],[Well Density]]*Table1[[#This Row],[Single Well Discovery Area]])))</f>
        <v>0</v>
      </c>
      <c r="CM1546" t="s">
        <v>158</v>
      </c>
      <c r="CN1546" s="19">
        <f>Table1[[#This Row],[Mid]]</f>
        <v>0</v>
      </c>
      <c r="CO1546" s="19">
        <f>Table1[[#This Row],[Mid3]]+Table1[[#This Row],[Mid6]]+Table1[[#This Row],[Mid9]]</f>
        <v>0</v>
      </c>
      <c r="CP1546" s="19">
        <f>Table1[[#This Row],[Mid12]]+Table1[[#This Row],[Mid15]]+Table1[[#This Row],[Mid18]]+Table1[[#This Row],[Mid21]]+Table1[[#This Row],[Mid24]]</f>
        <v>0</v>
      </c>
      <c r="CQ1546" s="19">
        <f>Table1[[#This Row],[Mid27]]+Table1[[#This Row],[Mid30]]+Table1[[#This Row],[Mid33]]+Table1[[#This Row],[Mid36]]+Table1[[#This Row],[Mid39]]</f>
        <v>0</v>
      </c>
      <c r="CR1546" s="19" t="s">
        <v>415</v>
      </c>
      <c r="CS1546" s="19" t="str">
        <f>IF(AND(Table1[[#This Row],[Low41]]=0, Table1[[#This Row],[High43]]=0),"N","Y")</f>
        <v>N</v>
      </c>
    </row>
    <row r="1547" spans="1:97" ht="19.5" customHeight="1" x14ac:dyDescent="0.25">
      <c r="A1547">
        <v>11549</v>
      </c>
      <c r="B1547" t="s">
        <v>4616</v>
      </c>
      <c r="D1547">
        <v>17.251000000000001</v>
      </c>
      <c r="E1547">
        <v>-62.777000000000001</v>
      </c>
      <c r="F1547" s="32"/>
      <c r="I1547" s="32"/>
      <c r="J1547" s="32"/>
      <c r="K1547" s="32"/>
      <c r="L1547" s="32"/>
      <c r="R1547" t="s">
        <v>4501</v>
      </c>
      <c r="T1547" t="s">
        <v>3959</v>
      </c>
      <c r="U1547" t="s">
        <v>1479</v>
      </c>
      <c r="W1547" s="7"/>
      <c r="AC1547" s="7"/>
      <c r="AD1547" s="7"/>
      <c r="AI1547" s="34"/>
      <c r="AN1547" t="s">
        <v>132</v>
      </c>
      <c r="AO1547" s="19"/>
      <c r="AP1547" s="19"/>
      <c r="AQ1547" s="19"/>
      <c r="AR1547" s="19"/>
      <c r="AS1547" s="19"/>
      <c r="AT1547" s="19"/>
      <c r="AU1547" s="19"/>
      <c r="AV1547" s="19"/>
      <c r="AW1547" s="19"/>
      <c r="AX1547" s="19"/>
      <c r="AY1547" s="19"/>
      <c r="AZ1547" s="19"/>
      <c r="BA1547" s="19"/>
      <c r="BB1547" s="19"/>
      <c r="BC1547" s="19"/>
      <c r="BD1547" s="19"/>
      <c r="BE1547" s="19"/>
      <c r="BF1547" s="19"/>
      <c r="BG1547" s="19"/>
      <c r="BH1547" s="19"/>
      <c r="BI1547" s="19"/>
      <c r="BJ1547" s="19"/>
      <c r="BK1547" s="19"/>
      <c r="BL1547" s="19"/>
      <c r="BM1547" s="19"/>
      <c r="BN1547" s="19"/>
      <c r="BO1547" s="19"/>
      <c r="BP1547" s="19"/>
      <c r="BQ1547" s="19"/>
      <c r="BR1547" s="19"/>
      <c r="BS1547" s="19"/>
      <c r="BT1547" s="19"/>
      <c r="BU1547" s="19"/>
      <c r="BV1547" s="19"/>
      <c r="BW1547" s="19"/>
      <c r="BX1547" s="19"/>
      <c r="BY1547" s="19"/>
      <c r="BZ1547" s="19"/>
      <c r="CA1547" s="19"/>
      <c r="CB1547" s="19"/>
      <c r="CC1547" s="19"/>
      <c r="CD1547" s="19"/>
      <c r="CE154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47"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47"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47" s="35"/>
      <c r="CL1547" s="19">
        <f>IF(Table1[[#This Row],[Type]]="Petroleum",1,IF(ISERROR(Table1[[#This Row],[Well Density]]*Table1[[#This Row],[Single Well Discovery Area]]),"",IF(Table1[[#This Row],[Well Density]]*Table1[[#This Row],[Single Well Discovery Area]]&gt;1,1,Table1[[#This Row],[Well Density]]*Table1[[#This Row],[Single Well Discovery Area]])))</f>
        <v>0</v>
      </c>
      <c r="CM1547" t="s">
        <v>158</v>
      </c>
      <c r="CN1547" s="19">
        <f>Table1[[#This Row],[Mid]]</f>
        <v>0</v>
      </c>
      <c r="CO1547" s="19">
        <f>Table1[[#This Row],[Mid3]]+Table1[[#This Row],[Mid6]]+Table1[[#This Row],[Mid9]]</f>
        <v>0</v>
      </c>
      <c r="CP1547" s="19">
        <f>Table1[[#This Row],[Mid12]]+Table1[[#This Row],[Mid15]]+Table1[[#This Row],[Mid18]]+Table1[[#This Row],[Mid21]]+Table1[[#This Row],[Mid24]]</f>
        <v>0</v>
      </c>
      <c r="CQ1547" s="19">
        <f>Table1[[#This Row],[Mid27]]+Table1[[#This Row],[Mid30]]+Table1[[#This Row],[Mid33]]+Table1[[#This Row],[Mid36]]+Table1[[#This Row],[Mid39]]</f>
        <v>0</v>
      </c>
      <c r="CR1547" s="19" t="s">
        <v>471</v>
      </c>
      <c r="CS1547" s="19" t="str">
        <f>IF(AND(Table1[[#This Row],[Low41]]=0, Table1[[#This Row],[High43]]=0),"N","Y")</f>
        <v>N</v>
      </c>
    </row>
    <row r="1548" spans="1:97" ht="19.5" customHeight="1" x14ac:dyDescent="0.25">
      <c r="A1548">
        <v>11550</v>
      </c>
      <c r="B1548" t="s">
        <v>4617</v>
      </c>
      <c r="D1548">
        <v>13.832000000000001</v>
      </c>
      <c r="E1548">
        <v>-60.953000000000003</v>
      </c>
      <c r="F1548" s="32"/>
      <c r="I1548" s="32"/>
      <c r="J1548" s="32"/>
      <c r="K1548" s="32"/>
      <c r="L1548" s="32"/>
      <c r="R1548" t="s">
        <v>4501</v>
      </c>
      <c r="T1548" t="s">
        <v>3959</v>
      </c>
      <c r="U1548" t="s">
        <v>1479</v>
      </c>
      <c r="W1548" s="7"/>
      <c r="AC1548" s="7"/>
      <c r="AD1548" s="7"/>
      <c r="AI1548" s="34"/>
      <c r="AN1548" t="s">
        <v>132</v>
      </c>
      <c r="AO1548" s="19"/>
      <c r="AP1548" s="19"/>
      <c r="AQ1548" s="19"/>
      <c r="AR1548" s="19"/>
      <c r="AS1548" s="19"/>
      <c r="AT1548" s="19"/>
      <c r="AU1548" s="19"/>
      <c r="AV1548" s="19"/>
      <c r="AW1548" s="19"/>
      <c r="AX1548" s="19"/>
      <c r="AY1548" s="19"/>
      <c r="AZ1548" s="19"/>
      <c r="BA1548" s="19"/>
      <c r="BB1548" s="19"/>
      <c r="BC1548" s="19"/>
      <c r="BD1548" s="19"/>
      <c r="BE1548" s="19"/>
      <c r="BF1548" s="19"/>
      <c r="BG1548" s="19"/>
      <c r="BH1548" s="19"/>
      <c r="BI1548" s="19"/>
      <c r="BJ1548" s="19"/>
      <c r="BK1548" s="19"/>
      <c r="BL1548" s="19"/>
      <c r="BM1548" s="19"/>
      <c r="BN1548" s="19"/>
      <c r="BO1548" s="19"/>
      <c r="BP1548" s="19"/>
      <c r="BQ1548" s="19"/>
      <c r="BR1548" s="19"/>
      <c r="BS1548" s="19"/>
      <c r="BT1548" s="19"/>
      <c r="BU1548" s="19"/>
      <c r="BV1548" s="19"/>
      <c r="BW1548" s="19"/>
      <c r="BX1548" s="19"/>
      <c r="BY1548" s="19"/>
      <c r="BZ1548" s="19"/>
      <c r="CA1548" s="19"/>
      <c r="CB1548" s="19"/>
      <c r="CC1548" s="19"/>
      <c r="CD1548" s="19"/>
      <c r="CE154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48"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48"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48" s="35"/>
      <c r="CL1548" s="19">
        <f>IF(Table1[[#This Row],[Type]]="Petroleum",1,IF(ISERROR(Table1[[#This Row],[Well Density]]*Table1[[#This Row],[Single Well Discovery Area]]),"",IF(Table1[[#This Row],[Well Density]]*Table1[[#This Row],[Single Well Discovery Area]]&gt;1,1,Table1[[#This Row],[Well Density]]*Table1[[#This Row],[Single Well Discovery Area]])))</f>
        <v>0</v>
      </c>
      <c r="CM1548" t="s">
        <v>158</v>
      </c>
      <c r="CN1548" s="19">
        <f>Table1[[#This Row],[Mid]]</f>
        <v>0</v>
      </c>
      <c r="CO1548" s="19">
        <f>Table1[[#This Row],[Mid3]]+Table1[[#This Row],[Mid6]]+Table1[[#This Row],[Mid9]]</f>
        <v>0</v>
      </c>
      <c r="CP1548" s="19">
        <f>Table1[[#This Row],[Mid12]]+Table1[[#This Row],[Mid15]]+Table1[[#This Row],[Mid18]]+Table1[[#This Row],[Mid21]]+Table1[[#This Row],[Mid24]]</f>
        <v>0</v>
      </c>
      <c r="CQ1548" s="19">
        <f>Table1[[#This Row],[Mid27]]+Table1[[#This Row],[Mid30]]+Table1[[#This Row],[Mid33]]+Table1[[#This Row],[Mid36]]+Table1[[#This Row],[Mid39]]</f>
        <v>0</v>
      </c>
      <c r="CR1548" s="19" t="s">
        <v>471</v>
      </c>
      <c r="CS1548" s="19" t="str">
        <f>IF(AND(Table1[[#This Row],[Low41]]=0, Table1[[#This Row],[High43]]=0),"N","Y")</f>
        <v>N</v>
      </c>
    </row>
    <row r="1549" spans="1:97" ht="19.5" customHeight="1" x14ac:dyDescent="0.25">
      <c r="A1549">
        <v>11551</v>
      </c>
      <c r="B1549" t="s">
        <v>4618</v>
      </c>
      <c r="D1549">
        <v>13.115</v>
      </c>
      <c r="E1549">
        <v>-61.213999999999999</v>
      </c>
      <c r="F1549" s="32"/>
      <c r="I1549" s="32"/>
      <c r="J1549" s="32"/>
      <c r="K1549" s="32"/>
      <c r="L1549" s="32"/>
      <c r="R1549" t="s">
        <v>4501</v>
      </c>
      <c r="T1549" t="s">
        <v>3959</v>
      </c>
      <c r="U1549" t="s">
        <v>1479</v>
      </c>
      <c r="W1549" s="7"/>
      <c r="AC1549" s="7"/>
      <c r="AD1549" s="7"/>
      <c r="AI1549" s="34"/>
      <c r="AN1549" t="s">
        <v>132</v>
      </c>
      <c r="AO1549" s="19"/>
      <c r="AP1549" s="19"/>
      <c r="AQ1549" s="19"/>
      <c r="AR1549" s="19"/>
      <c r="AS1549" s="19"/>
      <c r="AT1549" s="19"/>
      <c r="AU1549" s="19"/>
      <c r="AV1549" s="19"/>
      <c r="AW1549" s="19"/>
      <c r="AX1549" s="19"/>
      <c r="AY1549" s="19"/>
      <c r="AZ1549" s="19"/>
      <c r="BA1549" s="19"/>
      <c r="BB1549" s="19"/>
      <c r="BC1549" s="19"/>
      <c r="BD1549" s="19"/>
      <c r="BE1549" s="19"/>
      <c r="BF1549" s="19"/>
      <c r="BG1549" s="19"/>
      <c r="BH1549" s="19"/>
      <c r="BI1549" s="19"/>
      <c r="BJ1549" s="19"/>
      <c r="BK1549" s="19"/>
      <c r="BL1549" s="19"/>
      <c r="BM1549" s="19"/>
      <c r="BN1549" s="19"/>
      <c r="BO1549" s="19"/>
      <c r="BP1549" s="19"/>
      <c r="BQ1549" s="19"/>
      <c r="BR1549" s="19"/>
      <c r="BS1549" s="19"/>
      <c r="BT1549" s="19"/>
      <c r="BU1549" s="19"/>
      <c r="BV1549" s="19"/>
      <c r="BW1549" s="19"/>
      <c r="BX1549" s="19"/>
      <c r="BY1549" s="19"/>
      <c r="BZ1549" s="19"/>
      <c r="CA1549" s="19"/>
      <c r="CB1549" s="19"/>
      <c r="CC1549" s="19"/>
      <c r="CD1549" s="19"/>
      <c r="CE154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49"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49"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49" s="35"/>
      <c r="CL1549" s="19">
        <f>IF(Table1[[#This Row],[Type]]="Petroleum",1,IF(ISERROR(Table1[[#This Row],[Well Density]]*Table1[[#This Row],[Single Well Discovery Area]]),"",IF(Table1[[#This Row],[Well Density]]*Table1[[#This Row],[Single Well Discovery Area]]&gt;1,1,Table1[[#This Row],[Well Density]]*Table1[[#This Row],[Single Well Discovery Area]])))</f>
        <v>0</v>
      </c>
      <c r="CM1549" t="s">
        <v>158</v>
      </c>
      <c r="CN1549" s="19">
        <f>Table1[[#This Row],[Mid]]</f>
        <v>0</v>
      </c>
      <c r="CO1549" s="19">
        <f>Table1[[#This Row],[Mid3]]+Table1[[#This Row],[Mid6]]+Table1[[#This Row],[Mid9]]</f>
        <v>0</v>
      </c>
      <c r="CP1549" s="19">
        <f>Table1[[#This Row],[Mid12]]+Table1[[#This Row],[Mid15]]+Table1[[#This Row],[Mid18]]+Table1[[#This Row],[Mid21]]+Table1[[#This Row],[Mid24]]</f>
        <v>0</v>
      </c>
      <c r="CQ1549" s="19">
        <f>Table1[[#This Row],[Mid27]]+Table1[[#This Row],[Mid30]]+Table1[[#This Row],[Mid33]]+Table1[[#This Row],[Mid36]]+Table1[[#This Row],[Mid39]]</f>
        <v>0</v>
      </c>
      <c r="CR1549" s="19" t="s">
        <v>471</v>
      </c>
      <c r="CS1549" s="19" t="str">
        <f>IF(AND(Table1[[#This Row],[Low41]]=0, Table1[[#This Row],[High43]]=0),"N","Y")</f>
        <v>N</v>
      </c>
    </row>
    <row r="1550" spans="1:97" ht="19.5" customHeight="1" x14ac:dyDescent="0.25">
      <c r="A1550">
        <v>11552</v>
      </c>
      <c r="B1550" t="s">
        <v>4619</v>
      </c>
      <c r="D1550">
        <v>-172.11099999999999</v>
      </c>
      <c r="E1550">
        <v>-13.897</v>
      </c>
      <c r="F1550" s="32"/>
      <c r="I1550" s="32"/>
      <c r="J1550" s="32"/>
      <c r="K1550" s="32"/>
      <c r="L1550" s="32"/>
      <c r="R1550" t="s">
        <v>4501</v>
      </c>
      <c r="T1550" t="s">
        <v>3959</v>
      </c>
      <c r="U1550" t="s">
        <v>1479</v>
      </c>
      <c r="W1550" s="7"/>
      <c r="AC1550" s="7"/>
      <c r="AD1550" s="7"/>
      <c r="AI1550" s="34"/>
      <c r="AN1550" t="s">
        <v>132</v>
      </c>
      <c r="AO1550" s="19"/>
      <c r="AP1550" s="19"/>
      <c r="AQ1550" s="19"/>
      <c r="AR1550" s="19"/>
      <c r="AS1550" s="19"/>
      <c r="AT1550" s="19"/>
      <c r="AU1550" s="19"/>
      <c r="AV1550" s="19"/>
      <c r="AW1550" s="19"/>
      <c r="AX1550" s="19"/>
      <c r="AY1550" s="19"/>
      <c r="AZ1550" s="19"/>
      <c r="BA1550" s="19"/>
      <c r="BB1550" s="19"/>
      <c r="BC1550" s="19"/>
      <c r="BD1550" s="19"/>
      <c r="BE1550" s="19"/>
      <c r="BF1550" s="19"/>
      <c r="BG1550" s="19"/>
      <c r="BH1550" s="19"/>
      <c r="BI1550" s="19"/>
      <c r="BJ1550" s="19"/>
      <c r="BK1550" s="19"/>
      <c r="BL1550" s="19"/>
      <c r="BM1550" s="19"/>
      <c r="BN1550" s="19"/>
      <c r="BO1550" s="19"/>
      <c r="BP1550" s="19"/>
      <c r="BQ1550" s="19"/>
      <c r="BR1550" s="19"/>
      <c r="BS1550" s="19"/>
      <c r="BT1550" s="19"/>
      <c r="BU1550" s="19"/>
      <c r="BV1550" s="19"/>
      <c r="BW1550" s="19"/>
      <c r="BX1550" s="19"/>
      <c r="BY1550" s="19"/>
      <c r="BZ1550" s="19"/>
      <c r="CA1550" s="19"/>
      <c r="CB1550" s="19"/>
      <c r="CC1550" s="19"/>
      <c r="CD1550" s="19"/>
      <c r="CE155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50"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50"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50" s="35"/>
      <c r="CL1550" s="19">
        <f>IF(Table1[[#This Row],[Type]]="Petroleum",1,IF(ISERROR(Table1[[#This Row],[Well Density]]*Table1[[#This Row],[Single Well Discovery Area]]),"",IF(Table1[[#This Row],[Well Density]]*Table1[[#This Row],[Single Well Discovery Area]]&gt;1,1,Table1[[#This Row],[Well Density]]*Table1[[#This Row],[Single Well Discovery Area]])))</f>
        <v>0</v>
      </c>
      <c r="CM1550" t="s">
        <v>158</v>
      </c>
      <c r="CN1550" s="19">
        <f>Table1[[#This Row],[Mid]]</f>
        <v>0</v>
      </c>
      <c r="CO1550" s="19">
        <f>Table1[[#This Row],[Mid3]]+Table1[[#This Row],[Mid6]]+Table1[[#This Row],[Mid9]]</f>
        <v>0</v>
      </c>
      <c r="CP1550" s="19">
        <f>Table1[[#This Row],[Mid12]]+Table1[[#This Row],[Mid15]]+Table1[[#This Row],[Mid18]]+Table1[[#This Row],[Mid21]]+Table1[[#This Row],[Mid24]]</f>
        <v>0</v>
      </c>
      <c r="CQ1550" s="19">
        <f>Table1[[#This Row],[Mid27]]+Table1[[#This Row],[Mid30]]+Table1[[#This Row],[Mid33]]+Table1[[#This Row],[Mid36]]+Table1[[#This Row],[Mid39]]</f>
        <v>0</v>
      </c>
      <c r="CR1550" s="19" t="s">
        <v>136</v>
      </c>
      <c r="CS1550" s="19" t="str">
        <f>IF(AND(Table1[[#This Row],[Low41]]=0, Table1[[#This Row],[High43]]=0),"N","Y")</f>
        <v>N</v>
      </c>
    </row>
    <row r="1551" spans="1:97" ht="19.5" customHeight="1" x14ac:dyDescent="0.25">
      <c r="A1551">
        <v>11553</v>
      </c>
      <c r="B1551" t="s">
        <v>4620</v>
      </c>
      <c r="D1551">
        <v>1.1708000000000001</v>
      </c>
      <c r="E1551">
        <v>104.0368</v>
      </c>
      <c r="F1551" s="32"/>
      <c r="I1551" s="32"/>
      <c r="J1551" s="32"/>
      <c r="K1551" s="32"/>
      <c r="L1551" s="32"/>
      <c r="R1551" t="s">
        <v>4501</v>
      </c>
      <c r="T1551" t="s">
        <v>3959</v>
      </c>
      <c r="U1551" t="s">
        <v>1479</v>
      </c>
      <c r="W1551" s="7"/>
      <c r="AC1551" s="7"/>
      <c r="AD1551" s="7"/>
      <c r="AI1551" s="34"/>
      <c r="AN1551" t="s">
        <v>132</v>
      </c>
      <c r="AO1551" s="19"/>
      <c r="AP1551" s="19"/>
      <c r="AQ1551" s="19"/>
      <c r="AR1551" s="19"/>
      <c r="AS1551" s="19"/>
      <c r="AT1551" s="19"/>
      <c r="AU1551" s="19"/>
      <c r="AV1551" s="19"/>
      <c r="AW1551" s="19"/>
      <c r="AX1551" s="19"/>
      <c r="AY1551" s="19"/>
      <c r="AZ1551" s="19"/>
      <c r="BA1551" s="19"/>
      <c r="BB1551" s="19"/>
      <c r="BC1551" s="19"/>
      <c r="BD1551" s="19"/>
      <c r="BE1551" s="19"/>
      <c r="BF1551" s="19"/>
      <c r="BG1551" s="19"/>
      <c r="BH1551" s="19"/>
      <c r="BI1551" s="19"/>
      <c r="BJ1551" s="19"/>
      <c r="BK1551" s="19"/>
      <c r="BL1551" s="19"/>
      <c r="BM1551" s="19"/>
      <c r="BN1551" s="19"/>
      <c r="BO1551" s="19"/>
      <c r="BP1551" s="19"/>
      <c r="BQ1551" s="19"/>
      <c r="BR1551" s="19"/>
      <c r="BS1551" s="19"/>
      <c r="BT1551" s="19"/>
      <c r="BU1551" s="19"/>
      <c r="BV1551" s="19"/>
      <c r="BW1551" s="19"/>
      <c r="BX1551" s="19"/>
      <c r="BY1551" s="19"/>
      <c r="BZ1551" s="19"/>
      <c r="CA1551" s="19"/>
      <c r="CB1551" s="19"/>
      <c r="CC1551" s="19"/>
      <c r="CD1551" s="19"/>
      <c r="CE15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51"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51"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51" s="35"/>
      <c r="CL1551" s="19">
        <f>IF(Table1[[#This Row],[Type]]="Petroleum",1,IF(ISERROR(Table1[[#This Row],[Well Density]]*Table1[[#This Row],[Single Well Discovery Area]]),"",IF(Table1[[#This Row],[Well Density]]*Table1[[#This Row],[Single Well Discovery Area]]&gt;1,1,Table1[[#This Row],[Well Density]]*Table1[[#This Row],[Single Well Discovery Area]])))</f>
        <v>0</v>
      </c>
      <c r="CM1551" t="s">
        <v>158</v>
      </c>
      <c r="CN1551" s="19">
        <f>Table1[[#This Row],[Mid]]</f>
        <v>0</v>
      </c>
      <c r="CO1551" s="19">
        <f>Table1[[#This Row],[Mid3]]+Table1[[#This Row],[Mid6]]+Table1[[#This Row],[Mid9]]</f>
        <v>0</v>
      </c>
      <c r="CP1551" s="19">
        <f>Table1[[#This Row],[Mid12]]+Table1[[#This Row],[Mid15]]+Table1[[#This Row],[Mid18]]+Table1[[#This Row],[Mid21]]+Table1[[#This Row],[Mid24]]</f>
        <v>0</v>
      </c>
      <c r="CQ1551" s="19">
        <f>Table1[[#This Row],[Mid27]]+Table1[[#This Row],[Mid30]]+Table1[[#This Row],[Mid33]]+Table1[[#This Row],[Mid36]]+Table1[[#This Row],[Mid39]]</f>
        <v>0</v>
      </c>
      <c r="CR1551" s="19" t="s">
        <v>439</v>
      </c>
      <c r="CS1551" s="19" t="str">
        <f>IF(AND(Table1[[#This Row],[Low41]]=0, Table1[[#This Row],[High43]]=0),"N","Y")</f>
        <v>N</v>
      </c>
    </row>
    <row r="1552" spans="1:97" ht="19.5" customHeight="1" x14ac:dyDescent="0.25">
      <c r="A1552">
        <v>11554</v>
      </c>
      <c r="B1552" t="s">
        <v>4621</v>
      </c>
      <c r="D1552">
        <v>39.165999999999997</v>
      </c>
      <c r="E1552">
        <v>35.648000000000003</v>
      </c>
      <c r="F1552" s="32"/>
      <c r="I1552" s="32"/>
      <c r="J1552" s="32"/>
      <c r="K1552" s="32"/>
      <c r="L1552" s="32"/>
      <c r="R1552" t="s">
        <v>4501</v>
      </c>
      <c r="T1552" t="s">
        <v>771</v>
      </c>
      <c r="U1552" t="s">
        <v>1479</v>
      </c>
      <c r="W1552" s="7"/>
      <c r="AC1552" s="7"/>
      <c r="AD1552" s="7"/>
      <c r="AI1552" s="34"/>
      <c r="AN1552" t="s">
        <v>132</v>
      </c>
      <c r="AO1552" s="19"/>
      <c r="AP1552" s="19"/>
      <c r="AQ1552" s="19"/>
      <c r="AR1552" s="19"/>
      <c r="AS1552" s="19"/>
      <c r="AT1552" s="19"/>
      <c r="AU1552" s="19"/>
      <c r="AV1552" s="19"/>
      <c r="AW1552" s="19"/>
      <c r="AX1552" s="19"/>
      <c r="AY1552" s="19"/>
      <c r="AZ1552" s="19"/>
      <c r="BA1552" s="19"/>
      <c r="BB1552" s="19"/>
      <c r="BC1552" s="19"/>
      <c r="BD1552" s="19"/>
      <c r="BE1552" s="19"/>
      <c r="BF1552" s="19"/>
      <c r="BG1552" s="19"/>
      <c r="BH1552" s="19"/>
      <c r="BI1552" s="19"/>
      <c r="BJ1552" s="19"/>
      <c r="BK1552" s="19"/>
      <c r="BL1552" s="19"/>
      <c r="BM1552" s="19"/>
      <c r="BN1552" s="19"/>
      <c r="BO1552" s="19"/>
      <c r="BP1552" s="19"/>
      <c r="BQ1552" s="19"/>
      <c r="BR1552" s="19"/>
      <c r="BS1552" s="19"/>
      <c r="BT1552" s="19"/>
      <c r="BU1552" s="19"/>
      <c r="BV1552" s="19"/>
      <c r="BW1552" s="19"/>
      <c r="BX1552" s="19"/>
      <c r="BY1552" s="19"/>
      <c r="BZ1552" s="19"/>
      <c r="CA1552" s="19"/>
      <c r="CB1552" s="19"/>
      <c r="CC1552" s="19"/>
      <c r="CD1552" s="19"/>
      <c r="CE15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52"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52"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52" s="35"/>
      <c r="CL1552" s="19">
        <f>IF(Table1[[#This Row],[Type]]="Petroleum",1,IF(ISERROR(Table1[[#This Row],[Well Density]]*Table1[[#This Row],[Single Well Discovery Area]]),"",IF(Table1[[#This Row],[Well Density]]*Table1[[#This Row],[Single Well Discovery Area]]&gt;1,1,Table1[[#This Row],[Well Density]]*Table1[[#This Row],[Single Well Discovery Area]])))</f>
        <v>0</v>
      </c>
      <c r="CM1552" t="s">
        <v>158</v>
      </c>
      <c r="CN1552" s="19">
        <f>Table1[[#This Row],[Mid]]</f>
        <v>0</v>
      </c>
      <c r="CO1552" s="19">
        <f>Table1[[#This Row],[Mid3]]+Table1[[#This Row],[Mid6]]+Table1[[#This Row],[Mid9]]</f>
        <v>0</v>
      </c>
      <c r="CP1552" s="19">
        <f>Table1[[#This Row],[Mid12]]+Table1[[#This Row],[Mid15]]+Table1[[#This Row],[Mid18]]+Table1[[#This Row],[Mid21]]+Table1[[#This Row],[Mid24]]</f>
        <v>0</v>
      </c>
      <c r="CQ1552" s="19">
        <f>Table1[[#This Row],[Mid27]]+Table1[[#This Row],[Mid30]]+Table1[[#This Row],[Mid33]]+Table1[[#This Row],[Mid36]]+Table1[[#This Row],[Mid39]]</f>
        <v>0</v>
      </c>
      <c r="CR1552" s="19" t="s">
        <v>2308</v>
      </c>
      <c r="CS1552" s="19" t="str">
        <f>IF(AND(Table1[[#This Row],[Low41]]=0, Table1[[#This Row],[High43]]=0),"N","Y")</f>
        <v>N</v>
      </c>
    </row>
    <row r="1553" spans="1:97" ht="19.5" customHeight="1" x14ac:dyDescent="0.25">
      <c r="A1553">
        <v>11555</v>
      </c>
      <c r="B1553" t="s">
        <v>4622</v>
      </c>
      <c r="D1553">
        <v>41.8992</v>
      </c>
      <c r="E1553">
        <v>12.4498</v>
      </c>
      <c r="F1553" s="32"/>
      <c r="I1553" s="32"/>
      <c r="J1553" s="32"/>
      <c r="K1553" s="32"/>
      <c r="L1553" s="32"/>
      <c r="R1553" t="s">
        <v>4623</v>
      </c>
      <c r="T1553" t="s">
        <v>3959</v>
      </c>
      <c r="U1553" t="s">
        <v>3764</v>
      </c>
      <c r="W1553" s="7"/>
      <c r="AC1553" s="7"/>
      <c r="AD1553" s="7"/>
      <c r="AI1553" s="34"/>
      <c r="AN1553" t="s">
        <v>132</v>
      </c>
      <c r="AO1553" s="19"/>
      <c r="AP1553" s="19"/>
      <c r="AQ1553" s="19"/>
      <c r="AR1553" s="19"/>
      <c r="AS1553" s="19"/>
      <c r="AT1553" s="19"/>
      <c r="AU1553" s="19"/>
      <c r="AV1553" s="19"/>
      <c r="AW1553" s="19"/>
      <c r="AX1553" s="19"/>
      <c r="AY1553" s="19"/>
      <c r="AZ1553" s="19"/>
      <c r="BA1553" s="19"/>
      <c r="BB1553" s="19"/>
      <c r="BC1553" s="19"/>
      <c r="BD1553" s="19"/>
      <c r="BE1553" s="19"/>
      <c r="BF1553" s="19"/>
      <c r="BG1553" s="19"/>
      <c r="BH1553" s="19"/>
      <c r="BI1553" s="19"/>
      <c r="BJ1553" s="19"/>
      <c r="BK1553" s="19"/>
      <c r="BL1553" s="19"/>
      <c r="BM1553" s="19"/>
      <c r="BN1553" s="19"/>
      <c r="BO1553" s="19"/>
      <c r="BP1553" s="19"/>
      <c r="BQ1553" s="19"/>
      <c r="BR1553" s="19"/>
      <c r="BS1553" s="19"/>
      <c r="BT1553" s="19"/>
      <c r="BU1553" s="19"/>
      <c r="BV1553" s="19"/>
      <c r="BW1553" s="19"/>
      <c r="BX1553" s="19"/>
      <c r="BY1553" s="19"/>
      <c r="BZ1553" s="19"/>
      <c r="CA1553" s="19"/>
      <c r="CB1553" s="19"/>
      <c r="CC1553" s="19"/>
      <c r="CD1553" s="19"/>
      <c r="CE15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F1553" s="19">
        <f>SUM(Table1[[#This Row],[Low38]],Table1[[#This Row],[Low35]],Table1[[#This Row],[Low32]],Table1[[#This Row],[Low29]],Table1[[#This Row],[Low26]],Table1[[#This Row],[Low23]],Table1[[#This Row],[Low20]],Table1[[#This Row],[Low17]],Table1[[#This Row],[Low14]],Table1[[#This Row],[Low11]],Table1[[#This Row],[Low8]],Table1[[#This Row],[Low5]],Table1[[#This Row],[Low2]],Table1[[#This Row],[Low]])</f>
        <v>0</v>
      </c>
      <c r="CG1553" s="19">
        <f>SUM(Table1[[#This Row],[High40]],Table1[[#This Row],[High37]],Table1[[#This Row],[High34]],Table1[[#This Row],[High31]],Table1[[#This Row],[High28]],Table1[[#This Row],[High25]],Table1[[#This Row],[High22]],Table1[[#This Row],[High19]],Table1[[#This Row],[High16]],Table1[[#This Row],[High13]],Table1[[#This Row],[High10]],Table1[[#This Row],[High7]],Table1[[#This Row],[High4]],Table1[[#This Row],[High]])</f>
        <v>0</v>
      </c>
      <c r="CI1553" s="35"/>
      <c r="CL1553" s="19">
        <f>IF(Table1[[#This Row],[Type]]="Petroleum",1,IF(ISERROR(Table1[[#This Row],[Well Density]]*Table1[[#This Row],[Single Well Discovery Area]]),"",IF(Table1[[#This Row],[Well Density]]*Table1[[#This Row],[Single Well Discovery Area]]&gt;1,1,Table1[[#This Row],[Well Density]]*Table1[[#This Row],[Single Well Discovery Area]])))</f>
        <v>0</v>
      </c>
      <c r="CM1553" t="s">
        <v>158</v>
      </c>
      <c r="CN1553" s="19">
        <f>Table1[[#This Row],[Mid]]</f>
        <v>0</v>
      </c>
      <c r="CO1553" s="19">
        <f>Table1[[#This Row],[Mid3]]+Table1[[#This Row],[Mid6]]+Table1[[#This Row],[Mid9]]</f>
        <v>0</v>
      </c>
      <c r="CP1553" s="19">
        <f>Table1[[#This Row],[Mid12]]+Table1[[#This Row],[Mid15]]+Table1[[#This Row],[Mid18]]+Table1[[#This Row],[Mid21]]+Table1[[#This Row],[Mid24]]</f>
        <v>0</v>
      </c>
      <c r="CQ1553" s="19">
        <f>Table1[[#This Row],[Mid27]]+Table1[[#This Row],[Mid30]]+Table1[[#This Row],[Mid33]]+Table1[[#This Row],[Mid36]]+Table1[[#This Row],[Mid39]]</f>
        <v>0</v>
      </c>
      <c r="CR1553" s="19" t="s">
        <v>415</v>
      </c>
      <c r="CS1553" s="19" t="str">
        <f>IF(AND(Table1[[#This Row],[Low41]]=0, Table1[[#This Row],[High43]]=0),"N","Y")</f>
        <v>N</v>
      </c>
    </row>
    <row r="1554" spans="1:97" ht="19.5" customHeight="1" x14ac:dyDescent="0.25">
      <c r="Q1554"/>
      <c r="V1554"/>
      <c r="CE1554" s="19">
        <v>0</v>
      </c>
      <c r="CF1554" s="19">
        <v>0</v>
      </c>
      <c r="CG1554" s="19">
        <v>0</v>
      </c>
      <c r="CI1554" s="35"/>
      <c r="CL1554" s="19"/>
      <c r="CN1554" s="19"/>
      <c r="CO1554" s="19"/>
      <c r="CP1554" s="19"/>
      <c r="CQ1554" s="19"/>
      <c r="CR1554" s="36"/>
      <c r="CS1554" s="19"/>
    </row>
    <row r="1555" spans="1:97" ht="19.5" customHeight="1" x14ac:dyDescent="0.25">
      <c r="Q1555"/>
      <c r="V1555"/>
      <c r="CE1555" s="19"/>
      <c r="CF1555" s="19"/>
      <c r="CG1555" s="19"/>
      <c r="CI1555" s="35"/>
      <c r="CL1555" s="19"/>
      <c r="CN1555" s="19"/>
      <c r="CO1555" s="19"/>
      <c r="CP1555" s="19"/>
      <c r="CQ1555" s="19"/>
      <c r="CS1555" s="19"/>
    </row>
    <row r="1556" spans="1:97" ht="19.5" customHeight="1" x14ac:dyDescent="0.25">
      <c r="Q1556"/>
      <c r="V1556"/>
      <c r="CE1556" s="19"/>
      <c r="CF1556" s="19"/>
      <c r="CG1556" s="19"/>
      <c r="CI1556" s="35"/>
      <c r="CL1556" s="19"/>
      <c r="CN1556" s="19"/>
      <c r="CO1556" s="19"/>
      <c r="CP1556" s="19"/>
      <c r="CQ1556" s="19"/>
      <c r="CS1556" s="19"/>
    </row>
    <row r="1557" spans="1:97" ht="19.5" customHeight="1" x14ac:dyDescent="0.25">
      <c r="Q1557"/>
      <c r="V1557"/>
      <c r="CE1557" s="19"/>
      <c r="CF1557" s="19"/>
      <c r="CG1557" s="19"/>
      <c r="CI1557" s="35"/>
      <c r="CL1557" s="19"/>
      <c r="CN1557" s="19"/>
      <c r="CO1557" s="19"/>
      <c r="CP1557" s="19"/>
      <c r="CQ1557" s="19"/>
      <c r="CS1557" s="19"/>
    </row>
    <row r="1558" spans="1:97" ht="19.5" customHeight="1" x14ac:dyDescent="0.25">
      <c r="Q1558"/>
      <c r="V1558"/>
      <c r="CE1558" s="19"/>
      <c r="CF1558" s="19"/>
      <c r="CG1558" s="19"/>
      <c r="CI1558" s="35"/>
      <c r="CL1558" s="19"/>
      <c r="CN1558" s="19"/>
      <c r="CO1558" s="19"/>
      <c r="CP1558" s="19"/>
      <c r="CQ1558" s="19"/>
      <c r="CS1558" s="19"/>
    </row>
    <row r="1559" spans="1:97" ht="19.5" customHeight="1" x14ac:dyDescent="0.25">
      <c r="Q1559"/>
      <c r="V1559"/>
      <c r="CE1559" s="19"/>
      <c r="CF1559" s="19"/>
      <c r="CG1559" s="19"/>
      <c r="CI1559" s="35"/>
      <c r="CL1559" s="19"/>
      <c r="CN1559" s="19"/>
      <c r="CO1559" s="19"/>
      <c r="CP1559" s="19"/>
      <c r="CQ1559" s="19"/>
      <c r="CS1559" s="19"/>
    </row>
    <row r="1560" spans="1:97" ht="19.5" customHeight="1" x14ac:dyDescent="0.25">
      <c r="Q1560"/>
      <c r="V1560"/>
      <c r="CE1560" s="19"/>
      <c r="CF1560" s="19"/>
      <c r="CG1560" s="19"/>
      <c r="CI1560" s="35"/>
      <c r="CL1560" s="19"/>
      <c r="CN1560" s="19"/>
      <c r="CO1560" s="19"/>
      <c r="CP1560" s="19"/>
      <c r="CQ1560" s="19"/>
      <c r="CS1560" s="19"/>
    </row>
    <row r="1561" spans="1:97" ht="19.5" customHeight="1" x14ac:dyDescent="0.25">
      <c r="Q1561"/>
      <c r="V1561"/>
      <c r="CE1561" s="19"/>
      <c r="CF1561" s="19"/>
      <c r="CG1561" s="19"/>
      <c r="CI1561" s="35"/>
      <c r="CL1561" s="19"/>
      <c r="CN1561" s="19"/>
      <c r="CO1561" s="19"/>
      <c r="CP1561" s="19"/>
      <c r="CQ1561" s="19"/>
      <c r="CS1561" s="19"/>
    </row>
    <row r="1562" spans="1:97" ht="19.5" customHeight="1" x14ac:dyDescent="0.25">
      <c r="Q1562"/>
      <c r="V1562"/>
      <c r="CE1562" s="19"/>
      <c r="CF1562" s="19"/>
      <c r="CG1562" s="19"/>
      <c r="CI1562" s="35"/>
      <c r="CL1562" s="19"/>
      <c r="CN1562" s="19"/>
      <c r="CO1562" s="19"/>
      <c r="CP1562" s="19"/>
      <c r="CQ1562" s="19"/>
      <c r="CS1562" s="19"/>
    </row>
    <row r="1563" spans="1:97" ht="19.5" customHeight="1" x14ac:dyDescent="0.25">
      <c r="Q1563"/>
      <c r="V1563"/>
      <c r="CE1563" s="19"/>
      <c r="CF1563" s="19"/>
      <c r="CG1563" s="19"/>
      <c r="CI1563" s="35"/>
      <c r="CL1563" s="19"/>
      <c r="CN1563" s="19"/>
      <c r="CO1563" s="19"/>
      <c r="CP1563" s="19"/>
      <c r="CQ1563" s="19"/>
      <c r="CS1563" s="19"/>
    </row>
    <row r="1564" spans="1:97" ht="19.5" customHeight="1" x14ac:dyDescent="0.25">
      <c r="Q1564"/>
      <c r="V1564"/>
      <c r="CE1564" s="19"/>
      <c r="CF1564" s="19"/>
      <c r="CG1564" s="19"/>
      <c r="CI1564" s="35"/>
      <c r="CL1564" s="19"/>
      <c r="CN1564" s="19"/>
      <c r="CO1564" s="19"/>
      <c r="CP1564" s="19"/>
      <c r="CQ1564" s="19"/>
      <c r="CS1564" s="19"/>
    </row>
    <row r="1565" spans="1:97" ht="19.5" customHeight="1" x14ac:dyDescent="0.25">
      <c r="Q1565"/>
      <c r="V1565"/>
      <c r="CE1565" s="19"/>
      <c r="CF1565" s="19"/>
      <c r="CG1565" s="19"/>
      <c r="CI1565" s="35"/>
      <c r="CL1565" s="19"/>
      <c r="CN1565" s="19"/>
      <c r="CO1565" s="19"/>
      <c r="CP1565" s="19"/>
      <c r="CQ1565" s="19"/>
      <c r="CS1565" s="19"/>
    </row>
    <row r="1566" spans="1:97" ht="19.5" customHeight="1" x14ac:dyDescent="0.25">
      <c r="Q1566"/>
      <c r="V1566"/>
      <c r="CE1566" s="19"/>
      <c r="CF1566" s="19"/>
      <c r="CG1566" s="19"/>
      <c r="CI1566" s="35"/>
      <c r="CL1566" s="19"/>
      <c r="CN1566" s="19"/>
      <c r="CO1566" s="19"/>
      <c r="CP1566" s="19"/>
      <c r="CQ1566" s="19"/>
      <c r="CS1566" s="19"/>
    </row>
    <row r="1567" spans="1:97" ht="19.5" customHeight="1" x14ac:dyDescent="0.25">
      <c r="Q1567"/>
      <c r="V1567"/>
      <c r="CE1567" s="19"/>
      <c r="CF1567" s="19"/>
      <c r="CG1567" s="19"/>
      <c r="CI1567" s="35"/>
      <c r="CL1567" s="19"/>
      <c r="CN1567" s="19"/>
      <c r="CO1567" s="19"/>
      <c r="CP1567" s="19"/>
      <c r="CQ1567" s="19"/>
      <c r="CS1567" s="19"/>
    </row>
    <row r="1568" spans="1:97" ht="19.5" customHeight="1" x14ac:dyDescent="0.25">
      <c r="Q1568"/>
      <c r="V1568"/>
      <c r="CE1568" s="19"/>
      <c r="CF1568" s="19"/>
      <c r="CG1568" s="19"/>
      <c r="CI1568" s="35"/>
      <c r="CL1568" s="19"/>
      <c r="CN1568" s="19"/>
      <c r="CO1568" s="19"/>
      <c r="CP1568" s="19"/>
      <c r="CQ1568" s="19"/>
      <c r="CS1568" s="19"/>
    </row>
    <row r="1569" spans="2:97" ht="19.5" customHeight="1" x14ac:dyDescent="0.25">
      <c r="Q1569"/>
      <c r="V1569"/>
      <c r="CE1569" s="19"/>
      <c r="CF1569" s="19"/>
      <c r="CG1569" s="19"/>
      <c r="CI1569" s="35"/>
      <c r="CL1569" s="19"/>
      <c r="CN1569" s="19"/>
      <c r="CO1569" s="19"/>
      <c r="CP1569" s="19"/>
      <c r="CQ1569" s="19"/>
      <c r="CS1569" s="19"/>
    </row>
    <row r="1570" spans="2:97" ht="19.5" customHeight="1" x14ac:dyDescent="0.25">
      <c r="Q1570"/>
      <c r="V1570"/>
      <c r="CE1570" s="19"/>
      <c r="CF1570" s="19"/>
      <c r="CG1570" s="19"/>
      <c r="CI1570" s="35"/>
      <c r="CL1570" s="19"/>
      <c r="CN1570" s="19"/>
      <c r="CO1570" s="19"/>
      <c r="CP1570" s="19"/>
      <c r="CQ1570" s="19"/>
      <c r="CS1570" s="19"/>
    </row>
    <row r="1571" spans="2:97" ht="19.5" customHeight="1" x14ac:dyDescent="0.25">
      <c r="Q1571"/>
      <c r="V1571"/>
      <c r="CE1571" s="19"/>
      <c r="CF1571" s="19"/>
      <c r="CG1571" s="19"/>
      <c r="CI1571" s="35"/>
      <c r="CL1571" s="19"/>
      <c r="CN1571" s="19"/>
      <c r="CO1571" s="19"/>
      <c r="CP1571" s="19"/>
      <c r="CQ1571" s="19"/>
      <c r="CS1571" s="19"/>
    </row>
    <row r="1572" spans="2:97" ht="19.5" customHeight="1" x14ac:dyDescent="0.25">
      <c r="Q1572"/>
      <c r="V1572"/>
      <c r="CE1572" s="19"/>
      <c r="CF1572" s="19"/>
      <c r="CG1572" s="19"/>
      <c r="CI1572" s="35"/>
      <c r="CL1572" s="19"/>
      <c r="CN1572" s="19"/>
      <c r="CO1572" s="19"/>
      <c r="CP1572" s="19"/>
      <c r="CQ1572" s="19"/>
      <c r="CS1572" s="19"/>
    </row>
    <row r="1573" spans="2:97" ht="19.5" customHeight="1" x14ac:dyDescent="0.25">
      <c r="B1573" s="41"/>
    </row>
    <row r="1574" spans="2:97" ht="19.5" customHeight="1" x14ac:dyDescent="0.25">
      <c r="B1574" s="41"/>
    </row>
  </sheetData>
  <hyperlinks>
    <hyperlink ref="N1366" r:id="rId1" display="https://www.energy.gov.tt/wp-content/uploads/2023/05/Final-Report-Feasibility-of-CCS-Projects-in-Trinidad-Tobago-20May13._.pdf" xr:uid="{BAF541B2-D0FC-4835-9FF0-69FA3E61EF49}"/>
    <hyperlink ref="N1367" r:id="rId2" display="https://www.energy.gov.tt/wp-content/uploads/2023/05/Final-Report-Feasibility-of-CCS-Projects-in-Trinidad-Tobago-20May13._.pdf" xr:uid="{302CBF0B-2B80-4D09-9577-D41C1B4D159D}"/>
    <hyperlink ref="N1368" r:id="rId3" display="https://www.energy.gov.tt/wp-content/uploads/2023/05/Final-Report-Feasibility-of-CCS-Projects-in-Trinidad-Tobago-20May13._.pdf" xr:uid="{DBD06A6C-801B-462B-A1B9-1674DB1A1B5C}"/>
    <hyperlink ref="N1369" r:id="rId4" display="https://www.energy.gov.tt/wp-content/uploads/2023/05/Final-Report-Feasibility-of-CCS-Projects-in-Trinidad-Tobago-20May13._.pdf" xr:uid="{9240BB55-F4AD-4A56-AAD9-4612CC6CCE33}"/>
    <hyperlink ref="N1370" r:id="rId5" display="https://www.energy.gov.tt/wp-content/uploads/2023/05/Final-Report-Feasibility-of-CCS-Projects-in-Trinidad-Tobago-20May13._.pdf" xr:uid="{F692B259-E8BA-418E-A33D-41B26AC1EA22}"/>
    <hyperlink ref="N1371" r:id="rId6" display="https://www.energy.gov.tt/wp-content/uploads/2023/05/Final-Report-Feasibility-of-CCS-Projects-in-Trinidad-Tobago-20May13._.pdf" xr:uid="{3A47AAB5-2950-47A0-AAC8-B963F908A6FD}"/>
    <hyperlink ref="N1372" r:id="rId7" display="https://www.energy.gov.tt/wp-content/uploads/2023/05/Final-Report-Feasibility-of-CCS-Projects-in-Trinidad-Tobago-20May13._.pdf" xr:uid="{2D1A5330-C88E-4207-AA7B-73D9A23B491D}"/>
    <hyperlink ref="N1373" r:id="rId8" display="https://www.energy.gov.tt/wp-content/uploads/2023/05/Final-Report-Feasibility-of-CCS-Projects-in-Trinidad-Tobago-20May13._.pdf" xr:uid="{6DB92ED4-8CFB-4829-86CE-A651409AFBFD}"/>
    <hyperlink ref="N1374" r:id="rId9" display="https://www.energy.gov.tt/wp-content/uploads/2023/05/Final-Report-Feasibility-of-CCS-Projects-in-Trinidad-Tobago-20May13._.pdf" xr:uid="{1A936244-C3E9-48C5-A84A-DA3521D91ED5}"/>
    <hyperlink ref="N1375" r:id="rId10" display="https://www.energy.gov.tt/wp-content/uploads/2023/05/Final-Report-Feasibility-of-CCS-Projects-in-Trinidad-Tobago-20May13._.pdf" xr:uid="{49A02962-18CD-41F4-9F7E-6DC16FF9BB73}"/>
    <hyperlink ref="N1376" r:id="rId11" display="https://www.energy.gov.tt/wp-content/uploads/2023/05/Final-Report-Feasibility-of-CCS-Projects-in-Trinidad-Tobago-20May13._.pdf" xr:uid="{83369ADC-0A1F-4600-BB17-9E8086B898E6}"/>
    <hyperlink ref="N1377" r:id="rId12" display="https://www.energy.gov.tt/wp-content/uploads/2023/05/Final-Report-Feasibility-of-CCS-Projects-in-Trinidad-Tobago-20May13._.pdf" xr:uid="{636188A6-7687-4845-9F70-96D1245B3A04}"/>
    <hyperlink ref="N1382" r:id="rId13" display="https://papers.ssrn.com/sol3/papers.cfm?abstract_id=5013523" xr:uid="{829127C7-F5EC-459F-BB14-8300381CB740}"/>
    <hyperlink ref="N1478" r:id="rId14" display="https://www.oecd.org/content/dam/oecd/en/publications/reports/2008/10/co2-capture-and-storage-a-key-carbon-abatement-option_g1gh8ac4/9789264041417-en.pdf" xr:uid="{9326AEB5-DCC6-4243-B50D-DA105D5686F1}"/>
  </hyperlinks>
  <pageMargins left="0.7" right="0.7" top="0.75" bottom="0.75" header="0.3" footer="0.3"/>
  <legacyDrawing r:id="rId15"/>
  <tableParts count="1">
    <tablePart r:id="rId1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72885342AFE4469AA6FDCE8F2249FA" ma:contentTypeVersion="15" ma:contentTypeDescription="Create a new document." ma:contentTypeScope="" ma:versionID="ff56e3e0df7961df154a59a8a8070184">
  <xsd:schema xmlns:xsd="http://www.w3.org/2001/XMLSchema" xmlns:xs="http://www.w3.org/2001/XMLSchema" xmlns:p="http://schemas.microsoft.com/office/2006/metadata/properties" xmlns:ns2="d2300476-b3de-4310-a792-1e73b5fa601b" xmlns:ns3="f57073bf-f40a-4982-8652-d61a516c05bb" targetNamespace="http://schemas.microsoft.com/office/2006/metadata/properties" ma:root="true" ma:fieldsID="72ab6d2b00ec9a27dad6d9bc45e8b2d7" ns2:_="" ns3:_="">
    <xsd:import namespace="d2300476-b3de-4310-a792-1e73b5fa601b"/>
    <xsd:import namespace="f57073bf-f40a-4982-8652-d61a516c05bb"/>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300476-b3de-4310-a792-1e73b5fa601b"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7f65cd68-ff8f-455e-8900-8bf329735768"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7073bf-f40a-4982-8652-d61a516c05bb"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d5f77df6-187c-4e6a-8e20-5d3423fb02d4}" ma:internalName="TaxCatchAll" ma:showField="CatchAllData" ma:web="f57073bf-f40a-4982-8652-d61a516c05b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57073bf-f40a-4982-8652-d61a516c05bb" xsi:nil="true"/>
    <lcf76f155ced4ddcb4097134ff3c332f xmlns="d2300476-b3de-4310-a792-1e73b5fa601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B3FCF75-524B-4BC2-B893-604E8566B34A}"/>
</file>

<file path=customXml/itemProps2.xml><?xml version="1.0" encoding="utf-8"?>
<ds:datastoreItem xmlns:ds="http://schemas.openxmlformats.org/officeDocument/2006/customXml" ds:itemID="{A6D790CC-9C1A-46C6-B4AB-E7CB6987F556}">
  <ds:schemaRefs>
    <ds:schemaRef ds:uri="http://schemas.microsoft.com/sharepoint/v3/contenttype/forms"/>
  </ds:schemaRefs>
</ds:datastoreItem>
</file>

<file path=customXml/itemProps3.xml><?xml version="1.0" encoding="utf-8"?>
<ds:datastoreItem xmlns:ds="http://schemas.openxmlformats.org/officeDocument/2006/customXml" ds:itemID="{AD8D81D2-687B-4B7E-A092-61BE773BECE2}">
  <ds:schemaRefs>
    <ds:schemaRef ds:uri="http://schemas.microsoft.com/office/2006/documentManagement/types"/>
    <ds:schemaRef ds:uri="http://purl.org/dc/elements/1.1/"/>
    <ds:schemaRef ds:uri="5056ceee-61bf-42f0-8945-3e9bd6ac53d2"/>
    <ds:schemaRef ds:uri="http://purl.org/dc/dcmitype/"/>
    <ds:schemaRef ds:uri="34ff8a1c-934c-47de-ab51-aef2ba921fa0"/>
    <ds:schemaRef ds:uri="http://schemas.microsoft.com/office/infopath/2007/PartnerControls"/>
    <ds:schemaRef ds:uri="http://www.w3.org/XML/1998/namespace"/>
    <ds:schemaRef ds:uri="http://schemas.openxmlformats.org/package/2006/metadata/core-properties"/>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bad6f6f2-a951-4904-b531-92e1207fc7a5}" enabled="1" method="Standard" siteId="{b7be7686-6f97-4db7-9081-a23cf09a96b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Kate Evans</dc:creator>
  <cp:keywords/>
  <dc:description/>
  <cp:lastModifiedBy>Kate Evans</cp:lastModifiedBy>
  <cp:revision/>
  <dcterms:created xsi:type="dcterms:W3CDTF">2025-07-24T09:46:44Z</dcterms:created>
  <dcterms:modified xsi:type="dcterms:W3CDTF">2025-08-21T14:19:58Z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0x0101008872885342AFE4469AA6FDCE8F2249FA</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ExComDocs">
    <vt:lpwstr/>
  </property>
  <property fmtid="{D5CDD505-2E9C-101B-9397-08002B2CF9AE}" pid="7" name="WSTF">
    <vt:lpwstr/>
  </property>
</Properties>
</file>